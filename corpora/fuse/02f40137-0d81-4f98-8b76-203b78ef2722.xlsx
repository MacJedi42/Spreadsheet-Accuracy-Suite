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worksheets/sheet6.xml" ContentType="application/vnd.openxmlformats-officedocument.spreadsheetml.worksheet+xml"/>
  <Default Extension="rels" ContentType="application/vnd.openxmlformats-package.relationship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charts/chart2.xml" ContentType="application/vnd.openxmlformats-officedocument.drawingml.chart+xml"/>
  <Default Extension="vml" ContentType="application/vnd.openxmlformats-officedocument.vmlDrawing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14960" yWindow="-60" windowWidth="6580" windowHeight="11640"/>
  </bookViews>
  <sheets>
    <sheet name="Legend" sheetId="13" r:id="rId1"/>
    <sheet name="Figure 1,2,4" sheetId="9" r:id="rId2"/>
    <sheet name="Figure 3" sheetId="10" r:id="rId3"/>
    <sheet name="Figure 5" sheetId="12" r:id="rId4"/>
    <sheet name="Figure 6" sheetId="11" r:id="rId5"/>
    <sheet name="District Work" sheetId="3" r:id="rId6"/>
    <sheet name="Charter Work" sheetId="4" r:id="rId7"/>
    <sheet name="Charter Master" sheetId="2" r:id="rId8"/>
    <sheet name="Master" sheetId="1" r:id="rId9"/>
  </sheets>
  <definedNames>
    <definedName name="_xlnm._FilterDatabase" localSheetId="8" hidden="1">Master!$A$1:$L$2931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911" i="4"/>
  <c r="N911"/>
  <c r="O911"/>
  <c r="M678"/>
  <c r="N678"/>
  <c r="O678"/>
  <c r="M649"/>
  <c r="N649"/>
  <c r="O649"/>
  <c r="N608"/>
  <c r="O608"/>
  <c r="P608"/>
  <c r="N375"/>
  <c r="O375"/>
  <c r="P375"/>
  <c r="N346"/>
  <c r="O346"/>
  <c r="P346"/>
  <c r="N72"/>
  <c r="M72"/>
  <c r="O72"/>
  <c r="N43"/>
  <c r="M43"/>
  <c r="O43"/>
  <c r="N305"/>
  <c r="M305"/>
  <c r="O305"/>
  <c r="G1275" i="3"/>
  <c r="G1281"/>
  <c r="I1859"/>
  <c r="I1240"/>
  <c r="I621"/>
  <c r="P31" i="9"/>
  <c r="O31"/>
  <c r="N31"/>
  <c r="M31"/>
  <c r="L31"/>
  <c r="N4"/>
  <c r="M4"/>
  <c r="L4"/>
  <c r="D14"/>
  <c r="D30"/>
  <c r="E13"/>
  <c r="E11"/>
  <c r="H24"/>
  <c r="I12"/>
  <c r="I10"/>
  <c r="M35"/>
  <c r="I9"/>
  <c r="L35"/>
  <c r="G12"/>
  <c r="O33"/>
  <c r="G10"/>
  <c r="M33"/>
  <c r="G9"/>
  <c r="H11"/>
  <c r="H10"/>
  <c r="M34"/>
  <c r="H9"/>
  <c r="L34"/>
  <c r="F11"/>
  <c r="F10"/>
  <c r="F9"/>
  <c r="L32"/>
  <c r="C12"/>
  <c r="E12"/>
  <c r="C10"/>
  <c r="E10"/>
  <c r="C9"/>
  <c r="E9"/>
  <c r="B11"/>
  <c r="N29"/>
  <c r="B10"/>
  <c r="M29"/>
  <c r="B9"/>
  <c r="F24"/>
  <c r="H22"/>
  <c r="F22"/>
  <c r="F26"/>
  <c r="B24"/>
  <c r="B22"/>
  <c r="H18"/>
  <c r="H17"/>
  <c r="F18"/>
  <c r="F17"/>
  <c r="B18"/>
  <c r="K5"/>
  <c r="K6"/>
  <c r="B17"/>
  <c r="H26"/>
  <c r="H25"/>
  <c r="O29"/>
  <c r="P29"/>
  <c r="L30"/>
  <c r="N30"/>
  <c r="O30"/>
  <c r="P30"/>
  <c r="M32"/>
  <c r="O32"/>
  <c r="P32"/>
  <c r="N33"/>
  <c r="P33"/>
  <c r="N34"/>
  <c r="O34"/>
  <c r="P34"/>
  <c r="N35"/>
  <c r="P35"/>
  <c r="B19"/>
  <c r="F19"/>
  <c r="B26"/>
  <c r="B23"/>
  <c r="C14"/>
  <c r="G14"/>
  <c r="G30"/>
  <c r="D28"/>
  <c r="D29"/>
  <c r="H19"/>
  <c r="L33"/>
  <c r="F14"/>
  <c r="B14"/>
  <c r="B4"/>
  <c r="C30"/>
  <c r="E30"/>
  <c r="G31"/>
  <c r="B25"/>
  <c r="H23"/>
  <c r="C29"/>
  <c r="E29"/>
  <c r="F30"/>
  <c r="F29"/>
  <c r="C31"/>
  <c r="E31"/>
  <c r="N32"/>
  <c r="M30"/>
  <c r="L29"/>
  <c r="H14"/>
  <c r="B29"/>
  <c r="I14"/>
  <c r="I28"/>
  <c r="F31"/>
  <c r="C28"/>
  <c r="E28"/>
  <c r="F5"/>
  <c r="M5"/>
  <c r="G28"/>
  <c r="O35"/>
  <c r="B5"/>
  <c r="M3"/>
  <c r="E14"/>
  <c r="G29"/>
  <c r="B31"/>
  <c r="F4"/>
  <c r="L5"/>
  <c r="F28"/>
  <c r="B28"/>
  <c r="B30"/>
  <c r="H4"/>
  <c r="L6"/>
  <c r="H31"/>
  <c r="H28"/>
  <c r="H30"/>
  <c r="H29"/>
  <c r="H5"/>
  <c r="I30"/>
  <c r="I29"/>
  <c r="B6"/>
  <c r="L3"/>
  <c r="I31"/>
  <c r="F6"/>
  <c r="F34"/>
  <c r="N5"/>
  <c r="F7"/>
  <c r="N3"/>
  <c r="B34"/>
  <c r="B7"/>
  <c r="M6"/>
  <c r="H6"/>
  <c r="H34"/>
  <c r="H7"/>
  <c r="N6"/>
  <c r="F23"/>
  <c r="F25"/>
  <c r="G4" i="1"/>
  <c r="G5"/>
  <c r="G6"/>
  <c r="G7"/>
  <c r="G8"/>
  <c r="G9"/>
  <c r="G10"/>
  <c r="G11"/>
  <c r="G12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72"/>
  <c r="G173"/>
  <c r="G174"/>
  <c r="G175"/>
  <c r="G176"/>
  <c r="G177"/>
  <c r="G178"/>
  <c r="G179"/>
  <c r="G180"/>
  <c r="G181"/>
  <c r="G182"/>
  <c r="G183"/>
  <c r="G190"/>
  <c r="G191"/>
  <c r="G192"/>
  <c r="G193"/>
  <c r="G194"/>
  <c r="G195"/>
  <c r="G196"/>
  <c r="G197"/>
  <c r="G198"/>
  <c r="G199"/>
  <c r="G200"/>
  <c r="G201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G2502"/>
  <c r="G2503"/>
  <c r="G2504"/>
  <c r="G2505"/>
  <c r="G2506"/>
  <c r="G2507"/>
  <c r="G2508"/>
  <c r="G2509"/>
  <c r="G2510"/>
  <c r="G2511"/>
  <c r="G2512"/>
  <c r="G2513"/>
  <c r="G2514"/>
  <c r="G2515"/>
  <c r="G2516"/>
  <c r="G2517"/>
  <c r="G2518"/>
  <c r="G2519"/>
  <c r="G2520"/>
  <c r="G2521"/>
  <c r="G2522"/>
  <c r="G2523"/>
  <c r="G2524"/>
  <c r="G2525"/>
  <c r="G2526"/>
  <c r="G2527"/>
  <c r="G2528"/>
  <c r="G2529"/>
  <c r="G2530"/>
  <c r="G2531"/>
  <c r="G2532"/>
  <c r="G2533"/>
  <c r="G2534"/>
  <c r="G2535"/>
  <c r="G2536"/>
  <c r="G2537"/>
  <c r="G2538"/>
  <c r="G2539"/>
  <c r="G2540"/>
  <c r="G2541"/>
  <c r="G2542"/>
  <c r="G2543"/>
  <c r="G2544"/>
  <c r="G2545"/>
  <c r="G2546"/>
  <c r="G2547"/>
  <c r="G2548"/>
  <c r="G2549"/>
  <c r="G2550"/>
  <c r="G2551"/>
  <c r="G2552"/>
  <c r="G2553"/>
  <c r="G2554"/>
  <c r="G2555"/>
  <c r="G2556"/>
  <c r="G2557"/>
  <c r="G2558"/>
  <c r="G2559"/>
  <c r="G2560"/>
  <c r="G2561"/>
  <c r="G2562"/>
  <c r="G2563"/>
  <c r="G2564"/>
  <c r="G2565"/>
  <c r="G2566"/>
  <c r="G2567"/>
  <c r="G2568"/>
  <c r="G2569"/>
  <c r="G2570"/>
  <c r="G2571"/>
  <c r="G2572"/>
  <c r="G2573"/>
  <c r="G2574"/>
  <c r="G2575"/>
  <c r="G2576"/>
  <c r="G2577"/>
  <c r="G2578"/>
  <c r="G2579"/>
  <c r="G2580"/>
  <c r="G2581"/>
  <c r="G2582"/>
  <c r="G2583"/>
  <c r="G2584"/>
  <c r="G2585"/>
  <c r="G2586"/>
  <c r="G2587"/>
  <c r="G2588"/>
  <c r="G2589"/>
  <c r="G2590"/>
  <c r="G2591"/>
  <c r="G2592"/>
  <c r="G2593"/>
  <c r="G2594"/>
  <c r="G2595"/>
  <c r="G2596"/>
  <c r="G2597"/>
  <c r="G2598"/>
  <c r="G2599"/>
  <c r="G2600"/>
  <c r="G2601"/>
  <c r="G2602"/>
  <c r="G2603"/>
  <c r="G2604"/>
  <c r="G2605"/>
  <c r="G2606"/>
  <c r="G2607"/>
  <c r="G2608"/>
  <c r="G2609"/>
  <c r="G2610"/>
  <c r="G2611"/>
  <c r="G2612"/>
  <c r="G2613"/>
  <c r="G2614"/>
  <c r="G2615"/>
  <c r="G2616"/>
  <c r="G2617"/>
  <c r="G2618"/>
  <c r="G2619"/>
  <c r="G2620"/>
  <c r="G2621"/>
  <c r="G2622"/>
  <c r="G2623"/>
  <c r="G2624"/>
  <c r="G2625"/>
  <c r="G2626"/>
  <c r="G2627"/>
  <c r="G2628"/>
  <c r="G2629"/>
  <c r="G2630"/>
  <c r="G2631"/>
  <c r="G2632"/>
  <c r="G2633"/>
  <c r="G2634"/>
  <c r="G2635"/>
  <c r="G2636"/>
  <c r="G2637"/>
  <c r="G2638"/>
  <c r="G2639"/>
  <c r="G2640"/>
  <c r="G2641"/>
  <c r="G2642"/>
  <c r="G2643"/>
  <c r="G2644"/>
  <c r="G2645"/>
  <c r="G2646"/>
  <c r="G2647"/>
  <c r="G2648"/>
  <c r="G2649"/>
  <c r="G2650"/>
  <c r="G2651"/>
  <c r="G2652"/>
  <c r="G2653"/>
  <c r="G2654"/>
  <c r="G2655"/>
  <c r="G2656"/>
  <c r="G2657"/>
  <c r="G2658"/>
  <c r="G2659"/>
  <c r="G2660"/>
  <c r="G2661"/>
  <c r="G2662"/>
  <c r="G2663"/>
  <c r="G2664"/>
  <c r="G2665"/>
  <c r="G2666"/>
  <c r="G2667"/>
  <c r="G2668"/>
  <c r="G2669"/>
  <c r="G2670"/>
  <c r="G2671"/>
  <c r="G2672"/>
  <c r="G2673"/>
  <c r="G2674"/>
  <c r="G2675"/>
  <c r="G2676"/>
  <c r="G2677"/>
  <c r="G2678"/>
  <c r="G2679"/>
  <c r="G2680"/>
  <c r="G2681"/>
  <c r="G2682"/>
  <c r="G2683"/>
  <c r="G2684"/>
  <c r="G2685"/>
  <c r="G2686"/>
  <c r="G2687"/>
  <c r="G2688"/>
  <c r="G2689"/>
  <c r="G2690"/>
  <c r="G2691"/>
  <c r="G2692"/>
  <c r="G2693"/>
  <c r="G2694"/>
  <c r="G2695"/>
  <c r="G2696"/>
  <c r="G2697"/>
  <c r="G2698"/>
  <c r="G2699"/>
  <c r="G2700"/>
  <c r="G2701"/>
  <c r="G2702"/>
  <c r="G2703"/>
  <c r="G2704"/>
  <c r="G2705"/>
  <c r="G2706"/>
  <c r="G2707"/>
  <c r="G2708"/>
  <c r="G2709"/>
  <c r="G2710"/>
  <c r="G2711"/>
  <c r="G2712"/>
  <c r="G2713"/>
  <c r="G2714"/>
  <c r="G2715"/>
  <c r="G2716"/>
  <c r="G2717"/>
  <c r="G2718"/>
  <c r="G2719"/>
  <c r="G2720"/>
  <c r="G2721"/>
  <c r="G2725"/>
  <c r="G2726"/>
  <c r="G2727"/>
  <c r="G2728"/>
  <c r="G2729"/>
  <c r="G2730"/>
  <c r="G2731"/>
  <c r="G2732"/>
  <c r="G2733"/>
  <c r="G2734"/>
  <c r="G2735"/>
  <c r="G2736"/>
  <c r="G2737"/>
  <c r="G2738"/>
  <c r="G2739"/>
  <c r="G2740"/>
  <c r="G2741"/>
  <c r="G2742"/>
  <c r="G2746"/>
  <c r="G2747"/>
  <c r="G2748"/>
  <c r="G2749"/>
  <c r="G2750"/>
  <c r="G2751"/>
  <c r="G2752"/>
  <c r="G2753"/>
  <c r="G2754"/>
  <c r="G2755"/>
  <c r="G2756"/>
  <c r="G2757"/>
  <c r="G2758"/>
  <c r="G2759"/>
  <c r="G2760"/>
  <c r="G2761"/>
  <c r="G2762"/>
  <c r="G2763"/>
  <c r="G2764"/>
  <c r="G2765"/>
  <c r="G2766"/>
  <c r="G2767"/>
  <c r="G2768"/>
  <c r="G2769"/>
  <c r="G2770"/>
  <c r="G2771"/>
  <c r="G2772"/>
  <c r="G2773"/>
  <c r="G2774"/>
  <c r="G2775"/>
  <c r="G2776"/>
  <c r="G2777"/>
  <c r="G2778"/>
  <c r="G2779"/>
  <c r="G2780"/>
  <c r="G2781"/>
  <c r="G2782"/>
  <c r="G2783"/>
  <c r="G2784"/>
  <c r="G2785"/>
  <c r="G2786"/>
  <c r="G2787"/>
  <c r="G2788"/>
  <c r="G2789"/>
  <c r="G2790"/>
  <c r="G2791"/>
  <c r="G2792"/>
  <c r="G2793"/>
  <c r="G2794"/>
  <c r="G2795"/>
  <c r="G2796"/>
  <c r="G2797"/>
  <c r="G2798"/>
  <c r="G2799"/>
  <c r="G2800"/>
  <c r="G2801"/>
  <c r="G2802"/>
  <c r="G2803"/>
  <c r="G2804"/>
  <c r="G2805"/>
</calcChain>
</file>

<file path=xl/sharedStrings.xml><?xml version="1.0" encoding="utf-8"?>
<sst xmlns="http://schemas.openxmlformats.org/spreadsheetml/2006/main" count="25793" uniqueCount="2046">
  <si>
    <t>Mound Street Health Careers Acadmy</t>
  </si>
  <si>
    <t>143164</t>
  </si>
  <si>
    <t>Life Skills Center Of Hamilton County</t>
  </si>
  <si>
    <t>143172</t>
  </si>
  <si>
    <t>International Acad Of Columbus</t>
  </si>
  <si>
    <t>143180</t>
  </si>
  <si>
    <t>Legacy Acad For Leaders &amp; Arts</t>
  </si>
  <si>
    <t>143198</t>
  </si>
  <si>
    <t>Great Western Academy</t>
  </si>
  <si>
    <t>143206</t>
  </si>
  <si>
    <t>Trotwood Fitness &amp; Prep Acad</t>
  </si>
  <si>
    <t>143214</t>
  </si>
  <si>
    <t>Middletown Fitness &amp; Prep Acad</t>
  </si>
  <si>
    <t>143297</t>
  </si>
  <si>
    <t>The Autism Academy Of Learning</t>
  </si>
  <si>
    <t>143305</t>
  </si>
  <si>
    <t>Treca Digital Academy</t>
  </si>
  <si>
    <t>143313</t>
  </si>
  <si>
    <t>Hope Academy Cuyahoga Campus</t>
  </si>
  <si>
    <t>143347</t>
  </si>
  <si>
    <t>The ISUS Institute of Manufacturing</t>
  </si>
  <si>
    <t>143354</t>
  </si>
  <si>
    <t>The ISUS Institute of Health Care</t>
  </si>
  <si>
    <t>143370</t>
  </si>
  <si>
    <t>Granville T Woods Comm Shule</t>
  </si>
  <si>
    <t>143388</t>
  </si>
  <si>
    <t>East End Community School</t>
  </si>
  <si>
    <t>143396</t>
  </si>
  <si>
    <t>Alternative Education Academy</t>
  </si>
  <si>
    <t>143412</t>
  </si>
  <si>
    <t>Crittenton Community School</t>
  </si>
  <si>
    <t>143446</t>
  </si>
  <si>
    <t>Greater Achievement Community School</t>
  </si>
  <si>
    <t>143453</t>
  </si>
  <si>
    <t>Mollie Kessler</t>
  </si>
  <si>
    <t>143461</t>
  </si>
  <si>
    <t>Marcus Garvey Academy</t>
  </si>
  <si>
    <t>143479</t>
  </si>
  <si>
    <t>Puritas Community School</t>
  </si>
  <si>
    <t>143487</t>
  </si>
  <si>
    <t>Stockyard Community School</t>
  </si>
  <si>
    <t>143495</t>
  </si>
  <si>
    <t>Mansfield Community</t>
  </si>
  <si>
    <t>143503</t>
  </si>
  <si>
    <t>Lake Erie Academy</t>
  </si>
  <si>
    <t>143529</t>
  </si>
  <si>
    <t>North Dayton School Of Science &amp; Discovery</t>
  </si>
  <si>
    <t>143537</t>
  </si>
  <si>
    <t>Virtual Community School Of Ohio</t>
  </si>
  <si>
    <t>143545</t>
  </si>
  <si>
    <t>Toledo Preparatory Academy</t>
  </si>
  <si>
    <t>143552</t>
  </si>
  <si>
    <t>Eagle Academy</t>
  </si>
  <si>
    <t>143560</t>
  </si>
  <si>
    <t>Richard Allen Academy II</t>
  </si>
  <si>
    <t>143578</t>
  </si>
  <si>
    <t>Richard Allen Academy III</t>
  </si>
  <si>
    <t>143602</t>
  </si>
  <si>
    <t>Hamilton Cnty Math &amp; Science</t>
  </si>
  <si>
    <t>143610</t>
  </si>
  <si>
    <t>Arts &amp; College Preparatory Academy</t>
  </si>
  <si>
    <t>143636</t>
  </si>
  <si>
    <t>W C Cupe Community School</t>
  </si>
  <si>
    <t>Life Skills Of Northeast Ohio</t>
  </si>
  <si>
    <t>Revenue Source Pct of Total</t>
  </si>
  <si>
    <t>School Year</t>
  </si>
  <si>
    <t>Metrics</t>
  </si>
  <si>
    <t>Total Revenue Amount</t>
  </si>
  <si>
    <t>District</t>
  </si>
  <si>
    <t>Revenue Source</t>
  </si>
  <si>
    <t>000125</t>
  </si>
  <si>
    <t>Polly Fox Academy Community School</t>
  </si>
  <si>
    <t>Local Revenue</t>
  </si>
  <si>
    <t>State Revenue</t>
  </si>
  <si>
    <t>Federal Revenue</t>
  </si>
  <si>
    <t>000130</t>
  </si>
  <si>
    <t>Phoenix Academy Community School</t>
  </si>
  <si>
    <t>000131</t>
  </si>
  <si>
    <t>Glass City Academy</t>
  </si>
  <si>
    <t>000138</t>
  </si>
  <si>
    <t>Pathway School of Discovery</t>
  </si>
  <si>
    <t>000139</t>
  </si>
  <si>
    <t>Alliance Academy of Cincinnati</t>
  </si>
  <si>
    <t>000140</t>
  </si>
  <si>
    <t>Victory Academy of Toledo</t>
  </si>
  <si>
    <t>000143</t>
  </si>
  <si>
    <t>George A. Phillips Academy</t>
  </si>
  <si>
    <t>000195</t>
  </si>
  <si>
    <t>Hope Academy East Campus</t>
  </si>
  <si>
    <t>000197</t>
  </si>
  <si>
    <t>Hamilton Local Digital Academy</t>
  </si>
  <si>
    <t>000222</t>
  </si>
  <si>
    <t>Wildwood Environmental Academy</t>
  </si>
  <si>
    <t>000235</t>
  </si>
  <si>
    <t>International College Preparatory Academy</t>
  </si>
  <si>
    <t>000236</t>
  </si>
  <si>
    <t>Ohio Connections Academy, Inc</t>
  </si>
  <si>
    <t>000277</t>
  </si>
  <si>
    <t>Scholarts Preparatory and Career Center for Children</t>
  </si>
  <si>
    <t>000282</t>
  </si>
  <si>
    <t>Warren County Virtual Community School</t>
  </si>
  <si>
    <t>000287</t>
  </si>
  <si>
    <t>Auglaize County Special Needs School</t>
  </si>
  <si>
    <t>000288</t>
  </si>
  <si>
    <t>Auglaize County Educational Academy</t>
  </si>
  <si>
    <t>000296</t>
  </si>
  <si>
    <t>Summit Academy Columbus</t>
  </si>
  <si>
    <t>000297</t>
  </si>
  <si>
    <t>Summit Academy Dayton</t>
  </si>
  <si>
    <t>000298</t>
  </si>
  <si>
    <t>Summit Academy Secondary - Akron</t>
  </si>
  <si>
    <t>000300</t>
  </si>
  <si>
    <t>Summit Academy Secondary - Canton</t>
  </si>
  <si>
    <t>000301</t>
  </si>
  <si>
    <t>Summit Academy Secondary - Lorain</t>
  </si>
  <si>
    <t>000302</t>
  </si>
  <si>
    <t>Summit Academy Secondary School-Parma</t>
  </si>
  <si>
    <t>000303</t>
  </si>
  <si>
    <t>Summit Academy Secondary - Youngstown</t>
  </si>
  <si>
    <t>000304</t>
  </si>
  <si>
    <t>Summit Academy Community School-Toledo</t>
  </si>
  <si>
    <t>000305</t>
  </si>
  <si>
    <t>142901</t>
  </si>
  <si>
    <t>Life Skills Center Canton</t>
  </si>
  <si>
    <t>142919</t>
  </si>
  <si>
    <t>Life Skills Center of Elyria</t>
  </si>
  <si>
    <t>142927</t>
  </si>
  <si>
    <t>Focus Learning Academy of Southwest Columbus</t>
  </si>
  <si>
    <t>142935</t>
  </si>
  <si>
    <t>Focus Learning Academy of Southeastern Columbus</t>
  </si>
  <si>
    <t>142943</t>
  </si>
  <si>
    <t>Focus Learning Academy of Northern Columbus</t>
  </si>
  <si>
    <t>142950</t>
  </si>
  <si>
    <t>Ohio Virtual Academy</t>
  </si>
  <si>
    <t>142968</t>
  </si>
  <si>
    <t>Hope Northcoast Academy</t>
  </si>
  <si>
    <t>142976</t>
  </si>
  <si>
    <t>Englewood Peace Academy</t>
  </si>
  <si>
    <t>143115</t>
  </si>
  <si>
    <t>Mound Street IT Careers Academy</t>
  </si>
  <si>
    <t>143123</t>
  </si>
  <si>
    <t>Mound Street Military Careers Academy</t>
  </si>
  <si>
    <t>143131</t>
  </si>
  <si>
    <t>Findlay Digital Academy</t>
  </si>
  <si>
    <t>000417</t>
  </si>
  <si>
    <t>Buckeye On-Line School for Success</t>
  </si>
  <si>
    <t>000418</t>
  </si>
  <si>
    <t>Greater Heights Academy</t>
  </si>
  <si>
    <t>000420</t>
  </si>
  <si>
    <t>Capitol City Academy</t>
  </si>
  <si>
    <t>000427</t>
  </si>
  <si>
    <t>Arise Academy</t>
  </si>
  <si>
    <t>000442</t>
  </si>
  <si>
    <t>Manchester Local</t>
  </si>
  <si>
    <t>000445</t>
  </si>
  <si>
    <t>General Chappie James Leadership Academy</t>
  </si>
  <si>
    <t>000461</t>
  </si>
  <si>
    <t>Pace Career Central</t>
  </si>
  <si>
    <t>000473</t>
  </si>
  <si>
    <t>Tech Con Institute</t>
  </si>
  <si>
    <t>000481</t>
  </si>
  <si>
    <t>P.A.C.E. High School</t>
  </si>
  <si>
    <t>000496</t>
  </si>
  <si>
    <t>Peterson Entrepreneurial Training Enterprise</t>
  </si>
  <si>
    <t>000502</t>
  </si>
  <si>
    <t>Canton Academy, The</t>
  </si>
  <si>
    <t>000509</t>
  </si>
  <si>
    <t>Whitehall Preparatory and Fitness Academy</t>
  </si>
  <si>
    <t>000510</t>
  </si>
  <si>
    <t>Springfield Preparatory and Fitness Academy</t>
  </si>
  <si>
    <t>000511</t>
  </si>
  <si>
    <t>Northland Preparatory and Fitness Academy</t>
  </si>
  <si>
    <t>000523</t>
  </si>
  <si>
    <t>Education Alternatives Community School</t>
  </si>
  <si>
    <t>000525</t>
  </si>
  <si>
    <t>Project Rebuild Community School</t>
  </si>
  <si>
    <t>000527</t>
  </si>
  <si>
    <t>Cleveland Academy for Scholarship Technology and Leadership</t>
  </si>
  <si>
    <t>000534</t>
  </si>
  <si>
    <t>Puritas Community Middle School</t>
  </si>
  <si>
    <t>000541</t>
  </si>
  <si>
    <t>Outreach Academy for Children with Disabilities</t>
  </si>
  <si>
    <t>000543</t>
  </si>
  <si>
    <t>Pinnacle Academy</t>
  </si>
  <si>
    <t>000546</t>
  </si>
  <si>
    <t>Winterfield Venture Academy</t>
  </si>
  <si>
    <t>000553</t>
  </si>
  <si>
    <t>Columbus Humanities, Arts and Technology Academy</t>
  </si>
  <si>
    <t>000556</t>
  </si>
  <si>
    <t>A+ Arts Academy</t>
  </si>
  <si>
    <t>000557</t>
  </si>
  <si>
    <t>Columbus Arts &amp; Technology Academy</t>
  </si>
  <si>
    <t>000558</t>
  </si>
  <si>
    <t>Columbus Preparatory Academy</t>
  </si>
  <si>
    <t>000559</t>
  </si>
  <si>
    <t>Orion Academy</t>
  </si>
  <si>
    <t>000560</t>
  </si>
  <si>
    <t>Apex Academy</t>
  </si>
  <si>
    <t>000564</t>
  </si>
  <si>
    <t>Virtual Schoolhouse, Inc.</t>
  </si>
  <si>
    <t>000574</t>
  </si>
  <si>
    <t>Arts Academy, The</t>
  </si>
  <si>
    <t>000575</t>
  </si>
  <si>
    <t>Hope Academy Northwest Campus</t>
  </si>
  <si>
    <t>000576</t>
  </si>
  <si>
    <t>143644</t>
  </si>
  <si>
    <t>Sciotoville</t>
  </si>
  <si>
    <t>147231</t>
  </si>
  <si>
    <t>Schnee Learning Center</t>
  </si>
  <si>
    <t>148973</t>
  </si>
  <si>
    <t>Paul Laurence Dunbar Academy</t>
  </si>
  <si>
    <t>148999</t>
  </si>
  <si>
    <t>Mahoning Unlimited Classroom</t>
  </si>
  <si>
    <t>149054</t>
  </si>
  <si>
    <t>Akron Digital Academy</t>
  </si>
  <si>
    <t>149302</t>
  </si>
  <si>
    <t>Life Skills Center Of Toledo</t>
  </si>
  <si>
    <t>149328</t>
  </si>
  <si>
    <t>Foxfire Center For Student Success</t>
  </si>
  <si>
    <t>151118</t>
  </si>
  <si>
    <t>Lorain Alternative Academy</t>
  </si>
  <si>
    <t>151175</t>
  </si>
  <si>
    <t>West Central Learning Academy II</t>
  </si>
  <si>
    <t>151183</t>
  </si>
  <si>
    <t>Life Skills Ctr Of Lake Erie</t>
  </si>
  <si>
    <t>151191</t>
  </si>
  <si>
    <t>Life Skills Center Of Summit County</t>
  </si>
  <si>
    <t>151209</t>
  </si>
  <si>
    <t>000633</t>
  </si>
  <si>
    <t>Summit Academy Secondary School - Toledo</t>
  </si>
  <si>
    <t>000634</t>
  </si>
  <si>
    <t>Summit Academy Secondary School - Middletown</t>
  </si>
  <si>
    <t>000664</t>
  </si>
  <si>
    <t>Life Skills Center of Columbus Southeast</t>
  </si>
  <si>
    <t>000677</t>
  </si>
  <si>
    <t>New Day Academy Boarding &amp; Day School</t>
  </si>
  <si>
    <t>000679</t>
  </si>
  <si>
    <t>Oakstone Community School</t>
  </si>
  <si>
    <t>000680</t>
  </si>
  <si>
    <t>Urban Youth Academy, Inc.</t>
  </si>
  <si>
    <t>000700</t>
  </si>
  <si>
    <t>New City School</t>
  </si>
  <si>
    <t>000725</t>
  </si>
  <si>
    <t>Zenith Academy</t>
  </si>
  <si>
    <t>000736</t>
  </si>
  <si>
    <t>Phoenix Village Academy Primary 2</t>
  </si>
  <si>
    <t>000738</t>
  </si>
  <si>
    <t>Phoenix Village Academy: Secondary I</t>
  </si>
  <si>
    <t>000740</t>
  </si>
  <si>
    <t>Phoenix Village Academy Primary 1</t>
  </si>
  <si>
    <t>000743</t>
  </si>
  <si>
    <t>Pschtecin Public School</t>
  </si>
  <si>
    <t>000770</t>
  </si>
  <si>
    <t>Maritime Academy of Toledo, The</t>
  </si>
  <si>
    <t>000775</t>
  </si>
  <si>
    <t>Weems School</t>
  </si>
  <si>
    <t>000777</t>
  </si>
  <si>
    <t>Educational Academy at Linden</t>
  </si>
  <si>
    <t>000779</t>
  </si>
  <si>
    <t>Educational Academy for Boys &amp; Girls</t>
  </si>
  <si>
    <t>000780</t>
  </si>
  <si>
    <t>Midnimo Cross Cultural Community School</t>
  </si>
  <si>
    <t>000781</t>
  </si>
  <si>
    <t>Cincinnati Speech &amp; Reading Intervention Center</t>
  </si>
  <si>
    <t>000782</t>
  </si>
  <si>
    <t>Veritas Academy</t>
  </si>
  <si>
    <t>000784</t>
  </si>
  <si>
    <t>Academy of Columbus</t>
  </si>
  <si>
    <t>000804</t>
  </si>
  <si>
    <t>Horizon Science Academy-Cincinnati</t>
  </si>
  <si>
    <t>000808</t>
  </si>
  <si>
    <t>Horizon Science Academy-Dayton</t>
  </si>
  <si>
    <t>000813</t>
  </si>
  <si>
    <t>Life Skills Center of Dayton</t>
  </si>
  <si>
    <t>000825</t>
  </si>
  <si>
    <t>Horizon Science Academy-Springfield</t>
  </si>
  <si>
    <t>000838</t>
  </si>
  <si>
    <t>Horizon Science Academy-Denison Middle School</t>
  </si>
  <si>
    <t>000843</t>
  </si>
  <si>
    <t>Bennett Venture Academy</t>
  </si>
  <si>
    <t>000855</t>
  </si>
  <si>
    <t>Stambaugh Charter Academy</t>
  </si>
  <si>
    <t>000858</t>
  </si>
  <si>
    <t>Horizon Science Academy-Cleveland Middle School</t>
  </si>
  <si>
    <t>000859</t>
  </si>
  <si>
    <t>Canton Arts Academy</t>
  </si>
  <si>
    <t>000875</t>
  </si>
  <si>
    <t>Westside Academy</t>
  </si>
  <si>
    <t>000905</t>
  </si>
  <si>
    <t>Summit Academy Community School-Warren</t>
  </si>
  <si>
    <t>000306</t>
  </si>
  <si>
    <t>Summit Academy Cincinnati</t>
  </si>
  <si>
    <t>000316</t>
  </si>
  <si>
    <t>Westpark Community Middle School</t>
  </si>
  <si>
    <t>000318</t>
  </si>
  <si>
    <t>Lorain Academy For Gifted Students</t>
  </si>
  <si>
    <t>000319</t>
  </si>
  <si>
    <t>Madison Community School</t>
  </si>
  <si>
    <t>000320</t>
  </si>
  <si>
    <t>Lorain Community Middle School</t>
  </si>
  <si>
    <t>000321</t>
  </si>
  <si>
    <t>Old Brooklyn Community Middle School</t>
  </si>
  <si>
    <t>000338</t>
  </si>
  <si>
    <t>Horizon Science Academy Toledo</t>
  </si>
  <si>
    <t>000343</t>
  </si>
  <si>
    <t>Chase Academy for Communication Arts</t>
  </si>
  <si>
    <t>000392</t>
  </si>
  <si>
    <t>Mansfield Enhancement Academy</t>
  </si>
  <si>
    <t>000402</t>
  </si>
  <si>
    <t>Mount Healthy Preparatory and Fitness Academy</t>
  </si>
  <si>
    <t>000952</t>
  </si>
  <si>
    <t>Columbus Preparatory and Fitness Academy</t>
  </si>
  <si>
    <t>000953</t>
  </si>
  <si>
    <t>Cincinnati Preparatory and Fitness Academy</t>
  </si>
  <si>
    <t>007982</t>
  </si>
  <si>
    <t>Academy of Arts and Humanities</t>
  </si>
  <si>
    <t>007984</t>
  </si>
  <si>
    <t>Youngstown Academy of Excellence</t>
  </si>
  <si>
    <t>007992</t>
  </si>
  <si>
    <t>Arts and Science Academy</t>
  </si>
  <si>
    <t>007995</t>
  </si>
  <si>
    <t>Cleveland Arts and Social Sciences Academy</t>
  </si>
  <si>
    <t>008000</t>
  </si>
  <si>
    <t>Mansfield Preparatory Academy</t>
  </si>
  <si>
    <t>008061</t>
  </si>
  <si>
    <t>Arts and Science Preparatory Academy</t>
  </si>
  <si>
    <t>008063</t>
  </si>
  <si>
    <t>Life Skills Center of North Akron</t>
  </si>
  <si>
    <t>008064</t>
  </si>
  <si>
    <t>Academy of Arts and Sciences</t>
  </si>
  <si>
    <t>008065</t>
  </si>
  <si>
    <t>Imani Learning Academy</t>
  </si>
  <si>
    <t>008066</t>
  </si>
  <si>
    <t>Lion of Judah Academy</t>
  </si>
  <si>
    <t>008067</t>
  </si>
  <si>
    <t>Elite Academy of the Arts</t>
  </si>
  <si>
    <t>008068</t>
  </si>
  <si>
    <t>Arts Academy West, The</t>
  </si>
  <si>
    <t>008115</t>
  </si>
  <si>
    <t>Hope Academy High School - Cleveland Campus</t>
  </si>
  <si>
    <t>008251</t>
  </si>
  <si>
    <t>Mahoning Valley Opportunity Center</t>
  </si>
  <si>
    <t>008278</t>
  </si>
  <si>
    <t>Noble Academy-Cleveland</t>
  </si>
  <si>
    <t>008280</t>
  </si>
  <si>
    <t>Noble Academy-Columbus</t>
  </si>
  <si>
    <t>008281</t>
  </si>
  <si>
    <t>South Scioto Academy</t>
  </si>
  <si>
    <t>008282</t>
  </si>
  <si>
    <t>Life Skills Center of Columbus North</t>
  </si>
  <si>
    <t>008283</t>
  </si>
  <si>
    <t>Dayton Technology Design High School</t>
  </si>
  <si>
    <t>008286</t>
  </si>
  <si>
    <t>Harvard Avenue Community School</t>
  </si>
  <si>
    <t>008287</t>
  </si>
  <si>
    <t>Groveport Community School</t>
  </si>
  <si>
    <t>008289</t>
  </si>
  <si>
    <t>Eagle Learning Center</t>
  </si>
  <si>
    <t>043489</t>
  </si>
  <si>
    <t>Akron City</t>
  </si>
  <si>
    <t>043497</t>
  </si>
  <si>
    <t>Alliance City</t>
  </si>
  <si>
    <t>043505</t>
  </si>
  <si>
    <t>Ashland City</t>
  </si>
  <si>
    <t>043513</t>
  </si>
  <si>
    <t>Ashtabula Area City</t>
  </si>
  <si>
    <t>043521</t>
  </si>
  <si>
    <t>Athens City</t>
  </si>
  <si>
    <t>043539</t>
  </si>
  <si>
    <t>Barberton City</t>
  </si>
  <si>
    <t>043547</t>
  </si>
  <si>
    <t>Bay Village City</t>
  </si>
  <si>
    <t>043554</t>
  </si>
  <si>
    <t>Beachwood City</t>
  </si>
  <si>
    <t>043562</t>
  </si>
  <si>
    <t>King Academy Community School</t>
  </si>
  <si>
    <t>000577</t>
  </si>
  <si>
    <t>Emerson Academy</t>
  </si>
  <si>
    <t>000585</t>
  </si>
  <si>
    <t>FCI Academy</t>
  </si>
  <si>
    <t>000598</t>
  </si>
  <si>
    <t>Coshocton Opportunity School</t>
  </si>
  <si>
    <t>000609</t>
  </si>
  <si>
    <t>Summit Academy Middle School - Lorain</t>
  </si>
  <si>
    <t>000610</t>
  </si>
  <si>
    <t>Summit Academy Middle School - Columbus</t>
  </si>
  <si>
    <t>000613</t>
  </si>
  <si>
    <t>Heir Force Community School</t>
  </si>
  <si>
    <t>000616</t>
  </si>
  <si>
    <t>Summit Academy Middle School - Warren</t>
  </si>
  <si>
    <t>000623</t>
  </si>
  <si>
    <t>Summit Academy Middle School - Youngstown</t>
  </si>
  <si>
    <t>000629</t>
  </si>
  <si>
    <t>Summit Academy Community School - Painesville</t>
  </si>
  <si>
    <t>Campbell City</t>
  </si>
  <si>
    <t>043711</t>
  </si>
  <si>
    <t>Canton City</t>
  </si>
  <si>
    <t>043729</t>
  </si>
  <si>
    <t>Celina City</t>
  </si>
  <si>
    <t>043737</t>
  </si>
  <si>
    <t>Centerville City</t>
  </si>
  <si>
    <t>043745</t>
  </si>
  <si>
    <t>Chillicothe City</t>
  </si>
  <si>
    <t>043752</t>
  </si>
  <si>
    <t>Cincinnati City</t>
  </si>
  <si>
    <t>043760</t>
  </si>
  <si>
    <t>Circleville City</t>
  </si>
  <si>
    <t>043778</t>
  </si>
  <si>
    <t>Claymont City</t>
  </si>
  <si>
    <t>043786</t>
  </si>
  <si>
    <t>Cleveland Metropolitan City</t>
  </si>
  <si>
    <t>043794</t>
  </si>
  <si>
    <t>Cleveland Heights-University Heights City</t>
  </si>
  <si>
    <t>043802</t>
  </si>
  <si>
    <t>Columbus City</t>
  </si>
  <si>
    <t>043810</t>
  </si>
  <si>
    <t>Conneaut Area City</t>
  </si>
  <si>
    <t>043828</t>
  </si>
  <si>
    <t>Coshocton City</t>
  </si>
  <si>
    <t>043836</t>
  </si>
  <si>
    <t>Cuyahoga Falls City</t>
  </si>
  <si>
    <t>043844</t>
  </si>
  <si>
    <t>Dayton City</t>
  </si>
  <si>
    <t>043851</t>
  </si>
  <si>
    <t>Deer Park Community City</t>
  </si>
  <si>
    <t>043869</t>
  </si>
  <si>
    <t>Defiance City</t>
  </si>
  <si>
    <t>043877</t>
  </si>
  <si>
    <t>Delaware City</t>
  </si>
  <si>
    <t>043885</t>
  </si>
  <si>
    <t>Delphos City</t>
  </si>
  <si>
    <t>043893</t>
  </si>
  <si>
    <t>Dover City</t>
  </si>
  <si>
    <t>043901</t>
  </si>
  <si>
    <t>East Cleveland City</t>
  </si>
  <si>
    <t>043919</t>
  </si>
  <si>
    <t>East Liverpool City</t>
  </si>
  <si>
    <t>043927</t>
  </si>
  <si>
    <t>East Palestine City</t>
  </si>
  <si>
    <t>043935</t>
  </si>
  <si>
    <t>Eaton Community City</t>
  </si>
  <si>
    <t>043943</t>
  </si>
  <si>
    <t>Elyria City</t>
  </si>
  <si>
    <t>043950</t>
  </si>
  <si>
    <t>Euclid City</t>
  </si>
  <si>
    <t>043968</t>
  </si>
  <si>
    <t>Fairborn City</t>
  </si>
  <si>
    <t>043976</t>
  </si>
  <si>
    <t>Fairview Park City</t>
  </si>
  <si>
    <t>043984</t>
  </si>
  <si>
    <t>Findlay City</t>
  </si>
  <si>
    <t>043992</t>
  </si>
  <si>
    <t>Fostoria City</t>
  </si>
  <si>
    <t>044008</t>
  </si>
  <si>
    <t>Franklin City</t>
  </si>
  <si>
    <t>044016</t>
  </si>
  <si>
    <t>Fremont City</t>
  </si>
  <si>
    <t>044024</t>
  </si>
  <si>
    <t>Galion City</t>
  </si>
  <si>
    <t>044032</t>
  </si>
  <si>
    <t>Gallipolis City</t>
  </si>
  <si>
    <t>044040</t>
  </si>
  <si>
    <t>Garfield Heights City</t>
  </si>
  <si>
    <t>044057</t>
  </si>
  <si>
    <t>Geneva Area City</t>
  </si>
  <si>
    <t>044065</t>
  </si>
  <si>
    <t>Girard City</t>
  </si>
  <si>
    <t>044073</t>
  </si>
  <si>
    <t>Grandview Heights City</t>
  </si>
  <si>
    <t>044081</t>
  </si>
  <si>
    <t>Winton Woods City</t>
  </si>
  <si>
    <t>044099</t>
  </si>
  <si>
    <t>Greenville City</t>
  </si>
  <si>
    <t>044107</t>
  </si>
  <si>
    <t>Hamilton City</t>
  </si>
  <si>
    <t>044115</t>
  </si>
  <si>
    <t>Heath City</t>
  </si>
  <si>
    <t>044123</t>
  </si>
  <si>
    <t>Hillsboro City</t>
  </si>
  <si>
    <t>044131</t>
  </si>
  <si>
    <t>Interactive Media &amp; Construction (IMAC)</t>
  </si>
  <si>
    <t>000909</t>
  </si>
  <si>
    <t>V L T Academy</t>
  </si>
  <si>
    <t>000912</t>
  </si>
  <si>
    <t>Academic Acceleration Academy</t>
  </si>
  <si>
    <t>000915</t>
  </si>
  <si>
    <t>NIA University Community School</t>
  </si>
  <si>
    <t>000922</t>
  </si>
  <si>
    <t>Nu Bethel Center of Excellence</t>
  </si>
  <si>
    <t>000930</t>
  </si>
  <si>
    <t>Cleveland Entreprenuership Preparatory School</t>
  </si>
  <si>
    <t>000936</t>
  </si>
  <si>
    <t>Promise Academy</t>
  </si>
  <si>
    <t>000938</t>
  </si>
  <si>
    <t>Premier Academy of Ohio</t>
  </si>
  <si>
    <t>000946</t>
  </si>
  <si>
    <t>Cleveland Lighthouse Community School</t>
  </si>
  <si>
    <t>000949</t>
  </si>
  <si>
    <t>Villaview Lighthouse Community School</t>
  </si>
  <si>
    <t>000951</t>
  </si>
  <si>
    <t>Madeira City</t>
  </si>
  <si>
    <t>044297</t>
  </si>
  <si>
    <t>Mansfield City</t>
  </si>
  <si>
    <t>044305</t>
  </si>
  <si>
    <t>Maple Heights City</t>
  </si>
  <si>
    <t>044313</t>
  </si>
  <si>
    <t>Mariemont City</t>
  </si>
  <si>
    <t>044321</t>
  </si>
  <si>
    <t>Marietta City</t>
  </si>
  <si>
    <t>044339</t>
  </si>
  <si>
    <t>Marion City</t>
  </si>
  <si>
    <t>044347</t>
  </si>
  <si>
    <t>Martins Ferry City</t>
  </si>
  <si>
    <t>044354</t>
  </si>
  <si>
    <t>Massillon City</t>
  </si>
  <si>
    <t>044362</t>
  </si>
  <si>
    <t>Maumee City</t>
  </si>
  <si>
    <t>044370</t>
  </si>
  <si>
    <t>Mayfield City</t>
  </si>
  <si>
    <t>044388</t>
  </si>
  <si>
    <t>Medina City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</si>
  <si>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</si>
  <si>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</si>
  <si>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</si>
  <si>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</si>
  <si>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</si>
  <si>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</si>
  <si>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</si>
  <si>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</si>
  <si>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044438</t>
  </si>
  <si>
    <t>Napoleon Area City</t>
  </si>
  <si>
    <t>044446</t>
  </si>
  <si>
    <t>Nelsonville-York City</t>
  </si>
  <si>
    <t>044453</t>
  </si>
  <si>
    <t>Newark City</t>
  </si>
  <si>
    <t>044461</t>
  </si>
  <si>
    <t>New Boston Local</t>
  </si>
  <si>
    <t>044479</t>
  </si>
  <si>
    <t>New Lexington City</t>
  </si>
  <si>
    <t>044487</t>
  </si>
  <si>
    <t>New Philadelphia City</t>
  </si>
  <si>
    <t>044495</t>
  </si>
  <si>
    <t>Niles City</t>
  </si>
  <si>
    <t>044503</t>
  </si>
  <si>
    <t>North Canton City</t>
  </si>
  <si>
    <t>044511</t>
  </si>
  <si>
    <t>North College Hill City</t>
  </si>
  <si>
    <t>044529</t>
  </si>
  <si>
    <t>North Olmsted City</t>
  </si>
  <si>
    <t>044537</t>
  </si>
  <si>
    <t>North Ridgeville City</t>
  </si>
  <si>
    <t>044545</t>
  </si>
  <si>
    <t>North Royalton City</t>
  </si>
  <si>
    <t>044552</t>
  </si>
  <si>
    <t>Norton City</t>
  </si>
  <si>
    <t>044560</t>
  </si>
  <si>
    <t>Norwalk City</t>
  </si>
  <si>
    <t>044578</t>
  </si>
  <si>
    <t>Norwood City</t>
  </si>
  <si>
    <t>044586</t>
  </si>
  <si>
    <t>Oakwood City</t>
  </si>
  <si>
    <t>044594</t>
  </si>
  <si>
    <t>Oberlin City</t>
  </si>
  <si>
    <t>044602</t>
  </si>
  <si>
    <t>Oregon City</t>
  </si>
  <si>
    <t>044610</t>
  </si>
  <si>
    <t>Orrville City</t>
  </si>
  <si>
    <t>044628</t>
  </si>
  <si>
    <t>Painesville City Local</t>
  </si>
  <si>
    <t>044636</t>
  </si>
  <si>
    <t>Parma City</t>
  </si>
  <si>
    <t>044644</t>
  </si>
  <si>
    <t>Piqua City</t>
  </si>
  <si>
    <t>044651</t>
  </si>
  <si>
    <t>Port Clinton City</t>
  </si>
  <si>
    <t>044669</t>
  </si>
  <si>
    <t>Portsmouth City</t>
  </si>
  <si>
    <t>044677</t>
  </si>
  <si>
    <t>Princeton City</t>
  </si>
  <si>
    <t>044685</t>
  </si>
  <si>
    <t>Ravenna City</t>
  </si>
  <si>
    <t>044693</t>
  </si>
  <si>
    <t>Reading Community City</t>
  </si>
  <si>
    <t>044701</t>
  </si>
  <si>
    <t>Rocky River City</t>
  </si>
  <si>
    <t>044719</t>
  </si>
  <si>
    <t>St Bernard-Elmwood Place City</t>
  </si>
  <si>
    <t>Bedford City</t>
  </si>
  <si>
    <t>043570</t>
  </si>
  <si>
    <t>Bellaire City Local</t>
  </si>
  <si>
    <t>043588</t>
  </si>
  <si>
    <t>Bellefontaine City</t>
  </si>
  <si>
    <t>043596</t>
  </si>
  <si>
    <t>Bellevue City</t>
  </si>
  <si>
    <t>043604</t>
  </si>
  <si>
    <t>Belpre City</t>
  </si>
  <si>
    <t>043612</t>
  </si>
  <si>
    <t>Berea City</t>
  </si>
  <si>
    <t>043620</t>
  </si>
  <si>
    <t>Bexley City</t>
  </si>
  <si>
    <t>043638</t>
  </si>
  <si>
    <t>Bowling Green City</t>
  </si>
  <si>
    <t>043646</t>
  </si>
  <si>
    <t>Brecksville-Broadview Heights City</t>
  </si>
  <si>
    <t>043653</t>
  </si>
  <si>
    <t>Brooklyn City</t>
  </si>
  <si>
    <t>043661</t>
  </si>
  <si>
    <t>Brunswick City</t>
  </si>
  <si>
    <t>043679</t>
  </si>
  <si>
    <t>Bryan City</t>
  </si>
  <si>
    <t>043687</t>
  </si>
  <si>
    <t>Bucyrus City</t>
  </si>
  <si>
    <t>043695</t>
  </si>
  <si>
    <t>Cambridge City</t>
  </si>
  <si>
    <t>043703</t>
  </si>
  <si>
    <t>044859</t>
  </si>
  <si>
    <t>Struthers City</t>
  </si>
  <si>
    <t>044867</t>
  </si>
  <si>
    <t>Sycamore Community City</t>
  </si>
  <si>
    <t>044875</t>
  </si>
  <si>
    <t>Sylvania City</t>
  </si>
  <si>
    <t>044883</t>
  </si>
  <si>
    <t>Tallmadge City</t>
  </si>
  <si>
    <t>044891</t>
  </si>
  <si>
    <t>Tiffin City</t>
  </si>
  <si>
    <t>044909</t>
  </si>
  <si>
    <t>Toledo City</t>
  </si>
  <si>
    <t>044917</t>
  </si>
  <si>
    <t>Toronto City</t>
  </si>
  <si>
    <t>044925</t>
  </si>
  <si>
    <t>Troy City</t>
  </si>
  <si>
    <t>044933</t>
  </si>
  <si>
    <t>Upper Arlington City</t>
  </si>
  <si>
    <t>044941</t>
  </si>
  <si>
    <t>Urbana City</t>
  </si>
  <si>
    <t>044958</t>
  </si>
  <si>
    <t>Vandalia-Butler City</t>
  </si>
  <si>
    <t>044966</t>
  </si>
  <si>
    <t>Van Wert City</t>
  </si>
  <si>
    <t>044974</t>
  </si>
  <si>
    <t>Wadsworth City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</si>
  <si>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</si>
  <si>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</si>
  <si>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</si>
  <si>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</si>
  <si>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</si>
  <si>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</si>
  <si>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</si>
  <si>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</si>
  <si>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045021</t>
  </si>
  <si>
    <t>Wellston City</t>
  </si>
  <si>
    <t>045039</t>
  </si>
  <si>
    <t>Wellsville Local</t>
  </si>
  <si>
    <t>045047</t>
  </si>
  <si>
    <t>Westerville City</t>
  </si>
  <si>
    <t>045054</t>
  </si>
  <si>
    <t>West Carrollton City</t>
  </si>
  <si>
    <t>045062</t>
  </si>
  <si>
    <t>Westlake City</t>
  </si>
  <si>
    <t>045070</t>
  </si>
  <si>
    <t>Whitehall City</t>
  </si>
  <si>
    <t>045088</t>
  </si>
  <si>
    <t>Wickliffe City</t>
  </si>
  <si>
    <t>045096</t>
  </si>
  <si>
    <t>Willard City</t>
  </si>
  <si>
    <t>045104</t>
  </si>
  <si>
    <t>Willoughby-Eastlake City</t>
  </si>
  <si>
    <t>045112</t>
  </si>
  <si>
    <t>Wilmington City</t>
  </si>
  <si>
    <t>045120</t>
  </si>
  <si>
    <t>Wooster City</t>
  </si>
  <si>
    <t>045138</t>
  </si>
  <si>
    <t>Worthington City</t>
  </si>
  <si>
    <t>045146</t>
  </si>
  <si>
    <t>Wyoming City</t>
  </si>
  <si>
    <t>045153</t>
  </si>
  <si>
    <t>Xenia Community City</t>
  </si>
  <si>
    <t>045161</t>
  </si>
  <si>
    <t>Youngstown City</t>
  </si>
  <si>
    <t>045179</t>
  </si>
  <si>
    <t>Zanesville City</t>
  </si>
  <si>
    <t>045187</t>
  </si>
  <si>
    <t>Ada Exempted Village</t>
  </si>
  <si>
    <t>045195</t>
  </si>
  <si>
    <t>Amherst Exempted Village</t>
  </si>
  <si>
    <t>045203</t>
  </si>
  <si>
    <t>Barnesville Exempted Village</t>
  </si>
  <si>
    <t>045211</t>
  </si>
  <si>
    <t>Bluffton Exempted Village</t>
  </si>
  <si>
    <t>045229</t>
  </si>
  <si>
    <t>Bradford Exempted Village</t>
  </si>
  <si>
    <t>045237</t>
  </si>
  <si>
    <t>Bridgeport Exempted Village</t>
  </si>
  <si>
    <t>045245</t>
  </si>
  <si>
    <t>Harrison Hills City</t>
  </si>
  <si>
    <t>045252</t>
  </si>
  <si>
    <t>Caldwell Exempted Village</t>
  </si>
  <si>
    <t>045260</t>
  </si>
  <si>
    <t>Huron City</t>
  </si>
  <si>
    <t>044149</t>
  </si>
  <si>
    <t>Ironton City</t>
  </si>
  <si>
    <t>044156</t>
  </si>
  <si>
    <t>Jackson City</t>
  </si>
  <si>
    <t>044164</t>
  </si>
  <si>
    <t>Kent City</t>
  </si>
  <si>
    <t>044172</t>
  </si>
  <si>
    <t>Kenton City</t>
  </si>
  <si>
    <t>044180</t>
  </si>
  <si>
    <t>Kettering City</t>
  </si>
  <si>
    <t>044198</t>
  </si>
  <si>
    <t>Lakewood City</t>
  </si>
  <si>
    <t>044206</t>
  </si>
  <si>
    <t>Lancaster City</t>
  </si>
  <si>
    <t>044214</t>
  </si>
  <si>
    <t>Lebanon City</t>
  </si>
  <si>
    <t>044222</t>
  </si>
  <si>
    <t>Lima City</t>
  </si>
  <si>
    <t>044230</t>
  </si>
  <si>
    <t>Lockland Local</t>
  </si>
  <si>
    <t>044248</t>
  </si>
  <si>
    <t>Logan-Hocking Local</t>
  </si>
  <si>
    <t>044255</t>
  </si>
  <si>
    <t>London City</t>
  </si>
  <si>
    <t>044263</t>
  </si>
  <si>
    <t>Lorain City</t>
  </si>
  <si>
    <t>044271</t>
  </si>
  <si>
    <t>Loveland City</t>
  </si>
  <si>
    <t>044289</t>
  </si>
  <si>
    <t>Fairport Harbor Exempted Village</t>
  </si>
  <si>
    <t>045377</t>
  </si>
  <si>
    <t>Georgetown Exempted Village</t>
  </si>
  <si>
    <t>045385</t>
  </si>
  <si>
    <t>Gibsonburg Exempted Village</t>
  </si>
  <si>
    <t>045393</t>
  </si>
  <si>
    <t>Granville Exempted Village</t>
  </si>
  <si>
    <t>045401</t>
  </si>
  <si>
    <t>Greenfield Exempted Village</t>
  </si>
  <si>
    <t>045419</t>
  </si>
  <si>
    <t>Hicksville Exempted Village</t>
  </si>
  <si>
    <t>045427</t>
  </si>
  <si>
    <t>Hubbard Exempted Village</t>
  </si>
  <si>
    <t>045435</t>
  </si>
  <si>
    <t>Indian Hill Exempted Village</t>
  </si>
  <si>
    <t>045443</t>
  </si>
  <si>
    <t>Leetonia Exempted Village</t>
  </si>
  <si>
    <t>045450</t>
  </si>
  <si>
    <t>Lisbon Exempted Village</t>
  </si>
  <si>
    <t>045468</t>
  </si>
  <si>
    <t>Loudonville-Perrysville Exempted Village</t>
  </si>
  <si>
    <t>045476</t>
  </si>
  <si>
    <t>Marysville Exempted Village</t>
  </si>
  <si>
    <t>045484</t>
  </si>
  <si>
    <t>Mechanicsburg Exempted Village</t>
  </si>
  <si>
    <t>045492</t>
  </si>
  <si>
    <t>Mentor Exempted Village</t>
  </si>
  <si>
    <t>045500</t>
  </si>
  <si>
    <t>Milford Exempted Village</t>
  </si>
  <si>
    <t>045518</t>
  </si>
  <si>
    <t>Milton-Union Exempted Village</t>
  </si>
  <si>
    <t>045526</t>
  </si>
  <si>
    <t>Montpelier Exempted Village</t>
  </si>
  <si>
    <t>--</t>
  </si>
  <si>
    <t>045534</t>
  </si>
  <si>
    <t>Mount Gilead Exempted Village</t>
  </si>
  <si>
    <t>045542</t>
  </si>
  <si>
    <t>Newcomerstown Exempted Village</t>
  </si>
  <si>
    <t>045559</t>
  </si>
  <si>
    <t>New Richmond Exempted Village</t>
  </si>
  <si>
    <t>045567</t>
  </si>
  <si>
    <t>Newton Falls Exempted Village</t>
  </si>
  <si>
    <t>045575</t>
  </si>
  <si>
    <t>Paulding Exempted Village</t>
  </si>
  <si>
    <t>045583</t>
  </si>
  <si>
    <t>Perrysburg Exempted Village</t>
  </si>
  <si>
    <t>045591</t>
  </si>
  <si>
    <t>Rittman Exempted Village</t>
  </si>
  <si>
    <t>045609</t>
  </si>
  <si>
    <t>Rossford Exempted Village</t>
  </si>
  <si>
    <t>045617</t>
  </si>
  <si>
    <t>Tipp City Exempted Village</t>
  </si>
  <si>
    <t>045625</t>
  </si>
  <si>
    <t>Upper Sandusky Exempted Village</t>
  </si>
  <si>
    <t>045633</t>
  </si>
  <si>
    <t>Versailles Exempted Village</t>
  </si>
  <si>
    <t>045641</t>
  </si>
  <si>
    <t>Wauseon Exempted Village</t>
  </si>
  <si>
    <t>045658</t>
  </si>
  <si>
    <t>Wellington Exempted Village</t>
  </si>
  <si>
    <t>045666</t>
  </si>
  <si>
    <t>Windham Exempted Village</t>
  </si>
  <si>
    <t>045674</t>
  </si>
  <si>
    <t>Yellow Springs Exempted Village</t>
  </si>
  <si>
    <t>045740</t>
  </si>
  <si>
    <t>Allen County ESC</t>
  </si>
  <si>
    <t>044727</t>
  </si>
  <si>
    <t>St Marys City</t>
  </si>
  <si>
    <t>044735</t>
  </si>
  <si>
    <t>Salem City</t>
  </si>
  <si>
    <t>044743</t>
  </si>
  <si>
    <t>Sandusky City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</si>
  <si>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</si>
  <si>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</si>
  <si>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</si>
  <si>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</si>
  <si>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</si>
  <si>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</si>
  <si>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</si>
  <si>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</si>
  <si>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044792</t>
  </si>
  <si>
    <t>South Euclid-Lyndhurst City</t>
  </si>
  <si>
    <t>044800</t>
  </si>
  <si>
    <t>South-Western City</t>
  </si>
  <si>
    <t>044818</t>
  </si>
  <si>
    <t>Springfield City</t>
  </si>
  <si>
    <t>044826</t>
  </si>
  <si>
    <t>Steubenville City</t>
  </si>
  <si>
    <t>044834</t>
  </si>
  <si>
    <t>Stow-Munroe Falls City</t>
  </si>
  <si>
    <t>044842</t>
  </si>
  <si>
    <t>Strongsville City</t>
  </si>
  <si>
    <t>Alexander Local</t>
  </si>
  <si>
    <t>045914</t>
  </si>
  <si>
    <t>Federal Hocking Local</t>
  </si>
  <si>
    <t>045922</t>
  </si>
  <si>
    <t>Trimble Local</t>
  </si>
  <si>
    <t>045930</t>
  </si>
  <si>
    <t>Auglaize County ESC</t>
  </si>
  <si>
    <t>045948</t>
  </si>
  <si>
    <t>Minster Local</t>
  </si>
  <si>
    <t>045955</t>
  </si>
  <si>
    <t>New Bremen Local</t>
  </si>
  <si>
    <t>045963</t>
  </si>
  <si>
    <t>New Knoxville Local</t>
  </si>
  <si>
    <t>045971</t>
  </si>
  <si>
    <t>Waynesfield-Goshen Local</t>
  </si>
  <si>
    <t>045989</t>
  </si>
  <si>
    <t>Belmont County ESC</t>
  </si>
  <si>
    <t>045997</t>
  </si>
  <si>
    <t>St Clairsville-Richland City</t>
  </si>
  <si>
    <t>046003</t>
  </si>
  <si>
    <t>Shadyside Local</t>
  </si>
  <si>
    <t>046011</t>
  </si>
  <si>
    <t>Union Local</t>
  </si>
  <si>
    <t>046029</t>
  </si>
  <si>
    <t>Brown ESC</t>
  </si>
  <si>
    <t>046037</t>
  </si>
  <si>
    <t>Eastern Local</t>
  </si>
  <si>
    <t>046045</t>
  </si>
  <si>
    <t>Fayetteville-Perry Local</t>
  </si>
  <si>
    <t>046060</t>
  </si>
  <si>
    <t>Western Brown Local</t>
  </si>
  <si>
    <t>046078</t>
  </si>
  <si>
    <t>Ripley-Union-Lewis-Huntington Local</t>
  </si>
  <si>
    <t>046086</t>
  </si>
  <si>
    <t>Butler County ESC</t>
  </si>
  <si>
    <t>046094</t>
  </si>
  <si>
    <t>Edgewood City</t>
  </si>
  <si>
    <t>046102</t>
  </si>
  <si>
    <t>Fairfield City</t>
  </si>
  <si>
    <t>046110</t>
  </si>
  <si>
    <t>Lakota Local</t>
  </si>
  <si>
    <t>046128</t>
  </si>
  <si>
    <t>Madison Local</t>
  </si>
  <si>
    <t>046136</t>
  </si>
  <si>
    <t>New Miami Local</t>
  </si>
  <si>
    <t>046144</t>
  </si>
  <si>
    <t>Ross Local</t>
  </si>
  <si>
    <t>046151</t>
  </si>
  <si>
    <t>Talawanda City</t>
  </si>
  <si>
    <t>046177</t>
  </si>
  <si>
    <t>Brown Local</t>
  </si>
  <si>
    <t>046193</t>
  </si>
  <si>
    <t>Graham Local</t>
  </si>
  <si>
    <t>046201</t>
  </si>
  <si>
    <t>Triad Local</t>
  </si>
  <si>
    <t>046219</t>
  </si>
  <si>
    <t>West Liberty-Salem Local</t>
  </si>
  <si>
    <t>046227</t>
  </si>
  <si>
    <t>Clark County ESC</t>
  </si>
  <si>
    <t>046235</t>
  </si>
  <si>
    <t>Greenon Local</t>
  </si>
  <si>
    <t>046243</t>
  </si>
  <si>
    <t>Tecumseh Local</t>
  </si>
  <si>
    <t>046250</t>
  </si>
  <si>
    <t>Northeastern Local</t>
  </si>
  <si>
    <t>046268</t>
  </si>
  <si>
    <t>Northwestern Local</t>
  </si>
  <si>
    <t>046276</t>
  </si>
  <si>
    <t>Southeastern Local</t>
  </si>
  <si>
    <t>046284</t>
  </si>
  <si>
    <t>Clark-Shawnee Local</t>
  </si>
  <si>
    <t>046292</t>
  </si>
  <si>
    <t>Clermont County ESC</t>
  </si>
  <si>
    <t>046300</t>
  </si>
  <si>
    <t>Batavia Local</t>
  </si>
  <si>
    <t>046318</t>
  </si>
  <si>
    <t>Bethel-Tate Local</t>
  </si>
  <si>
    <t>046326</t>
  </si>
  <si>
    <t>Clermont Northeastern Local</t>
  </si>
  <si>
    <t>046334</t>
  </si>
  <si>
    <t>Felicity-Franklin Local</t>
  </si>
  <si>
    <t>046342</t>
  </si>
  <si>
    <t>Goshen Local</t>
  </si>
  <si>
    <t>046359</t>
  </si>
  <si>
    <t>Carey Exempted Village</t>
  </si>
  <si>
    <t>045278</t>
  </si>
  <si>
    <t>Carrollton Exempted Village</t>
  </si>
  <si>
    <t>045286</t>
  </si>
  <si>
    <t>Chagrin Falls Exempted Village</t>
  </si>
  <si>
    <t>045294</t>
  </si>
  <si>
    <t>Chesapeake Union Exempted Village</t>
  </si>
  <si>
    <t>045302</t>
  </si>
  <si>
    <t>Clyde-Green Springs Exempted Village</t>
  </si>
  <si>
    <t>045310</t>
  </si>
  <si>
    <t>Coldwater Exempted Village</t>
  </si>
  <si>
    <t>045328</t>
  </si>
  <si>
    <t>Columbiana Exempted Village</t>
  </si>
  <si>
    <t>045336</t>
  </si>
  <si>
    <t>Covington Exempted Village</t>
  </si>
  <si>
    <t>045344</t>
  </si>
  <si>
    <t>Crestline Exempted Village</t>
  </si>
  <si>
    <t>045351</t>
  </si>
  <si>
    <t>Crooksville Exempted Village</t>
  </si>
  <si>
    <t>045369</t>
  </si>
  <si>
    <t>046508</t>
  </si>
  <si>
    <t>Buckeye Central Local</t>
  </si>
  <si>
    <t>046516</t>
  </si>
  <si>
    <t>Colonel Crawford Local</t>
  </si>
  <si>
    <t>046524</t>
  </si>
  <si>
    <t>Wynford Local</t>
  </si>
  <si>
    <t>046532</t>
  </si>
  <si>
    <t>Cuyahoga County ESC</t>
  </si>
  <si>
    <t>046557</t>
  </si>
  <si>
    <t>Cuyahoga Heights Local</t>
  </si>
  <si>
    <t>046565</t>
  </si>
  <si>
    <t>Independence Local</t>
  </si>
  <si>
    <t>046573</t>
  </si>
  <si>
    <t>Olmsted Falls City</t>
  </si>
  <si>
    <t>046581</t>
  </si>
  <si>
    <t>Orange City</t>
  </si>
  <si>
    <t>046599</t>
  </si>
  <si>
    <t>Richmond Heights Local</t>
  </si>
  <si>
    <t>046607</t>
  </si>
  <si>
    <t>Solon City</t>
  </si>
  <si>
    <t>046615</t>
  </si>
  <si>
    <t>Darke County ESC</t>
  </si>
  <si>
    <t>046623</t>
  </si>
  <si>
    <t>Ansonia Local</t>
  </si>
  <si>
    <t>046631</t>
  </si>
  <si>
    <t>Arcanum-Butler Local</t>
  </si>
  <si>
    <t>046649</t>
  </si>
  <si>
    <t>Franklin Monroe Local</t>
  </si>
  <si>
    <t>046672</t>
  </si>
  <si>
    <t>Mississinawa Valley Local</t>
  </si>
  <si>
    <t>046680</t>
  </si>
  <si>
    <t>Tri-Village Local</t>
  </si>
  <si>
    <t>046706</t>
  </si>
  <si>
    <t>Ayersville Local</t>
  </si>
  <si>
    <t>046714</t>
  </si>
  <si>
    <t>Central Local</t>
  </si>
  <si>
    <t>046722</t>
  </si>
  <si>
    <t>046730</t>
  </si>
  <si>
    <t>Delaware-Union ESC</t>
  </si>
  <si>
    <t>046748</t>
  </si>
  <si>
    <t>Big Walnut Local</t>
  </si>
  <si>
    <t>046755</t>
  </si>
  <si>
    <t>Buckeye Valley Local</t>
  </si>
  <si>
    <t>046763</t>
  </si>
  <si>
    <t>Olentangy Local</t>
  </si>
  <si>
    <t>046789</t>
  </si>
  <si>
    <t>Berlin-Milan Local</t>
  </si>
  <si>
    <t>046797</t>
  </si>
  <si>
    <t>Kelleys Island Local</t>
  </si>
  <si>
    <t>046805</t>
  </si>
  <si>
    <t>Margaretta Local</t>
  </si>
  <si>
    <t>046813</t>
  </si>
  <si>
    <t>Perkins Local</t>
  </si>
  <si>
    <t>046821</t>
  </si>
  <si>
    <t>Vermilion Local</t>
  </si>
  <si>
    <t>046839</t>
  </si>
  <si>
    <t>Fairfield County ESC</t>
  </si>
  <si>
    <t>046847</t>
  </si>
  <si>
    <t>Amanda-Clearcreek Local</t>
  </si>
  <si>
    <t>046854</t>
  </si>
  <si>
    <t>Berne Union Local</t>
  </si>
  <si>
    <t>046862</t>
  </si>
  <si>
    <t>Bloom-Carroll Local</t>
  </si>
  <si>
    <t>046870</t>
  </si>
  <si>
    <t>Fairfield Union Local</t>
  </si>
  <si>
    <t>046888</t>
  </si>
  <si>
    <t>Liberty Union-Thurston Local</t>
  </si>
  <si>
    <t>046896</t>
  </si>
  <si>
    <t>Pickerington Local</t>
  </si>
  <si>
    <t>046904</t>
  </si>
  <si>
    <t>Walnut Township Local</t>
  </si>
  <si>
    <t>046920</t>
  </si>
  <si>
    <t>Miami Trace Local</t>
  </si>
  <si>
    <t>046938</t>
  </si>
  <si>
    <t>ESC of Franklin County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</si>
  <si>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</si>
  <si>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</si>
  <si>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</si>
  <si>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</si>
  <si>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</si>
  <si>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</si>
  <si>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</si>
  <si>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045757</t>
  </si>
  <si>
    <t>Allen East Local</t>
  </si>
  <si>
    <t>045765</t>
  </si>
  <si>
    <t>Bath Local</t>
  </si>
  <si>
    <t>045773</t>
  </si>
  <si>
    <t>Elida Local</t>
  </si>
  <si>
    <t>045781</t>
  </si>
  <si>
    <t>Perry Local</t>
  </si>
  <si>
    <t>045799</t>
  </si>
  <si>
    <t>Shawnee Local</t>
  </si>
  <si>
    <t>045807</t>
  </si>
  <si>
    <t>Spencerville Local</t>
  </si>
  <si>
    <t>045823</t>
  </si>
  <si>
    <t>Hillsdale Local</t>
  </si>
  <si>
    <t>045831</t>
  </si>
  <si>
    <t>Mapleton Local</t>
  </si>
  <si>
    <t>045849</t>
  </si>
  <si>
    <t>Ashtabula County ESC</t>
  </si>
  <si>
    <t>045856</t>
  </si>
  <si>
    <t>Buckeye Local</t>
  </si>
  <si>
    <t>045864</t>
  </si>
  <si>
    <t>Grand Valley Local</t>
  </si>
  <si>
    <t>045872</t>
  </si>
  <si>
    <t>Jefferson Area Local</t>
  </si>
  <si>
    <t>045880</t>
  </si>
  <si>
    <t>Pymatuning Valley Local</t>
  </si>
  <si>
    <t>045906</t>
  </si>
  <si>
    <t>Berkshire Local</t>
  </si>
  <si>
    <t>047175</t>
  </si>
  <si>
    <t>Cardinal Local</t>
  </si>
  <si>
    <t>047183</t>
  </si>
  <si>
    <t>Chardon Local</t>
  </si>
  <si>
    <t>047191</t>
  </si>
  <si>
    <t>Kenston Local</t>
  </si>
  <si>
    <t>047209</t>
  </si>
  <si>
    <t>Ledgemont Local</t>
  </si>
  <si>
    <t>047217</t>
  </si>
  <si>
    <t>Newbury Local</t>
  </si>
  <si>
    <t>047225</t>
  </si>
  <si>
    <t>West Geauga Local</t>
  </si>
  <si>
    <t>047233</t>
  </si>
  <si>
    <t>Greene County ESC</t>
  </si>
  <si>
    <t>047241</t>
  </si>
  <si>
    <t>Beavercreek City</t>
  </si>
  <si>
    <t>047258</t>
  </si>
  <si>
    <t>Cedar Cliff Local</t>
  </si>
  <si>
    <t>047266</t>
  </si>
  <si>
    <t>Greeneview Local</t>
  </si>
  <si>
    <t>047274</t>
  </si>
  <si>
    <t>Sugarcreek Local</t>
  </si>
  <si>
    <t>047308</t>
  </si>
  <si>
    <t>Rolling Hills Local</t>
  </si>
  <si>
    <t>047324</t>
  </si>
  <si>
    <t>Hamilton County ESC</t>
  </si>
  <si>
    <t>047332</t>
  </si>
  <si>
    <t>Finneytown Local</t>
  </si>
  <si>
    <t>047340</t>
  </si>
  <si>
    <t>Forest Hills Local</t>
  </si>
  <si>
    <t>047365</t>
  </si>
  <si>
    <t>Northwest Local</t>
  </si>
  <si>
    <t>047373</t>
  </si>
  <si>
    <t>Oak Hills Local</t>
  </si>
  <si>
    <t>047381</t>
  </si>
  <si>
    <t>Southwest Local</t>
  </si>
  <si>
    <t>047399</t>
  </si>
  <si>
    <t>Three Rivers Local</t>
  </si>
  <si>
    <t>047407</t>
  </si>
  <si>
    <t>Hancock County ESC</t>
  </si>
  <si>
    <t>047415</t>
  </si>
  <si>
    <t>Arcadia Local</t>
  </si>
  <si>
    <t>047423</t>
  </si>
  <si>
    <t>Arlington Local</t>
  </si>
  <si>
    <t>047431</t>
  </si>
  <si>
    <t>Cory-Rawson Local</t>
  </si>
  <si>
    <t>047449</t>
  </si>
  <si>
    <t>Liberty-Benton Local</t>
  </si>
  <si>
    <t>047456</t>
  </si>
  <si>
    <t>McComb Local</t>
  </si>
  <si>
    <t>047464</t>
  </si>
  <si>
    <t>Van Buren Local</t>
  </si>
  <si>
    <t>047472</t>
  </si>
  <si>
    <t>Vanlue Local</t>
  </si>
  <si>
    <t>047480</t>
  </si>
  <si>
    <t>Hardin County ESC</t>
  </si>
  <si>
    <t>047498</t>
  </si>
  <si>
    <t>Hardin Northern Local</t>
  </si>
  <si>
    <t>047506</t>
  </si>
  <si>
    <t>Ridgemont Local</t>
  </si>
  <si>
    <t>047514</t>
  </si>
  <si>
    <t>Riverdale Local</t>
  </si>
  <si>
    <t>047522</t>
  </si>
  <si>
    <t>Upper Scioto Valley Local</t>
  </si>
  <si>
    <t>047548</t>
  </si>
  <si>
    <t>Conotton Valley Union Local</t>
  </si>
  <si>
    <t>047571</t>
  </si>
  <si>
    <t>Holgate Local</t>
  </si>
  <si>
    <t>047589</t>
  </si>
  <si>
    <t>Liberty Center Local</t>
  </si>
  <si>
    <t>047597</t>
  </si>
  <si>
    <t>Patrick Henry Local</t>
  </si>
  <si>
    <t>047613</t>
  </si>
  <si>
    <t>Bright Local</t>
  </si>
  <si>
    <t>047621</t>
  </si>
  <si>
    <t>Fairfield Local</t>
  </si>
  <si>
    <t>047639</t>
  </si>
  <si>
    <t>Lynchburg-Clay Local</t>
  </si>
  <si>
    <t>047688</t>
  </si>
  <si>
    <t>East Holmes Local</t>
  </si>
  <si>
    <t>047696</t>
  </si>
  <si>
    <t>West Holmes Local</t>
  </si>
  <si>
    <t>047712</t>
  </si>
  <si>
    <t>Monroeville Local</t>
  </si>
  <si>
    <t>047720</t>
  </si>
  <si>
    <t>West Clermont Local</t>
  </si>
  <si>
    <t>046367</t>
  </si>
  <si>
    <t>Williamsburg Local</t>
  </si>
  <si>
    <t>046375</t>
  </si>
  <si>
    <t>Southern Ohio ESC</t>
  </si>
  <si>
    <t>046383</t>
  </si>
  <si>
    <t>Blanchester Local</t>
  </si>
  <si>
    <t>046391</t>
  </si>
  <si>
    <t>Clinton-Massie Local</t>
  </si>
  <si>
    <t>046409</t>
  </si>
  <si>
    <t>East Clinton Local</t>
  </si>
  <si>
    <t>046417</t>
  </si>
  <si>
    <t>Columbiana County ESC</t>
  </si>
  <si>
    <t>046425</t>
  </si>
  <si>
    <t>Beaver Local</t>
  </si>
  <si>
    <t>046433</t>
  </si>
  <si>
    <t>Crestview Local</t>
  </si>
  <si>
    <t>046441</t>
  </si>
  <si>
    <t>Southern Local</t>
  </si>
  <si>
    <t>046458</t>
  </si>
  <si>
    <t>United Local</t>
  </si>
  <si>
    <t>046474</t>
  </si>
  <si>
    <t>Ridgewood Local</t>
  </si>
  <si>
    <t>046482</t>
  </si>
  <si>
    <t>River View Local</t>
  </si>
  <si>
    <t>Lake County ESC</t>
  </si>
  <si>
    <t>047878</t>
  </si>
  <si>
    <t>Kirtland Local</t>
  </si>
  <si>
    <t>047886</t>
  </si>
  <si>
    <t>047894</t>
  </si>
  <si>
    <t>Riverside Local</t>
  </si>
  <si>
    <t>047902</t>
  </si>
  <si>
    <t>047928</t>
  </si>
  <si>
    <t>Dawson-Bryant Local</t>
  </si>
  <si>
    <t>047936</t>
  </si>
  <si>
    <t>Fairland Local</t>
  </si>
  <si>
    <t>047944</t>
  </si>
  <si>
    <t>Rock Hill Local</t>
  </si>
  <si>
    <t>047951</t>
  </si>
  <si>
    <t>South Point Local</t>
  </si>
  <si>
    <t>047969</t>
  </si>
  <si>
    <t>Symmes Valley Local</t>
  </si>
  <si>
    <t>047977</t>
  </si>
  <si>
    <t>Licking County ESC</t>
  </si>
  <si>
    <t>047985</t>
  </si>
  <si>
    <t>Johnstown-Monroe Local</t>
  </si>
  <si>
    <t>047993</t>
  </si>
  <si>
    <t>Lakewood Local</t>
  </si>
  <si>
    <t>048009</t>
  </si>
  <si>
    <t>Licking Heights Local</t>
  </si>
  <si>
    <t>048017</t>
  </si>
  <si>
    <t>Licking Valley Local</t>
  </si>
  <si>
    <t>048025</t>
  </si>
  <si>
    <t>North Fork Local</t>
  </si>
  <si>
    <t>048033</t>
  </si>
  <si>
    <t>Northridge Local</t>
  </si>
  <si>
    <t>048041</t>
  </si>
  <si>
    <t>Southwest Licking Local</t>
  </si>
  <si>
    <t>048058</t>
  </si>
  <si>
    <t>Logan County ESC</t>
  </si>
  <si>
    <t>048074</t>
  </si>
  <si>
    <t>Benjamin Logan Local</t>
  </si>
  <si>
    <t>048082</t>
  </si>
  <si>
    <t>Indian Lake Local</t>
  </si>
  <si>
    <t>048090</t>
  </si>
  <si>
    <t>048108</t>
  </si>
  <si>
    <t>Lorain County ESC</t>
  </si>
  <si>
    <t>048116</t>
  </si>
  <si>
    <t>Avon Local</t>
  </si>
  <si>
    <t>048124</t>
  </si>
  <si>
    <t>Avon Lake City</t>
  </si>
  <si>
    <t>048132</t>
  </si>
  <si>
    <t>Clearview Local</t>
  </si>
  <si>
    <t>048140</t>
  </si>
  <si>
    <t>Columbia Local</t>
  </si>
  <si>
    <t>048157</t>
  </si>
  <si>
    <t>Firelands Local</t>
  </si>
  <si>
    <t>048165</t>
  </si>
  <si>
    <t>Keystone Local</t>
  </si>
  <si>
    <t>048173</t>
  </si>
  <si>
    <t>Midview Local</t>
  </si>
  <si>
    <t>048199</t>
  </si>
  <si>
    <t>Lucas County ESC</t>
  </si>
  <si>
    <t>048207</t>
  </si>
  <si>
    <t>Anthony Wayne Local</t>
  </si>
  <si>
    <t>048215</t>
  </si>
  <si>
    <t>Ottawa Hills Local</t>
  </si>
  <si>
    <t>048223</t>
  </si>
  <si>
    <t>Springfield Local</t>
  </si>
  <si>
    <t>048231</t>
  </si>
  <si>
    <t>Washington Local</t>
  </si>
  <si>
    <t>048256</t>
  </si>
  <si>
    <t>Jefferson Local</t>
  </si>
  <si>
    <t>048264</t>
  </si>
  <si>
    <t>Jonathan Alder Local</t>
  </si>
  <si>
    <t>048272</t>
  </si>
  <si>
    <t>Madison-Plains Local</t>
  </si>
  <si>
    <t>048280</t>
  </si>
  <si>
    <t>Mahoning County ESC</t>
  </si>
  <si>
    <t>048298</t>
  </si>
  <si>
    <t>Austintown Local</t>
  </si>
  <si>
    <t>048306</t>
  </si>
  <si>
    <t>Boardman Local</t>
  </si>
  <si>
    <t>048314</t>
  </si>
  <si>
    <t>Canfield Local</t>
  </si>
  <si>
    <t>048322</t>
  </si>
  <si>
    <t>Jackson-Milton Local</t>
  </si>
  <si>
    <t>048330</t>
  </si>
  <si>
    <t>Lowellville Local</t>
  </si>
  <si>
    <t>048348</t>
  </si>
  <si>
    <t>Poland Local</t>
  </si>
  <si>
    <t>048355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</si>
  <si>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</si>
  <si>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</si>
  <si>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</si>
  <si>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</si>
  <si>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</si>
  <si>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</si>
  <si>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</si>
  <si>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</si>
  <si>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</si>
  <si>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047043</t>
  </si>
  <si>
    <t>Archbold-Area Local</t>
  </si>
  <si>
    <t>047050</t>
  </si>
  <si>
    <t>Evergreen Local</t>
  </si>
  <si>
    <t>047068</t>
  </si>
  <si>
    <t>Gorham Fayette Local</t>
  </si>
  <si>
    <t>047076</t>
  </si>
  <si>
    <t>Pettisville Local</t>
  </si>
  <si>
    <t>047084</t>
  </si>
  <si>
    <t>Pike-Delta-York Local</t>
  </si>
  <si>
    <t>047092</t>
  </si>
  <si>
    <t>Swanton Local</t>
  </si>
  <si>
    <t>047159</t>
  </si>
  <si>
    <t>Geauga County ESC</t>
  </si>
  <si>
    <t>047167</t>
  </si>
  <si>
    <t>048553</t>
  </si>
  <si>
    <t>Marion Local</t>
  </si>
  <si>
    <t>048579</t>
  </si>
  <si>
    <t>Parkway Local</t>
  </si>
  <si>
    <t>048587</t>
  </si>
  <si>
    <t>St Henry Consolidated Local</t>
  </si>
  <si>
    <t>048595</t>
  </si>
  <si>
    <t>Fort Recovery Local</t>
  </si>
  <si>
    <t>048603</t>
  </si>
  <si>
    <t>Miami County ESC</t>
  </si>
  <si>
    <t>048611</t>
  </si>
  <si>
    <t>Bethel Local</t>
  </si>
  <si>
    <t>048629</t>
  </si>
  <si>
    <t>Miami East Local</t>
  </si>
  <si>
    <t>048637</t>
  </si>
  <si>
    <t>Newton Local</t>
  </si>
  <si>
    <t>048652</t>
  </si>
  <si>
    <t>Switzerland Of Ohio Local</t>
  </si>
  <si>
    <t>048660</t>
  </si>
  <si>
    <t>Montgomery County ESC</t>
  </si>
  <si>
    <t>048678</t>
  </si>
  <si>
    <t>Brookville Local</t>
  </si>
  <si>
    <t>048686</t>
  </si>
  <si>
    <t>Jefferson Township Local</t>
  </si>
  <si>
    <t>048694</t>
  </si>
  <si>
    <t>Trotwood-Madison City</t>
  </si>
  <si>
    <t>048702</t>
  </si>
  <si>
    <t>Mad River Local</t>
  </si>
  <si>
    <t>048710</t>
  </si>
  <si>
    <t>New Lebanon Local</t>
  </si>
  <si>
    <t>048728</t>
  </si>
  <si>
    <t>Northmont City</t>
  </si>
  <si>
    <t>048736</t>
  </si>
  <si>
    <t>048744</t>
  </si>
  <si>
    <t>Valley View Local</t>
  </si>
  <si>
    <t>048751</t>
  </si>
  <si>
    <t>Huber Heights City</t>
  </si>
  <si>
    <t>048777</t>
  </si>
  <si>
    <t>Morgan Local</t>
  </si>
  <si>
    <t>048793</t>
  </si>
  <si>
    <t>Cardington-Lincoln Local</t>
  </si>
  <si>
    <t>048801</t>
  </si>
  <si>
    <t>048819</t>
  </si>
  <si>
    <t>Northmor Local</t>
  </si>
  <si>
    <t>048835</t>
  </si>
  <si>
    <t>East Muskingum Local</t>
  </si>
  <si>
    <t>048843</t>
  </si>
  <si>
    <t>Franklin Local</t>
  </si>
  <si>
    <t>048850</t>
  </si>
  <si>
    <t>Maysville Local</t>
  </si>
  <si>
    <t>048876</t>
  </si>
  <si>
    <t>Tri-Valley Local</t>
  </si>
  <si>
    <t>048884</t>
  </si>
  <si>
    <t>West Muskingum Local</t>
  </si>
  <si>
    <t>048900</t>
  </si>
  <si>
    <t>Noble Local</t>
  </si>
  <si>
    <t>048926</t>
  </si>
  <si>
    <t>Benton Carroll Salem Local</t>
  </si>
  <si>
    <t>048934</t>
  </si>
  <si>
    <t>Danbury Local</t>
  </si>
  <si>
    <t>048942</t>
  </si>
  <si>
    <t>Genoa Area Local</t>
  </si>
  <si>
    <t>048959</t>
  </si>
  <si>
    <t>Middle Bass Local</t>
  </si>
  <si>
    <t>048967</t>
  </si>
  <si>
    <t>North Bass Local</t>
  </si>
  <si>
    <t>048975</t>
  </si>
  <si>
    <t>Put-In-Bay Local</t>
  </si>
  <si>
    <t>048991</t>
  </si>
  <si>
    <t>Antwerp Local</t>
  </si>
  <si>
    <t>049031</t>
  </si>
  <si>
    <t>Wayne Trace Local</t>
  </si>
  <si>
    <t>049056</t>
  </si>
  <si>
    <t>Northern Local</t>
  </si>
  <si>
    <t>049064</t>
  </si>
  <si>
    <t>049080</t>
  </si>
  <si>
    <t>Logan Elm Local</t>
  </si>
  <si>
    <t>049098</t>
  </si>
  <si>
    <t>Teays Valley Local</t>
  </si>
  <si>
    <t>049106</t>
  </si>
  <si>
    <t>Westfall Local</t>
  </si>
  <si>
    <t>049122</t>
  </si>
  <si>
    <t>049130</t>
  </si>
  <si>
    <t>Scioto Valley Local</t>
  </si>
  <si>
    <t>049148</t>
  </si>
  <si>
    <t>Waverly City</t>
  </si>
  <si>
    <t>New London Local</t>
  </si>
  <si>
    <t>047738</t>
  </si>
  <si>
    <t>South Central Local</t>
  </si>
  <si>
    <t>047746</t>
  </si>
  <si>
    <t>Western Reserve Local</t>
  </si>
  <si>
    <t>047761</t>
  </si>
  <si>
    <t>Oak Hill Union Local</t>
  </si>
  <si>
    <t>047779</t>
  </si>
  <si>
    <t>Jefferson County ESC</t>
  </si>
  <si>
    <t>047787</t>
  </si>
  <si>
    <t>047795</t>
  </si>
  <si>
    <t>Edison Local</t>
  </si>
  <si>
    <t>047803</t>
  </si>
  <si>
    <t>Indian Creek Local</t>
  </si>
  <si>
    <t>047811</t>
  </si>
  <si>
    <t>Knox County ESC</t>
  </si>
  <si>
    <t>047829</t>
  </si>
  <si>
    <t>Centerburg Local</t>
  </si>
  <si>
    <t>047837</t>
  </si>
  <si>
    <t>Danville Local</t>
  </si>
  <si>
    <t>047845</t>
  </si>
  <si>
    <t>East Knox Local</t>
  </si>
  <si>
    <t>047852</t>
  </si>
  <si>
    <t>Fredericktown Local</t>
  </si>
  <si>
    <t>047860</t>
  </si>
  <si>
    <t>Twin Valley Community Local</t>
  </si>
  <si>
    <t>049304</t>
  </si>
  <si>
    <t>Putnam County ESC</t>
  </si>
  <si>
    <t>049312</t>
  </si>
  <si>
    <t>Columbus Grove Local</t>
  </si>
  <si>
    <t>049320</t>
  </si>
  <si>
    <t>Continental Local</t>
  </si>
  <si>
    <t>049338</t>
  </si>
  <si>
    <t>Jennings Local</t>
  </si>
  <si>
    <t>049346</t>
  </si>
  <si>
    <t>Kalida Local</t>
  </si>
  <si>
    <t>049353</t>
  </si>
  <si>
    <t>Leipsic Local</t>
  </si>
  <si>
    <t>049361</t>
  </si>
  <si>
    <t>Miller City-New Cleveland Local</t>
  </si>
  <si>
    <t>049379</t>
  </si>
  <si>
    <t>Ottawa-Glandorf Local</t>
  </si>
  <si>
    <t>049387</t>
  </si>
  <si>
    <t>Ottoville Local</t>
  </si>
  <si>
    <t>049395</t>
  </si>
  <si>
    <t>Pandora-Gilboa Local</t>
  </si>
  <si>
    <t>049411</t>
  </si>
  <si>
    <t>Clear Fork Valley Local</t>
  </si>
  <si>
    <t>049429</t>
  </si>
  <si>
    <t>049437</t>
  </si>
  <si>
    <t>Lexington Local</t>
  </si>
  <si>
    <t>049445</t>
  </si>
  <si>
    <t>Lucas Local</t>
  </si>
  <si>
    <t>049452</t>
  </si>
  <si>
    <t>049460</t>
  </si>
  <si>
    <t>Plymouth-Shiloh Local</t>
  </si>
  <si>
    <t>049478</t>
  </si>
  <si>
    <t>Ontario Local</t>
  </si>
  <si>
    <t>049494</t>
  </si>
  <si>
    <t>Adena Local</t>
  </si>
  <si>
    <t>049502</t>
  </si>
  <si>
    <t>Huntington Local</t>
  </si>
  <si>
    <t>049510</t>
  </si>
  <si>
    <t>Paint Valley Local</t>
  </si>
  <si>
    <t>049528</t>
  </si>
  <si>
    <t>049536</t>
  </si>
  <si>
    <t>Union-Scioto Local</t>
  </si>
  <si>
    <t>049544</t>
  </si>
  <si>
    <t>Zane Trace Local</t>
  </si>
  <si>
    <t>049551</t>
  </si>
  <si>
    <t>Sandusky County ESC</t>
  </si>
  <si>
    <t>049569</t>
  </si>
  <si>
    <t>049577</t>
  </si>
  <si>
    <t>Woodmore Local</t>
  </si>
  <si>
    <t>049593</t>
  </si>
  <si>
    <t>Bloom-Vernon Local</t>
  </si>
  <si>
    <t>049601</t>
  </si>
  <si>
    <t>Clay Local</t>
  </si>
  <si>
    <t>049619</t>
  </si>
  <si>
    <t>Green Local</t>
  </si>
  <si>
    <t>049627</t>
  </si>
  <si>
    <t>Minford Local</t>
  </si>
  <si>
    <t>049635</t>
  </si>
  <si>
    <t>049643</t>
  </si>
  <si>
    <t>Valley Local</t>
  </si>
  <si>
    <t>049650</t>
  </si>
  <si>
    <t>Washington-Nile Local</t>
  </si>
  <si>
    <t>049668</t>
  </si>
  <si>
    <t>Wheelersburg Local</t>
  </si>
  <si>
    <t>049684</t>
  </si>
  <si>
    <t>Seneca East Local</t>
  </si>
  <si>
    <t>049692</t>
  </si>
  <si>
    <t>Bettsville Local</t>
  </si>
  <si>
    <t>049700</t>
  </si>
  <si>
    <t>Hopewell-Loudon Local</t>
  </si>
  <si>
    <t>049718</t>
  </si>
  <si>
    <t>New Riegel Local</t>
  </si>
  <si>
    <t>049726</t>
  </si>
  <si>
    <t>Old Fort Local</t>
  </si>
  <si>
    <t>049742</t>
  </si>
  <si>
    <t>Shelby County ESC</t>
  </si>
  <si>
    <t>049759</t>
  </si>
  <si>
    <t>Anna Local</t>
  </si>
  <si>
    <t>049767</t>
  </si>
  <si>
    <t>Botkins Local</t>
  </si>
  <si>
    <t>049775</t>
  </si>
  <si>
    <t>Fairlawn Local</t>
  </si>
  <si>
    <t>049783</t>
  </si>
  <si>
    <t>Fort Loramie Local</t>
  </si>
  <si>
    <t>049791</t>
  </si>
  <si>
    <t>Hardin-Houston Local</t>
  </si>
  <si>
    <t>Sebring Local</t>
  </si>
  <si>
    <t>048363</t>
  </si>
  <si>
    <t>South Range Local</t>
  </si>
  <si>
    <t>048371</t>
  </si>
  <si>
    <t>048389</t>
  </si>
  <si>
    <t>West Branch Local</t>
  </si>
  <si>
    <t>048397</t>
  </si>
  <si>
    <t>048413</t>
  </si>
  <si>
    <t>Elgin Local</t>
  </si>
  <si>
    <t>048421</t>
  </si>
  <si>
    <t>Pleasant Local</t>
  </si>
  <si>
    <t>048439</t>
  </si>
  <si>
    <t>Ridgedale Local</t>
  </si>
  <si>
    <t>048447</t>
  </si>
  <si>
    <t>River Valley Local</t>
  </si>
  <si>
    <t>048462</t>
  </si>
  <si>
    <t>Black River Local</t>
  </si>
  <si>
    <t>048470</t>
  </si>
  <si>
    <t>048488</t>
  </si>
  <si>
    <t>Cloverleaf Local</t>
  </si>
  <si>
    <t>048496</t>
  </si>
  <si>
    <t>Highland Local</t>
  </si>
  <si>
    <t>048512</t>
  </si>
  <si>
    <t>048520</t>
  </si>
  <si>
    <t>Meigs Local</t>
  </si>
  <si>
    <t>048538</t>
  </si>
  <si>
    <t>048546</t>
  </si>
  <si>
    <t>Mercer County ESC</t>
  </si>
  <si>
    <t>049965</t>
  </si>
  <si>
    <t>Summit County ESC</t>
  </si>
  <si>
    <t>049973</t>
  </si>
  <si>
    <t>Woodridge Local</t>
  </si>
  <si>
    <t>049981</t>
  </si>
  <si>
    <t>Copley-Fairlawn City</t>
  </si>
  <si>
    <t>049999</t>
  </si>
  <si>
    <t>Coventry Local</t>
  </si>
  <si>
    <t>050005</t>
  </si>
  <si>
    <t>050013</t>
  </si>
  <si>
    <t>050021</t>
  </si>
  <si>
    <t>Hudson City</t>
  </si>
  <si>
    <t>050039</t>
  </si>
  <si>
    <t>Mogadore Local</t>
  </si>
  <si>
    <t>050047</t>
  </si>
  <si>
    <t>Nordonia Hills City</t>
  </si>
  <si>
    <t>050054</t>
  </si>
  <si>
    <t>Revere Local</t>
  </si>
  <si>
    <t>050062</t>
  </si>
  <si>
    <t>050070</t>
  </si>
  <si>
    <t>Twinsburg City</t>
  </si>
  <si>
    <t>050088</t>
  </si>
  <si>
    <t>Trumbull County ESC</t>
  </si>
  <si>
    <t>050096</t>
  </si>
  <si>
    <t>Bloomfield-Mespo Local</t>
  </si>
  <si>
    <t>050112</t>
  </si>
  <si>
    <t>Bristol Local</t>
  </si>
  <si>
    <t>050120</t>
  </si>
  <si>
    <t>Brookfield Local</t>
  </si>
  <si>
    <t>050138</t>
  </si>
  <si>
    <t>Champion Local</t>
  </si>
  <si>
    <t>050153</t>
  </si>
  <si>
    <t>Mathews Local</t>
  </si>
  <si>
    <t>050161</t>
  </si>
  <si>
    <t>Howland Local</t>
  </si>
  <si>
    <t>050179</t>
  </si>
  <si>
    <t>Joseph Badger Local</t>
  </si>
  <si>
    <t>050187</t>
  </si>
  <si>
    <t>Lakeview Local</t>
  </si>
  <si>
    <t>050195</t>
  </si>
  <si>
    <t>Liberty Local</t>
  </si>
  <si>
    <t>050203</t>
  </si>
  <si>
    <t>Lordstown Local</t>
  </si>
  <si>
    <t>050211</t>
  </si>
  <si>
    <t>Maplewood Local</t>
  </si>
  <si>
    <t>050229</t>
  </si>
  <si>
    <t>Mcdonald Local</t>
  </si>
  <si>
    <t>050237</t>
  </si>
  <si>
    <t>Southington Local</t>
  </si>
  <si>
    <t>050245</t>
  </si>
  <si>
    <t>LaBrae Local</t>
  </si>
  <si>
    <t>050252</t>
  </si>
  <si>
    <t>Weathersfield Local</t>
  </si>
  <si>
    <t>050260</t>
  </si>
  <si>
    <t>Tuscarawas-Carroll-Harrison ESC</t>
  </si>
  <si>
    <t>050278</t>
  </si>
  <si>
    <t>Garaway Local</t>
  </si>
  <si>
    <t>050286</t>
  </si>
  <si>
    <t>Indian Valley Local</t>
  </si>
  <si>
    <t>050294</t>
  </si>
  <si>
    <t>Strasburg-Franklin Local</t>
  </si>
  <si>
    <t>050302</t>
  </si>
  <si>
    <t>Tuscarawas Valley Local</t>
  </si>
  <si>
    <t>050328</t>
  </si>
  <si>
    <t>Fairbanks Local</t>
  </si>
  <si>
    <t>050336</t>
  </si>
  <si>
    <t>North Union Local</t>
  </si>
  <si>
    <t>050351</t>
  </si>
  <si>
    <t>050369</t>
  </si>
  <si>
    <t>Lincolnview Local</t>
  </si>
  <si>
    <t>050393</t>
  </si>
  <si>
    <t>Vinton County Local</t>
  </si>
  <si>
    <t>050401</t>
  </si>
  <si>
    <t>Warren County ESC</t>
  </si>
  <si>
    <t>050419</t>
  </si>
  <si>
    <t>Carlisle Local</t>
  </si>
  <si>
    <t>050427</t>
  </si>
  <si>
    <t>Springboro Community City</t>
  </si>
  <si>
    <t>050435</t>
  </si>
  <si>
    <t>Kings Local</t>
  </si>
  <si>
    <t>050443</t>
  </si>
  <si>
    <t>Little Miami Local</t>
  </si>
  <si>
    <t>050450</t>
  </si>
  <si>
    <t>Mason City</t>
  </si>
  <si>
    <t>050468</t>
  </si>
  <si>
    <t>049155</t>
  </si>
  <si>
    <t>Western Local</t>
  </si>
  <si>
    <t>049163</t>
  </si>
  <si>
    <t>Portage County ESC</t>
  </si>
  <si>
    <t>049171</t>
  </si>
  <si>
    <t>Aurora City</t>
  </si>
  <si>
    <t>049189</t>
  </si>
  <si>
    <t>Crestwood Local</t>
  </si>
  <si>
    <t>049197</t>
  </si>
  <si>
    <t>Field Local</t>
  </si>
  <si>
    <t>049205</t>
  </si>
  <si>
    <t>James A Garfield Local</t>
  </si>
  <si>
    <t>049213</t>
  </si>
  <si>
    <t>Rootstown Local</t>
  </si>
  <si>
    <t>049221</t>
  </si>
  <si>
    <t>Southeast Local</t>
  </si>
  <si>
    <t>049239</t>
  </si>
  <si>
    <t>Streetsboro City</t>
  </si>
  <si>
    <t>049247</t>
  </si>
  <si>
    <t>Waterloo Local</t>
  </si>
  <si>
    <t>049254</t>
  </si>
  <si>
    <t>Preble County ESC</t>
  </si>
  <si>
    <t>049270</t>
  </si>
  <si>
    <t>National Trail Local</t>
  </si>
  <si>
    <t>049288</t>
  </si>
  <si>
    <t>Preble Shawnee Local</t>
  </si>
  <si>
    <t>049296</t>
  </si>
  <si>
    <t>Millcreek-West Unity Local</t>
  </si>
  <si>
    <t>050641</t>
  </si>
  <si>
    <t>050658</t>
  </si>
  <si>
    <t>Stryker Local</t>
  </si>
  <si>
    <t>050666</t>
  </si>
  <si>
    <t>Wood County ESC</t>
  </si>
  <si>
    <t>050674</t>
  </si>
  <si>
    <t>Eastwood Local</t>
  </si>
  <si>
    <t>050682</t>
  </si>
  <si>
    <t>Elmwood Local</t>
  </si>
  <si>
    <t>050690</t>
  </si>
  <si>
    <t>050708</t>
  </si>
  <si>
    <t>North Baltimore Local</t>
  </si>
  <si>
    <t>050716</t>
  </si>
  <si>
    <t>Northwood Local</t>
  </si>
  <si>
    <t>050724</t>
  </si>
  <si>
    <t>Otsego Local</t>
  </si>
  <si>
    <t>050740</t>
  </si>
  <si>
    <t>Mohawk Local</t>
  </si>
  <si>
    <t>061903</t>
  </si>
  <si>
    <t>Adams County/Ohio Valley Local</t>
  </si>
  <si>
    <t>064964</t>
  </si>
  <si>
    <t>College Corner Local</t>
  </si>
  <si>
    <t>065680</t>
  </si>
  <si>
    <t>Gallia County Local</t>
  </si>
  <si>
    <t>069682</t>
  </si>
  <si>
    <t>East Guernsey Local</t>
  </si>
  <si>
    <t>091397</t>
  </si>
  <si>
    <t>Tri-County North Local</t>
  </si>
  <si>
    <t>123257</t>
  </si>
  <si>
    <t>North Central Ohio ESC</t>
  </si>
  <si>
    <t>123281</t>
  </si>
  <si>
    <t>Ohio Valley ESC</t>
  </si>
  <si>
    <t>123521</t>
  </si>
  <si>
    <t>Mid-Ohio ESC</t>
  </si>
  <si>
    <t>124297</t>
  </si>
  <si>
    <t>Northwest Ohio ESC</t>
  </si>
  <si>
    <t>125252</t>
  </si>
  <si>
    <t>Muskingum Valley ESC</t>
  </si>
  <si>
    <t>125658</t>
  </si>
  <si>
    <t>South Central Ohio ESC</t>
  </si>
  <si>
    <t>125674</t>
  </si>
  <si>
    <t>Perry-Hocking ESC</t>
  </si>
  <si>
    <t>125690</t>
  </si>
  <si>
    <t>Erie-Huron-Ottawa ESC</t>
  </si>
  <si>
    <t>132738</t>
  </si>
  <si>
    <t>Colin Powell Leadership Acad</t>
  </si>
  <si>
    <t>132746</t>
  </si>
  <si>
    <t>Summit Academy-Middletown</t>
  </si>
  <si>
    <t>132761</t>
  </si>
  <si>
    <t>Summit Academy-Xenia</t>
  </si>
  <si>
    <t>132779</t>
  </si>
  <si>
    <t>Summit Academy Middle School-Akron</t>
  </si>
  <si>
    <t>132787</t>
  </si>
  <si>
    <t>Springfield Acad Of Excellence</t>
  </si>
  <si>
    <t>132795</t>
  </si>
  <si>
    <t>Life Skills Center-Springfield</t>
  </si>
  <si>
    <t>132803</t>
  </si>
  <si>
    <t>Life Skills Center-Middletown</t>
  </si>
  <si>
    <t>132944</t>
  </si>
  <si>
    <t>Miami Valley Academies</t>
  </si>
  <si>
    <t>132951</t>
  </si>
  <si>
    <t>Lorain Community School</t>
  </si>
  <si>
    <t>132969</t>
  </si>
  <si>
    <t>Elyria Community School</t>
  </si>
  <si>
    <t>132985</t>
  </si>
  <si>
    <t>Youthbuild Columbus Community</t>
  </si>
  <si>
    <t>132993</t>
  </si>
  <si>
    <t>Westpark Community-Cleveland</t>
  </si>
  <si>
    <t>133215</t>
  </si>
  <si>
    <t>Intergenerational School, The</t>
  </si>
  <si>
    <t>133223</t>
  </si>
  <si>
    <t>Lighthouse Comm &amp; Prof Dev</t>
  </si>
  <si>
    <t>133256</t>
  </si>
  <si>
    <t>049809</t>
  </si>
  <si>
    <t>Jackson Center Local</t>
  </si>
  <si>
    <t>049817</t>
  </si>
  <si>
    <t>Russia Local</t>
  </si>
  <si>
    <t>049825</t>
  </si>
  <si>
    <t>Stark County ESC</t>
  </si>
  <si>
    <t>049833</t>
  </si>
  <si>
    <t>Canton Local</t>
  </si>
  <si>
    <t>049841</t>
  </si>
  <si>
    <t>Fairless Local</t>
  </si>
  <si>
    <t>049858</t>
  </si>
  <si>
    <t>Jackson Local</t>
  </si>
  <si>
    <t>049866</t>
  </si>
  <si>
    <t>Lake Local</t>
  </si>
  <si>
    <t>049874</t>
  </si>
  <si>
    <t>Louisville City</t>
  </si>
  <si>
    <t>049882</t>
  </si>
  <si>
    <t>Marlington Local</t>
  </si>
  <si>
    <t>049890</t>
  </si>
  <si>
    <t>Minerva Local</t>
  </si>
  <si>
    <t>049908</t>
  </si>
  <si>
    <t>049916</t>
  </si>
  <si>
    <t>Osnaburg Local</t>
  </si>
  <si>
    <t>049924</t>
  </si>
  <si>
    <t>049932</t>
  </si>
  <si>
    <t>Plain Local</t>
  </si>
  <si>
    <t>049940</t>
  </si>
  <si>
    <t>Sandy Valley Local</t>
  </si>
  <si>
    <t>049957</t>
  </si>
  <si>
    <t>Tuslaw Local</t>
  </si>
  <si>
    <t>Lighthouse Community Sch Inc</t>
  </si>
  <si>
    <t>133397</t>
  </si>
  <si>
    <t>Montessori Renaissance Experience</t>
  </si>
  <si>
    <t>133405</t>
  </si>
  <si>
    <t>W.E.B. Dubois</t>
  </si>
  <si>
    <t>133413</t>
  </si>
  <si>
    <t>Electronic Classroom Of Tomorrow</t>
  </si>
  <si>
    <t>133421</t>
  </si>
  <si>
    <t>Graham School, The</t>
  </si>
  <si>
    <t>133454</t>
  </si>
  <si>
    <t>Dayton View Academy</t>
  </si>
  <si>
    <t>133488</t>
  </si>
  <si>
    <t>Life Skills Of Trumbull County</t>
  </si>
  <si>
    <t>133504</t>
  </si>
  <si>
    <t>Phoenix Community Learning Ctr</t>
  </si>
  <si>
    <t>133512</t>
  </si>
  <si>
    <t>Cincinnati College Preparatory Academy</t>
  </si>
  <si>
    <t>133520</t>
  </si>
  <si>
    <t>Citizens Academy</t>
  </si>
  <si>
    <t>133538</t>
  </si>
  <si>
    <t>Edge Academy, The</t>
  </si>
  <si>
    <t>133553</t>
  </si>
  <si>
    <t>Ida B Wells Community Academy</t>
  </si>
  <si>
    <t>133561</t>
  </si>
  <si>
    <t>Millennium Community</t>
  </si>
  <si>
    <t>133587</t>
  </si>
  <si>
    <t>Summit Academy Community School for Alt Learners of Akron</t>
  </si>
  <si>
    <t>133629</t>
  </si>
  <si>
    <t>Horizon Science Acad Cleveland</t>
  </si>
  <si>
    <t>133660</t>
  </si>
  <si>
    <t>Horizon Science Academy Columbus</t>
  </si>
  <si>
    <t>133678</t>
  </si>
  <si>
    <t>Riverside Academy</t>
  </si>
  <si>
    <t>133736</t>
  </si>
  <si>
    <t>Richard Allen Academy</t>
  </si>
  <si>
    <t>133744</t>
  </si>
  <si>
    <t>The ISUS Institute of Construction Technology</t>
  </si>
  <si>
    <t>133769</t>
  </si>
  <si>
    <t xml:space="preserve"> New Choices Community School</t>
  </si>
  <si>
    <t>133785</t>
  </si>
  <si>
    <t>Life Skills Ctr Of Cincinnati</t>
  </si>
  <si>
    <t>133801</t>
  </si>
  <si>
    <t>Life Skills Ctr Of Youngstown</t>
  </si>
  <si>
    <t>133819</t>
  </si>
  <si>
    <t>Hope Academy Lincoln Park</t>
  </si>
  <si>
    <t>133835</t>
  </si>
  <si>
    <t>Life Skills Ctr Of Cleveland</t>
  </si>
  <si>
    <t>133850</t>
  </si>
  <si>
    <t>Hope Academy Canton Campus</t>
  </si>
  <si>
    <t>133868</t>
  </si>
  <si>
    <t>Life Skills Center Of Akron</t>
  </si>
  <si>
    <t>133900</t>
  </si>
  <si>
    <t>Academy of Cleveland</t>
  </si>
  <si>
    <t>133918</t>
  </si>
  <si>
    <t>Academy Of Dayton</t>
  </si>
  <si>
    <t>133942</t>
  </si>
  <si>
    <t>Toledo School For The Arts</t>
  </si>
  <si>
    <t>133959</t>
  </si>
  <si>
    <t>Dayton Academy, The</t>
  </si>
  <si>
    <t>133967</t>
  </si>
  <si>
    <t>George Washington Carver Preparatory Academy</t>
  </si>
  <si>
    <t>133975</t>
  </si>
  <si>
    <t>Toledo Academy Of Learning</t>
  </si>
  <si>
    <t>134072</t>
  </si>
  <si>
    <t>Wayne Local</t>
  </si>
  <si>
    <t>050476</t>
  </si>
  <si>
    <t>Washington County ESC</t>
  </si>
  <si>
    <t>050484</t>
  </si>
  <si>
    <t>Fort Frye Local</t>
  </si>
  <si>
    <t>050492</t>
  </si>
  <si>
    <t>Frontier Local</t>
  </si>
  <si>
    <t>050500</t>
  </si>
  <si>
    <t>Warren Local</t>
  </si>
  <si>
    <t>050518</t>
  </si>
  <si>
    <t>Wolf Creek Local</t>
  </si>
  <si>
    <t>050526</t>
  </si>
  <si>
    <t>Tri-County ESC</t>
  </si>
  <si>
    <t>050534</t>
  </si>
  <si>
    <t>Chippewa Local</t>
  </si>
  <si>
    <t>050542</t>
  </si>
  <si>
    <t>Dalton Local</t>
  </si>
  <si>
    <t>050559</t>
  </si>
  <si>
    <t>050567</t>
  </si>
  <si>
    <t>North Central Local</t>
  </si>
  <si>
    <t>050575</t>
  </si>
  <si>
    <t>050583</t>
  </si>
  <si>
    <t>050591</t>
  </si>
  <si>
    <t>Triway Local</t>
  </si>
  <si>
    <t>050617</t>
  </si>
  <si>
    <t>Edgerton Local</t>
  </si>
  <si>
    <t>050625</t>
  </si>
  <si>
    <t>Edon-Northwest Local</t>
  </si>
  <si>
    <t>050633</t>
  </si>
  <si>
    <t>Hope Academy Brown St Campus</t>
  </si>
  <si>
    <t>134247</t>
  </si>
  <si>
    <t>City Day Community School</t>
  </si>
  <si>
    <t>134262</t>
  </si>
  <si>
    <t>Academy Of Business &amp; Tech</t>
  </si>
  <si>
    <t>134288</t>
  </si>
  <si>
    <t>East End Comm Heritage School</t>
  </si>
  <si>
    <t>135145</t>
  </si>
  <si>
    <t>Athens-Meigs ESC</t>
  </si>
  <si>
    <t>137364</t>
  </si>
  <si>
    <t>Madison-Champaign ESC</t>
  </si>
  <si>
    <t>138222</t>
  </si>
  <si>
    <t>Ross-Pike ESC</t>
  </si>
  <si>
    <t>139303</t>
  </si>
  <si>
    <t>Monroe Local</t>
  </si>
  <si>
    <t>Use This Amount</t>
  </si>
  <si>
    <t>Charter</t>
  </si>
  <si>
    <t>C</t>
  </si>
  <si>
    <t>City</t>
  </si>
  <si>
    <t>County</t>
  </si>
  <si>
    <t>Cuyahoga</t>
  </si>
  <si>
    <t>Montgomery</t>
  </si>
  <si>
    <t>c</t>
  </si>
  <si>
    <t>Dayton</t>
  </si>
  <si>
    <t>Enrollment</t>
  </si>
  <si>
    <t>Cleveland</t>
  </si>
  <si>
    <t>New Choices Community School</t>
  </si>
  <si>
    <t>Non-CPS</t>
  </si>
  <si>
    <t>Conversion</t>
  </si>
  <si>
    <t>Conversion District</t>
  </si>
  <si>
    <t>Amanda-Clearcreek Academy</t>
  </si>
  <si>
    <t>Yes</t>
  </si>
  <si>
    <t>Amanda-Clearcreek</t>
  </si>
  <si>
    <t>The Aspire Academy</t>
  </si>
  <si>
    <t>Canton</t>
  </si>
  <si>
    <t>Canton Local Digital Academy</t>
  </si>
  <si>
    <t>Coshocton</t>
  </si>
  <si>
    <t>Cardigton Lincoln</t>
  </si>
  <si>
    <t>Cardington Lincoln Local Digital Academy</t>
  </si>
  <si>
    <t>Cuyahoga Falls</t>
  </si>
  <si>
    <t>East Muskingum Academy</t>
  </si>
  <si>
    <t>East Muskingum</t>
  </si>
  <si>
    <t>Fairborn</t>
  </si>
  <si>
    <t>Fairborn Digital Academy</t>
  </si>
  <si>
    <t>Wright Early Learning Center</t>
  </si>
  <si>
    <t>Findlay</t>
  </si>
  <si>
    <t>Franklin</t>
  </si>
  <si>
    <t>Franklin Local Community School</t>
  </si>
  <si>
    <t>Graham</t>
  </si>
  <si>
    <t>Graham Digital Academy</t>
  </si>
  <si>
    <t>Center for Student Achievement</t>
  </si>
  <si>
    <t>Kent Digital Academy</t>
  </si>
  <si>
    <t>Lakewood City Academy</t>
  </si>
  <si>
    <t>Lakewood Digital Academy</t>
  </si>
  <si>
    <t>Lancaster Digital Academy</t>
  </si>
  <si>
    <t>Lancaster Fairfield Community School</t>
  </si>
  <si>
    <t>London Academy</t>
  </si>
  <si>
    <t>Lorain Elementary Digital</t>
  </si>
  <si>
    <t>Lorain High School Digital</t>
  </si>
  <si>
    <t>Lorain Middle School Digital</t>
  </si>
  <si>
    <t>Mansfield Elective Academy</t>
  </si>
  <si>
    <t>Marion City Digital Academy</t>
  </si>
  <si>
    <t>Massillon Digital Academy</t>
  </si>
  <si>
    <t xml:space="preserve">c </t>
  </si>
  <si>
    <t>Miamisburg Secondary Digital Acadmey</t>
  </si>
  <si>
    <t>Parma Community</t>
  </si>
  <si>
    <t>133264</t>
  </si>
  <si>
    <t>Dohn Community</t>
  </si>
  <si>
    <t>133280</t>
  </si>
  <si>
    <t>Washington Park Community</t>
  </si>
  <si>
    <t>133306</t>
  </si>
  <si>
    <t>Summit Academy-Canton</t>
  </si>
  <si>
    <t>133314</t>
  </si>
  <si>
    <t>Summit Acdy Community School for Alte Learners of Youngstown</t>
  </si>
  <si>
    <t>133322</t>
  </si>
  <si>
    <t>Summit Academy-Lorain</t>
  </si>
  <si>
    <t>133330</t>
  </si>
  <si>
    <t>T.C.P. World Academy</t>
  </si>
  <si>
    <t>133348</t>
  </si>
  <si>
    <t>Richard Allen Preparatory</t>
  </si>
  <si>
    <t>133355</t>
  </si>
  <si>
    <t>A.B. Miree Fundamental Academy</t>
  </si>
  <si>
    <t>133363</t>
  </si>
  <si>
    <t>Quest Academy Community</t>
  </si>
  <si>
    <t>133371</t>
  </si>
  <si>
    <t>Omega School Of Excellence</t>
  </si>
  <si>
    <t>133389</t>
  </si>
  <si>
    <t>Tiffin City Digital Academy</t>
  </si>
  <si>
    <t>Tiffin City School District</t>
  </si>
  <si>
    <t>Upper Arlington High School</t>
  </si>
  <si>
    <t>Upper Arlington International Baccalaureate High School</t>
  </si>
  <si>
    <t>Wickliffe Progressive Community School</t>
  </si>
  <si>
    <t>Urbana Community School</t>
  </si>
  <si>
    <t>Note:  charter revenues are separate and distinct from district revenues.  Do not need to back out charter financial eata from the district files as previously told.</t>
  </si>
  <si>
    <t>Education Service Center</t>
  </si>
  <si>
    <t>Figure 1</t>
  </si>
  <si>
    <t>Figure 2</t>
  </si>
  <si>
    <t>Statewide</t>
  </si>
  <si>
    <t>Difference</t>
  </si>
  <si>
    <t>Per-Pupil Revenue</t>
  </si>
  <si>
    <t>State</t>
  </si>
  <si>
    <t>Per-Pupil Revenue by Source</t>
  </si>
  <si>
    <t xml:space="preserve">District </t>
  </si>
  <si>
    <t>Federal</t>
  </si>
  <si>
    <t>Local</t>
  </si>
  <si>
    <t>Other</t>
  </si>
  <si>
    <t>Indeterminate</t>
  </si>
  <si>
    <t>Total</t>
  </si>
  <si>
    <t>Number of Charters</t>
  </si>
  <si>
    <t>Total Revenue</t>
  </si>
  <si>
    <t>Figure 4</t>
  </si>
  <si>
    <t>Percentage of Revenue by Source</t>
  </si>
  <si>
    <t xml:space="preserve">Federal </t>
  </si>
  <si>
    <t xml:space="preserve">Other </t>
  </si>
  <si>
    <t>Statewide District</t>
  </si>
  <si>
    <t>Statewide Charter</t>
  </si>
  <si>
    <t>Change in district school funding if subjected to charter funding structure</t>
  </si>
  <si>
    <t>Ohio  (2006-07)</t>
  </si>
  <si>
    <t>Cleveland District</t>
  </si>
  <si>
    <t>Cleveland Charter</t>
  </si>
  <si>
    <t>Dayton District</t>
  </si>
  <si>
    <t>Dayton Charter</t>
  </si>
  <si>
    <t>Removed Promise Academy from the analysis - dollars but no pupils</t>
  </si>
  <si>
    <t>Conversion charters included in analysis include state funds only</t>
  </si>
  <si>
    <t>Total Statewide Federal</t>
  </si>
  <si>
    <t>Total Statewide Local</t>
  </si>
  <si>
    <t>Cleveland Charter Totals - Federal</t>
  </si>
  <si>
    <t>Dayton Charter Totals - Federal</t>
  </si>
  <si>
    <t>Statewide Charter Total - Federal</t>
  </si>
  <si>
    <t>Statewide Charter Total - Local</t>
  </si>
  <si>
    <t>Cleveland Charter Totals - State</t>
  </si>
  <si>
    <t>Dayton Charter Totals - State</t>
  </si>
  <si>
    <t>Statewide Charter Totals - State</t>
  </si>
  <si>
    <t>Youngstown Community School</t>
  </si>
  <si>
    <t>134080</t>
  </si>
  <si>
    <t>Eagle Heights Academy</t>
  </si>
  <si>
    <t>134098</t>
  </si>
  <si>
    <t>Old Brooklyn Community School</t>
  </si>
  <si>
    <t>134106</t>
  </si>
  <si>
    <t>Harmony Community School</t>
  </si>
  <si>
    <t>134122</t>
  </si>
  <si>
    <t>M.O.D.E.L. Community School</t>
  </si>
  <si>
    <t>134148</t>
  </si>
  <si>
    <t>Aurora Academy</t>
  </si>
  <si>
    <t>134171</t>
  </si>
  <si>
    <t>Meadows Choice Community</t>
  </si>
  <si>
    <t>134189</t>
  </si>
  <si>
    <t>Hope Academy Broadway Campus</t>
  </si>
  <si>
    <t>134197</t>
  </si>
  <si>
    <t>Hope Academy Chapelside Campus</t>
  </si>
  <si>
    <t>134205</t>
  </si>
  <si>
    <t>Hope Academy Cathedral Campus</t>
  </si>
  <si>
    <t>134213</t>
  </si>
  <si>
    <t>Hope Academy University</t>
  </si>
  <si>
    <t>134221</t>
  </si>
  <si>
    <t>Percentage of federal revenue equals percentage of total enrollment for charter schools (Yes = black, No = white)</t>
  </si>
  <si>
    <t>N</t>
  </si>
  <si>
    <t>State Funding</t>
  </si>
  <si>
    <t>Charters have access to state funds according to state statutes (Yes = black, No = white)</t>
  </si>
  <si>
    <t>Charters have full access to state funds in practice (Yes = black, Partial = grey, No = white)</t>
  </si>
  <si>
    <t>Percentage of state revenue equals percentage of total enrollment for charter schools (Yes = black, No = white)</t>
  </si>
  <si>
    <t>Local Funding</t>
  </si>
  <si>
    <t>Charters have access to local funds according to state statutes (Yes = black, No = white)</t>
  </si>
  <si>
    <t>Charters have full access to local funds in practice (Yes = black, Partial = grey, No = white)</t>
  </si>
  <si>
    <t>Percentage of local revenue equals percentage of total enrollment for charter schools (Yes = black, No = white)</t>
  </si>
  <si>
    <t>Facilities Funding</t>
  </si>
  <si>
    <t>Charters have access to facilities funds according to state statutes (Yes = black, No = white)</t>
  </si>
  <si>
    <t>Charters have full access to facilities funds in practice (Yes = black, Partial = grey, No = white)</t>
  </si>
  <si>
    <t>Percentage of facilities revenue equals percentage of total enrollment for charter schools (Yes = black, No = white)</t>
  </si>
  <si>
    <t>Data Availability</t>
  </si>
  <si>
    <t>State provides detailed, public data on federal, state, local and other revenues for district schools (Yes = black, Partial = grey, No = white)</t>
  </si>
  <si>
    <t>State provides detailed, public data on federal, state, local and other revenues for charter schools (Yes = black, Partial = grey, No = white)</t>
  </si>
  <si>
    <t>Funding Formula</t>
  </si>
  <si>
    <t>Goal Digital Academy</t>
  </si>
  <si>
    <t>Mount Gilead Exempted</t>
  </si>
  <si>
    <t>Tomorrow Center</t>
  </si>
  <si>
    <t>Quaker Digital Academy</t>
  </si>
  <si>
    <t>Newark Digital Academy</t>
  </si>
  <si>
    <t>Par Excellence Academy</t>
  </si>
  <si>
    <t>East Canton Digital Academy</t>
  </si>
  <si>
    <t>Perrysburg Digital Academy</t>
  </si>
  <si>
    <t>Perrysburg Exempted</t>
  </si>
  <si>
    <t>Pleasant Community Digital</t>
  </si>
  <si>
    <t>Ridgedale Community School</t>
  </si>
  <si>
    <t>Rittman Academy</t>
  </si>
  <si>
    <t>Rittman Exempted</t>
  </si>
  <si>
    <t>River Valley Local School District</t>
  </si>
  <si>
    <t>Cardinal Digital Academy</t>
  </si>
  <si>
    <t>Bridges Community Academy</t>
  </si>
  <si>
    <t>Soutwest Licking Digital Academy</t>
  </si>
  <si>
    <t>Percentage of schools eligible for Title 1</t>
  </si>
  <si>
    <t>Percent of students by school type</t>
  </si>
  <si>
    <t>Primary (K-5)</t>
  </si>
  <si>
    <t>Middle (6-8)</t>
  </si>
  <si>
    <t>High (9-12)</t>
  </si>
  <si>
    <t>Other (K-12,K-8, etc.)</t>
  </si>
  <si>
    <t>State Charter School Policies</t>
  </si>
  <si>
    <t>Figure 3</t>
  </si>
  <si>
    <t>State Policies</t>
  </si>
  <si>
    <t xml:space="preserve">No </t>
  </si>
  <si>
    <t>Partial</t>
  </si>
  <si>
    <t>Charter schools received their funding directly from the state</t>
  </si>
  <si>
    <t>Charter schools are eligible for local funding</t>
  </si>
  <si>
    <t>Cap on funding a charter school can receive</t>
  </si>
  <si>
    <t>District public school receive differential funding (e.g. more funding for 9-12 vs. K-8 schools)</t>
  </si>
  <si>
    <t>Charter schools receive differential funding</t>
  </si>
  <si>
    <t>State allows districts to withhold funding from charter schools for providing adminstrative services</t>
  </si>
  <si>
    <t>State "holds harmless" ditrict funding for charter enrollment</t>
  </si>
  <si>
    <t>School is considered LEA if authorized by non-district organization</t>
  </si>
  <si>
    <t>School is considered LEA if authorized by district</t>
  </si>
  <si>
    <t>Cap on number of charter schools</t>
  </si>
  <si>
    <t>Cap on number of charters schools authorized per year</t>
  </si>
  <si>
    <t>Cap on number of studens attending charter schools</t>
  </si>
  <si>
    <t>Charter schools have an open enrollment policy</t>
  </si>
  <si>
    <t>X</t>
  </si>
  <si>
    <t>&lt;</t>
  </si>
  <si>
    <t>&gt;</t>
  </si>
  <si>
    <t>3. See two above</t>
  </si>
  <si>
    <t>5. Ohio law allows 30 start-up charters authorized by non-district entities and 30 start-up charters authorized by districts above the number open as of May 5, 2005. Operators of charter schools with a track record of success are not subject to these restrictions, though. Ohio law also has a moratorium in place on new virtual schools.</t>
  </si>
  <si>
    <t>($2.5 billion)</t>
  </si>
  <si>
    <t>($214.9 million)</t>
  </si>
  <si>
    <t>($64.3 million)</t>
  </si>
  <si>
    <t>Dayton State includes Pre-K Reduction</t>
  </si>
  <si>
    <t>Cleveland State includes Pre-K Reducation</t>
  </si>
  <si>
    <t>Total Statewide State includes PreK reduction</t>
  </si>
  <si>
    <t>Findings</t>
  </si>
  <si>
    <t>Use the following options only</t>
  </si>
  <si>
    <t>Federal Funding</t>
  </si>
  <si>
    <t>Charters have access to federal funds according to state statutes (Yes = black, No = white)*</t>
  </si>
  <si>
    <t>Y</t>
  </si>
  <si>
    <t>Charters have full access to federal funds in practice (Yes = black, Partial = grey, No = white)</t>
  </si>
  <si>
    <t>P</t>
  </si>
  <si>
    <t>6,  There are three open enrollment policies in Ohio.  Two are concerned with intradistrict transfers which allow students in low-performing schools to attend different schools within the school district.  The third is an interdistrict  (voluntary) policy which requires districts to determine whether they will admint nonresident students.  "E-schools" are a good example of schools operating under the state's open enrollment policies.</t>
  </si>
  <si>
    <t>4. The state allows sponsors to charge up to a 3 percent admnistrative fee (of per-pupil funding) to provide sponsorship.  Sponsors may also sell additional services to schools.</t>
  </si>
  <si>
    <t>2. The amount of state funds available to a school is based on a number of variables, including a cost-of-doing business factor for a community, six special education factors, and a Disadvantaged Pupil Impact Aid (DPIA) adjustment factor.  Schools receive one-half the funding for kindergarten students.</t>
  </si>
  <si>
    <t>1. Internet- or computer-based Community Schools receive only the formula amount and the special education weighted amount</t>
  </si>
  <si>
    <t>Figure 5: School Characteristics</t>
  </si>
  <si>
    <t>Figure 6: State Scorecard</t>
  </si>
  <si>
    <t>Ohio</t>
  </si>
  <si>
    <t>Statewide Weighted for Charter Enrollment</t>
  </si>
  <si>
    <t>-</t>
  </si>
  <si>
    <t>n/a</t>
  </si>
  <si>
    <t>Statewide Weighted</t>
  </si>
  <si>
    <t>Legend</t>
  </si>
  <si>
    <t>Source</t>
  </si>
  <si>
    <t>The conclusions reached in this document are those of the author(s) and do not necessarily represent those</t>
  </si>
  <si>
    <t xml:space="preserve">of Ball State University.  </t>
  </si>
  <si>
    <t>Ohio Department of Education</t>
  </si>
  <si>
    <t>All files are "read only" and based on data collections from the Ohio Department of Education.</t>
  </si>
  <si>
    <t>Charters are treated as LEAs for funding purposes (Yes = black, Partial = grey, No = white)</t>
  </si>
  <si>
    <t>State funds student (black) or the LEA (grey)</t>
  </si>
  <si>
    <t>S</t>
  </si>
  <si>
    <t>L</t>
  </si>
  <si>
    <t>Use these options for the query to the left only (B18)</t>
  </si>
  <si>
    <t>State funding formula is fair and equitable (Yes = black, No = white</t>
  </si>
  <si>
    <t>* For this finding, No could indicate that the statue is silent or that it denies access.</t>
  </si>
  <si>
    <t>Percentage of stuents eligible for free or reduced price lunch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</si>
</sst>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_);_(@_)"/>
    <numFmt numFmtId="167" formatCode="_(&quot;$&quot;* #,##0.00_);_(&quot;$&quot;* \(#,##0.00\);_(&quot;$&quot;* &quot;-&quot;??_);_(@_)"/>
    <numFmt numFmtId="169" formatCode="&quot;$&quot;#,##0;\(&quot;$&quot;#,##0\)"/>
    <numFmt numFmtId="170" formatCode="0.0%"/>
    <numFmt numFmtId="171" formatCode="&quot;$&quot;#,##0.00"/>
  </numFmts>
  <fonts count="15">
    <font>
      <sz val="10"/>
      <name val="Arial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sz val="10"/>
      <name val="Arial"/>
    </font>
    <font>
      <sz val="10"/>
      <name val="Arial"/>
    </font>
    <font>
      <b/>
      <sz val="7.5"/>
      <name val="Arial Unicode MS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9"/>
      <name val="Arial"/>
      <family val="2"/>
    </font>
    <font>
      <sz val="10"/>
      <color rgb="FF222222"/>
      <name val="Inherit"/>
    </font>
    <font>
      <sz val="10"/>
      <color indexed="8"/>
      <name val="Arial"/>
      <family val="2"/>
    </font>
    <font>
      <sz val="8"/>
      <name val="Verdana"/>
    </font>
  </fonts>
  <fills count="1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1">
    <xf numFmtId="0" fontId="0" fillId="0" borderId="0" xfId="0"/>
    <xf numFmtId="0" fontId="2" fillId="3" borderId="1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right" vertical="center"/>
    </xf>
    <xf numFmtId="169" fontId="3" fillId="2" borderId="1" xfId="0" applyNumberFormat="1" applyFont="1" applyFill="1" applyBorder="1" applyAlignment="1">
      <alignment horizontal="right" vertical="center"/>
    </xf>
    <xf numFmtId="0" fontId="1" fillId="3" borderId="2" xfId="0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2" fillId="3" borderId="4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2" fillId="3" borderId="5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3" borderId="6" xfId="0" applyNumberFormat="1" applyFont="1" applyFill="1" applyBorder="1" applyAlignment="1">
      <alignment horizontal="left" vertical="center"/>
    </xf>
    <xf numFmtId="0" fontId="3" fillId="4" borderId="5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3" fillId="4" borderId="6" xfId="0" applyNumberFormat="1" applyFont="1" applyFill="1" applyBorder="1" applyAlignment="1">
      <alignment horizontal="left" vertical="center"/>
    </xf>
    <xf numFmtId="0" fontId="3" fillId="2" borderId="5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6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Alignment="1">
      <alignment horizontal="left" vertical="center"/>
    </xf>
    <xf numFmtId="170" fontId="3" fillId="4" borderId="1" xfId="0" applyNumberFormat="1" applyFont="1" applyFill="1" applyBorder="1" applyAlignment="1">
      <alignment horizontal="right" vertical="center"/>
    </xf>
    <xf numFmtId="170" fontId="3" fillId="2" borderId="1" xfId="0" applyNumberFormat="1" applyFont="1" applyFill="1" applyBorder="1" applyAlignment="1">
      <alignment horizontal="right" vertical="center"/>
    </xf>
    <xf numFmtId="0" fontId="1" fillId="3" borderId="4" xfId="0" applyNumberFormat="1" applyFont="1" applyFill="1" applyBorder="1" applyAlignment="1">
      <alignment horizontal="center"/>
    </xf>
    <xf numFmtId="171" fontId="0" fillId="0" borderId="0" xfId="0" applyNumberFormat="1"/>
    <xf numFmtId="0" fontId="3" fillId="7" borderId="5" xfId="0" applyNumberFormat="1" applyFont="1" applyFill="1" applyBorder="1" applyAlignment="1">
      <alignment horizontal="left" vertical="center"/>
    </xf>
    <xf numFmtId="0" fontId="3" fillId="7" borderId="0" xfId="0" applyNumberFormat="1" applyFont="1" applyFill="1" applyBorder="1" applyAlignment="1">
      <alignment horizontal="left" vertical="center"/>
    </xf>
    <xf numFmtId="0" fontId="3" fillId="7" borderId="1" xfId="0" applyNumberFormat="1" applyFont="1" applyFill="1" applyBorder="1" applyAlignment="1">
      <alignment horizontal="left" vertical="center"/>
    </xf>
    <xf numFmtId="0" fontId="3" fillId="7" borderId="6" xfId="0" applyNumberFormat="1" applyFont="1" applyFill="1" applyBorder="1" applyAlignment="1">
      <alignment horizontal="left" vertical="center"/>
    </xf>
    <xf numFmtId="169" fontId="3" fillId="7" borderId="1" xfId="0" applyNumberFormat="1" applyFont="1" applyFill="1" applyBorder="1" applyAlignment="1">
      <alignment horizontal="right" vertical="center"/>
    </xf>
    <xf numFmtId="170" fontId="3" fillId="7" borderId="1" xfId="0" applyNumberFormat="1" applyFont="1" applyFill="1" applyBorder="1" applyAlignment="1">
      <alignment horizontal="right" vertical="center"/>
    </xf>
    <xf numFmtId="171" fontId="0" fillId="7" borderId="0" xfId="0" applyNumberFormat="1" applyFill="1"/>
    <xf numFmtId="0" fontId="0" fillId="7" borderId="0" xfId="0" applyFill="1"/>
    <xf numFmtId="0" fontId="3" fillId="7" borderId="0" xfId="0" applyNumberFormat="1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171" fontId="5" fillId="7" borderId="0" xfId="0" applyNumberFormat="1" applyFont="1" applyFill="1"/>
    <xf numFmtId="0" fontId="10" fillId="8" borderId="0" xfId="0" applyFont="1" applyFill="1"/>
    <xf numFmtId="4" fontId="6" fillId="0" borderId="0" xfId="0" applyNumberFormat="1" applyFont="1"/>
    <xf numFmtId="0" fontId="5" fillId="0" borderId="0" xfId="0" applyFont="1"/>
    <xf numFmtId="169" fontId="3" fillId="0" borderId="1" xfId="0" applyNumberFormat="1" applyFont="1" applyFill="1" applyBorder="1" applyAlignment="1">
      <alignment horizontal="right" vertical="center"/>
    </xf>
    <xf numFmtId="169" fontId="3" fillId="4" borderId="0" xfId="0" applyNumberFormat="1" applyFont="1" applyFill="1" applyAlignment="1">
      <alignment horizontal="right" vertical="center"/>
    </xf>
    <xf numFmtId="169" fontId="3" fillId="2" borderId="0" xfId="0" applyNumberFormat="1" applyFont="1" applyFill="1" applyAlignment="1">
      <alignment horizontal="right" vertical="center"/>
    </xf>
    <xf numFmtId="4" fontId="6" fillId="0" borderId="1" xfId="0" applyNumberFormat="1" applyFont="1" applyBorder="1"/>
    <xf numFmtId="169" fontId="3" fillId="7" borderId="0" xfId="0" applyNumberFormat="1" applyFont="1" applyFill="1" applyAlignment="1">
      <alignment horizontal="right" vertical="center"/>
    </xf>
    <xf numFmtId="170" fontId="3" fillId="4" borderId="0" xfId="0" applyNumberFormat="1" applyFont="1" applyFill="1" applyAlignment="1">
      <alignment horizontal="right" vertical="center"/>
    </xf>
    <xf numFmtId="170" fontId="3" fillId="2" borderId="0" xfId="0" applyNumberFormat="1" applyFont="1" applyFill="1" applyAlignment="1">
      <alignment horizontal="right" vertical="center"/>
    </xf>
    <xf numFmtId="171" fontId="0" fillId="0" borderId="1" xfId="0" applyNumberFormat="1" applyBorder="1"/>
    <xf numFmtId="169" fontId="3" fillId="0" borderId="0" xfId="0" applyNumberFormat="1" applyFont="1" applyFill="1" applyAlignment="1">
      <alignment horizontal="right" vertical="center"/>
    </xf>
    <xf numFmtId="0" fontId="0" fillId="0" borderId="2" xfId="0" applyBorder="1" applyAlignment="1">
      <alignment wrapText="1"/>
    </xf>
    <xf numFmtId="0" fontId="0" fillId="5" borderId="4" xfId="0" applyFill="1" applyBorder="1"/>
    <xf numFmtId="0" fontId="0" fillId="5" borderId="7" xfId="0" applyFill="1" applyBorder="1"/>
    <xf numFmtId="0" fontId="7" fillId="0" borderId="0" xfId="0" applyFont="1"/>
    <xf numFmtId="165" fontId="0" fillId="0" borderId="0" xfId="0" applyNumberFormat="1"/>
    <xf numFmtId="0" fontId="0" fillId="0" borderId="8" xfId="0" applyBorder="1"/>
    <xf numFmtId="0" fontId="0" fillId="5" borderId="4" xfId="0" applyFill="1" applyBorder="1" applyAlignment="1">
      <alignment wrapText="1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1" xfId="0" applyBorder="1"/>
    <xf numFmtId="0" fontId="3" fillId="8" borderId="0" xfId="0" applyNumberFormat="1" applyFont="1" applyFill="1" applyBorder="1" applyAlignment="1">
      <alignment horizontal="left" vertical="center"/>
    </xf>
    <xf numFmtId="0" fontId="3" fillId="8" borderId="0" xfId="0" applyNumberFormat="1" applyFont="1" applyFill="1" applyAlignment="1">
      <alignment horizontal="left" vertical="center"/>
    </xf>
    <xf numFmtId="0" fontId="3" fillId="8" borderId="6" xfId="0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169" fontId="0" fillId="0" borderId="0" xfId="0" applyNumberForma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10" borderId="5" xfId="0" applyNumberFormat="1" applyFont="1" applyFill="1" applyBorder="1" applyAlignment="1">
      <alignment horizontal="left" vertical="center"/>
    </xf>
    <xf numFmtId="0" fontId="3" fillId="10" borderId="0" xfId="0" applyNumberFormat="1" applyFont="1" applyFill="1" applyBorder="1" applyAlignment="1">
      <alignment horizontal="left" vertical="center"/>
    </xf>
    <xf numFmtId="0" fontId="3" fillId="10" borderId="1" xfId="0" applyNumberFormat="1" applyFont="1" applyFill="1" applyBorder="1" applyAlignment="1">
      <alignment horizontal="left" vertical="center"/>
    </xf>
    <xf numFmtId="0" fontId="3" fillId="10" borderId="6" xfId="0" applyNumberFormat="1" applyFont="1" applyFill="1" applyBorder="1" applyAlignment="1">
      <alignment horizontal="left" vertical="center"/>
    </xf>
    <xf numFmtId="169" fontId="3" fillId="10" borderId="1" xfId="0" applyNumberFormat="1" applyFont="1" applyFill="1" applyBorder="1" applyAlignment="1">
      <alignment horizontal="right" vertical="center"/>
    </xf>
    <xf numFmtId="170" fontId="3" fillId="10" borderId="1" xfId="0" applyNumberFormat="1" applyFont="1" applyFill="1" applyBorder="1" applyAlignment="1">
      <alignment horizontal="right" vertical="center"/>
    </xf>
    <xf numFmtId="171" fontId="0" fillId="10" borderId="0" xfId="0" applyNumberFormat="1" applyFill="1"/>
    <xf numFmtId="0" fontId="3" fillId="12" borderId="1" xfId="0" applyNumberFormat="1" applyFont="1" applyFill="1" applyBorder="1" applyAlignment="1">
      <alignment horizontal="left" vertical="center"/>
    </xf>
    <xf numFmtId="0" fontId="3" fillId="12" borderId="6" xfId="0" applyNumberFormat="1" applyFont="1" applyFill="1" applyBorder="1" applyAlignment="1">
      <alignment horizontal="left" vertical="center"/>
    </xf>
    <xf numFmtId="169" fontId="3" fillId="12" borderId="1" xfId="0" applyNumberFormat="1" applyFont="1" applyFill="1" applyBorder="1" applyAlignment="1">
      <alignment horizontal="right" vertical="center"/>
    </xf>
    <xf numFmtId="170" fontId="3" fillId="12" borderId="1" xfId="0" applyNumberFormat="1" applyFont="1" applyFill="1" applyBorder="1" applyAlignment="1">
      <alignment horizontal="right" vertical="center"/>
    </xf>
    <xf numFmtId="171" fontId="0" fillId="12" borderId="0" xfId="0" applyNumberFormat="1" applyFill="1"/>
    <xf numFmtId="0" fontId="3" fillId="11" borderId="5" xfId="0" applyNumberFormat="1" applyFont="1" applyFill="1" applyBorder="1" applyAlignment="1">
      <alignment horizontal="left" vertical="center"/>
    </xf>
    <xf numFmtId="0" fontId="3" fillId="11" borderId="0" xfId="0" applyNumberFormat="1" applyFont="1" applyFill="1" applyAlignment="1">
      <alignment horizontal="left" vertical="center"/>
    </xf>
    <xf numFmtId="0" fontId="3" fillId="11" borderId="1" xfId="0" applyNumberFormat="1" applyFont="1" applyFill="1" applyBorder="1" applyAlignment="1">
      <alignment horizontal="left" vertical="center"/>
    </xf>
    <xf numFmtId="0" fontId="3" fillId="11" borderId="6" xfId="0" applyNumberFormat="1" applyFont="1" applyFill="1" applyBorder="1" applyAlignment="1">
      <alignment horizontal="left" vertical="center"/>
    </xf>
    <xf numFmtId="169" fontId="3" fillId="11" borderId="1" xfId="0" applyNumberFormat="1" applyFont="1" applyFill="1" applyBorder="1" applyAlignment="1">
      <alignment horizontal="right" vertical="center"/>
    </xf>
    <xf numFmtId="170" fontId="3" fillId="11" borderId="1" xfId="0" applyNumberFormat="1" applyFont="1" applyFill="1" applyBorder="1" applyAlignment="1">
      <alignment horizontal="right" vertical="center"/>
    </xf>
    <xf numFmtId="171" fontId="0" fillId="11" borderId="0" xfId="0" applyNumberFormat="1" applyFill="1"/>
    <xf numFmtId="171" fontId="0" fillId="0" borderId="0" xfId="0" applyNumberFormat="1" applyFill="1"/>
    <xf numFmtId="0" fontId="0" fillId="0" borderId="0" xfId="0" applyFill="1"/>
    <xf numFmtId="165" fontId="0" fillId="7" borderId="0" xfId="0" applyNumberFormat="1" applyFill="1"/>
    <xf numFmtId="165" fontId="0" fillId="10" borderId="0" xfId="0" applyNumberFormat="1" applyFill="1"/>
    <xf numFmtId="165" fontId="0" fillId="0" borderId="0" xfId="0" applyNumberFormat="1" applyFill="1"/>
    <xf numFmtId="0" fontId="3" fillId="12" borderId="5" xfId="0" applyNumberFormat="1" applyFont="1" applyFill="1" applyBorder="1" applyAlignment="1">
      <alignment horizontal="left" vertical="center"/>
    </xf>
    <xf numFmtId="0" fontId="3" fillId="12" borderId="0" xfId="0" applyNumberFormat="1" applyFont="1" applyFill="1" applyBorder="1" applyAlignment="1">
      <alignment horizontal="left" vertical="center"/>
    </xf>
    <xf numFmtId="167" fontId="0" fillId="0" borderId="0" xfId="0" applyNumberFormat="1"/>
    <xf numFmtId="165" fontId="0" fillId="12" borderId="0" xfId="0" applyNumberFormat="1" applyFill="1"/>
    <xf numFmtId="0" fontId="5" fillId="12" borderId="0" xfId="0" applyFont="1" applyFill="1"/>
    <xf numFmtId="165" fontId="0" fillId="11" borderId="0" xfId="0" applyNumberFormat="1" applyFill="1"/>
    <xf numFmtId="165" fontId="5" fillId="11" borderId="0" xfId="0" applyNumberFormat="1" applyFont="1" applyFill="1"/>
    <xf numFmtId="169" fontId="0" fillId="11" borderId="0" xfId="0" applyNumberFormat="1" applyFill="1"/>
    <xf numFmtId="170" fontId="5" fillId="0" borderId="4" xfId="0" applyNumberFormat="1" applyFont="1" applyBorder="1" applyAlignment="1"/>
    <xf numFmtId="0" fontId="5" fillId="5" borderId="8" xfId="0" applyFont="1" applyFill="1" applyBorder="1" applyAlignment="1">
      <alignment horizontal="center" vertical="center"/>
    </xf>
    <xf numFmtId="165" fontId="5" fillId="0" borderId="8" xfId="0" applyNumberFormat="1" applyFont="1" applyBorder="1"/>
    <xf numFmtId="0" fontId="5" fillId="5" borderId="7" xfId="0" applyFont="1" applyFill="1" applyBorder="1"/>
    <xf numFmtId="0" fontId="11" fillId="0" borderId="0" xfId="0" applyFont="1"/>
    <xf numFmtId="167" fontId="11" fillId="0" borderId="0" xfId="0" applyNumberFormat="1" applyFont="1"/>
    <xf numFmtId="0" fontId="0" fillId="5" borderId="9" xfId="0" applyFill="1" applyBorder="1"/>
    <xf numFmtId="0" fontId="5" fillId="5" borderId="9" xfId="0" applyFont="1" applyFill="1" applyBorder="1"/>
    <xf numFmtId="170" fontId="5" fillId="0" borderId="8" xfId="0" applyNumberFormat="1" applyFont="1" applyBorder="1" applyAlignment="1"/>
    <xf numFmtId="0" fontId="0" fillId="0" borderId="8" xfId="0" applyBorder="1" applyAlignment="1">
      <alignment horizontal="center" vertical="center"/>
    </xf>
    <xf numFmtId="0" fontId="4" fillId="11" borderId="0" xfId="0" applyFont="1" applyFill="1"/>
    <xf numFmtId="0" fontId="0" fillId="0" borderId="8" xfId="0" applyBorder="1" applyAlignment="1">
      <alignment wrapText="1"/>
    </xf>
    <xf numFmtId="0" fontId="8" fillId="6" borderId="8" xfId="0" applyFont="1" applyFill="1" applyBorder="1" applyAlignment="1">
      <alignment horizontal="center" vertical="center"/>
    </xf>
    <xf numFmtId="170" fontId="0" fillId="0" borderId="8" xfId="0" applyNumberFormat="1" applyBorder="1" applyAlignment="1">
      <alignment wrapText="1"/>
    </xf>
    <xf numFmtId="170" fontId="0" fillId="0" borderId="8" xfId="0" applyNumberFormat="1" applyBorder="1"/>
    <xf numFmtId="0" fontId="12" fillId="0" borderId="0" xfId="0" applyFont="1" applyAlignment="1">
      <alignment horizontal="left"/>
    </xf>
    <xf numFmtId="0" fontId="4" fillId="0" borderId="8" xfId="0" applyFont="1" applyBorder="1"/>
    <xf numFmtId="0" fontId="4" fillId="0" borderId="0" xfId="0" applyFont="1"/>
    <xf numFmtId="0" fontId="9" fillId="0" borderId="8" xfId="0" applyFont="1" applyBorder="1" applyAlignment="1">
      <alignment horizontal="center" vertical="center"/>
    </xf>
    <xf numFmtId="0" fontId="0" fillId="9" borderId="4" xfId="0" applyFill="1" applyBorder="1"/>
    <xf numFmtId="0" fontId="0" fillId="9" borderId="9" xfId="0" applyFill="1" applyBorder="1"/>
    <xf numFmtId="0" fontId="0" fillId="9" borderId="8" xfId="0" applyFill="1" applyBorder="1" applyAlignment="1">
      <alignment wrapText="1"/>
    </xf>
    <xf numFmtId="0" fontId="0" fillId="5" borderId="8" xfId="0" applyFill="1" applyBorder="1" applyAlignment="1">
      <alignment horizontal="center"/>
    </xf>
    <xf numFmtId="0" fontId="13" fillId="13" borderId="7" xfId="0" applyFont="1" applyFill="1" applyBorder="1"/>
    <xf numFmtId="0" fontId="4" fillId="13" borderId="8" xfId="0" applyFont="1" applyFill="1" applyBorder="1" applyAlignment="1">
      <alignment horizontal="center" vertical="center"/>
    </xf>
    <xf numFmtId="165" fontId="4" fillId="13" borderId="8" xfId="0" applyNumberFormat="1" applyFont="1" applyFill="1" applyBorder="1"/>
    <xf numFmtId="0" fontId="4" fillId="13" borderId="7" xfId="0" applyFont="1" applyFill="1" applyBorder="1"/>
    <xf numFmtId="170" fontId="4" fillId="13" borderId="4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 vertical="center"/>
    </xf>
    <xf numFmtId="0" fontId="3" fillId="0" borderId="5" xfId="0" applyNumberFormat="1" applyFont="1" applyFill="1" applyBorder="1" applyAlignment="1">
      <alignment horizontal="left" vertical="center"/>
    </xf>
    <xf numFmtId="4" fontId="6" fillId="0" borderId="0" xfId="0" applyNumberFormat="1" applyFont="1" applyFill="1"/>
    <xf numFmtId="0" fontId="0" fillId="0" borderId="5" xfId="0" applyFill="1" applyBorder="1"/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6" xfId="0" applyFill="1" applyBorder="1"/>
    <xf numFmtId="0" fontId="0" fillId="0" borderId="1" xfId="0" applyFill="1" applyBorder="1"/>
    <xf numFmtId="0" fontId="3" fillId="0" borderId="6" xfId="0" applyNumberFormat="1" applyFont="1" applyFill="1" applyBorder="1" applyAlignment="1">
      <alignment horizontal="left" vertical="center"/>
    </xf>
    <xf numFmtId="170" fontId="3" fillId="0" borderId="1" xfId="0" applyNumberFormat="1" applyFont="1" applyFill="1" applyBorder="1" applyAlignment="1">
      <alignment horizontal="right" vertical="center"/>
    </xf>
    <xf numFmtId="171" fontId="5" fillId="0" borderId="0" xfId="0" applyNumberFormat="1" applyFont="1" applyFill="1"/>
    <xf numFmtId="0" fontId="0" fillId="12" borderId="4" xfId="0" applyFill="1" applyBorder="1"/>
    <xf numFmtId="0" fontId="0" fillId="12" borderId="7" xfId="0" applyFill="1" applyBorder="1"/>
    <xf numFmtId="0" fontId="0" fillId="9" borderId="7" xfId="0" applyFill="1" applyBorder="1"/>
    <xf numFmtId="0" fontId="0" fillId="11" borderId="4" xfId="0" applyFill="1" applyBorder="1"/>
    <xf numFmtId="0" fontId="0" fillId="11" borderId="7" xfId="0" applyFill="1" applyBorder="1"/>
    <xf numFmtId="0" fontId="0" fillId="10" borderId="4" xfId="0" applyFill="1" applyBorder="1"/>
    <xf numFmtId="0" fontId="0" fillId="10" borderId="7" xfId="0" applyFill="1" applyBorder="1"/>
    <xf numFmtId="0" fontId="0" fillId="14" borderId="4" xfId="0" applyFill="1" applyBorder="1"/>
    <xf numFmtId="0" fontId="0" fillId="14" borderId="7" xfId="0" applyFill="1" applyBorder="1"/>
    <xf numFmtId="0" fontId="0" fillId="15" borderId="4" xfId="0" applyFill="1" applyBorder="1"/>
    <xf numFmtId="0" fontId="0" fillId="15" borderId="7" xfId="0" applyFill="1" applyBorder="1"/>
    <xf numFmtId="0" fontId="0" fillId="0" borderId="8" xfId="0" applyBorder="1" applyAlignment="1">
      <alignment horizontal="center" vertical="center"/>
    </xf>
    <xf numFmtId="165" fontId="0" fillId="0" borderId="4" xfId="0" applyNumberFormat="1" applyBorder="1" applyAlignment="1"/>
    <xf numFmtId="165" fontId="0" fillId="0" borderId="9" xfId="0" applyNumberFormat="1" applyBorder="1" applyAlignment="1"/>
    <xf numFmtId="0" fontId="4" fillId="13" borderId="4" xfId="1" applyFont="1" applyFill="1" applyBorder="1" applyAlignment="1">
      <alignment horizontal="center" vertical="center" wrapText="1"/>
    </xf>
    <xf numFmtId="0" fontId="4" fillId="13" borderId="9" xfId="1" applyFont="1" applyFill="1" applyBorder="1" applyAlignment="1">
      <alignment horizontal="center" vertical="center"/>
    </xf>
    <xf numFmtId="165" fontId="13" fillId="13" borderId="4" xfId="0" applyNumberFormat="1" applyFont="1" applyFill="1" applyBorder="1" applyAlignment="1">
      <alignment horizontal="center"/>
    </xf>
    <xf numFmtId="165" fontId="13" fillId="13" borderId="9" xfId="0" applyNumberFormat="1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5" fontId="5" fillId="0" borderId="4" xfId="0" applyNumberFormat="1" applyFont="1" applyBorder="1" applyAlignment="1"/>
    <xf numFmtId="165" fontId="5" fillId="0" borderId="9" xfId="0" applyNumberFormat="1" applyFont="1" applyBorder="1" applyAlignment="1"/>
    <xf numFmtId="170" fontId="5" fillId="0" borderId="4" xfId="0" applyNumberFormat="1" applyFont="1" applyBorder="1" applyAlignment="1"/>
    <xf numFmtId="170" fontId="5" fillId="0" borderId="9" xfId="0" applyNumberFormat="1" applyFont="1" applyBorder="1" applyAlignment="1"/>
    <xf numFmtId="165" fontId="4" fillId="13" borderId="4" xfId="0" applyNumberFormat="1" applyFont="1" applyFill="1" applyBorder="1" applyAlignment="1">
      <alignment horizontal="center"/>
    </xf>
    <xf numFmtId="165" fontId="4" fillId="13" borderId="9" xfId="0" applyNumberFormat="1" applyFont="1" applyFill="1" applyBorder="1" applyAlignment="1">
      <alignment horizontal="center"/>
    </xf>
    <xf numFmtId="170" fontId="4" fillId="13" borderId="4" xfId="0" applyNumberFormat="1" applyFont="1" applyFill="1" applyBorder="1" applyAlignment="1">
      <alignment horizontal="right"/>
    </xf>
    <xf numFmtId="170" fontId="4" fillId="13" borderId="9" xfId="0" applyNumberFormat="1" applyFont="1" applyFill="1" applyBorder="1" applyAlignment="1">
      <alignment horizontal="right"/>
    </xf>
    <xf numFmtId="3" fontId="5" fillId="0" borderId="4" xfId="0" applyNumberFormat="1" applyFont="1" applyBorder="1" applyAlignment="1"/>
    <xf numFmtId="3" fontId="5" fillId="0" borderId="9" xfId="0" applyNumberFormat="1" applyFont="1" applyBorder="1" applyAlignment="1"/>
    <xf numFmtId="3" fontId="4" fillId="13" borderId="4" xfId="0" applyNumberFormat="1" applyFont="1" applyFill="1" applyBorder="1" applyAlignment="1">
      <alignment horizontal="center"/>
    </xf>
    <xf numFmtId="3" fontId="4" fillId="13" borderId="9" xfId="0" applyNumberFormat="1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4" xfId="0" applyFont="1" applyBorder="1" applyAlignment="1"/>
    <xf numFmtId="0" fontId="0" fillId="0" borderId="9" xfId="0" applyBorder="1" applyAlignment="1"/>
    <xf numFmtId="0" fontId="13" fillId="13" borderId="4" xfId="0" applyFont="1" applyFill="1" applyBorder="1" applyAlignment="1">
      <alignment horizontal="center"/>
    </xf>
    <xf numFmtId="0" fontId="13" fillId="13" borderId="9" xfId="0" applyFont="1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5" borderId="8" xfId="0" applyFill="1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</cellXfs>
  <cellStyles count="2">
    <cellStyle name="Normal" xfId="0" builtinId="0"/>
    <cellStyle name="Normal 3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7" Type="http://schemas.openxmlformats.org/officeDocument/2006/relationships/worksheet" Target="worksheets/sheet7.xml"/><Relationship Id="rId1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0" Type="http://schemas.openxmlformats.org/officeDocument/2006/relationships/theme" Target="theme/theme1.xml"/><Relationship Id="rId5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0997963340122201"/>
          <c:y val="0.197802905373259"/>
          <c:w val="0.871690427698576"/>
          <c:h val="0.575093632288921"/>
        </c:manualLayout>
      </c:layout>
      <c:barChart>
        <c:barDir val="col"/>
        <c:grouping val="clustered"/>
        <c:ser>
          <c:idx val="0"/>
          <c:order val="0"/>
          <c:tx>
            <c:strRef>
              <c:f>'Figure 1,2,4'!$L$2</c:f>
              <c:strCache>
                <c:ptCount val="1"/>
                <c:pt idx="0">
                  <c:v>District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1,2,4'!$K$3:$K$6</c:f>
              <c:strCache>
                <c:ptCount val="4"/>
                <c:pt idx="0">
                  <c:v>State</c:v>
                </c:pt>
                <c:pt idx="1">
                  <c:v>Statewide Weighted</c:v>
                </c:pt>
                <c:pt idx="2">
                  <c:v>Cleveland</c:v>
                </c:pt>
                <c:pt idx="3">
                  <c:v>Dayton</c:v>
                </c:pt>
              </c:strCache>
            </c:strRef>
          </c:cat>
          <c:val>
            <c:numRef>
              <c:f>'Figure 1,2,4'!$L$3:$L$6</c:f>
              <c:numCache>
                <c:formatCode>_(\$* #,##0_);_(\$* \(#,##0\);_(\$* "-"_);_(@_)</c:formatCode>
                <c:ptCount val="4"/>
                <c:pt idx="0">
                  <c:v>9778.638431686755</c:v>
                </c:pt>
                <c:pt idx="1">
                  <c:v>10421.0</c:v>
                </c:pt>
                <c:pt idx="2">
                  <c:v>13016.29957028032</c:v>
                </c:pt>
                <c:pt idx="3">
                  <c:v>13120.80623402782</c:v>
                </c:pt>
              </c:numCache>
            </c:numRef>
          </c:val>
        </c:ser>
        <c:ser>
          <c:idx val="1"/>
          <c:order val="1"/>
          <c:tx>
            <c:strRef>
              <c:f>'Figure 1,2,4'!$M$2</c:f>
              <c:strCache>
                <c:ptCount val="1"/>
                <c:pt idx="0">
                  <c:v>Charter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1,2,4'!$K$3:$K$6</c:f>
              <c:strCache>
                <c:ptCount val="4"/>
                <c:pt idx="0">
                  <c:v>State</c:v>
                </c:pt>
                <c:pt idx="1">
                  <c:v>Statewide Weighted</c:v>
                </c:pt>
                <c:pt idx="2">
                  <c:v>Cleveland</c:v>
                </c:pt>
                <c:pt idx="3">
                  <c:v>Dayton</c:v>
                </c:pt>
              </c:strCache>
            </c:strRef>
          </c:cat>
          <c:val>
            <c:numRef>
              <c:f>'Figure 1,2,4'!$M$3:$M$6</c:f>
              <c:numCache>
                <c:formatCode>_(\$* #,##0_);_(\$* \(#,##0\);_(\$* "-"_);_(@_)</c:formatCode>
                <c:ptCount val="4"/>
                <c:pt idx="0">
                  <c:v>8190.009697812386</c:v>
                </c:pt>
                <c:pt idx="1">
                  <c:v>8190.0</c:v>
                </c:pt>
                <c:pt idx="2">
                  <c:v>8931.249135932557</c:v>
                </c:pt>
                <c:pt idx="3">
                  <c:v>8585.289799237983</c:v>
                </c:pt>
              </c:numCache>
            </c:numRef>
          </c:val>
        </c:ser>
        <c:ser>
          <c:idx val="2"/>
          <c:order val="2"/>
          <c:tx>
            <c:strRef>
              <c:f>'Figure 1,2,4'!$N$2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1,2,4'!$K$3:$K$6</c:f>
              <c:strCache>
                <c:ptCount val="4"/>
                <c:pt idx="0">
                  <c:v>State</c:v>
                </c:pt>
                <c:pt idx="1">
                  <c:v>Statewide Weighted</c:v>
                </c:pt>
                <c:pt idx="2">
                  <c:v>Cleveland</c:v>
                </c:pt>
                <c:pt idx="3">
                  <c:v>Dayton</c:v>
                </c:pt>
              </c:strCache>
            </c:strRef>
          </c:cat>
          <c:val>
            <c:numRef>
              <c:f>'Figure 1,2,4'!$N$3:$N$6</c:f>
              <c:numCache>
                <c:formatCode>_(\$* #,##0_);_(\$* \(#,##0\);_(\$* "-"_);_(@_)</c:formatCode>
                <c:ptCount val="4"/>
                <c:pt idx="0">
                  <c:v>1588.62873387437</c:v>
                </c:pt>
                <c:pt idx="1">
                  <c:v>2231.0</c:v>
                </c:pt>
                <c:pt idx="2">
                  <c:v>4085.050434347759</c:v>
                </c:pt>
                <c:pt idx="3">
                  <c:v>4535.516434789838</c:v>
                </c:pt>
              </c:numCache>
            </c:numRef>
          </c:val>
        </c:ser>
        <c:axId val="468611640"/>
        <c:axId val="70194968"/>
      </c:barChart>
      <c:catAx>
        <c:axId val="46861164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194968"/>
        <c:crosses val="autoZero"/>
        <c:auto val="1"/>
        <c:lblAlgn val="ctr"/>
        <c:lblOffset val="100"/>
        <c:tickLblSkip val="1"/>
        <c:tickMarkSkip val="1"/>
      </c:catAx>
      <c:valAx>
        <c:axId val="70194968"/>
        <c:scaling>
          <c:orientation val="minMax"/>
        </c:scaling>
        <c:axPos val="l"/>
        <c:numFmt formatCode="#,##0" sourceLinked="0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861164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36048836592055"/>
          <c:y val="0.0293040518372703"/>
          <c:w val="0.399185270380528"/>
          <c:h val="0.087912565616797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>
        <c:manualLayout>
          <c:layoutTarget val="inner"/>
          <c:xMode val="edge"/>
          <c:yMode val="edge"/>
          <c:x val="0.264765784114053"/>
          <c:y val="0.157509720945373"/>
          <c:w val="0.680244399185336"/>
          <c:h val="0.677658101741722"/>
        </c:manualLayout>
      </c:layout>
      <c:barChart>
        <c:barDir val="bar"/>
        <c:grouping val="stacked"/>
        <c:ser>
          <c:idx val="0"/>
          <c:order val="0"/>
          <c:tx>
            <c:strRef>
              <c:f>'Figure 1,2,4'!$L$28</c:f>
              <c:strCache>
                <c:ptCount val="1"/>
                <c:pt idx="0">
                  <c:v>Federal 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1,2,4'!$K$29:$K$35</c:f>
              <c:strCache>
                <c:ptCount val="7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Cleveland District</c:v>
                </c:pt>
                <c:pt idx="4">
                  <c:v>Cleveland Charter</c:v>
                </c:pt>
                <c:pt idx="5">
                  <c:v>Dayton District</c:v>
                </c:pt>
                <c:pt idx="6">
                  <c:v>Dayton Charter</c:v>
                </c:pt>
              </c:strCache>
            </c:strRef>
          </c:cat>
          <c:val>
            <c:numRef>
              <c:f>'Figure 1,2,4'!$L$29:$L$35</c:f>
              <c:numCache>
                <c:formatCode>_(\$* #,##0_);_(\$* \(#,##0\);_(\$* "-"_);_(@_)</c:formatCode>
                <c:ptCount val="7"/>
                <c:pt idx="0">
                  <c:v>760.3039560668665</c:v>
                </c:pt>
                <c:pt idx="1">
                  <c:v>923.2936540600662</c:v>
                </c:pt>
                <c:pt idx="2">
                  <c:v>1046.0</c:v>
                </c:pt>
                <c:pt idx="3">
                  <c:v>2290.493931193584</c:v>
                </c:pt>
                <c:pt idx="4">
                  <c:v>1206.86722866175</c:v>
                </c:pt>
                <c:pt idx="5">
                  <c:v>2128.57193491534</c:v>
                </c:pt>
                <c:pt idx="6">
                  <c:v>812.4911547479483</c:v>
                </c:pt>
              </c:numCache>
            </c:numRef>
          </c:val>
        </c:ser>
        <c:ser>
          <c:idx val="1"/>
          <c:order val="1"/>
          <c:tx>
            <c:strRef>
              <c:f>'Figure 1,2,4'!$M$28</c:f>
              <c:strCache>
                <c:ptCount val="1"/>
                <c:pt idx="0">
                  <c:v>State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1,2,4'!$K$29:$K$35</c:f>
              <c:strCache>
                <c:ptCount val="7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Cleveland District</c:v>
                </c:pt>
                <c:pt idx="4">
                  <c:v>Cleveland Charter</c:v>
                </c:pt>
                <c:pt idx="5">
                  <c:v>Dayton District</c:v>
                </c:pt>
                <c:pt idx="6">
                  <c:v>Dayton Charter</c:v>
                </c:pt>
              </c:strCache>
            </c:strRef>
          </c:cat>
          <c:val>
            <c:numRef>
              <c:f>'Figure 1,2,4'!$M$29:$M$35</c:f>
              <c:numCache>
                <c:formatCode>_(\$* #,##0_);_(\$* \(#,##0\);_(\$* "-"_);_(@_)</c:formatCode>
                <c:ptCount val="7"/>
                <c:pt idx="0">
                  <c:v>4096.884824774202</c:v>
                </c:pt>
                <c:pt idx="1">
                  <c:v>6991.182641294562</c:v>
                </c:pt>
                <c:pt idx="2">
                  <c:v>4531.0</c:v>
                </c:pt>
                <c:pt idx="3">
                  <c:v>6686.782237215518</c:v>
                </c:pt>
                <c:pt idx="4">
                  <c:v>7463.720257687516</c:v>
                </c:pt>
                <c:pt idx="5">
                  <c:v>5811.13275823</c:v>
                </c:pt>
                <c:pt idx="6">
                  <c:v>7237.395001465415</c:v>
                </c:pt>
              </c:numCache>
            </c:numRef>
          </c:val>
        </c:ser>
        <c:ser>
          <c:idx val="2"/>
          <c:order val="2"/>
          <c:tx>
            <c:strRef>
              <c:f>'Figure 1,2,4'!$N$28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1,2,4'!$K$29:$K$35</c:f>
              <c:strCache>
                <c:ptCount val="7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Cleveland District</c:v>
                </c:pt>
                <c:pt idx="4">
                  <c:v>Cleveland Charter</c:v>
                </c:pt>
                <c:pt idx="5">
                  <c:v>Dayton District</c:v>
                </c:pt>
                <c:pt idx="6">
                  <c:v>Dayton Charter</c:v>
                </c:pt>
              </c:strCache>
            </c:strRef>
          </c:cat>
          <c:val>
            <c:numRef>
              <c:f>'Figure 1,2,4'!$N$29:$N$35</c:f>
              <c:numCache>
                <c:formatCode>_(\$* #,##0_);_(\$* \(#,##0\);_(\$* "-"_);_(@_)</c:formatCode>
                <c:ptCount val="7"/>
                <c:pt idx="0">
                  <c:v>4921.449650845685</c:v>
                </c:pt>
                <c:pt idx="1">
                  <c:v>0.0</c:v>
                </c:pt>
                <c:pt idx="2">
                  <c:v>4843.0</c:v>
                </c:pt>
                <c:pt idx="3">
                  <c:v>4039.023401871212</c:v>
                </c:pt>
                <c:pt idx="4">
                  <c:v>0.0</c:v>
                </c:pt>
                <c:pt idx="5">
                  <c:v>5181.101540882483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'Figure 1,2,4'!$O$28</c:f>
              <c:strCache>
                <c:ptCount val="1"/>
                <c:pt idx="0">
                  <c:v>Other 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1,2,4'!$K$29:$K$35</c:f>
              <c:strCache>
                <c:ptCount val="7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Cleveland District</c:v>
                </c:pt>
                <c:pt idx="4">
                  <c:v>Cleveland Charter</c:v>
                </c:pt>
                <c:pt idx="5">
                  <c:v>Dayton District</c:v>
                </c:pt>
                <c:pt idx="6">
                  <c:v>Dayton Charter</c:v>
                </c:pt>
              </c:strCache>
            </c:strRef>
          </c:cat>
          <c:val>
            <c:numRef>
              <c:f>'Figure 1,2,4'!$O$29:$O$35</c:f>
              <c:numCache>
                <c:formatCode>_(\$* #,##0_);_(\$* \(#,##0\);_(\$* "-"_);_(@_)</c:formatCode>
                <c:ptCount val="7"/>
                <c:pt idx="0">
                  <c:v>0.0</c:v>
                </c:pt>
                <c:pt idx="1">
                  <c:v>275.5334024577573</c:v>
                </c:pt>
                <c:pt idx="2">
                  <c:v>0.0</c:v>
                </c:pt>
                <c:pt idx="3">
                  <c:v>0.0</c:v>
                </c:pt>
                <c:pt idx="4">
                  <c:v>260.6616495832934</c:v>
                </c:pt>
                <c:pt idx="5">
                  <c:v>0.0</c:v>
                </c:pt>
                <c:pt idx="6">
                  <c:v>535.403643024619</c:v>
                </c:pt>
              </c:numCache>
            </c:numRef>
          </c:val>
        </c:ser>
        <c:ser>
          <c:idx val="4"/>
          <c:order val="4"/>
          <c:tx>
            <c:strRef>
              <c:f>'Figure 1,2,4'!$P$28</c:f>
              <c:strCache>
                <c:ptCount val="1"/>
                <c:pt idx="0">
                  <c:v>Indeterminate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'Figure 1,2,4'!$K$29:$K$35</c:f>
              <c:strCache>
                <c:ptCount val="7"/>
                <c:pt idx="0">
                  <c:v>Statewide District</c:v>
                </c:pt>
                <c:pt idx="1">
                  <c:v>Statewide Charter</c:v>
                </c:pt>
                <c:pt idx="2">
                  <c:v>Statewide Weighted</c:v>
                </c:pt>
                <c:pt idx="3">
                  <c:v>Cleveland District</c:v>
                </c:pt>
                <c:pt idx="4">
                  <c:v>Cleveland Charter</c:v>
                </c:pt>
                <c:pt idx="5">
                  <c:v>Dayton District</c:v>
                </c:pt>
                <c:pt idx="6">
                  <c:v>Dayton Charter</c:v>
                </c:pt>
              </c:strCache>
            </c:strRef>
          </c:cat>
          <c:val>
            <c:numRef>
              <c:f>'Figure 1,2,4'!$P$29:$P$35</c:f>
              <c:numCache>
                <c:formatCode>_(\$* #,##0_);_(\$* \(#,##0\);_(\$* "-"_);_(@_)</c:formatCod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overlap val="100"/>
        <c:axId val="69884152"/>
        <c:axId val="69879752"/>
      </c:barChart>
      <c:catAx>
        <c:axId val="69884152"/>
        <c:scaling>
          <c:orientation val="minMax"/>
        </c:scaling>
        <c:axPos val="l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79752"/>
        <c:crosses val="autoZero"/>
        <c:auto val="1"/>
        <c:lblAlgn val="ctr"/>
        <c:lblOffset val="100"/>
        <c:tickLblSkip val="1"/>
        <c:tickMarkSkip val="1"/>
      </c:catAx>
      <c:valAx>
        <c:axId val="69879752"/>
        <c:scaling>
          <c:orientation val="minMax"/>
        </c:scaling>
        <c:axPos val="b"/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841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85132364072469"/>
          <c:y val="0.0293040293040293"/>
          <c:w val="0.615055983170643"/>
          <c:h val="0.079009354599905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8</xdr:row>
      <xdr:rowOff>9525</xdr:rowOff>
    </xdr:from>
    <xdr:to>
      <xdr:col>17</xdr:col>
      <xdr:colOff>400050</xdr:colOff>
      <xdr:row>23</xdr:row>
      <xdr:rowOff>19050</xdr:rowOff>
    </xdr:to>
    <xdr:graphicFrame macro="">
      <xdr:nvGraphicFramePr>
        <xdr:cNvPr id="31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17</xdr:col>
      <xdr:colOff>409575</xdr:colOff>
      <xdr:row>54</xdr:row>
      <xdr:rowOff>9525</xdr:rowOff>
    </xdr:to>
    <xdr:graphicFrame macro="">
      <xdr:nvGraphicFramePr>
        <xdr:cNvPr id="31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D18"/>
  <sheetViews>
    <sheetView tabSelected="1" workbookViewId="0"/>
  </sheetViews>
  <sheetFormatPr baseColWidth="10" defaultColWidth="8.83203125" defaultRowHeight="12"/>
  <cols>
    <col min="3" max="3" width="2" customWidth="1"/>
    <col min="4" max="4" width="12.1640625" bestFit="1" customWidth="1"/>
  </cols>
  <sheetData>
    <row r="2" spans="1:4">
      <c r="A2" t="s">
        <v>2032</v>
      </c>
    </row>
    <row r="3" spans="1:4">
      <c r="A3" s="141"/>
      <c r="B3" s="142"/>
      <c r="C3" s="143"/>
      <c r="D3" s="122" t="s">
        <v>1893</v>
      </c>
    </row>
    <row r="4" spans="1:4">
      <c r="A4" s="121"/>
      <c r="B4" s="143"/>
      <c r="C4" s="143"/>
      <c r="D4" s="122"/>
    </row>
    <row r="5" spans="1:4">
      <c r="A5" s="144"/>
      <c r="B5" s="145"/>
      <c r="C5" s="143"/>
      <c r="D5" s="122" t="s">
        <v>1889</v>
      </c>
    </row>
    <row r="6" spans="1:4">
      <c r="A6" s="121"/>
      <c r="B6" s="143"/>
      <c r="C6" s="143"/>
      <c r="D6" s="122"/>
    </row>
    <row r="7" spans="1:4">
      <c r="A7" s="146"/>
      <c r="B7" s="147"/>
      <c r="C7" s="143"/>
      <c r="D7" s="122" t="s">
        <v>1892</v>
      </c>
    </row>
    <row r="8" spans="1:4">
      <c r="A8" s="121"/>
      <c r="B8" s="143"/>
      <c r="C8" s="143"/>
      <c r="D8" s="122"/>
    </row>
    <row r="9" spans="1:4">
      <c r="A9" s="148"/>
      <c r="B9" s="149"/>
      <c r="C9" s="143"/>
      <c r="D9" s="122" t="s">
        <v>1894</v>
      </c>
    </row>
    <row r="10" spans="1:4">
      <c r="A10" s="121"/>
      <c r="B10" s="143"/>
      <c r="C10" s="143"/>
      <c r="D10" s="122"/>
    </row>
    <row r="11" spans="1:4">
      <c r="A11" s="150"/>
      <c r="B11" s="151"/>
      <c r="C11" s="143"/>
      <c r="D11" s="122" t="s">
        <v>1895</v>
      </c>
    </row>
    <row r="14" spans="1:4">
      <c r="A14" t="s">
        <v>2033</v>
      </c>
      <c r="B14" t="s">
        <v>2036</v>
      </c>
    </row>
    <row r="16" spans="1:4">
      <c r="A16" t="s">
        <v>2037</v>
      </c>
    </row>
    <row r="17" spans="1:1">
      <c r="A17" t="s">
        <v>2034</v>
      </c>
    </row>
    <row r="18" spans="1:1">
      <c r="A18" t="s">
        <v>2035</v>
      </c>
    </row>
  </sheetData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37"/>
  <sheetViews>
    <sheetView workbookViewId="0">
      <selection activeCell="T38" sqref="T38"/>
    </sheetView>
  </sheetViews>
  <sheetFormatPr baseColWidth="10" defaultColWidth="8.83203125" defaultRowHeight="12"/>
  <cols>
    <col min="1" max="1" width="16.6640625" customWidth="1"/>
    <col min="2" max="2" width="9.1640625" customWidth="1"/>
    <col min="6" max="6" width="9.1640625" customWidth="1"/>
    <col min="8" max="8" width="9.1640625" customWidth="1"/>
    <col min="11" max="11" width="15.33203125" customWidth="1"/>
  </cols>
  <sheetData>
    <row r="1" spans="1:14">
      <c r="A1" s="37" t="s">
        <v>1884</v>
      </c>
      <c r="B1" s="37"/>
      <c r="C1" s="37"/>
      <c r="D1" s="37"/>
      <c r="E1" s="37"/>
      <c r="F1" s="37"/>
      <c r="G1" s="37"/>
      <c r="H1" s="37"/>
      <c r="I1" s="37"/>
      <c r="K1" t="s">
        <v>1885</v>
      </c>
    </row>
    <row r="2" spans="1:14">
      <c r="A2" s="51" t="s">
        <v>1906</v>
      </c>
      <c r="B2" s="152" t="s">
        <v>1886</v>
      </c>
      <c r="C2" s="152"/>
      <c r="D2" s="155" t="s">
        <v>2028</v>
      </c>
      <c r="E2" s="156"/>
      <c r="F2" s="152" t="s">
        <v>1814</v>
      </c>
      <c r="G2" s="152"/>
      <c r="H2" s="152" t="s">
        <v>1812</v>
      </c>
      <c r="I2" s="152"/>
      <c r="L2" t="s">
        <v>68</v>
      </c>
      <c r="M2" t="s">
        <v>1805</v>
      </c>
      <c r="N2" t="s">
        <v>1887</v>
      </c>
    </row>
    <row r="3" spans="1:14">
      <c r="A3" s="52" t="s">
        <v>1888</v>
      </c>
      <c r="B3" s="53"/>
      <c r="C3" s="53"/>
      <c r="D3" s="125"/>
      <c r="E3" s="125"/>
      <c r="F3" s="53"/>
      <c r="G3" s="53"/>
      <c r="H3" s="53"/>
      <c r="I3" s="108"/>
      <c r="K3" s="54" t="s">
        <v>1889</v>
      </c>
      <c r="L3" s="55">
        <f>B4</f>
        <v>9778.6384316867552</v>
      </c>
      <c r="M3" s="55">
        <f>B5</f>
        <v>8190.0096978123856</v>
      </c>
      <c r="N3" s="55">
        <f>B6</f>
        <v>1588.6287338743696</v>
      </c>
    </row>
    <row r="4" spans="1:14">
      <c r="A4" s="56" t="s">
        <v>68</v>
      </c>
      <c r="B4" s="153">
        <f>B14</f>
        <v>9778.6384316867552</v>
      </c>
      <c r="C4" s="154"/>
      <c r="D4" s="157">
        <v>10421</v>
      </c>
      <c r="E4" s="158"/>
      <c r="F4" s="153">
        <f>F14</f>
        <v>13016.299570280316</v>
      </c>
      <c r="G4" s="154"/>
      <c r="H4" s="153">
        <f>H14</f>
        <v>13120.806234027823</v>
      </c>
      <c r="I4" s="154"/>
      <c r="K4" s="54" t="s">
        <v>2031</v>
      </c>
      <c r="L4" s="55">
        <f>D4</f>
        <v>10421</v>
      </c>
      <c r="M4" s="55">
        <f>D5</f>
        <v>8190</v>
      </c>
      <c r="N4" s="55">
        <f>D6</f>
        <v>2231</v>
      </c>
    </row>
    <row r="5" spans="1:14">
      <c r="A5" s="56" t="s">
        <v>1805</v>
      </c>
      <c r="B5" s="153">
        <f>C14</f>
        <v>8190.0096978123856</v>
      </c>
      <c r="C5" s="154"/>
      <c r="D5" s="157">
        <v>8190</v>
      </c>
      <c r="E5" s="158"/>
      <c r="F5" s="153">
        <f>G14</f>
        <v>8931.2491359325577</v>
      </c>
      <c r="G5" s="154"/>
      <c r="H5" s="153">
        <f>I14</f>
        <v>8585.289799237984</v>
      </c>
      <c r="I5" s="154"/>
      <c r="K5" s="54" t="str">
        <f>F2</f>
        <v>Cleveland</v>
      </c>
      <c r="L5" s="55">
        <f>F4</f>
        <v>13016.299570280316</v>
      </c>
      <c r="M5" s="55">
        <f>F5</f>
        <v>8931.2491359325577</v>
      </c>
      <c r="N5" s="55">
        <f>F6</f>
        <v>4085.0504343477587</v>
      </c>
    </row>
    <row r="6" spans="1:14">
      <c r="A6" s="159" t="s">
        <v>1887</v>
      </c>
      <c r="B6" s="161">
        <f>B4-B5</f>
        <v>1588.6287338743696</v>
      </c>
      <c r="C6" s="162"/>
      <c r="D6" s="165">
        <v>2231</v>
      </c>
      <c r="E6" s="166"/>
      <c r="F6" s="161">
        <f>F4-F5</f>
        <v>4085.0504343477587</v>
      </c>
      <c r="G6" s="162"/>
      <c r="H6" s="161">
        <f>H4-H5</f>
        <v>4535.516434789839</v>
      </c>
      <c r="I6" s="162"/>
      <c r="K6" s="54" t="str">
        <f>H2</f>
        <v>Dayton</v>
      </c>
      <c r="L6" s="55">
        <f>H4</f>
        <v>13120.806234027823</v>
      </c>
      <c r="M6" s="55">
        <f>H5</f>
        <v>8585.289799237984</v>
      </c>
      <c r="N6" s="55">
        <f>H6</f>
        <v>4535.516434789839</v>
      </c>
    </row>
    <row r="7" spans="1:14">
      <c r="A7" s="160"/>
      <c r="B7" s="163">
        <f>B6/B4</f>
        <v>0.16245909335665465</v>
      </c>
      <c r="C7" s="164"/>
      <c r="D7" s="167">
        <v>0.214</v>
      </c>
      <c r="E7" s="168"/>
      <c r="F7" s="163">
        <f>F6/F4</f>
        <v>0.31384115065045204</v>
      </c>
      <c r="G7" s="164"/>
      <c r="H7" s="163">
        <f>H6/H4</f>
        <v>0.34567360830520599</v>
      </c>
      <c r="I7" s="164"/>
      <c r="K7" s="54"/>
      <c r="L7" s="55"/>
      <c r="M7" s="55"/>
      <c r="N7" s="55"/>
    </row>
    <row r="8" spans="1:14" ht="24">
      <c r="A8" s="57" t="s">
        <v>1890</v>
      </c>
      <c r="B8" s="103" t="s">
        <v>1891</v>
      </c>
      <c r="C8" s="103" t="s">
        <v>1805</v>
      </c>
      <c r="D8" s="126" t="s">
        <v>1891</v>
      </c>
      <c r="E8" s="126" t="s">
        <v>1805</v>
      </c>
      <c r="F8" s="103" t="s">
        <v>1891</v>
      </c>
      <c r="G8" s="103" t="s">
        <v>1805</v>
      </c>
      <c r="H8" s="103" t="s">
        <v>1891</v>
      </c>
      <c r="I8" s="103" t="s">
        <v>1805</v>
      </c>
    </row>
    <row r="9" spans="1:14">
      <c r="A9" s="56" t="s">
        <v>1892</v>
      </c>
      <c r="B9" s="104">
        <f>'District Work'!I621/'Figure 1,2,4'!B16:C16</f>
        <v>760.30395606686659</v>
      </c>
      <c r="C9" s="104">
        <f>'Charter Work'!O305</f>
        <v>923.29365406006627</v>
      </c>
      <c r="D9" s="127">
        <v>1046</v>
      </c>
      <c r="E9" s="127">
        <f t="shared" ref="E9:E14" si="0">C9</f>
        <v>923.29365406006627</v>
      </c>
      <c r="F9" s="104">
        <f>'District Work'!G37/'Figure 1,2,4'!F16:G16</f>
        <v>2290.4939311935846</v>
      </c>
      <c r="G9" s="104">
        <f>'Charter Work'!O43</f>
        <v>1206.8672286617491</v>
      </c>
      <c r="H9" s="104">
        <f>'District Work'!G43/'Figure 1,2,4'!H16:I16</f>
        <v>2128.5719349153396</v>
      </c>
      <c r="I9" s="104">
        <f>'Charter Work'!O72</f>
        <v>812.49115474794826</v>
      </c>
    </row>
    <row r="10" spans="1:14">
      <c r="A10" s="56" t="s">
        <v>1889</v>
      </c>
      <c r="B10" s="104">
        <f>'District Work'!I1859/'Figure 1,2,4'!B16:C16</f>
        <v>4096.8848247742026</v>
      </c>
      <c r="C10" s="104">
        <f>'Charter Work'!O911</f>
        <v>6991.182641294562</v>
      </c>
      <c r="D10" s="127">
        <v>4531</v>
      </c>
      <c r="E10" s="127">
        <f t="shared" si="0"/>
        <v>6991.182641294562</v>
      </c>
      <c r="F10" s="104">
        <f>'District Work'!G1275/'Figure 1,2,4'!F16:G16</f>
        <v>6686.7822372155188</v>
      </c>
      <c r="G10" s="104">
        <f>'Charter Work'!O649</f>
        <v>7463.7202576875161</v>
      </c>
      <c r="H10" s="104">
        <f>'District Work'!G1281/'Figure 1,2,4'!H16:I16</f>
        <v>5811.1327582299991</v>
      </c>
      <c r="I10" s="104">
        <f>'Charter Work'!O678</f>
        <v>7237.3950014654156</v>
      </c>
    </row>
    <row r="11" spans="1:14">
      <c r="A11" s="56" t="s">
        <v>1893</v>
      </c>
      <c r="B11" s="104">
        <f>'District Work'!I1240/'Figure 1,2,4'!B16:C16</f>
        <v>4921.449650845685</v>
      </c>
      <c r="C11" s="104">
        <v>0</v>
      </c>
      <c r="D11" s="127">
        <v>4843</v>
      </c>
      <c r="E11" s="127">
        <f t="shared" si="0"/>
        <v>0</v>
      </c>
      <c r="F11" s="104">
        <f>'District Work'!G656/'Figure 1,2,4'!F16:G16</f>
        <v>4039.0234018712122</v>
      </c>
      <c r="G11" s="104">
        <v>0</v>
      </c>
      <c r="H11" s="104">
        <f>'District Work'!G662/'Figure 1,2,4'!H16:I16</f>
        <v>5181.1015408824833</v>
      </c>
      <c r="I11" s="104">
        <v>0</v>
      </c>
    </row>
    <row r="12" spans="1:14">
      <c r="A12" s="56" t="s">
        <v>1894</v>
      </c>
      <c r="B12" s="104">
        <v>0</v>
      </c>
      <c r="C12" s="104">
        <f>'Charter Work'!P608</f>
        <v>275.53340245775735</v>
      </c>
      <c r="D12" s="127" t="s">
        <v>2029</v>
      </c>
      <c r="E12" s="127">
        <f t="shared" si="0"/>
        <v>275.53340245775735</v>
      </c>
      <c r="F12" s="104">
        <v>0</v>
      </c>
      <c r="G12" s="104">
        <f>'Charter Work'!P346</f>
        <v>260.66164958329335</v>
      </c>
      <c r="H12" s="104">
        <v>0</v>
      </c>
      <c r="I12" s="104">
        <f>'Charter Work'!P375</f>
        <v>535.40364302461899</v>
      </c>
    </row>
    <row r="13" spans="1:14">
      <c r="A13" s="56" t="s">
        <v>1895</v>
      </c>
      <c r="B13" s="104">
        <v>0</v>
      </c>
      <c r="C13" s="104">
        <v>0</v>
      </c>
      <c r="D13" s="127" t="s">
        <v>2029</v>
      </c>
      <c r="E13" s="127">
        <f t="shared" si="0"/>
        <v>0</v>
      </c>
      <c r="F13" s="104">
        <v>0</v>
      </c>
      <c r="G13" s="104">
        <v>0</v>
      </c>
      <c r="H13" s="104">
        <v>0</v>
      </c>
      <c r="I13" s="104">
        <v>0</v>
      </c>
    </row>
    <row r="14" spans="1:14">
      <c r="A14" s="56" t="s">
        <v>1896</v>
      </c>
      <c r="B14" s="104">
        <f t="shared" ref="B14:I14" si="1">SUM(B9:B13)</f>
        <v>9778.6384316867552</v>
      </c>
      <c r="C14" s="104">
        <f t="shared" si="1"/>
        <v>8190.0096978123856</v>
      </c>
      <c r="D14" s="127">
        <f>D4</f>
        <v>10421</v>
      </c>
      <c r="E14" s="127">
        <f t="shared" si="0"/>
        <v>8190.0096978123856</v>
      </c>
      <c r="F14" s="104">
        <f t="shared" si="1"/>
        <v>13016.299570280316</v>
      </c>
      <c r="G14" s="104">
        <f t="shared" si="1"/>
        <v>8931.2491359325577</v>
      </c>
      <c r="H14" s="104">
        <f t="shared" si="1"/>
        <v>13120.806234027823</v>
      </c>
      <c r="I14" s="104">
        <f t="shared" si="1"/>
        <v>8585.289799237984</v>
      </c>
    </row>
    <row r="15" spans="1:14">
      <c r="A15" s="52" t="s">
        <v>1813</v>
      </c>
      <c r="B15" s="105"/>
      <c r="C15" s="105"/>
      <c r="D15" s="128"/>
      <c r="E15" s="128"/>
      <c r="F15" s="105"/>
      <c r="G15" s="105"/>
      <c r="H15" s="105"/>
      <c r="I15" s="109"/>
    </row>
    <row r="16" spans="1:14">
      <c r="A16" s="159" t="s">
        <v>68</v>
      </c>
      <c r="B16" s="169">
        <v>1726715</v>
      </c>
      <c r="C16" s="170"/>
      <c r="D16" s="171" t="s">
        <v>2030</v>
      </c>
      <c r="E16" s="172"/>
      <c r="F16" s="169">
        <v>54617</v>
      </c>
      <c r="G16" s="170"/>
      <c r="H16" s="169">
        <v>15887</v>
      </c>
      <c r="I16" s="170"/>
    </row>
    <row r="17" spans="1:16">
      <c r="A17" s="160"/>
      <c r="B17" s="163">
        <f>B16/(B16+B18)</f>
        <v>0.95809860112271961</v>
      </c>
      <c r="C17" s="164"/>
      <c r="D17" s="171" t="s">
        <v>2030</v>
      </c>
      <c r="E17" s="172"/>
      <c r="F17" s="163">
        <f>F16/(F16+F18)</f>
        <v>0.839538243974422</v>
      </c>
      <c r="G17" s="164"/>
      <c r="H17" s="163">
        <f>H16/(H16+H18)</f>
        <v>0.6995288626656686</v>
      </c>
      <c r="I17" s="164"/>
    </row>
    <row r="18" spans="1:16">
      <c r="A18" s="159" t="s">
        <v>1805</v>
      </c>
      <c r="B18" s="169">
        <f>'Charter Work'!N911</f>
        <v>75516</v>
      </c>
      <c r="C18" s="170"/>
      <c r="D18" s="171" t="s">
        <v>2030</v>
      </c>
      <c r="E18" s="172"/>
      <c r="F18" s="169">
        <f>'Charter Work'!O346</f>
        <v>10439</v>
      </c>
      <c r="G18" s="173"/>
      <c r="H18" s="169">
        <f>'Charter Work'!O375</f>
        <v>6824</v>
      </c>
      <c r="I18" s="173"/>
    </row>
    <row r="19" spans="1:16">
      <c r="A19" s="160"/>
      <c r="B19" s="163">
        <f>B18/(B16+B18)</f>
        <v>4.1901398877280435E-2</v>
      </c>
      <c r="C19" s="164"/>
      <c r="D19" s="171" t="s">
        <v>2030</v>
      </c>
      <c r="E19" s="172"/>
      <c r="F19" s="163">
        <f>F18/(F16+F18)</f>
        <v>0.16046175602557797</v>
      </c>
      <c r="G19" s="164"/>
      <c r="H19" s="163">
        <f>H18/(H16+H18)</f>
        <v>0.3004711373343314</v>
      </c>
      <c r="I19" s="164"/>
    </row>
    <row r="20" spans="1:16">
      <c r="A20" s="56" t="s">
        <v>1897</v>
      </c>
      <c r="B20" s="174">
        <v>303</v>
      </c>
      <c r="C20" s="173"/>
      <c r="D20" s="171" t="s">
        <v>2030</v>
      </c>
      <c r="E20" s="172"/>
      <c r="F20" s="174">
        <v>41</v>
      </c>
      <c r="G20" s="173"/>
      <c r="H20" s="174">
        <v>29</v>
      </c>
      <c r="I20" s="173"/>
    </row>
    <row r="21" spans="1:16">
      <c r="A21" s="52" t="s">
        <v>1898</v>
      </c>
      <c r="B21" s="53"/>
      <c r="C21" s="53"/>
      <c r="D21" s="125"/>
      <c r="E21" s="125"/>
      <c r="F21" s="53"/>
      <c r="G21" s="53"/>
      <c r="H21" s="53"/>
      <c r="I21" s="108"/>
    </row>
    <row r="22" spans="1:16">
      <c r="A22" s="159" t="s">
        <v>68</v>
      </c>
      <c r="B22" s="161">
        <f>'District Work'!I621+'District Work'!I1240+'District Work'!I1859</f>
        <v>16884921659.569994</v>
      </c>
      <c r="C22" s="162"/>
      <c r="D22" s="165" t="s">
        <v>2030</v>
      </c>
      <c r="E22" s="166"/>
      <c r="F22" s="161">
        <f>'District Work'!G37+'District Work'!G656+'District Work'!G1275</f>
        <v>710911233.63</v>
      </c>
      <c r="G22" s="162"/>
      <c r="H22" s="161">
        <f>'District Work'!G1281+'District Work'!G662+'District Work'!G43</f>
        <v>208450248.63999999</v>
      </c>
      <c r="I22" s="162"/>
    </row>
    <row r="23" spans="1:16">
      <c r="A23" s="160"/>
      <c r="B23" s="163">
        <f>B22/B26</f>
        <v>0.96466533200704196</v>
      </c>
      <c r="C23" s="164"/>
      <c r="D23" s="165" t="s">
        <v>2030</v>
      </c>
      <c r="E23" s="166"/>
      <c r="F23" s="163">
        <f>F22/F26</f>
        <v>0.88405901588234581</v>
      </c>
      <c r="G23" s="164"/>
      <c r="H23" s="163">
        <f>H22/H26</f>
        <v>0.78060651305115425</v>
      </c>
      <c r="I23" s="164"/>
    </row>
    <row r="24" spans="1:16">
      <c r="A24" s="159" t="s">
        <v>1805</v>
      </c>
      <c r="B24" s="161">
        <f>'Charter Work'!M305+'Charter Work'!N608+'Charter Work'!M911</f>
        <v>618476772.34000015</v>
      </c>
      <c r="C24" s="162"/>
      <c r="D24" s="165" t="s">
        <v>2030</v>
      </c>
      <c r="E24" s="166"/>
      <c r="F24" s="161">
        <f>'Charter Work'!M43+'Charter Work'!N346+'Charter Work'!M649</f>
        <v>93233309.729999974</v>
      </c>
      <c r="G24" s="173"/>
      <c r="H24" s="161">
        <f>'Charter Work'!M678+'Charter Work'!N375+'Charter Work'!M72</f>
        <v>58586017.589999996</v>
      </c>
      <c r="I24" s="173"/>
    </row>
    <row r="25" spans="1:16">
      <c r="A25" s="160"/>
      <c r="B25" s="163">
        <f>B24/B26</f>
        <v>3.5334667992957931E-2</v>
      </c>
      <c r="C25" s="164"/>
      <c r="D25" s="165" t="s">
        <v>2030</v>
      </c>
      <c r="E25" s="166"/>
      <c r="F25" s="163">
        <f>F24/F26</f>
        <v>0.11594098411765411</v>
      </c>
      <c r="G25" s="164"/>
      <c r="H25" s="163">
        <f>H24/H26</f>
        <v>0.21939348694884572</v>
      </c>
      <c r="I25" s="164"/>
    </row>
    <row r="26" spans="1:16">
      <c r="A26" s="56" t="s">
        <v>1896</v>
      </c>
      <c r="B26" s="161">
        <f>B22+B24</f>
        <v>17503398431.909996</v>
      </c>
      <c r="C26" s="162"/>
      <c r="D26" s="165" t="s">
        <v>2030</v>
      </c>
      <c r="E26" s="166"/>
      <c r="F26" s="161">
        <f>F22+F24</f>
        <v>804144543.36000001</v>
      </c>
      <c r="G26" s="162"/>
      <c r="H26" s="161">
        <f>H22+H24</f>
        <v>267036266.22999999</v>
      </c>
      <c r="I26" s="162"/>
    </row>
    <row r="27" spans="1:16" ht="24">
      <c r="A27" s="59" t="s">
        <v>1900</v>
      </c>
      <c r="B27" s="58" t="s">
        <v>1891</v>
      </c>
      <c r="C27" s="58" t="s">
        <v>1805</v>
      </c>
      <c r="D27" s="126" t="s">
        <v>1891</v>
      </c>
      <c r="E27" s="126" t="s">
        <v>1805</v>
      </c>
      <c r="F27" s="58" t="s">
        <v>1891</v>
      </c>
      <c r="G27" s="58" t="s">
        <v>1805</v>
      </c>
      <c r="H27" s="58" t="s">
        <v>1891</v>
      </c>
      <c r="I27" s="58" t="s">
        <v>1805</v>
      </c>
      <c r="K27" t="s">
        <v>1899</v>
      </c>
    </row>
    <row r="28" spans="1:16">
      <c r="A28" s="56" t="s">
        <v>1892</v>
      </c>
      <c r="B28" s="102">
        <f t="shared" ref="B28:I28" si="2">B9/B14</f>
        <v>7.7751515344219438E-2</v>
      </c>
      <c r="C28" s="102">
        <f t="shared" si="2"/>
        <v>0.11273413440605388</v>
      </c>
      <c r="D28" s="129">
        <f>D9/D$14</f>
        <v>0.10037424431436523</v>
      </c>
      <c r="E28" s="129">
        <f>C28</f>
        <v>0.11273413440605388</v>
      </c>
      <c r="F28" s="102">
        <f t="shared" si="2"/>
        <v>0.17597120585818363</v>
      </c>
      <c r="G28" s="102">
        <f t="shared" si="2"/>
        <v>0.13512860410602956</v>
      </c>
      <c r="H28" s="102">
        <f t="shared" si="2"/>
        <v>0.16222874547107088</v>
      </c>
      <c r="I28" s="110">
        <f t="shared" si="2"/>
        <v>9.4637592177734486E-2</v>
      </c>
      <c r="L28" s="60" t="s">
        <v>1901</v>
      </c>
      <c r="M28" s="60" t="s">
        <v>1889</v>
      </c>
      <c r="N28" s="60" t="s">
        <v>1893</v>
      </c>
      <c r="O28" s="60" t="s">
        <v>1902</v>
      </c>
      <c r="P28" s="60" t="s">
        <v>1895</v>
      </c>
    </row>
    <row r="29" spans="1:16">
      <c r="A29" s="56" t="s">
        <v>1889</v>
      </c>
      <c r="B29" s="102">
        <f t="shared" ref="B29:I29" si="3">B10/B14</f>
        <v>0.41896270665848878</v>
      </c>
      <c r="C29" s="102">
        <f t="shared" si="3"/>
        <v>0.85362324334755801</v>
      </c>
      <c r="D29" s="129">
        <f>D10/D$14</f>
        <v>0.4347951252279052</v>
      </c>
      <c r="E29" s="129">
        <f>C29</f>
        <v>0.85362324334755801</v>
      </c>
      <c r="F29" s="102">
        <f t="shared" si="3"/>
        <v>0.5137237508333955</v>
      </c>
      <c r="G29" s="102">
        <f t="shared" si="3"/>
        <v>0.83568604392180479</v>
      </c>
      <c r="H29" s="102">
        <f t="shared" si="3"/>
        <v>0.4428944879285896</v>
      </c>
      <c r="I29" s="110">
        <f t="shared" si="3"/>
        <v>0.84299949922573314</v>
      </c>
      <c r="K29" t="s">
        <v>1903</v>
      </c>
      <c r="L29" s="55">
        <f>B9</f>
        <v>760.30395606686659</v>
      </c>
      <c r="M29" s="55">
        <f>B10</f>
        <v>4096.8848247742026</v>
      </c>
      <c r="N29" s="55">
        <f>B11</f>
        <v>4921.449650845685</v>
      </c>
      <c r="O29" s="55">
        <f>B12</f>
        <v>0</v>
      </c>
      <c r="P29" s="55">
        <f>B13</f>
        <v>0</v>
      </c>
    </row>
    <row r="30" spans="1:16">
      <c r="A30" s="56" t="s">
        <v>1893</v>
      </c>
      <c r="B30" s="102">
        <f t="shared" ref="B30:I30" si="4">B11/B14</f>
        <v>0.50328577799729168</v>
      </c>
      <c r="C30" s="102">
        <f t="shared" si="4"/>
        <v>0</v>
      </c>
      <c r="D30" s="129">
        <f>D11/D$14</f>
        <v>0.46473467037712313</v>
      </c>
      <c r="E30" s="129">
        <f>C30</f>
        <v>0</v>
      </c>
      <c r="F30" s="102">
        <f t="shared" si="4"/>
        <v>0.31030504330842079</v>
      </c>
      <c r="G30" s="102">
        <f t="shared" si="4"/>
        <v>0</v>
      </c>
      <c r="H30" s="102">
        <f t="shared" si="4"/>
        <v>0.39487676660033943</v>
      </c>
      <c r="I30" s="110">
        <f t="shared" si="4"/>
        <v>0</v>
      </c>
      <c r="K30" t="s">
        <v>1904</v>
      </c>
      <c r="L30" s="55">
        <f>C9</f>
        <v>923.29365406006627</v>
      </c>
      <c r="M30" s="55">
        <f>C10</f>
        <v>6991.182641294562</v>
      </c>
      <c r="N30" s="55">
        <f>C11</f>
        <v>0</v>
      </c>
      <c r="O30" s="55">
        <f>C12</f>
        <v>275.53340245775735</v>
      </c>
      <c r="P30" s="55">
        <f>C13</f>
        <v>0</v>
      </c>
    </row>
    <row r="31" spans="1:16">
      <c r="A31" s="56" t="s">
        <v>1894</v>
      </c>
      <c r="B31" s="102">
        <f t="shared" ref="B31:I31" si="5">B12/B14</f>
        <v>0</v>
      </c>
      <c r="C31" s="102">
        <f t="shared" si="5"/>
        <v>3.3642622246388115E-2</v>
      </c>
      <c r="D31" s="129">
        <v>0</v>
      </c>
      <c r="E31" s="129">
        <f>C31</f>
        <v>3.3642622246388115E-2</v>
      </c>
      <c r="F31" s="102">
        <f t="shared" si="5"/>
        <v>0</v>
      </c>
      <c r="G31" s="102">
        <f t="shared" si="5"/>
        <v>2.9185351972165798E-2</v>
      </c>
      <c r="H31" s="102">
        <f t="shared" si="5"/>
        <v>0</v>
      </c>
      <c r="I31" s="110">
        <f t="shared" si="5"/>
        <v>6.2362908596532235E-2</v>
      </c>
      <c r="K31" t="s">
        <v>2031</v>
      </c>
      <c r="L31" s="55">
        <f>D9</f>
        <v>1046</v>
      </c>
      <c r="M31" s="55">
        <f>D10</f>
        <v>4531</v>
      </c>
      <c r="N31" s="55">
        <f>D11</f>
        <v>4843</v>
      </c>
      <c r="O31" s="55" t="str">
        <f>D12</f>
        <v>-</v>
      </c>
      <c r="P31" s="55" t="str">
        <f>D13</f>
        <v>-</v>
      </c>
    </row>
    <row r="32" spans="1:16">
      <c r="A32" s="52" t="s">
        <v>1905</v>
      </c>
      <c r="B32" s="53"/>
      <c r="C32" s="53"/>
      <c r="D32" s="125"/>
      <c r="E32" s="125"/>
      <c r="F32" s="53"/>
      <c r="G32" s="53"/>
      <c r="H32" s="53"/>
      <c r="I32" s="108"/>
      <c r="K32" t="s">
        <v>1907</v>
      </c>
      <c r="L32" s="55">
        <f>F9</f>
        <v>2290.4939311935846</v>
      </c>
      <c r="M32" s="55">
        <f>F10</f>
        <v>6686.7822372155188</v>
      </c>
      <c r="N32" s="55">
        <f>F11</f>
        <v>4039.0234018712122</v>
      </c>
      <c r="O32" s="55">
        <f>F12</f>
        <v>0</v>
      </c>
      <c r="P32" s="55">
        <f>F13</f>
        <v>0</v>
      </c>
    </row>
    <row r="33" spans="1:16">
      <c r="A33" s="61"/>
      <c r="B33" s="174" t="s">
        <v>2008</v>
      </c>
      <c r="C33" s="175"/>
      <c r="D33" s="176"/>
      <c r="E33" s="177"/>
      <c r="F33" s="174" t="s">
        <v>2009</v>
      </c>
      <c r="G33" s="175"/>
      <c r="H33" s="174" t="s">
        <v>2010</v>
      </c>
      <c r="I33" s="175"/>
      <c r="K33" t="s">
        <v>1908</v>
      </c>
      <c r="L33" s="55">
        <f>G9</f>
        <v>1206.8672286617491</v>
      </c>
      <c r="M33" s="55">
        <f>G10</f>
        <v>7463.7202576875161</v>
      </c>
      <c r="N33" s="55">
        <f>G11</f>
        <v>0</v>
      </c>
      <c r="O33" s="55">
        <f>G12</f>
        <v>260.66164958329335</v>
      </c>
      <c r="P33" s="55">
        <f>G13</f>
        <v>0</v>
      </c>
    </row>
    <row r="34" spans="1:16">
      <c r="A34" s="106"/>
      <c r="B34" s="107">
        <f>B6*B16</f>
        <v>2743109064.2118821</v>
      </c>
      <c r="C34" s="106"/>
      <c r="D34" s="106"/>
      <c r="E34" s="106"/>
      <c r="F34" s="107">
        <f>F6*F16</f>
        <v>223113199.57277155</v>
      </c>
      <c r="G34" s="106"/>
      <c r="H34" s="107">
        <f>H6*H16</f>
        <v>72055749.59950617</v>
      </c>
      <c r="K34" t="s">
        <v>1909</v>
      </c>
      <c r="L34" s="55">
        <f>H9</f>
        <v>2128.5719349153396</v>
      </c>
      <c r="M34" s="55">
        <f>H10</f>
        <v>5811.1327582299991</v>
      </c>
      <c r="N34" s="55">
        <f>H11</f>
        <v>5181.1015408824833</v>
      </c>
      <c r="O34" s="55">
        <f>H12</f>
        <v>0</v>
      </c>
      <c r="P34" s="55">
        <f>H13</f>
        <v>0</v>
      </c>
    </row>
    <row r="35" spans="1:16">
      <c r="A35" s="41" t="s">
        <v>1911</v>
      </c>
      <c r="K35" t="s">
        <v>1910</v>
      </c>
      <c r="L35" s="55">
        <f>I9</f>
        <v>812.49115474794826</v>
      </c>
      <c r="M35" s="55">
        <f>I10</f>
        <v>7237.3950014654156</v>
      </c>
      <c r="N35" s="55">
        <f>I11</f>
        <v>0</v>
      </c>
      <c r="O35" s="55">
        <f>I12</f>
        <v>535.40364302461899</v>
      </c>
      <c r="P35" s="55">
        <f>I13</f>
        <v>0</v>
      </c>
    </row>
    <row r="36" spans="1:16">
      <c r="A36" s="65" t="s">
        <v>1912</v>
      </c>
      <c r="L36" s="55"/>
      <c r="M36" s="55"/>
      <c r="N36" s="55"/>
      <c r="O36" s="55"/>
      <c r="P36" s="55"/>
    </row>
    <row r="37" spans="1:16">
      <c r="L37" s="55"/>
      <c r="M37" s="55"/>
      <c r="N37" s="55"/>
      <c r="O37" s="55"/>
      <c r="P37" s="55"/>
    </row>
  </sheetData>
  <mergeCells count="69">
    <mergeCell ref="A24:A25"/>
    <mergeCell ref="B24:C24"/>
    <mergeCell ref="F24:G24"/>
    <mergeCell ref="H24:I24"/>
    <mergeCell ref="B25:C25"/>
    <mergeCell ref="D24:E24"/>
    <mergeCell ref="D25:E25"/>
    <mergeCell ref="B20:C20"/>
    <mergeCell ref="F20:G20"/>
    <mergeCell ref="H20:I20"/>
    <mergeCell ref="B26:C26"/>
    <mergeCell ref="F26:G26"/>
    <mergeCell ref="H26:I26"/>
    <mergeCell ref="D20:E20"/>
    <mergeCell ref="D22:E22"/>
    <mergeCell ref="D23:E23"/>
    <mergeCell ref="D26:E26"/>
    <mergeCell ref="B33:C33"/>
    <mergeCell ref="F33:G33"/>
    <mergeCell ref="H33:I33"/>
    <mergeCell ref="F25:G25"/>
    <mergeCell ref="H25:I25"/>
    <mergeCell ref="D33:E33"/>
    <mergeCell ref="A22:A23"/>
    <mergeCell ref="B22:C22"/>
    <mergeCell ref="F22:G22"/>
    <mergeCell ref="H22:I22"/>
    <mergeCell ref="B23:C23"/>
    <mergeCell ref="F23:G23"/>
    <mergeCell ref="H23:I23"/>
    <mergeCell ref="A18:A19"/>
    <mergeCell ref="B18:C18"/>
    <mergeCell ref="F18:G18"/>
    <mergeCell ref="H18:I18"/>
    <mergeCell ref="B19:C19"/>
    <mergeCell ref="F19:G19"/>
    <mergeCell ref="H19:I19"/>
    <mergeCell ref="D19:E19"/>
    <mergeCell ref="D18:E18"/>
    <mergeCell ref="A16:A17"/>
    <mergeCell ref="B16:C16"/>
    <mergeCell ref="F16:G16"/>
    <mergeCell ref="H16:I16"/>
    <mergeCell ref="B17:C17"/>
    <mergeCell ref="F17:G17"/>
    <mergeCell ref="H17:I17"/>
    <mergeCell ref="D16:E16"/>
    <mergeCell ref="D17:E17"/>
    <mergeCell ref="B5:C5"/>
    <mergeCell ref="F5:G5"/>
    <mergeCell ref="H5:I5"/>
    <mergeCell ref="A6:A7"/>
    <mergeCell ref="B6:C6"/>
    <mergeCell ref="F6:G6"/>
    <mergeCell ref="H6:I6"/>
    <mergeCell ref="B7:C7"/>
    <mergeCell ref="F7:G7"/>
    <mergeCell ref="H7:I7"/>
    <mergeCell ref="D5:E5"/>
    <mergeCell ref="D6:E6"/>
    <mergeCell ref="D7:E7"/>
    <mergeCell ref="B2:C2"/>
    <mergeCell ref="F2:G2"/>
    <mergeCell ref="H2:I2"/>
    <mergeCell ref="B4:C4"/>
    <mergeCell ref="F4:G4"/>
    <mergeCell ref="H4:I4"/>
    <mergeCell ref="D2:E2"/>
    <mergeCell ref="D4:E4"/>
  </mergeCells>
  <phoneticPr fontId="14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24"/>
  <sheetViews>
    <sheetView workbookViewId="0">
      <selection activeCell="A24" sqref="A24"/>
    </sheetView>
  </sheetViews>
  <sheetFormatPr baseColWidth="10" defaultColWidth="8.83203125" defaultRowHeight="12"/>
  <cols>
    <col min="1" max="1" width="39.6640625" customWidth="1"/>
  </cols>
  <sheetData>
    <row r="1" spans="1:4">
      <c r="A1" t="s">
        <v>1985</v>
      </c>
    </row>
    <row r="2" spans="1:4">
      <c r="A2" t="s">
        <v>1986</v>
      </c>
    </row>
    <row r="3" spans="1:4">
      <c r="A3" s="56" t="s">
        <v>1987</v>
      </c>
      <c r="B3" s="56" t="s">
        <v>1820</v>
      </c>
      <c r="C3" s="56" t="s">
        <v>1988</v>
      </c>
      <c r="D3" s="56" t="s">
        <v>1989</v>
      </c>
    </row>
    <row r="4" spans="1:4" ht="24">
      <c r="A4" s="113" t="s">
        <v>1990</v>
      </c>
      <c r="B4" s="118" t="s">
        <v>2003</v>
      </c>
      <c r="C4" s="56"/>
      <c r="D4" s="56"/>
    </row>
    <row r="5" spans="1:4" ht="12.75" customHeight="1">
      <c r="A5" s="113" t="s">
        <v>1991</v>
      </c>
      <c r="B5" s="56"/>
      <c r="C5" s="118" t="s">
        <v>2003</v>
      </c>
      <c r="D5" s="56"/>
    </row>
    <row r="6" spans="1:4" ht="12.75" customHeight="1">
      <c r="A6" s="113" t="s">
        <v>1992</v>
      </c>
      <c r="B6" s="56"/>
      <c r="C6" s="56"/>
      <c r="D6" s="56">
        <v>1</v>
      </c>
    </row>
    <row r="7" spans="1:4" ht="25.5" customHeight="1">
      <c r="A7" s="113" t="s">
        <v>1993</v>
      </c>
      <c r="B7" s="118">
        <v>2</v>
      </c>
      <c r="C7" s="56"/>
      <c r="D7" s="56"/>
    </row>
    <row r="8" spans="1:4" ht="12.75" customHeight="1">
      <c r="A8" s="113" t="s">
        <v>1994</v>
      </c>
      <c r="B8" s="118">
        <v>3</v>
      </c>
      <c r="C8" s="118"/>
      <c r="D8" s="56"/>
    </row>
    <row r="9" spans="1:4" ht="39.75" customHeight="1">
      <c r="A9" s="113" t="s">
        <v>1995</v>
      </c>
      <c r="B9" s="56">
        <v>4</v>
      </c>
      <c r="C9" s="56"/>
      <c r="D9" s="56"/>
    </row>
    <row r="10" spans="1:4" ht="24">
      <c r="A10" s="113" t="s">
        <v>1996</v>
      </c>
      <c r="B10" s="56"/>
      <c r="C10" s="118" t="s">
        <v>2003</v>
      </c>
      <c r="D10" s="56"/>
    </row>
    <row r="11" spans="1:4" ht="25.5" customHeight="1">
      <c r="A11" s="113" t="s">
        <v>1997</v>
      </c>
      <c r="B11" s="118" t="s">
        <v>2003</v>
      </c>
      <c r="C11" s="56"/>
      <c r="D11" s="56"/>
    </row>
    <row r="12" spans="1:4">
      <c r="A12" s="113" t="s">
        <v>1998</v>
      </c>
      <c r="B12" s="118" t="s">
        <v>2003</v>
      </c>
      <c r="C12" s="56"/>
      <c r="D12" s="56"/>
    </row>
    <row r="13" spans="1:4" ht="12.75" customHeight="1">
      <c r="A13" s="113" t="s">
        <v>1999</v>
      </c>
      <c r="B13" s="56">
        <v>5</v>
      </c>
      <c r="C13" s="56"/>
      <c r="D13" s="56"/>
    </row>
    <row r="14" spans="1:4" ht="24">
      <c r="A14" s="113" t="s">
        <v>2000</v>
      </c>
      <c r="B14" s="56"/>
      <c r="C14" s="118" t="s">
        <v>2003</v>
      </c>
      <c r="D14" s="56"/>
    </row>
    <row r="15" spans="1:4" ht="24">
      <c r="A15" s="113" t="s">
        <v>2001</v>
      </c>
      <c r="B15" s="56"/>
      <c r="C15" s="118" t="s">
        <v>2003</v>
      </c>
      <c r="D15" s="56"/>
    </row>
    <row r="16" spans="1:4" ht="12.75" customHeight="1">
      <c r="A16" s="113" t="s">
        <v>2002</v>
      </c>
      <c r="B16" s="56">
        <v>6</v>
      </c>
      <c r="C16" s="56"/>
      <c r="D16" s="56"/>
    </row>
    <row r="19" spans="1:1">
      <c r="A19" s="119" t="s">
        <v>2024</v>
      </c>
    </row>
    <row r="20" spans="1:1">
      <c r="A20" s="119" t="s">
        <v>2023</v>
      </c>
    </row>
    <row r="21" spans="1:1">
      <c r="A21" s="119" t="s">
        <v>2006</v>
      </c>
    </row>
    <row r="22" spans="1:1">
      <c r="A22" s="119" t="s">
        <v>2022</v>
      </c>
    </row>
    <row r="23" spans="1:1" ht="13">
      <c r="A23" s="117" t="s">
        <v>2007</v>
      </c>
    </row>
    <row r="24" spans="1:1">
      <c r="A24" s="119" t="s">
        <v>2021</v>
      </c>
    </row>
  </sheetData>
  <sheetCalcPr fullCalcOnLoad="1"/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9"/>
  <sheetViews>
    <sheetView workbookViewId="0">
      <selection sqref="A1:D9"/>
    </sheetView>
  </sheetViews>
  <sheetFormatPr baseColWidth="10" defaultColWidth="8.83203125" defaultRowHeight="12"/>
  <cols>
    <col min="1" max="1" width="11" customWidth="1"/>
    <col min="2" max="2" width="19.6640625" customWidth="1"/>
  </cols>
  <sheetData>
    <row r="1" spans="1:4">
      <c r="A1" s="37" t="s">
        <v>2025</v>
      </c>
      <c r="B1" s="37"/>
      <c r="C1" s="37"/>
      <c r="D1" s="37"/>
    </row>
    <row r="2" spans="1:4" ht="24">
      <c r="A2" s="121"/>
      <c r="B2" s="122"/>
      <c r="C2" s="123" t="s">
        <v>1903</v>
      </c>
      <c r="D2" s="123" t="s">
        <v>1904</v>
      </c>
    </row>
    <row r="3" spans="1:4" ht="38.25" customHeight="1">
      <c r="A3" s="178" t="s">
        <v>2045</v>
      </c>
      <c r="B3" s="178"/>
      <c r="C3" s="115">
        <v>0.33400000000000002</v>
      </c>
      <c r="D3" s="115">
        <v>0.432</v>
      </c>
    </row>
    <row r="4" spans="1:4" ht="25.5" customHeight="1">
      <c r="A4" s="178" t="s">
        <v>1979</v>
      </c>
      <c r="B4" s="178"/>
      <c r="C4" s="116">
        <v>0.68300000000000005</v>
      </c>
      <c r="D4" s="116">
        <v>0.79500000000000004</v>
      </c>
    </row>
    <row r="5" spans="1:4" ht="25.5" customHeight="1">
      <c r="A5" s="178" t="s">
        <v>1980</v>
      </c>
      <c r="B5" s="178"/>
      <c r="C5" s="116"/>
      <c r="D5" s="116"/>
    </row>
    <row r="6" spans="1:4">
      <c r="A6" s="56"/>
      <c r="B6" s="56" t="s">
        <v>1981</v>
      </c>
      <c r="C6" s="116">
        <v>0.45</v>
      </c>
      <c r="D6" s="116">
        <v>0.42599999999999999</v>
      </c>
    </row>
    <row r="7" spans="1:4">
      <c r="A7" s="56"/>
      <c r="B7" s="56" t="s">
        <v>1982</v>
      </c>
      <c r="C7" s="116">
        <v>0.2</v>
      </c>
      <c r="D7" s="116">
        <v>0.03</v>
      </c>
    </row>
    <row r="8" spans="1:4">
      <c r="A8" s="56"/>
      <c r="B8" s="56" t="s">
        <v>1983</v>
      </c>
      <c r="C8" s="116">
        <v>0.311</v>
      </c>
      <c r="D8" s="116">
        <v>0.152</v>
      </c>
    </row>
    <row r="9" spans="1:4">
      <c r="A9" s="56"/>
      <c r="B9" s="56" t="s">
        <v>1984</v>
      </c>
      <c r="C9" s="116">
        <v>3.9E-2</v>
      </c>
      <c r="D9" s="116">
        <v>0.39200000000000002</v>
      </c>
    </row>
  </sheetData>
  <sheetCalcPr fullCalcOnLoad="1"/>
  <mergeCells count="3">
    <mergeCell ref="A3:B3"/>
    <mergeCell ref="A4:B4"/>
    <mergeCell ref="A5:B5"/>
  </mergeCells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21"/>
  <sheetViews>
    <sheetView topLeftCell="A5" workbookViewId="0">
      <selection sqref="A1:C19"/>
    </sheetView>
  </sheetViews>
  <sheetFormatPr baseColWidth="10" defaultColWidth="8.83203125" defaultRowHeight="12"/>
  <cols>
    <col min="1" max="1" width="5.5" customWidth="1"/>
    <col min="2" max="2" width="46.1640625" customWidth="1"/>
    <col min="3" max="3" width="10.5" customWidth="1"/>
    <col min="7" max="7" width="3.5" customWidth="1"/>
  </cols>
  <sheetData>
    <row r="1" spans="1:5">
      <c r="A1" t="s">
        <v>2026</v>
      </c>
    </row>
    <row r="2" spans="1:5">
      <c r="A2" s="52"/>
      <c r="B2" s="108" t="s">
        <v>2014</v>
      </c>
      <c r="C2" s="124" t="s">
        <v>2027</v>
      </c>
      <c r="E2" t="s">
        <v>2015</v>
      </c>
    </row>
    <row r="3" spans="1:5" ht="24">
      <c r="A3" s="180" t="s">
        <v>2016</v>
      </c>
      <c r="B3" s="113" t="s">
        <v>2017</v>
      </c>
      <c r="C3" s="114" t="s">
        <v>2018</v>
      </c>
      <c r="E3" s="114" t="s">
        <v>2018</v>
      </c>
    </row>
    <row r="4" spans="1:5" ht="24">
      <c r="A4" s="180"/>
      <c r="B4" s="113" t="s">
        <v>2019</v>
      </c>
      <c r="C4" s="58" t="s">
        <v>2020</v>
      </c>
      <c r="E4" s="58" t="s">
        <v>2020</v>
      </c>
    </row>
    <row r="5" spans="1:5" ht="24">
      <c r="A5" s="180"/>
      <c r="B5" s="113" t="s">
        <v>1944</v>
      </c>
      <c r="C5" s="120" t="s">
        <v>2004</v>
      </c>
      <c r="E5" s="111" t="s">
        <v>1945</v>
      </c>
    </row>
    <row r="6" spans="1:5" ht="24">
      <c r="A6" s="179" t="s">
        <v>1946</v>
      </c>
      <c r="B6" s="59" t="s">
        <v>1947</v>
      </c>
      <c r="C6" s="114" t="s">
        <v>2018</v>
      </c>
    </row>
    <row r="7" spans="1:5" ht="24">
      <c r="A7" s="179"/>
      <c r="B7" s="59" t="s">
        <v>1948</v>
      </c>
      <c r="C7" s="114" t="s">
        <v>2018</v>
      </c>
    </row>
    <row r="8" spans="1:5" ht="24">
      <c r="A8" s="179"/>
      <c r="B8" s="59" t="s">
        <v>1949</v>
      </c>
      <c r="C8" s="120" t="s">
        <v>2005</v>
      </c>
    </row>
    <row r="9" spans="1:5" ht="24">
      <c r="A9" s="180" t="s">
        <v>1950</v>
      </c>
      <c r="B9" s="113" t="s">
        <v>1951</v>
      </c>
      <c r="C9" s="111" t="s">
        <v>1945</v>
      </c>
    </row>
    <row r="10" spans="1:5" ht="24">
      <c r="A10" s="180"/>
      <c r="B10" s="113" t="s">
        <v>1952</v>
      </c>
      <c r="C10" s="111" t="s">
        <v>1945</v>
      </c>
    </row>
    <row r="11" spans="1:5" ht="24">
      <c r="A11" s="180"/>
      <c r="B11" s="113" t="s">
        <v>1953</v>
      </c>
      <c r="C11" s="111" t="s">
        <v>1945</v>
      </c>
    </row>
    <row r="12" spans="1:5" ht="24">
      <c r="A12" s="179" t="s">
        <v>1954</v>
      </c>
      <c r="B12" s="59" t="s">
        <v>1955</v>
      </c>
      <c r="C12" s="111" t="s">
        <v>1945</v>
      </c>
    </row>
    <row r="13" spans="1:5" ht="24">
      <c r="A13" s="179"/>
      <c r="B13" s="59" t="s">
        <v>1956</v>
      </c>
      <c r="C13" s="111" t="s">
        <v>1945</v>
      </c>
    </row>
    <row r="14" spans="1:5" ht="24">
      <c r="A14" s="179"/>
      <c r="B14" s="59" t="s">
        <v>1957</v>
      </c>
      <c r="C14" s="111" t="s">
        <v>1945</v>
      </c>
    </row>
    <row r="15" spans="1:5" ht="36">
      <c r="A15" s="180" t="s">
        <v>1958</v>
      </c>
      <c r="B15" s="113" t="s">
        <v>1959</v>
      </c>
      <c r="C15" s="114" t="s">
        <v>2018</v>
      </c>
    </row>
    <row r="16" spans="1:5" ht="36">
      <c r="A16" s="180"/>
      <c r="B16" s="113" t="s">
        <v>1960</v>
      </c>
      <c r="C16" s="114" t="s">
        <v>2018</v>
      </c>
    </row>
    <row r="17" spans="1:8" ht="24">
      <c r="A17" s="179" t="s">
        <v>1961</v>
      </c>
      <c r="B17" s="59" t="s">
        <v>2038</v>
      </c>
      <c r="C17" s="114" t="s">
        <v>2018</v>
      </c>
    </row>
    <row r="18" spans="1:8">
      <c r="A18" s="179"/>
      <c r="B18" s="59" t="s">
        <v>2039</v>
      </c>
      <c r="C18" s="114" t="s">
        <v>2040</v>
      </c>
      <c r="E18" s="114" t="s">
        <v>2040</v>
      </c>
      <c r="F18" s="58" t="s">
        <v>2041</v>
      </c>
      <c r="H18" t="s">
        <v>2042</v>
      </c>
    </row>
    <row r="19" spans="1:8" ht="24">
      <c r="A19" s="179"/>
      <c r="B19" s="59" t="s">
        <v>2043</v>
      </c>
      <c r="C19" s="111" t="s">
        <v>1945</v>
      </c>
    </row>
    <row r="21" spans="1:8">
      <c r="A21" t="s">
        <v>2044</v>
      </c>
    </row>
  </sheetData>
  <sheetCalcPr fullCalcOnLoad="1"/>
  <mergeCells count="6">
    <mergeCell ref="A17:A19"/>
    <mergeCell ref="A3:A5"/>
    <mergeCell ref="A6:A8"/>
    <mergeCell ref="A9:A11"/>
    <mergeCell ref="A12:A14"/>
    <mergeCell ref="A15:A16"/>
  </mergeCells>
  <phoneticPr fontId="1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X1859"/>
  <sheetViews>
    <sheetView topLeftCell="A11" workbookViewId="0">
      <selection activeCell="G1281" sqref="G1281"/>
    </sheetView>
  </sheetViews>
  <sheetFormatPr baseColWidth="10" defaultColWidth="8.83203125" defaultRowHeight="12"/>
  <cols>
    <col min="1" max="1" width="14.5" customWidth="1"/>
    <col min="2" max="2" width="22.6640625" customWidth="1"/>
    <col min="3" max="3" width="14.5" customWidth="1"/>
    <col min="4" max="4" width="14.33203125" customWidth="1"/>
    <col min="5" max="5" width="14.5" hidden="1" customWidth="1"/>
    <col min="6" max="6" width="14.5" customWidth="1"/>
    <col min="7" max="7" width="18.1640625" customWidth="1"/>
    <col min="8" max="8" width="14.5" customWidth="1"/>
    <col min="9" max="9" width="16.33203125" customWidth="1"/>
    <col min="10" max="13" width="14.5" customWidth="1"/>
    <col min="14" max="14" width="18.6640625" customWidth="1"/>
  </cols>
  <sheetData>
    <row r="1" spans="1:24">
      <c r="A1" s="4"/>
      <c r="B1" s="5"/>
      <c r="C1" s="4"/>
      <c r="D1" s="6" t="s">
        <v>65</v>
      </c>
      <c r="E1" s="25"/>
      <c r="F1" s="25"/>
      <c r="H1" t="s">
        <v>1805</v>
      </c>
      <c r="K1" t="s">
        <v>1808</v>
      </c>
      <c r="L1" t="s">
        <v>1807</v>
      </c>
      <c r="M1" t="s">
        <v>1813</v>
      </c>
    </row>
    <row r="2" spans="1:24">
      <c r="A2" s="11" t="s">
        <v>68</v>
      </c>
      <c r="B2" s="12"/>
      <c r="C2" s="11" t="s">
        <v>69</v>
      </c>
      <c r="D2" s="1"/>
      <c r="E2" s="10"/>
      <c r="F2" s="10"/>
      <c r="G2" s="39" t="s">
        <v>1882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>
      <c r="A3" s="17" t="s">
        <v>152</v>
      </c>
      <c r="B3" s="21" t="s">
        <v>153</v>
      </c>
      <c r="C3" s="19" t="s">
        <v>74</v>
      </c>
      <c r="D3" s="20"/>
      <c r="E3" s="3">
        <v>13272749.470000001</v>
      </c>
      <c r="F3" s="24">
        <v>8.0527444778176777E-2</v>
      </c>
      <c r="G3" s="26">
        <v>1068820.6000000001</v>
      </c>
      <c r="H3" t="s">
        <v>68</v>
      </c>
    </row>
    <row r="4" spans="1:24">
      <c r="A4" s="17" t="s">
        <v>256</v>
      </c>
      <c r="B4" s="18" t="s">
        <v>257</v>
      </c>
      <c r="C4" s="19" t="s">
        <v>74</v>
      </c>
      <c r="D4" s="20"/>
      <c r="E4" s="3">
        <v>204904.7</v>
      </c>
      <c r="F4" s="24">
        <v>0.73204762994699479</v>
      </c>
      <c r="G4" s="26">
        <v>150000</v>
      </c>
      <c r="H4" t="s">
        <v>68</v>
      </c>
    </row>
    <row r="5" spans="1:24">
      <c r="A5" s="15" t="s">
        <v>258</v>
      </c>
      <c r="B5" s="16" t="s">
        <v>259</v>
      </c>
      <c r="C5" s="15" t="s">
        <v>74</v>
      </c>
      <c r="D5" s="16"/>
      <c r="E5" s="2">
        <v>205403.19</v>
      </c>
      <c r="F5" s="23">
        <v>0.73027103425219442</v>
      </c>
      <c r="G5" s="26">
        <v>150000</v>
      </c>
      <c r="H5" t="s">
        <v>68</v>
      </c>
    </row>
    <row r="6" spans="1:24">
      <c r="A6" s="17" t="s">
        <v>260</v>
      </c>
      <c r="B6" s="21" t="s">
        <v>261</v>
      </c>
      <c r="C6" s="19" t="s">
        <v>74</v>
      </c>
      <c r="D6" s="20"/>
      <c r="E6" s="3">
        <v>204907.09</v>
      </c>
      <c r="F6" s="24">
        <v>0.73203909147311597</v>
      </c>
      <c r="G6" s="26">
        <v>150000</v>
      </c>
      <c r="H6" t="s">
        <v>68</v>
      </c>
    </row>
    <row r="7" spans="1:24">
      <c r="A7" s="13" t="s">
        <v>358</v>
      </c>
      <c r="B7" s="14" t="s">
        <v>359</v>
      </c>
      <c r="C7" s="15" t="s">
        <v>74</v>
      </c>
      <c r="D7" s="16"/>
      <c r="E7" s="2">
        <v>307911048.30000001</v>
      </c>
      <c r="F7" s="23">
        <v>0.10622272890361888</v>
      </c>
      <c r="G7" s="26">
        <v>32707151.809999999</v>
      </c>
      <c r="H7" t="s">
        <v>68</v>
      </c>
    </row>
    <row r="8" spans="1:24">
      <c r="A8" s="19" t="s">
        <v>360</v>
      </c>
      <c r="B8" s="20" t="s">
        <v>361</v>
      </c>
      <c r="C8" s="19" t="s">
        <v>74</v>
      </c>
      <c r="D8" s="20"/>
      <c r="E8" s="3">
        <v>30321614.07</v>
      </c>
      <c r="F8" s="24">
        <v>0.13201311911559463</v>
      </c>
      <c r="G8" s="26">
        <v>4002850.85</v>
      </c>
      <c r="H8" t="s">
        <v>68</v>
      </c>
    </row>
    <row r="9" spans="1:24">
      <c r="A9" s="13" t="s">
        <v>362</v>
      </c>
      <c r="B9" s="22" t="s">
        <v>363</v>
      </c>
      <c r="C9" s="15" t="s">
        <v>74</v>
      </c>
      <c r="D9" s="16"/>
      <c r="E9" s="2">
        <v>32742400.109999999</v>
      </c>
      <c r="F9" s="23">
        <v>6.5378380106784428E-2</v>
      </c>
      <c r="G9" s="26">
        <v>2140645.08</v>
      </c>
      <c r="H9" t="s">
        <v>68</v>
      </c>
    </row>
    <row r="10" spans="1:24">
      <c r="A10" s="17" t="s">
        <v>364</v>
      </c>
      <c r="B10" s="21" t="s">
        <v>365</v>
      </c>
      <c r="C10" s="19" t="s">
        <v>74</v>
      </c>
      <c r="D10" s="20"/>
      <c r="E10" s="3">
        <v>40237484.840000004</v>
      </c>
      <c r="F10" s="24">
        <v>0.11860190265311819</v>
      </c>
      <c r="G10" s="26">
        <v>4772242.26</v>
      </c>
      <c r="H10" t="s">
        <v>68</v>
      </c>
    </row>
    <row r="11" spans="1:24">
      <c r="A11" s="15" t="s">
        <v>366</v>
      </c>
      <c r="B11" s="16" t="s">
        <v>367</v>
      </c>
      <c r="C11" s="15" t="s">
        <v>74</v>
      </c>
      <c r="D11" s="16"/>
      <c r="E11" s="2">
        <v>29275566.309999999</v>
      </c>
      <c r="F11" s="23">
        <v>7.6152324651649075E-2</v>
      </c>
      <c r="G11" s="26">
        <v>2229402.4300000002</v>
      </c>
      <c r="H11" t="s">
        <v>68</v>
      </c>
    </row>
    <row r="12" spans="1:24">
      <c r="A12" s="17" t="s">
        <v>368</v>
      </c>
      <c r="B12" s="21" t="s">
        <v>369</v>
      </c>
      <c r="C12" s="19" t="s">
        <v>74</v>
      </c>
      <c r="D12" s="20"/>
      <c r="E12" s="3">
        <v>42958715.689999998</v>
      </c>
      <c r="F12" s="24">
        <v>0.1262393608117664</v>
      </c>
      <c r="G12" s="26">
        <v>5423080.8099999996</v>
      </c>
      <c r="H12" t="s">
        <v>68</v>
      </c>
    </row>
    <row r="13" spans="1:24">
      <c r="A13" s="13" t="s">
        <v>370</v>
      </c>
      <c r="B13" s="14" t="s">
        <v>371</v>
      </c>
      <c r="C13" s="15" t="s">
        <v>74</v>
      </c>
      <c r="D13" s="16"/>
      <c r="E13" s="2">
        <v>26540939.359999999</v>
      </c>
      <c r="F13" s="23">
        <v>3.7347591453145916E-2</v>
      </c>
      <c r="G13" s="26">
        <v>991240.16</v>
      </c>
      <c r="H13" t="s">
        <v>68</v>
      </c>
    </row>
    <row r="14" spans="1:24">
      <c r="A14" s="19" t="s">
        <v>372</v>
      </c>
      <c r="B14" s="20" t="s">
        <v>373</v>
      </c>
      <c r="C14" s="19" t="s">
        <v>74</v>
      </c>
      <c r="D14" s="20"/>
      <c r="E14" s="3">
        <v>32237838.699999999</v>
      </c>
      <c r="F14" s="24">
        <v>1.7102645283723687E-2</v>
      </c>
      <c r="G14" s="26">
        <v>551352.31999999995</v>
      </c>
      <c r="H14" t="s">
        <v>68</v>
      </c>
    </row>
    <row r="15" spans="1:24">
      <c r="A15" s="13" t="s">
        <v>374</v>
      </c>
      <c r="B15" s="14" t="s">
        <v>587</v>
      </c>
      <c r="C15" s="15" t="s">
        <v>74</v>
      </c>
      <c r="D15" s="16"/>
      <c r="E15" s="2">
        <v>48210983.43</v>
      </c>
      <c r="F15" s="23">
        <v>5.0155960902787171E-2</v>
      </c>
      <c r="G15" s="26">
        <v>2418068.2000000002</v>
      </c>
      <c r="H15" t="s">
        <v>68</v>
      </c>
    </row>
    <row r="16" spans="1:24">
      <c r="A16" s="17" t="s">
        <v>588</v>
      </c>
      <c r="B16" s="21" t="s">
        <v>589</v>
      </c>
      <c r="C16" s="19" t="s">
        <v>74</v>
      </c>
      <c r="D16" s="20"/>
      <c r="E16" s="3">
        <v>15106600.300000001</v>
      </c>
      <c r="F16" s="24">
        <v>0.13684458507848388</v>
      </c>
      <c r="G16" s="26">
        <v>2067256.4500000002</v>
      </c>
      <c r="H16" t="s">
        <v>68</v>
      </c>
    </row>
    <row r="17" spans="1:8">
      <c r="A17" s="15" t="s">
        <v>590</v>
      </c>
      <c r="B17" s="16" t="s">
        <v>591</v>
      </c>
      <c r="C17" s="15" t="s">
        <v>74</v>
      </c>
      <c r="D17" s="16"/>
      <c r="E17" s="2">
        <v>22731351.550000001</v>
      </c>
      <c r="F17" s="23">
        <v>8.5735731362616668E-2</v>
      </c>
      <c r="G17" s="26">
        <v>1948889.05</v>
      </c>
      <c r="H17" t="s">
        <v>68</v>
      </c>
    </row>
    <row r="18" spans="1:8">
      <c r="A18" s="17" t="s">
        <v>592</v>
      </c>
      <c r="B18" s="18" t="s">
        <v>593</v>
      </c>
      <c r="C18" s="19" t="s">
        <v>74</v>
      </c>
      <c r="D18" s="20"/>
      <c r="E18" s="3">
        <v>19764606.469999999</v>
      </c>
      <c r="F18" s="24">
        <v>5.4916675505151107E-2</v>
      </c>
      <c r="G18" s="26">
        <v>1085406.48</v>
      </c>
      <c r="H18" t="s">
        <v>68</v>
      </c>
    </row>
    <row r="19" spans="1:8">
      <c r="A19" s="13" t="s">
        <v>594</v>
      </c>
      <c r="B19" s="22" t="s">
        <v>595</v>
      </c>
      <c r="C19" s="15" t="s">
        <v>74</v>
      </c>
      <c r="D19" s="16"/>
      <c r="E19" s="2">
        <v>10690220.98</v>
      </c>
      <c r="F19" s="23">
        <v>0.13026092094870803</v>
      </c>
      <c r="G19" s="26">
        <v>1392518.0300000003</v>
      </c>
      <c r="H19" t="s">
        <v>68</v>
      </c>
    </row>
    <row r="20" spans="1:8">
      <c r="A20" s="19" t="s">
        <v>596</v>
      </c>
      <c r="B20" s="20" t="s">
        <v>597</v>
      </c>
      <c r="C20" s="19" t="s">
        <v>74</v>
      </c>
      <c r="D20" s="20"/>
      <c r="E20" s="3">
        <v>90945144.790000007</v>
      </c>
      <c r="F20" s="24">
        <v>3.0696386667438281E-2</v>
      </c>
      <c r="G20" s="26">
        <v>2791687.33</v>
      </c>
      <c r="H20" t="s">
        <v>68</v>
      </c>
    </row>
    <row r="21" spans="1:8">
      <c r="A21" s="13" t="s">
        <v>598</v>
      </c>
      <c r="B21" s="22" t="s">
        <v>599</v>
      </c>
      <c r="C21" s="15" t="s">
        <v>74</v>
      </c>
      <c r="D21" s="16"/>
      <c r="E21" s="2">
        <v>31536525.390000001</v>
      </c>
      <c r="F21" s="23">
        <v>2.5942613521381341E-2</v>
      </c>
      <c r="G21" s="26">
        <v>818139.89</v>
      </c>
      <c r="H21" t="s">
        <v>68</v>
      </c>
    </row>
    <row r="22" spans="1:8">
      <c r="A22" s="17" t="s">
        <v>600</v>
      </c>
      <c r="B22" s="18" t="s">
        <v>601</v>
      </c>
      <c r="C22" s="19" t="s">
        <v>74</v>
      </c>
      <c r="D22" s="20"/>
      <c r="E22" s="3">
        <v>30994229.449999999</v>
      </c>
      <c r="F22" s="24">
        <v>5.9471241347476056E-2</v>
      </c>
      <c r="G22" s="26">
        <v>1843265.3</v>
      </c>
      <c r="H22" t="s">
        <v>68</v>
      </c>
    </row>
    <row r="23" spans="1:8">
      <c r="A23" s="15" t="s">
        <v>602</v>
      </c>
      <c r="B23" s="16" t="s">
        <v>603</v>
      </c>
      <c r="C23" s="15" t="s">
        <v>74</v>
      </c>
      <c r="D23" s="16"/>
      <c r="E23" s="2">
        <v>48468462.549999997</v>
      </c>
      <c r="F23" s="23">
        <v>2.8541140511171424E-2</v>
      </c>
      <c r="G23" s="26">
        <v>1383345.2</v>
      </c>
      <c r="H23" t="s">
        <v>68</v>
      </c>
    </row>
    <row r="24" spans="1:8">
      <c r="A24" s="17" t="s">
        <v>604</v>
      </c>
      <c r="B24" s="18" t="s">
        <v>605</v>
      </c>
      <c r="C24" s="19" t="s">
        <v>74</v>
      </c>
      <c r="D24" s="20"/>
      <c r="E24" s="3">
        <v>13468889.23</v>
      </c>
      <c r="F24" s="24">
        <v>3.3972185989980107E-2</v>
      </c>
      <c r="G24" s="26">
        <v>457567.61</v>
      </c>
      <c r="H24" t="s">
        <v>68</v>
      </c>
    </row>
    <row r="25" spans="1:8">
      <c r="A25" s="13" t="s">
        <v>606</v>
      </c>
      <c r="B25" s="14" t="s">
        <v>607</v>
      </c>
      <c r="C25" s="15" t="s">
        <v>74</v>
      </c>
      <c r="D25" s="16"/>
      <c r="E25" s="2">
        <v>59778905.079999998</v>
      </c>
      <c r="F25" s="23">
        <v>3.7531128865567372E-2</v>
      </c>
      <c r="G25" s="26">
        <v>2243569.79</v>
      </c>
      <c r="H25" t="s">
        <v>68</v>
      </c>
    </row>
    <row r="26" spans="1:8">
      <c r="A26" s="19" t="s">
        <v>608</v>
      </c>
      <c r="B26" s="20" t="s">
        <v>609</v>
      </c>
      <c r="C26" s="19" t="s">
        <v>74</v>
      </c>
      <c r="D26" s="20"/>
      <c r="E26" s="3">
        <v>18066404.300000001</v>
      </c>
      <c r="F26" s="24">
        <v>5.5069701390442143E-2</v>
      </c>
      <c r="G26" s="26">
        <v>994911.49</v>
      </c>
      <c r="H26" t="s">
        <v>68</v>
      </c>
    </row>
    <row r="27" spans="1:8">
      <c r="A27" s="13" t="s">
        <v>610</v>
      </c>
      <c r="B27" s="14" t="s">
        <v>611</v>
      </c>
      <c r="C27" s="15" t="s">
        <v>74</v>
      </c>
      <c r="D27" s="16"/>
      <c r="E27" s="2">
        <v>17173797.93</v>
      </c>
      <c r="F27" s="23">
        <v>0.13803985814103498</v>
      </c>
      <c r="G27" s="26">
        <v>2370668.63</v>
      </c>
      <c r="H27" t="s">
        <v>68</v>
      </c>
    </row>
    <row r="28" spans="1:8">
      <c r="A28" s="17" t="s">
        <v>612</v>
      </c>
      <c r="B28" s="21" t="s">
        <v>613</v>
      </c>
      <c r="C28" s="19" t="s">
        <v>74</v>
      </c>
      <c r="D28" s="20"/>
      <c r="E28" s="3">
        <v>20526336.670000002</v>
      </c>
      <c r="F28" s="24">
        <v>0.11677695092584679</v>
      </c>
      <c r="G28" s="26">
        <v>2397003.0099999998</v>
      </c>
      <c r="H28" t="s">
        <v>68</v>
      </c>
    </row>
    <row r="29" spans="1:8">
      <c r="A29" s="15" t="s">
        <v>614</v>
      </c>
      <c r="B29" s="16" t="s">
        <v>394</v>
      </c>
      <c r="C29" s="15" t="s">
        <v>74</v>
      </c>
      <c r="D29" s="16"/>
      <c r="E29" s="2">
        <v>13929004.85</v>
      </c>
      <c r="F29" s="23">
        <v>9.9601186512617235E-2</v>
      </c>
      <c r="G29" s="26">
        <v>1387345.41</v>
      </c>
      <c r="H29" t="s">
        <v>68</v>
      </c>
    </row>
    <row r="30" spans="1:8">
      <c r="A30" s="17" t="s">
        <v>395</v>
      </c>
      <c r="B30" s="21" t="s">
        <v>396</v>
      </c>
      <c r="C30" s="19" t="s">
        <v>74</v>
      </c>
      <c r="D30" s="20"/>
      <c r="E30" s="3">
        <v>116056861.73</v>
      </c>
      <c r="F30" s="24">
        <v>0.12826268208622532</v>
      </c>
      <c r="G30" s="26">
        <v>14885764.360000001</v>
      </c>
      <c r="H30" t="s">
        <v>68</v>
      </c>
    </row>
    <row r="31" spans="1:8">
      <c r="A31" s="13" t="s">
        <v>397</v>
      </c>
      <c r="B31" s="14" t="s">
        <v>398</v>
      </c>
      <c r="C31" s="15" t="s">
        <v>74</v>
      </c>
      <c r="D31" s="16"/>
      <c r="E31" s="2">
        <v>30424849.309999999</v>
      </c>
      <c r="F31" s="23">
        <v>9.0245510570122853E-2</v>
      </c>
      <c r="G31" s="26">
        <v>2745706.06</v>
      </c>
      <c r="H31" t="s">
        <v>68</v>
      </c>
    </row>
    <row r="32" spans="1:8">
      <c r="A32" s="19" t="s">
        <v>399</v>
      </c>
      <c r="B32" s="20" t="s">
        <v>400</v>
      </c>
      <c r="C32" s="19" t="s">
        <v>74</v>
      </c>
      <c r="D32" s="20"/>
      <c r="E32" s="3">
        <v>74911637.209999993</v>
      </c>
      <c r="F32" s="24">
        <v>3.5048050313463447E-2</v>
      </c>
      <c r="G32" s="26">
        <v>2625506.83</v>
      </c>
      <c r="H32" t="s">
        <v>68</v>
      </c>
    </row>
    <row r="33" spans="1:12">
      <c r="A33" s="13" t="s">
        <v>401</v>
      </c>
      <c r="B33" s="14" t="s">
        <v>402</v>
      </c>
      <c r="C33" s="15" t="s">
        <v>74</v>
      </c>
      <c r="D33" s="16"/>
      <c r="E33" s="2">
        <v>29309539.07</v>
      </c>
      <c r="F33" s="23">
        <v>9.3760617437099805E-2</v>
      </c>
      <c r="G33" s="26">
        <v>2748080.48</v>
      </c>
      <c r="H33" t="s">
        <v>68</v>
      </c>
    </row>
    <row r="34" spans="1:12">
      <c r="A34" s="17" t="s">
        <v>403</v>
      </c>
      <c r="B34" s="21" t="s">
        <v>404</v>
      </c>
      <c r="C34" s="19" t="s">
        <v>74</v>
      </c>
      <c r="D34" s="20"/>
      <c r="E34" s="3">
        <v>455397346.29000002</v>
      </c>
      <c r="F34" s="24">
        <v>0.14672282683318574</v>
      </c>
      <c r="G34" s="26">
        <v>66817185.979999997</v>
      </c>
      <c r="H34" t="s">
        <v>68</v>
      </c>
    </row>
    <row r="35" spans="1:12">
      <c r="A35" s="15" t="s">
        <v>405</v>
      </c>
      <c r="B35" s="16" t="s">
        <v>406</v>
      </c>
      <c r="C35" s="15" t="s">
        <v>74</v>
      </c>
      <c r="D35" s="16"/>
      <c r="E35" s="2">
        <v>22744503.600000001</v>
      </c>
      <c r="F35" s="23">
        <v>8.3682279177110713E-2</v>
      </c>
      <c r="G35" s="26">
        <v>1903311.8999999997</v>
      </c>
      <c r="H35" t="s">
        <v>68</v>
      </c>
    </row>
    <row r="36" spans="1:12">
      <c r="A36" s="17" t="s">
        <v>407</v>
      </c>
      <c r="B36" s="21" t="s">
        <v>408</v>
      </c>
      <c r="C36" s="19" t="s">
        <v>74</v>
      </c>
      <c r="D36" s="20"/>
      <c r="E36" s="3">
        <v>18569454.02</v>
      </c>
      <c r="F36" s="24">
        <v>9.3773746827694834E-2</v>
      </c>
      <c r="G36" s="26">
        <v>1741327.28</v>
      </c>
      <c r="H36" t="s">
        <v>68</v>
      </c>
    </row>
    <row r="37" spans="1:12">
      <c r="A37" s="70" t="s">
        <v>409</v>
      </c>
      <c r="B37" s="71" t="s">
        <v>410</v>
      </c>
      <c r="C37" s="72" t="s">
        <v>74</v>
      </c>
      <c r="D37" s="73"/>
      <c r="E37" s="74">
        <v>711491489.63</v>
      </c>
      <c r="F37" s="75">
        <v>0.1758276927599742</v>
      </c>
      <c r="G37" s="76">
        <v>125099907.04000001</v>
      </c>
      <c r="H37" s="67" t="s">
        <v>68</v>
      </c>
      <c r="I37" s="67"/>
      <c r="J37" s="67"/>
      <c r="K37" s="67"/>
      <c r="L37" s="67" t="s">
        <v>1814</v>
      </c>
    </row>
    <row r="38" spans="1:12">
      <c r="A38" s="19" t="s">
        <v>411</v>
      </c>
      <c r="B38" s="20" t="s">
        <v>412</v>
      </c>
      <c r="C38" s="19" t="s">
        <v>74</v>
      </c>
      <c r="D38" s="20"/>
      <c r="E38" s="3">
        <v>98409786.879999995</v>
      </c>
      <c r="F38" s="24">
        <v>5.9000841827653798E-2</v>
      </c>
      <c r="G38" s="26">
        <v>5806260.2699999996</v>
      </c>
      <c r="H38" t="s">
        <v>68</v>
      </c>
    </row>
    <row r="39" spans="1:12">
      <c r="A39" s="13" t="s">
        <v>413</v>
      </c>
      <c r="B39" s="14" t="s">
        <v>414</v>
      </c>
      <c r="C39" s="15" t="s">
        <v>74</v>
      </c>
      <c r="D39" s="16"/>
      <c r="E39" s="2">
        <v>696640716.53999996</v>
      </c>
      <c r="F39" s="23">
        <v>0.13690075629468892</v>
      </c>
      <c r="G39" s="26">
        <v>95370640.960000008</v>
      </c>
      <c r="H39" t="s">
        <v>68</v>
      </c>
    </row>
    <row r="40" spans="1:12">
      <c r="A40" s="17" t="s">
        <v>415</v>
      </c>
      <c r="B40" s="21" t="s">
        <v>416</v>
      </c>
      <c r="C40" s="19" t="s">
        <v>74</v>
      </c>
      <c r="D40" s="20"/>
      <c r="E40" s="3">
        <v>19640706.07</v>
      </c>
      <c r="F40" s="24">
        <v>0.13998619806237952</v>
      </c>
      <c r="G40" s="26">
        <v>2749427.77</v>
      </c>
      <c r="H40" t="s">
        <v>68</v>
      </c>
    </row>
    <row r="41" spans="1:12">
      <c r="A41" s="15" t="s">
        <v>417</v>
      </c>
      <c r="B41" s="16" t="s">
        <v>418</v>
      </c>
      <c r="C41" s="15" t="s">
        <v>74</v>
      </c>
      <c r="D41" s="16"/>
      <c r="E41" s="2">
        <v>16690161.66</v>
      </c>
      <c r="F41" s="23">
        <v>9.0898724704144049E-2</v>
      </c>
      <c r="G41" s="26">
        <v>1517114.41</v>
      </c>
      <c r="H41" t="s">
        <v>68</v>
      </c>
    </row>
    <row r="42" spans="1:12">
      <c r="A42" s="17" t="s">
        <v>419</v>
      </c>
      <c r="B42" s="21" t="s">
        <v>420</v>
      </c>
      <c r="C42" s="19" t="s">
        <v>74</v>
      </c>
      <c r="D42" s="20"/>
      <c r="E42" s="3">
        <v>46276611.859999999</v>
      </c>
      <c r="F42" s="24">
        <v>2.352559438218129E-2</v>
      </c>
      <c r="G42" s="26">
        <v>1088684.8</v>
      </c>
      <c r="H42" t="s">
        <v>68</v>
      </c>
    </row>
    <row r="43" spans="1:12">
      <c r="A43" s="70" t="s">
        <v>421</v>
      </c>
      <c r="B43" s="71" t="s">
        <v>422</v>
      </c>
      <c r="C43" s="72" t="s">
        <v>74</v>
      </c>
      <c r="D43" s="73"/>
      <c r="E43" s="74">
        <v>209025743.63999999</v>
      </c>
      <c r="F43" s="75">
        <v>0.16178209315806361</v>
      </c>
      <c r="G43" s="76">
        <v>33816622.329999998</v>
      </c>
      <c r="H43" s="67" t="s">
        <v>68</v>
      </c>
      <c r="I43" s="67"/>
      <c r="J43" s="67"/>
      <c r="K43" s="67"/>
      <c r="L43" s="67" t="s">
        <v>1812</v>
      </c>
    </row>
    <row r="44" spans="1:12">
      <c r="A44" s="19" t="s">
        <v>423</v>
      </c>
      <c r="B44" s="20" t="s">
        <v>424</v>
      </c>
      <c r="C44" s="19" t="s">
        <v>74</v>
      </c>
      <c r="D44" s="20"/>
      <c r="E44" s="3">
        <v>14444274.01</v>
      </c>
      <c r="F44" s="24">
        <v>3.6445203797404284E-2</v>
      </c>
      <c r="G44" s="26">
        <v>526424.51</v>
      </c>
      <c r="H44" t="s">
        <v>68</v>
      </c>
    </row>
    <row r="45" spans="1:12">
      <c r="A45" s="13" t="s">
        <v>425</v>
      </c>
      <c r="B45" s="14" t="s">
        <v>426</v>
      </c>
      <c r="C45" s="15" t="s">
        <v>74</v>
      </c>
      <c r="D45" s="16"/>
      <c r="E45" s="2">
        <v>22578644.68</v>
      </c>
      <c r="F45" s="23">
        <v>7.3589053441802957E-2</v>
      </c>
      <c r="G45" s="26">
        <v>1661541.09</v>
      </c>
      <c r="H45" t="s">
        <v>68</v>
      </c>
    </row>
    <row r="46" spans="1:12">
      <c r="A46" s="17" t="s">
        <v>427</v>
      </c>
      <c r="B46" s="21" t="s">
        <v>428</v>
      </c>
      <c r="C46" s="19" t="s">
        <v>74</v>
      </c>
      <c r="D46" s="20"/>
      <c r="E46" s="3">
        <v>40689416.700000003</v>
      </c>
      <c r="F46" s="24">
        <v>5.9497551853575727E-2</v>
      </c>
      <c r="G46" s="26">
        <v>2420920.6800000002</v>
      </c>
      <c r="H46" t="s">
        <v>68</v>
      </c>
    </row>
    <row r="47" spans="1:12">
      <c r="A47" s="15" t="s">
        <v>429</v>
      </c>
      <c r="B47" s="16" t="s">
        <v>430</v>
      </c>
      <c r="C47" s="15" t="s">
        <v>74</v>
      </c>
      <c r="D47" s="16"/>
      <c r="E47" s="2">
        <v>9189823.3000000007</v>
      </c>
      <c r="F47" s="23">
        <v>7.1652723725384351E-2</v>
      </c>
      <c r="G47" s="26">
        <v>658475.87</v>
      </c>
      <c r="H47" t="s">
        <v>68</v>
      </c>
    </row>
    <row r="48" spans="1:12">
      <c r="A48" s="17" t="s">
        <v>431</v>
      </c>
      <c r="B48" s="18" t="s">
        <v>432</v>
      </c>
      <c r="C48" s="19" t="s">
        <v>74</v>
      </c>
      <c r="D48" s="20"/>
      <c r="E48" s="3">
        <v>20473083.920000002</v>
      </c>
      <c r="F48" s="24">
        <v>6.4359534945920338E-2</v>
      </c>
      <c r="G48" s="26">
        <v>1317638.1599999999</v>
      </c>
      <c r="H48" t="s">
        <v>68</v>
      </c>
    </row>
    <row r="49" spans="1:8">
      <c r="A49" s="13" t="s">
        <v>433</v>
      </c>
      <c r="B49" s="22" t="s">
        <v>434</v>
      </c>
      <c r="C49" s="15" t="s">
        <v>74</v>
      </c>
      <c r="D49" s="16"/>
      <c r="E49" s="2">
        <v>57785808.520000003</v>
      </c>
      <c r="F49" s="23">
        <v>0.16136870312669635</v>
      </c>
      <c r="G49" s="26">
        <v>9324820.9800000004</v>
      </c>
      <c r="H49" t="s">
        <v>68</v>
      </c>
    </row>
    <row r="50" spans="1:8">
      <c r="A50" s="19" t="s">
        <v>435</v>
      </c>
      <c r="B50" s="20" t="s">
        <v>436</v>
      </c>
      <c r="C50" s="19" t="s">
        <v>74</v>
      </c>
      <c r="D50" s="20"/>
      <c r="E50" s="3">
        <v>25065118.539999999</v>
      </c>
      <c r="F50" s="24">
        <v>0.12549031296143234</v>
      </c>
      <c r="G50" s="26">
        <v>3145429.57</v>
      </c>
      <c r="H50" t="s">
        <v>68</v>
      </c>
    </row>
    <row r="51" spans="1:8">
      <c r="A51" s="13" t="s">
        <v>437</v>
      </c>
      <c r="B51" s="22" t="s">
        <v>438</v>
      </c>
      <c r="C51" s="15" t="s">
        <v>74</v>
      </c>
      <c r="D51" s="16"/>
      <c r="E51" s="2">
        <v>10582408.880000001</v>
      </c>
      <c r="F51" s="23">
        <v>9.2790758808782667E-2</v>
      </c>
      <c r="G51" s="26">
        <v>981949.75</v>
      </c>
      <c r="H51" t="s">
        <v>68</v>
      </c>
    </row>
    <row r="52" spans="1:8">
      <c r="A52" s="17" t="s">
        <v>439</v>
      </c>
      <c r="B52" s="18" t="s">
        <v>440</v>
      </c>
      <c r="C52" s="19" t="s">
        <v>74</v>
      </c>
      <c r="D52" s="20"/>
      <c r="E52" s="3">
        <v>19925240.859999999</v>
      </c>
      <c r="F52" s="24">
        <v>5.4123953009017733E-2</v>
      </c>
      <c r="G52" s="26">
        <v>1078432.8</v>
      </c>
      <c r="H52" t="s">
        <v>68</v>
      </c>
    </row>
    <row r="53" spans="1:8">
      <c r="A53" s="15" t="s">
        <v>441</v>
      </c>
      <c r="B53" s="16" t="s">
        <v>442</v>
      </c>
      <c r="C53" s="15" t="s">
        <v>74</v>
      </c>
      <c r="D53" s="16"/>
      <c r="E53" s="2">
        <v>76055634</v>
      </c>
      <c r="F53" s="23">
        <v>9.7685357405606535E-2</v>
      </c>
      <c r="G53" s="26">
        <v>7429521.79</v>
      </c>
      <c r="H53" t="s">
        <v>68</v>
      </c>
    </row>
    <row r="54" spans="1:8">
      <c r="A54" s="17" t="s">
        <v>443</v>
      </c>
      <c r="B54" s="18" t="s">
        <v>444</v>
      </c>
      <c r="C54" s="19" t="s">
        <v>74</v>
      </c>
      <c r="D54" s="20"/>
      <c r="E54" s="3">
        <v>75583917.049999997</v>
      </c>
      <c r="F54" s="24">
        <v>7.1132661415832243E-2</v>
      </c>
      <c r="G54" s="26">
        <v>5376485.1799999997</v>
      </c>
      <c r="H54" t="s">
        <v>68</v>
      </c>
    </row>
    <row r="55" spans="1:8">
      <c r="A55" s="13" t="s">
        <v>445</v>
      </c>
      <c r="B55" s="22" t="s">
        <v>446</v>
      </c>
      <c r="C55" s="15" t="s">
        <v>74</v>
      </c>
      <c r="D55" s="16"/>
      <c r="E55" s="2">
        <v>40189558.159999996</v>
      </c>
      <c r="F55" s="23">
        <v>0.11816503010791</v>
      </c>
      <c r="G55" s="26">
        <v>4749000.3499999996</v>
      </c>
      <c r="H55" t="s">
        <v>68</v>
      </c>
    </row>
    <row r="56" spans="1:8">
      <c r="A56" s="19" t="s">
        <v>447</v>
      </c>
      <c r="B56" s="20" t="s">
        <v>448</v>
      </c>
      <c r="C56" s="19" t="s">
        <v>74</v>
      </c>
      <c r="D56" s="20"/>
      <c r="E56" s="3">
        <v>21089156.25</v>
      </c>
      <c r="F56" s="24">
        <v>3.6224509930310747E-2</v>
      </c>
      <c r="G56" s="26">
        <v>763944.35</v>
      </c>
      <c r="H56" t="s">
        <v>68</v>
      </c>
    </row>
    <row r="57" spans="1:8">
      <c r="A57" s="13" t="s">
        <v>449</v>
      </c>
      <c r="B57" s="22" t="s">
        <v>450</v>
      </c>
      <c r="C57" s="15" t="s">
        <v>74</v>
      </c>
      <c r="D57" s="16"/>
      <c r="E57" s="2">
        <v>59118390</v>
      </c>
      <c r="F57" s="23">
        <v>6.6302088233458317E-2</v>
      </c>
      <c r="G57" s="26">
        <v>3919672.71</v>
      </c>
      <c r="H57" t="s">
        <v>68</v>
      </c>
    </row>
    <row r="58" spans="1:8">
      <c r="A58" s="17" t="s">
        <v>451</v>
      </c>
      <c r="B58" s="18" t="s">
        <v>452</v>
      </c>
      <c r="C58" s="19" t="s">
        <v>74</v>
      </c>
      <c r="D58" s="20"/>
      <c r="E58" s="3">
        <v>23926241.140000001</v>
      </c>
      <c r="F58" s="24">
        <v>0.12207857778031239</v>
      </c>
      <c r="G58" s="26">
        <v>2920881.49</v>
      </c>
      <c r="H58" t="s">
        <v>68</v>
      </c>
    </row>
    <row r="59" spans="1:8">
      <c r="A59" s="15" t="s">
        <v>453</v>
      </c>
      <c r="B59" s="16" t="s">
        <v>454</v>
      </c>
      <c r="C59" s="15" t="s">
        <v>74</v>
      </c>
      <c r="D59" s="16"/>
      <c r="E59" s="2">
        <v>28030840.309999999</v>
      </c>
      <c r="F59" s="23">
        <v>6.1652098934168557E-2</v>
      </c>
      <c r="G59" s="26">
        <v>1728160.14</v>
      </c>
      <c r="H59" t="s">
        <v>68</v>
      </c>
    </row>
    <row r="60" spans="1:8">
      <c r="A60" s="17" t="s">
        <v>455</v>
      </c>
      <c r="B60" s="18" t="s">
        <v>456</v>
      </c>
      <c r="C60" s="19" t="s">
        <v>74</v>
      </c>
      <c r="D60" s="20"/>
      <c r="E60" s="3">
        <v>38039247.960000001</v>
      </c>
      <c r="F60" s="24">
        <v>0.10274993301944343</v>
      </c>
      <c r="G60" s="26">
        <v>3908530.1800000006</v>
      </c>
      <c r="H60" t="s">
        <v>68</v>
      </c>
    </row>
    <row r="61" spans="1:8">
      <c r="A61" s="13" t="s">
        <v>457</v>
      </c>
      <c r="B61" s="22" t="s">
        <v>458</v>
      </c>
      <c r="C61" s="15" t="s">
        <v>74</v>
      </c>
      <c r="D61" s="16"/>
      <c r="E61" s="2">
        <v>17359661.91</v>
      </c>
      <c r="F61" s="23">
        <v>9.7937571527278666E-2</v>
      </c>
      <c r="G61" s="26">
        <v>1700163.13</v>
      </c>
      <c r="H61" t="s">
        <v>68</v>
      </c>
    </row>
    <row r="62" spans="1:8">
      <c r="A62" s="19" t="s">
        <v>459</v>
      </c>
      <c r="B62" s="20" t="s">
        <v>460</v>
      </c>
      <c r="C62" s="19" t="s">
        <v>74</v>
      </c>
      <c r="D62" s="20"/>
      <c r="E62" s="3">
        <v>20089693.66</v>
      </c>
      <c r="F62" s="24">
        <v>0.11387506045226575</v>
      </c>
      <c r="G62" s="26">
        <v>2287715.08</v>
      </c>
      <c r="H62" t="s">
        <v>68</v>
      </c>
    </row>
    <row r="63" spans="1:8">
      <c r="A63" s="13" t="s">
        <v>461</v>
      </c>
      <c r="B63" s="22" t="s">
        <v>462</v>
      </c>
      <c r="C63" s="15" t="s">
        <v>74</v>
      </c>
      <c r="D63" s="16"/>
      <c r="E63" s="2">
        <v>36662718.210000001</v>
      </c>
      <c r="F63" s="23">
        <v>0.11026620603644544</v>
      </c>
      <c r="G63" s="26">
        <v>4042658.8400000003</v>
      </c>
      <c r="H63" t="s">
        <v>68</v>
      </c>
    </row>
    <row r="64" spans="1:8">
      <c r="A64" s="17" t="s">
        <v>463</v>
      </c>
      <c r="B64" s="18" t="s">
        <v>464</v>
      </c>
      <c r="C64" s="19" t="s">
        <v>74</v>
      </c>
      <c r="D64" s="20"/>
      <c r="E64" s="3">
        <v>23166627.800000001</v>
      </c>
      <c r="F64" s="24">
        <v>7.4959928781693469E-2</v>
      </c>
      <c r="G64" s="26">
        <v>1736568.77</v>
      </c>
      <c r="H64" t="s">
        <v>68</v>
      </c>
    </row>
    <row r="65" spans="1:8">
      <c r="A65" s="15" t="s">
        <v>465</v>
      </c>
      <c r="B65" s="16" t="s">
        <v>466</v>
      </c>
      <c r="C65" s="15" t="s">
        <v>74</v>
      </c>
      <c r="D65" s="16"/>
      <c r="E65" s="2">
        <v>15469545.689999999</v>
      </c>
      <c r="F65" s="23">
        <v>0.11028973792700954</v>
      </c>
      <c r="G65" s="26">
        <v>1706132.14</v>
      </c>
      <c r="H65" t="s">
        <v>68</v>
      </c>
    </row>
    <row r="66" spans="1:8">
      <c r="A66" s="17" t="s">
        <v>467</v>
      </c>
      <c r="B66" s="18" t="s">
        <v>468</v>
      </c>
      <c r="C66" s="19" t="s">
        <v>74</v>
      </c>
      <c r="D66" s="20"/>
      <c r="E66" s="3">
        <v>15099765.460000001</v>
      </c>
      <c r="F66" s="24">
        <v>2.8857120407219886E-2</v>
      </c>
      <c r="G66" s="26">
        <v>435735.75</v>
      </c>
      <c r="H66" t="s">
        <v>68</v>
      </c>
    </row>
    <row r="67" spans="1:8">
      <c r="A67" s="13" t="s">
        <v>469</v>
      </c>
      <c r="B67" s="22" t="s">
        <v>470</v>
      </c>
      <c r="C67" s="15" t="s">
        <v>74</v>
      </c>
      <c r="D67" s="16"/>
      <c r="E67" s="2">
        <v>41071987.07</v>
      </c>
      <c r="F67" s="23">
        <v>5.8188219039094075E-2</v>
      </c>
      <c r="G67" s="26">
        <v>2389905.7799999998</v>
      </c>
      <c r="H67" t="s">
        <v>68</v>
      </c>
    </row>
    <row r="68" spans="1:8">
      <c r="A68" s="19" t="s">
        <v>471</v>
      </c>
      <c r="B68" s="20" t="s">
        <v>472</v>
      </c>
      <c r="C68" s="19" t="s">
        <v>74</v>
      </c>
      <c r="D68" s="20"/>
      <c r="E68" s="3">
        <v>26477148.899999999</v>
      </c>
      <c r="F68" s="24">
        <v>6.8510278687899065E-2</v>
      </c>
      <c r="G68" s="26">
        <v>1813956.85</v>
      </c>
      <c r="H68" t="s">
        <v>68</v>
      </c>
    </row>
    <row r="69" spans="1:8">
      <c r="A69" s="13" t="s">
        <v>473</v>
      </c>
      <c r="B69" s="22" t="s">
        <v>474</v>
      </c>
      <c r="C69" s="15" t="s">
        <v>74</v>
      </c>
      <c r="D69" s="16"/>
      <c r="E69" s="2">
        <v>81616180.319999993</v>
      </c>
      <c r="F69" s="23">
        <v>0.12574891669470867</v>
      </c>
      <c r="G69" s="26">
        <v>10263146.26</v>
      </c>
      <c r="H69" t="s">
        <v>68</v>
      </c>
    </row>
    <row r="70" spans="1:8">
      <c r="A70" s="17" t="s">
        <v>475</v>
      </c>
      <c r="B70" s="18" t="s">
        <v>476</v>
      </c>
      <c r="C70" s="19" t="s">
        <v>74</v>
      </c>
      <c r="D70" s="20"/>
      <c r="E70" s="3">
        <v>13853473.76</v>
      </c>
      <c r="F70" s="24">
        <v>5.0134740356991885E-2</v>
      </c>
      <c r="G70" s="26">
        <v>694540.31</v>
      </c>
      <c r="H70" t="s">
        <v>68</v>
      </c>
    </row>
    <row r="71" spans="1:8">
      <c r="A71" s="15" t="s">
        <v>477</v>
      </c>
      <c r="B71" s="16" t="s">
        <v>478</v>
      </c>
      <c r="C71" s="15" t="s">
        <v>74</v>
      </c>
      <c r="D71" s="16"/>
      <c r="E71" s="2">
        <v>23627362.699999999</v>
      </c>
      <c r="F71" s="23">
        <v>0.10904056465006991</v>
      </c>
      <c r="G71" s="26">
        <v>2576340.9700000002</v>
      </c>
      <c r="H71" t="s">
        <v>68</v>
      </c>
    </row>
    <row r="72" spans="1:8">
      <c r="A72" s="17" t="s">
        <v>479</v>
      </c>
      <c r="B72" s="21" t="s">
        <v>698</v>
      </c>
      <c r="C72" s="19" t="s">
        <v>74</v>
      </c>
      <c r="D72" s="20"/>
      <c r="E72" s="3">
        <v>15874233.560000001</v>
      </c>
      <c r="F72" s="24">
        <v>3.807029912441328E-2</v>
      </c>
      <c r="G72" s="26">
        <v>604336.81999999995</v>
      </c>
      <c r="H72" t="s">
        <v>68</v>
      </c>
    </row>
    <row r="73" spans="1:8">
      <c r="A73" s="13" t="s">
        <v>699</v>
      </c>
      <c r="B73" s="14" t="s">
        <v>700</v>
      </c>
      <c r="C73" s="15" t="s">
        <v>74</v>
      </c>
      <c r="D73" s="16"/>
      <c r="E73" s="2">
        <v>14026612.189999999</v>
      </c>
      <c r="F73" s="23">
        <v>0.12048577283721137</v>
      </c>
      <c r="G73" s="26">
        <v>1690007.21</v>
      </c>
      <c r="H73" t="s">
        <v>68</v>
      </c>
    </row>
    <row r="74" spans="1:8">
      <c r="A74" s="19" t="s">
        <v>701</v>
      </c>
      <c r="B74" s="20" t="s">
        <v>702</v>
      </c>
      <c r="C74" s="19" t="s">
        <v>74</v>
      </c>
      <c r="D74" s="20"/>
      <c r="E74" s="3">
        <v>21876566.219999999</v>
      </c>
      <c r="F74" s="24">
        <v>8.588452644283405E-2</v>
      </c>
      <c r="G74" s="26">
        <v>1878858.53</v>
      </c>
      <c r="H74" t="s">
        <v>68</v>
      </c>
    </row>
    <row r="75" spans="1:8">
      <c r="A75" s="13" t="s">
        <v>703</v>
      </c>
      <c r="B75" s="14" t="s">
        <v>704</v>
      </c>
      <c r="C75" s="15" t="s">
        <v>74</v>
      </c>
      <c r="D75" s="16"/>
      <c r="E75" s="2">
        <v>42683193.149999999</v>
      </c>
      <c r="F75" s="23">
        <v>6.178377284783812E-2</v>
      </c>
      <c r="G75" s="26">
        <v>2637128.71</v>
      </c>
      <c r="H75" t="s">
        <v>68</v>
      </c>
    </row>
    <row r="76" spans="1:8">
      <c r="A76" s="17" t="s">
        <v>705</v>
      </c>
      <c r="B76" s="21" t="s">
        <v>706</v>
      </c>
      <c r="C76" s="19" t="s">
        <v>74</v>
      </c>
      <c r="D76" s="20"/>
      <c r="E76" s="3">
        <v>17829259.850000001</v>
      </c>
      <c r="F76" s="24">
        <v>7.7128952158942249E-2</v>
      </c>
      <c r="G76" s="26">
        <v>1375152.13</v>
      </c>
      <c r="H76" t="s">
        <v>68</v>
      </c>
    </row>
    <row r="77" spans="1:8">
      <c r="A77" s="15" t="s">
        <v>707</v>
      </c>
      <c r="B77" s="16" t="s">
        <v>708</v>
      </c>
      <c r="C77" s="15" t="s">
        <v>74</v>
      </c>
      <c r="D77" s="16"/>
      <c r="E77" s="2">
        <v>76561330.579999998</v>
      </c>
      <c r="F77" s="23">
        <v>4.2873662789469247E-2</v>
      </c>
      <c r="G77" s="26">
        <v>3282464.67</v>
      </c>
      <c r="H77" t="s">
        <v>68</v>
      </c>
    </row>
    <row r="78" spans="1:8">
      <c r="A78" s="17" t="s">
        <v>709</v>
      </c>
      <c r="B78" s="21" t="s">
        <v>710</v>
      </c>
      <c r="C78" s="19" t="s">
        <v>74</v>
      </c>
      <c r="D78" s="20"/>
      <c r="E78" s="3">
        <v>70620348.269999996</v>
      </c>
      <c r="F78" s="24">
        <v>6.2356095486301687E-2</v>
      </c>
      <c r="G78" s="26">
        <v>4403609.18</v>
      </c>
      <c r="H78" t="s">
        <v>68</v>
      </c>
    </row>
    <row r="79" spans="1:8">
      <c r="A79" s="13" t="s">
        <v>711</v>
      </c>
      <c r="B79" s="14" t="s">
        <v>712</v>
      </c>
      <c r="C79" s="15" t="s">
        <v>74</v>
      </c>
      <c r="D79" s="16"/>
      <c r="E79" s="2">
        <v>52975437.609999999</v>
      </c>
      <c r="F79" s="23">
        <v>7.1883082269832338E-2</v>
      </c>
      <c r="G79" s="26">
        <v>3808037.74</v>
      </c>
      <c r="H79" t="s">
        <v>68</v>
      </c>
    </row>
    <row r="80" spans="1:8">
      <c r="A80" s="19" t="s">
        <v>713</v>
      </c>
      <c r="B80" s="20" t="s">
        <v>714</v>
      </c>
      <c r="C80" s="19" t="s">
        <v>74</v>
      </c>
      <c r="D80" s="20"/>
      <c r="E80" s="3">
        <v>41493644.530000001</v>
      </c>
      <c r="F80" s="24">
        <v>4.8631966241023755E-2</v>
      </c>
      <c r="G80" s="26">
        <v>2017917.52</v>
      </c>
      <c r="H80" t="s">
        <v>68</v>
      </c>
    </row>
    <row r="81" spans="1:8">
      <c r="A81" s="13" t="s">
        <v>715</v>
      </c>
      <c r="B81" s="14" t="s">
        <v>716</v>
      </c>
      <c r="C81" s="15" t="s">
        <v>74</v>
      </c>
      <c r="D81" s="16"/>
      <c r="E81" s="2">
        <v>49260092.880000003</v>
      </c>
      <c r="F81" s="23">
        <v>0.14113468841677101</v>
      </c>
      <c r="G81" s="26">
        <v>6952307.8600000003</v>
      </c>
      <c r="H81" t="s">
        <v>68</v>
      </c>
    </row>
    <row r="82" spans="1:8">
      <c r="A82" s="17" t="s">
        <v>717</v>
      </c>
      <c r="B82" s="21" t="s">
        <v>718</v>
      </c>
      <c r="C82" s="19" t="s">
        <v>74</v>
      </c>
      <c r="D82" s="20"/>
      <c r="E82" s="3">
        <v>8226898.5700000003</v>
      </c>
      <c r="F82" s="24">
        <v>0.1174328237767492</v>
      </c>
      <c r="G82" s="26">
        <v>966107.93</v>
      </c>
      <c r="H82" t="s">
        <v>68</v>
      </c>
    </row>
    <row r="83" spans="1:8">
      <c r="A83" s="15" t="s">
        <v>719</v>
      </c>
      <c r="B83" s="16" t="s">
        <v>720</v>
      </c>
      <c r="C83" s="15" t="s">
        <v>74</v>
      </c>
      <c r="D83" s="16"/>
      <c r="E83" s="2">
        <v>34721668.590000004</v>
      </c>
      <c r="F83" s="23">
        <v>9.4046666609232776E-2</v>
      </c>
      <c r="G83" s="26">
        <v>3265457.19</v>
      </c>
      <c r="H83" t="s">
        <v>68</v>
      </c>
    </row>
    <row r="84" spans="1:8">
      <c r="A84" s="17" t="s">
        <v>721</v>
      </c>
      <c r="B84" s="21" t="s">
        <v>722</v>
      </c>
      <c r="C84" s="19" t="s">
        <v>74</v>
      </c>
      <c r="D84" s="20"/>
      <c r="E84" s="3">
        <v>19308312.82</v>
      </c>
      <c r="F84" s="24">
        <v>7.7524687628299976E-2</v>
      </c>
      <c r="G84" s="26">
        <v>1496870.92</v>
      </c>
      <c r="H84" t="s">
        <v>68</v>
      </c>
    </row>
    <row r="85" spans="1:8">
      <c r="A85" s="13" t="s">
        <v>723</v>
      </c>
      <c r="B85" s="14" t="s">
        <v>724</v>
      </c>
      <c r="C85" s="15" t="s">
        <v>74</v>
      </c>
      <c r="D85" s="16"/>
      <c r="E85" s="2">
        <v>96160434.400000006</v>
      </c>
      <c r="F85" s="23">
        <v>0.14905863154045818</v>
      </c>
      <c r="G85" s="26">
        <v>14333542.76</v>
      </c>
      <c r="H85" t="s">
        <v>68</v>
      </c>
    </row>
    <row r="86" spans="1:8">
      <c r="A86" s="19" t="s">
        <v>725</v>
      </c>
      <c r="B86" s="20" t="s">
        <v>726</v>
      </c>
      <c r="C86" s="19" t="s">
        <v>74</v>
      </c>
      <c r="D86" s="20"/>
      <c r="E86" s="3">
        <v>36156785.460000001</v>
      </c>
      <c r="F86" s="24">
        <v>3.5456735539122236E-2</v>
      </c>
      <c r="G86" s="26">
        <v>1282001.58</v>
      </c>
      <c r="H86" t="s">
        <v>68</v>
      </c>
    </row>
    <row r="87" spans="1:8">
      <c r="A87" s="13" t="s">
        <v>727</v>
      </c>
      <c r="B87" s="14" t="s">
        <v>500</v>
      </c>
      <c r="C87" s="15" t="s">
        <v>74</v>
      </c>
      <c r="D87" s="16"/>
      <c r="E87" s="2">
        <v>14710622.18</v>
      </c>
      <c r="F87" s="23">
        <v>2.7914221096527407E-2</v>
      </c>
      <c r="G87" s="26">
        <v>410635.56</v>
      </c>
      <c r="H87" t="s">
        <v>68</v>
      </c>
    </row>
    <row r="88" spans="1:8">
      <c r="A88" s="17" t="s">
        <v>501</v>
      </c>
      <c r="B88" s="21" t="s">
        <v>502</v>
      </c>
      <c r="C88" s="19" t="s">
        <v>74</v>
      </c>
      <c r="D88" s="20"/>
      <c r="E88" s="3">
        <v>58910923.350000001</v>
      </c>
      <c r="F88" s="24">
        <v>0.15065439676222625</v>
      </c>
      <c r="G88" s="26">
        <v>8875189.6199999992</v>
      </c>
      <c r="H88" t="s">
        <v>68</v>
      </c>
    </row>
    <row r="89" spans="1:8">
      <c r="A89" s="15" t="s">
        <v>503</v>
      </c>
      <c r="B89" s="16" t="s">
        <v>504</v>
      </c>
      <c r="C89" s="15" t="s">
        <v>74</v>
      </c>
      <c r="D89" s="16"/>
      <c r="E89" s="2">
        <v>40643249.810000002</v>
      </c>
      <c r="F89" s="23">
        <v>4.8972901756253524E-2</v>
      </c>
      <c r="G89" s="26">
        <v>1990417.88</v>
      </c>
      <c r="H89" t="s">
        <v>68</v>
      </c>
    </row>
    <row r="90" spans="1:8">
      <c r="A90" s="17" t="s">
        <v>505</v>
      </c>
      <c r="B90" s="21" t="s">
        <v>506</v>
      </c>
      <c r="C90" s="19" t="s">
        <v>74</v>
      </c>
      <c r="D90" s="20"/>
      <c r="E90" s="3">
        <v>18373364.68</v>
      </c>
      <c r="F90" s="24">
        <v>2.8330937695185399E-2</v>
      </c>
      <c r="G90" s="26">
        <v>520534.65</v>
      </c>
      <c r="H90" t="s">
        <v>68</v>
      </c>
    </row>
    <row r="91" spans="1:8">
      <c r="A91" s="13" t="s">
        <v>507</v>
      </c>
      <c r="B91" s="14" t="s">
        <v>508</v>
      </c>
      <c r="C91" s="15" t="s">
        <v>74</v>
      </c>
      <c r="D91" s="16"/>
      <c r="E91" s="2">
        <v>23936041.170000002</v>
      </c>
      <c r="F91" s="23">
        <v>9.8249787560839144E-2</v>
      </c>
      <c r="G91" s="26">
        <v>2351710.96</v>
      </c>
      <c r="H91" t="s">
        <v>68</v>
      </c>
    </row>
    <row r="92" spans="1:8">
      <c r="A92" s="19" t="s">
        <v>509</v>
      </c>
      <c r="B92" s="20" t="s">
        <v>510</v>
      </c>
      <c r="C92" s="19" t="s">
        <v>74</v>
      </c>
      <c r="D92" s="20"/>
      <c r="E92" s="3">
        <v>51512424.140000001</v>
      </c>
      <c r="F92" s="24">
        <v>0.14195783293222433</v>
      </c>
      <c r="G92" s="26">
        <v>7312592.0999999996</v>
      </c>
      <c r="H92" t="s">
        <v>68</v>
      </c>
    </row>
    <row r="93" spans="1:8">
      <c r="A93" s="13" t="s">
        <v>511</v>
      </c>
      <c r="B93" s="14" t="s">
        <v>512</v>
      </c>
      <c r="C93" s="15" t="s">
        <v>74</v>
      </c>
      <c r="D93" s="16"/>
      <c r="E93" s="2">
        <v>13163817.859999999</v>
      </c>
      <c r="F93" s="23">
        <v>0.10225334734310887</v>
      </c>
      <c r="G93" s="26">
        <v>1346044.44</v>
      </c>
      <c r="H93" t="s">
        <v>68</v>
      </c>
    </row>
    <row r="94" spans="1:8">
      <c r="A94" s="17" t="s">
        <v>513</v>
      </c>
      <c r="B94" s="21" t="s">
        <v>514</v>
      </c>
      <c r="C94" s="19" t="s">
        <v>74</v>
      </c>
      <c r="D94" s="20"/>
      <c r="E94" s="3">
        <v>44372272.600000001</v>
      </c>
      <c r="F94" s="24">
        <v>9.520773655393075E-2</v>
      </c>
      <c r="G94" s="26">
        <v>4224583.6399999997</v>
      </c>
      <c r="H94" t="s">
        <v>68</v>
      </c>
    </row>
    <row r="95" spans="1:8">
      <c r="A95" s="15" t="s">
        <v>515</v>
      </c>
      <c r="B95" s="16" t="s">
        <v>516</v>
      </c>
      <c r="C95" s="15" t="s">
        <v>74</v>
      </c>
      <c r="D95" s="16"/>
      <c r="E95" s="2">
        <v>29412593.77</v>
      </c>
      <c r="F95" s="23">
        <v>3.9410997175717631E-2</v>
      </c>
      <c r="G95" s="26">
        <v>1159179.6499999999</v>
      </c>
      <c r="H95" t="s">
        <v>68</v>
      </c>
    </row>
    <row r="96" spans="1:8">
      <c r="A96" s="17" t="s">
        <v>517</v>
      </c>
      <c r="B96" s="21" t="s">
        <v>518</v>
      </c>
      <c r="C96" s="19" t="s">
        <v>74</v>
      </c>
      <c r="D96" s="20"/>
      <c r="E96" s="3">
        <v>57068526.289999999</v>
      </c>
      <c r="F96" s="24">
        <v>3.7177187110433087E-2</v>
      </c>
      <c r="G96" s="26">
        <v>2121647.2799999998</v>
      </c>
      <c r="H96" t="s">
        <v>68</v>
      </c>
    </row>
    <row r="97" spans="1:8">
      <c r="A97" s="13" t="s">
        <v>519</v>
      </c>
      <c r="B97" s="14" t="s">
        <v>520</v>
      </c>
      <c r="C97" s="15" t="s">
        <v>74</v>
      </c>
      <c r="D97" s="16"/>
      <c r="E97" s="2">
        <v>72055843.319999993</v>
      </c>
      <c r="F97" s="23">
        <v>3.3971139705203858E-2</v>
      </c>
      <c r="G97" s="26">
        <v>2447819.12</v>
      </c>
      <c r="H97" t="s">
        <v>68</v>
      </c>
    </row>
    <row r="98" spans="1:8">
      <c r="A98" s="19" t="s">
        <v>521</v>
      </c>
      <c r="B98" s="20" t="s">
        <v>522</v>
      </c>
      <c r="C98" s="19" t="s">
        <v>74</v>
      </c>
      <c r="D98" s="20"/>
      <c r="E98" s="3">
        <v>45020045.18</v>
      </c>
      <c r="F98" s="24">
        <v>5.1756831000141619E-2</v>
      </c>
      <c r="G98" s="26">
        <v>2330094.87</v>
      </c>
      <c r="H98" t="s">
        <v>68</v>
      </c>
    </row>
    <row r="99" spans="1:8">
      <c r="A99" s="13" t="s">
        <v>523</v>
      </c>
      <c r="B99" s="14" t="s">
        <v>524</v>
      </c>
      <c r="C99" s="15" t="s">
        <v>74</v>
      </c>
      <c r="D99" s="16"/>
      <c r="E99" s="2">
        <v>73804848.060000002</v>
      </c>
      <c r="F99" s="23">
        <v>0.12481360509693325</v>
      </c>
      <c r="G99" s="26">
        <v>9211849.1600000001</v>
      </c>
      <c r="H99" t="s">
        <v>68</v>
      </c>
    </row>
    <row r="100" spans="1:8">
      <c r="A100" s="17" t="s">
        <v>525</v>
      </c>
      <c r="B100" s="21" t="s">
        <v>526</v>
      </c>
      <c r="C100" s="19" t="s">
        <v>74</v>
      </c>
      <c r="D100" s="20"/>
      <c r="E100" s="3">
        <v>36891760.259999998</v>
      </c>
      <c r="F100" s="24">
        <v>9.6882536230598393E-2</v>
      </c>
      <c r="G100" s="26">
        <v>3574167.3</v>
      </c>
      <c r="H100" t="s">
        <v>68</v>
      </c>
    </row>
    <row r="101" spans="1:8">
      <c r="A101" s="15" t="s">
        <v>527</v>
      </c>
      <c r="B101" s="16" t="s">
        <v>528</v>
      </c>
      <c r="C101" s="15" t="s">
        <v>74</v>
      </c>
      <c r="D101" s="16"/>
      <c r="E101" s="2">
        <v>32994182.260000002</v>
      </c>
      <c r="F101" s="23">
        <v>7.6632437502938119E-2</v>
      </c>
      <c r="G101" s="26">
        <v>2528424.61</v>
      </c>
      <c r="H101" t="s">
        <v>68</v>
      </c>
    </row>
    <row r="102" spans="1:8">
      <c r="A102" s="17" t="s">
        <v>529</v>
      </c>
      <c r="B102" s="21" t="s">
        <v>530</v>
      </c>
      <c r="C102" s="19" t="s">
        <v>74</v>
      </c>
      <c r="D102" s="20"/>
      <c r="E102" s="3">
        <v>22351853.690000001</v>
      </c>
      <c r="F102" s="24">
        <v>5.3135145588902609E-2</v>
      </c>
      <c r="G102" s="26">
        <v>1187669</v>
      </c>
      <c r="H102" t="s">
        <v>68</v>
      </c>
    </row>
    <row r="103" spans="1:8">
      <c r="A103" s="13" t="s">
        <v>531</v>
      </c>
      <c r="B103" s="14" t="s">
        <v>532</v>
      </c>
      <c r="C103" s="15" t="s">
        <v>74</v>
      </c>
      <c r="D103" s="16"/>
      <c r="E103" s="2">
        <v>12780852.82</v>
      </c>
      <c r="F103" s="23">
        <v>0.12996406682664546</v>
      </c>
      <c r="G103" s="26">
        <v>1661051.61</v>
      </c>
      <c r="H103" t="s">
        <v>68</v>
      </c>
    </row>
    <row r="104" spans="1:8">
      <c r="A104" s="19" t="s">
        <v>533</v>
      </c>
      <c r="B104" s="20" t="s">
        <v>534</v>
      </c>
      <c r="C104" s="19" t="s">
        <v>74</v>
      </c>
      <c r="D104" s="20"/>
      <c r="E104" s="3">
        <v>57361223.560000002</v>
      </c>
      <c r="F104" s="24">
        <v>0.11830245536694056</v>
      </c>
      <c r="G104" s="26">
        <v>6785973.5899999999</v>
      </c>
      <c r="H104" t="s">
        <v>68</v>
      </c>
    </row>
    <row r="105" spans="1:8">
      <c r="A105" s="13" t="s">
        <v>535</v>
      </c>
      <c r="B105" s="14" t="s">
        <v>536</v>
      </c>
      <c r="C105" s="15" t="s">
        <v>74</v>
      </c>
      <c r="D105" s="16"/>
      <c r="E105" s="2">
        <v>5129057.97</v>
      </c>
      <c r="F105" s="23">
        <v>0.1873008641389951</v>
      </c>
      <c r="G105" s="26">
        <v>960676.99</v>
      </c>
      <c r="H105" t="s">
        <v>68</v>
      </c>
    </row>
    <row r="106" spans="1:8">
      <c r="A106" s="17" t="s">
        <v>537</v>
      </c>
      <c r="B106" s="21" t="s">
        <v>538</v>
      </c>
      <c r="C106" s="19" t="s">
        <v>74</v>
      </c>
      <c r="D106" s="20"/>
      <c r="E106" s="3">
        <v>17066835.41</v>
      </c>
      <c r="F106" s="24">
        <v>0.14204186023728693</v>
      </c>
      <c r="G106" s="26">
        <v>2424205.0499999998</v>
      </c>
      <c r="H106" t="s">
        <v>68</v>
      </c>
    </row>
    <row r="107" spans="1:8">
      <c r="A107" s="15" t="s">
        <v>539</v>
      </c>
      <c r="B107" s="16" t="s">
        <v>540</v>
      </c>
      <c r="C107" s="15" t="s">
        <v>74</v>
      </c>
      <c r="D107" s="16"/>
      <c r="E107" s="2">
        <v>21884074.739999998</v>
      </c>
      <c r="F107" s="23">
        <v>7.2039846725546322E-2</v>
      </c>
      <c r="G107" s="26">
        <v>1576525.39</v>
      </c>
      <c r="H107" t="s">
        <v>68</v>
      </c>
    </row>
    <row r="108" spans="1:8">
      <c r="A108" s="17" t="s">
        <v>541</v>
      </c>
      <c r="B108" s="21" t="s">
        <v>542</v>
      </c>
      <c r="C108" s="19" t="s">
        <v>74</v>
      </c>
      <c r="D108" s="20"/>
      <c r="E108" s="3">
        <v>24556246.600000001</v>
      </c>
      <c r="F108" s="24">
        <v>8.5111153754254931E-2</v>
      </c>
      <c r="G108" s="26">
        <v>2090010.48</v>
      </c>
      <c r="H108" t="s">
        <v>68</v>
      </c>
    </row>
    <row r="109" spans="1:8">
      <c r="A109" s="13" t="s">
        <v>543</v>
      </c>
      <c r="B109" s="14" t="s">
        <v>544</v>
      </c>
      <c r="C109" s="15" t="s">
        <v>74</v>
      </c>
      <c r="D109" s="16"/>
      <c r="E109" s="2">
        <v>39180647.719999999</v>
      </c>
      <c r="F109" s="23">
        <v>4.0371213393508444E-2</v>
      </c>
      <c r="G109" s="26">
        <v>1581770.29</v>
      </c>
      <c r="H109" t="s">
        <v>68</v>
      </c>
    </row>
    <row r="110" spans="1:8">
      <c r="A110" s="19" t="s">
        <v>545</v>
      </c>
      <c r="B110" s="20" t="s">
        <v>546</v>
      </c>
      <c r="C110" s="19" t="s">
        <v>74</v>
      </c>
      <c r="D110" s="20"/>
      <c r="E110" s="3">
        <v>13193535.550000001</v>
      </c>
      <c r="F110" s="24">
        <v>9.1399520274912202E-2</v>
      </c>
      <c r="G110" s="26">
        <v>1205882.82</v>
      </c>
      <c r="H110" t="s">
        <v>68</v>
      </c>
    </row>
    <row r="111" spans="1:8">
      <c r="A111" s="13" t="s">
        <v>547</v>
      </c>
      <c r="B111" s="14" t="s">
        <v>548</v>
      </c>
      <c r="C111" s="15" t="s">
        <v>74</v>
      </c>
      <c r="D111" s="16"/>
      <c r="E111" s="2">
        <v>47012029.640000001</v>
      </c>
      <c r="F111" s="23">
        <v>3.4958780818125937E-2</v>
      </c>
      <c r="G111" s="26">
        <v>1643483.24</v>
      </c>
      <c r="H111" t="s">
        <v>68</v>
      </c>
    </row>
    <row r="112" spans="1:8">
      <c r="A112" s="17" t="s">
        <v>549</v>
      </c>
      <c r="B112" s="21" t="s">
        <v>550</v>
      </c>
      <c r="C112" s="19" t="s">
        <v>74</v>
      </c>
      <c r="D112" s="20"/>
      <c r="E112" s="3">
        <v>28915368.539999999</v>
      </c>
      <c r="F112" s="24">
        <v>4.6180929983747669E-2</v>
      </c>
      <c r="G112" s="26">
        <v>1335338.6100000001</v>
      </c>
      <c r="H112" t="s">
        <v>68</v>
      </c>
    </row>
    <row r="113" spans="1:8">
      <c r="A113" s="15" t="s">
        <v>551</v>
      </c>
      <c r="B113" s="16" t="s">
        <v>552</v>
      </c>
      <c r="C113" s="15" t="s">
        <v>74</v>
      </c>
      <c r="D113" s="16"/>
      <c r="E113" s="2">
        <v>40362051.030000001</v>
      </c>
      <c r="F113" s="23">
        <v>3.1157143106163895E-2</v>
      </c>
      <c r="G113" s="26">
        <v>1257566.2</v>
      </c>
      <c r="H113" t="s">
        <v>68</v>
      </c>
    </row>
    <row r="114" spans="1:8">
      <c r="A114" s="17" t="s">
        <v>553</v>
      </c>
      <c r="B114" s="21" t="s">
        <v>554</v>
      </c>
      <c r="C114" s="19" t="s">
        <v>74</v>
      </c>
      <c r="D114" s="20"/>
      <c r="E114" s="3">
        <v>21012866.27</v>
      </c>
      <c r="F114" s="24">
        <v>4.6926974517884273E-2</v>
      </c>
      <c r="G114" s="26">
        <v>986070.24</v>
      </c>
      <c r="H114" t="s">
        <v>68</v>
      </c>
    </row>
    <row r="115" spans="1:8">
      <c r="A115" s="13" t="s">
        <v>555</v>
      </c>
      <c r="B115" s="14" t="s">
        <v>556</v>
      </c>
      <c r="C115" s="15" t="s">
        <v>74</v>
      </c>
      <c r="D115" s="16"/>
      <c r="E115" s="2">
        <v>24246755.640000001</v>
      </c>
      <c r="F115" s="23">
        <v>7.6291891066379389E-2</v>
      </c>
      <c r="G115" s="26">
        <v>1849830.84</v>
      </c>
      <c r="H115" t="s">
        <v>68</v>
      </c>
    </row>
    <row r="116" spans="1:8">
      <c r="A116" s="19" t="s">
        <v>557</v>
      </c>
      <c r="B116" s="20" t="s">
        <v>558</v>
      </c>
      <c r="C116" s="19" t="s">
        <v>74</v>
      </c>
      <c r="D116" s="20"/>
      <c r="E116" s="3">
        <v>25937598.300000001</v>
      </c>
      <c r="F116" s="24">
        <v>7.6108004186339798E-2</v>
      </c>
      <c r="G116" s="26">
        <v>1974058.84</v>
      </c>
      <c r="H116" t="s">
        <v>68</v>
      </c>
    </row>
    <row r="117" spans="1:8">
      <c r="A117" s="13" t="s">
        <v>559</v>
      </c>
      <c r="B117" s="14" t="s">
        <v>560</v>
      </c>
      <c r="C117" s="15" t="s">
        <v>74</v>
      </c>
      <c r="D117" s="16"/>
      <c r="E117" s="2">
        <v>20491756.620000001</v>
      </c>
      <c r="F117" s="23">
        <v>1.6042796920550193E-2</v>
      </c>
      <c r="G117" s="26">
        <v>328745.09000000003</v>
      </c>
      <c r="H117" t="s">
        <v>68</v>
      </c>
    </row>
    <row r="118" spans="1:8">
      <c r="A118" s="17" t="s">
        <v>561</v>
      </c>
      <c r="B118" s="21" t="s">
        <v>562</v>
      </c>
      <c r="C118" s="19" t="s">
        <v>74</v>
      </c>
      <c r="D118" s="20"/>
      <c r="E118" s="3">
        <v>12459999.630000001</v>
      </c>
      <c r="F118" s="24">
        <v>5.2098422092810279E-2</v>
      </c>
      <c r="G118" s="26">
        <v>649146.31999999995</v>
      </c>
      <c r="H118" t="s">
        <v>68</v>
      </c>
    </row>
    <row r="119" spans="1:8">
      <c r="A119" s="15" t="s">
        <v>563</v>
      </c>
      <c r="B119" s="16" t="s">
        <v>564</v>
      </c>
      <c r="C119" s="15" t="s">
        <v>74</v>
      </c>
      <c r="D119" s="16"/>
      <c r="E119" s="2">
        <v>40828774.039999999</v>
      </c>
      <c r="F119" s="23">
        <v>3.7348181175023101E-2</v>
      </c>
      <c r="G119" s="26">
        <v>1524880.45</v>
      </c>
      <c r="H119" t="s">
        <v>68</v>
      </c>
    </row>
    <row r="120" spans="1:8">
      <c r="A120" s="17" t="s">
        <v>565</v>
      </c>
      <c r="B120" s="21" t="s">
        <v>566</v>
      </c>
      <c r="C120" s="19" t="s">
        <v>74</v>
      </c>
      <c r="D120" s="20"/>
      <c r="E120" s="3">
        <v>14640334.039999999</v>
      </c>
      <c r="F120" s="24">
        <v>6.5133786387294765E-2</v>
      </c>
      <c r="G120" s="26">
        <v>953580.39000000013</v>
      </c>
      <c r="H120" t="s">
        <v>68</v>
      </c>
    </row>
    <row r="121" spans="1:8">
      <c r="A121" s="13" t="s">
        <v>567</v>
      </c>
      <c r="B121" s="14" t="s">
        <v>568</v>
      </c>
      <c r="C121" s="15" t="s">
        <v>74</v>
      </c>
      <c r="D121" s="16"/>
      <c r="E121" s="2">
        <v>34479909.659999996</v>
      </c>
      <c r="F121" s="23">
        <v>9.9972817910219558E-2</v>
      </c>
      <c r="G121" s="26">
        <v>3447053.73</v>
      </c>
      <c r="H121" t="s">
        <v>68</v>
      </c>
    </row>
    <row r="122" spans="1:8">
      <c r="A122" s="19" t="s">
        <v>569</v>
      </c>
      <c r="B122" s="20" t="s">
        <v>570</v>
      </c>
      <c r="C122" s="19" t="s">
        <v>74</v>
      </c>
      <c r="D122" s="20"/>
      <c r="E122" s="3">
        <v>131863712.38</v>
      </c>
      <c r="F122" s="24">
        <v>4.8380359727894381E-2</v>
      </c>
      <c r="G122" s="26">
        <v>6379613.8399999999</v>
      </c>
      <c r="H122" t="s">
        <v>68</v>
      </c>
    </row>
    <row r="123" spans="1:8">
      <c r="A123" s="13" t="s">
        <v>571</v>
      </c>
      <c r="B123" s="14" t="s">
        <v>572</v>
      </c>
      <c r="C123" s="15" t="s">
        <v>74</v>
      </c>
      <c r="D123" s="16"/>
      <c r="E123" s="2">
        <v>30273810.760000002</v>
      </c>
      <c r="F123" s="23">
        <v>0.11146791551127473</v>
      </c>
      <c r="G123" s="26">
        <v>3374558.58</v>
      </c>
      <c r="H123" t="s">
        <v>68</v>
      </c>
    </row>
    <row r="124" spans="1:8">
      <c r="A124" s="17" t="s">
        <v>573</v>
      </c>
      <c r="B124" s="21" t="s">
        <v>574</v>
      </c>
      <c r="C124" s="19" t="s">
        <v>74</v>
      </c>
      <c r="D124" s="20"/>
      <c r="E124" s="3">
        <v>20651056.600000001</v>
      </c>
      <c r="F124" s="24">
        <v>5.7382391271931329E-2</v>
      </c>
      <c r="G124" s="26">
        <v>1185007.01</v>
      </c>
      <c r="H124" t="s">
        <v>68</v>
      </c>
    </row>
    <row r="125" spans="1:8">
      <c r="A125" s="15" t="s">
        <v>575</v>
      </c>
      <c r="B125" s="16" t="s">
        <v>576</v>
      </c>
      <c r="C125" s="15" t="s">
        <v>74</v>
      </c>
      <c r="D125" s="16"/>
      <c r="E125" s="2">
        <v>24194654.350000001</v>
      </c>
      <c r="F125" s="23">
        <v>0.14630808313242136</v>
      </c>
      <c r="G125" s="26">
        <v>3539873.5</v>
      </c>
      <c r="H125" t="s">
        <v>68</v>
      </c>
    </row>
    <row r="126" spans="1:8">
      <c r="A126" s="17" t="s">
        <v>577</v>
      </c>
      <c r="B126" s="21" t="s">
        <v>578</v>
      </c>
      <c r="C126" s="19" t="s">
        <v>74</v>
      </c>
      <c r="D126" s="20"/>
      <c r="E126" s="3">
        <v>84352399.329999998</v>
      </c>
      <c r="F126" s="24">
        <v>4.4393596266895895E-2</v>
      </c>
      <c r="G126" s="26">
        <v>3744706.36</v>
      </c>
      <c r="H126" t="s">
        <v>68</v>
      </c>
    </row>
    <row r="127" spans="1:8">
      <c r="A127" s="13" t="s">
        <v>579</v>
      </c>
      <c r="B127" s="14" t="s">
        <v>580</v>
      </c>
      <c r="C127" s="15" t="s">
        <v>74</v>
      </c>
      <c r="D127" s="16"/>
      <c r="E127" s="2">
        <v>31303731.359999999</v>
      </c>
      <c r="F127" s="23">
        <v>7.3797969431590477E-2</v>
      </c>
      <c r="G127" s="26">
        <v>2310151.81</v>
      </c>
      <c r="H127" t="s">
        <v>68</v>
      </c>
    </row>
    <row r="128" spans="1:8">
      <c r="A128" s="19" t="s">
        <v>581</v>
      </c>
      <c r="B128" s="20" t="s">
        <v>582</v>
      </c>
      <c r="C128" s="19" t="s">
        <v>74</v>
      </c>
      <c r="D128" s="20"/>
      <c r="E128" s="3">
        <v>13825564.310000001</v>
      </c>
      <c r="F128" s="24">
        <v>4.8810623918757068E-2</v>
      </c>
      <c r="G128" s="26">
        <v>674834.42</v>
      </c>
      <c r="H128" t="s">
        <v>68</v>
      </c>
    </row>
    <row r="129" spans="1:8">
      <c r="A129" s="13" t="s">
        <v>583</v>
      </c>
      <c r="B129" s="14" t="s">
        <v>584</v>
      </c>
      <c r="C129" s="15" t="s">
        <v>74</v>
      </c>
      <c r="D129" s="16"/>
      <c r="E129" s="2">
        <v>28094671.059999999</v>
      </c>
      <c r="F129" s="23">
        <v>3.289838624649126E-2</v>
      </c>
      <c r="G129" s="26">
        <v>924269.34</v>
      </c>
      <c r="H129" t="s">
        <v>68</v>
      </c>
    </row>
    <row r="130" spans="1:8">
      <c r="A130" s="17" t="s">
        <v>585</v>
      </c>
      <c r="B130" s="21" t="s">
        <v>586</v>
      </c>
      <c r="C130" s="19" t="s">
        <v>74</v>
      </c>
      <c r="D130" s="20"/>
      <c r="E130" s="3">
        <v>13418512.42</v>
      </c>
      <c r="F130" s="24">
        <v>0.12269400425833492</v>
      </c>
      <c r="G130" s="26">
        <v>1646371.02</v>
      </c>
      <c r="H130" t="s">
        <v>68</v>
      </c>
    </row>
    <row r="131" spans="1:8">
      <c r="A131" s="15" t="s">
        <v>794</v>
      </c>
      <c r="B131" s="16" t="s">
        <v>795</v>
      </c>
      <c r="C131" s="15" t="s">
        <v>74</v>
      </c>
      <c r="D131" s="16"/>
      <c r="E131" s="2">
        <v>21120455.260000002</v>
      </c>
      <c r="F131" s="23">
        <v>5.639599266857849E-2</v>
      </c>
      <c r="G131" s="26">
        <v>1191109.04</v>
      </c>
      <c r="H131" t="s">
        <v>68</v>
      </c>
    </row>
    <row r="132" spans="1:8">
      <c r="A132" s="17" t="s">
        <v>796</v>
      </c>
      <c r="B132" s="21" t="s">
        <v>797</v>
      </c>
      <c r="C132" s="19" t="s">
        <v>74</v>
      </c>
      <c r="D132" s="20"/>
      <c r="E132" s="3">
        <v>19408406.780000001</v>
      </c>
      <c r="F132" s="24">
        <v>8.8275874955667022E-2</v>
      </c>
      <c r="G132" s="26">
        <v>1713294.09</v>
      </c>
      <c r="H132" t="s">
        <v>68</v>
      </c>
    </row>
    <row r="133" spans="1:8">
      <c r="A133" s="13" t="s">
        <v>798</v>
      </c>
      <c r="B133" s="14" t="s">
        <v>799</v>
      </c>
      <c r="C133" s="15" t="s">
        <v>74</v>
      </c>
      <c r="D133" s="16"/>
      <c r="E133" s="2">
        <v>46150474.909999996</v>
      </c>
      <c r="F133" s="23">
        <v>0.15069448155327769</v>
      </c>
      <c r="G133" s="26">
        <v>6954621.8899999997</v>
      </c>
      <c r="H133" t="s">
        <v>68</v>
      </c>
    </row>
    <row r="134" spans="1:8">
      <c r="A134" s="19" t="s">
        <v>800</v>
      </c>
      <c r="B134" s="20" t="s">
        <v>801</v>
      </c>
      <c r="C134" s="19" t="s">
        <v>74</v>
      </c>
      <c r="D134" s="20"/>
      <c r="E134" s="3">
        <v>85527257.239999995</v>
      </c>
      <c r="F134" s="24">
        <v>3.1747508544329887E-2</v>
      </c>
      <c r="G134" s="26">
        <v>2715277.33</v>
      </c>
      <c r="H134" t="s">
        <v>68</v>
      </c>
    </row>
    <row r="135" spans="1:8">
      <c r="A135" s="13" t="s">
        <v>802</v>
      </c>
      <c r="B135" s="14" t="s">
        <v>803</v>
      </c>
      <c r="C135" s="15" t="s">
        <v>74</v>
      </c>
      <c r="D135" s="16"/>
      <c r="E135" s="2">
        <v>20263659.73</v>
      </c>
      <c r="F135" s="23">
        <v>3.58105411198592E-2</v>
      </c>
      <c r="G135" s="26">
        <v>725652.62</v>
      </c>
      <c r="H135" t="s">
        <v>68</v>
      </c>
    </row>
    <row r="136" spans="1:8">
      <c r="A136" s="17" t="s">
        <v>804</v>
      </c>
      <c r="B136" s="21" t="s">
        <v>805</v>
      </c>
      <c r="C136" s="19" t="s">
        <v>74</v>
      </c>
      <c r="D136" s="20"/>
      <c r="E136" s="3">
        <v>16900481.82</v>
      </c>
      <c r="F136" s="24">
        <v>7.7389532081399551E-2</v>
      </c>
      <c r="G136" s="26">
        <v>1307920.3799999999</v>
      </c>
      <c r="H136" t="s">
        <v>68</v>
      </c>
    </row>
    <row r="137" spans="1:8">
      <c r="A137" s="15" t="s">
        <v>806</v>
      </c>
      <c r="B137" s="16" t="s">
        <v>807</v>
      </c>
      <c r="C137" s="15" t="s">
        <v>74</v>
      </c>
      <c r="D137" s="16"/>
      <c r="E137" s="2">
        <v>32586362.199999999</v>
      </c>
      <c r="F137" s="23">
        <v>8.1245743042775112E-2</v>
      </c>
      <c r="G137" s="26">
        <v>2647503.21</v>
      </c>
      <c r="H137" t="s">
        <v>68</v>
      </c>
    </row>
    <row r="138" spans="1:8">
      <c r="A138" s="17" t="s">
        <v>808</v>
      </c>
      <c r="B138" s="21" t="s">
        <v>809</v>
      </c>
      <c r="C138" s="19" t="s">
        <v>74</v>
      </c>
      <c r="D138" s="20"/>
      <c r="E138" s="3">
        <v>55166502.920000002</v>
      </c>
      <c r="F138" s="24">
        <v>4.7850095443389036E-2</v>
      </c>
      <c r="G138" s="26">
        <v>2639722.4300000002</v>
      </c>
      <c r="H138" t="s">
        <v>68</v>
      </c>
    </row>
    <row r="139" spans="1:8">
      <c r="A139" s="13" t="s">
        <v>810</v>
      </c>
      <c r="B139" s="14" t="s">
        <v>811</v>
      </c>
      <c r="C139" s="15" t="s">
        <v>74</v>
      </c>
      <c r="D139" s="16"/>
      <c r="E139" s="2">
        <v>202297280.97999999</v>
      </c>
      <c r="F139" s="23">
        <v>8.5435991261339397E-2</v>
      </c>
      <c r="G139" s="26">
        <v>17283468.73</v>
      </c>
      <c r="H139" t="s">
        <v>68</v>
      </c>
    </row>
    <row r="140" spans="1:8">
      <c r="A140" s="19" t="s">
        <v>812</v>
      </c>
      <c r="B140" s="20" t="s">
        <v>813</v>
      </c>
      <c r="C140" s="19" t="s">
        <v>74</v>
      </c>
      <c r="D140" s="20"/>
      <c r="E140" s="3">
        <v>85308539.040000007</v>
      </c>
      <c r="F140" s="24">
        <v>0.14672152917929046</v>
      </c>
      <c r="G140" s="26">
        <v>12516599.300000001</v>
      </c>
      <c r="H140" t="s">
        <v>68</v>
      </c>
    </row>
    <row r="141" spans="1:8">
      <c r="A141" s="13" t="s">
        <v>814</v>
      </c>
      <c r="B141" s="22" t="s">
        <v>815</v>
      </c>
      <c r="C141" s="15" t="s">
        <v>74</v>
      </c>
      <c r="D141" s="16"/>
      <c r="E141" s="2">
        <v>20436271.66</v>
      </c>
      <c r="F141" s="23">
        <v>0.12719657642288359</v>
      </c>
      <c r="G141" s="26">
        <v>2599423.79</v>
      </c>
      <c r="H141" t="s">
        <v>68</v>
      </c>
    </row>
    <row r="142" spans="1:8">
      <c r="A142" s="17" t="s">
        <v>816</v>
      </c>
      <c r="B142" s="18" t="s">
        <v>817</v>
      </c>
      <c r="C142" s="19" t="s">
        <v>74</v>
      </c>
      <c r="D142" s="20"/>
      <c r="E142" s="3">
        <v>51093954</v>
      </c>
      <c r="F142" s="24">
        <v>3.4762716348004694E-2</v>
      </c>
      <c r="G142" s="26">
        <v>1776164.63</v>
      </c>
      <c r="H142" t="s">
        <v>68</v>
      </c>
    </row>
    <row r="143" spans="1:8">
      <c r="A143" s="15" t="s">
        <v>818</v>
      </c>
      <c r="B143" s="16" t="s">
        <v>819</v>
      </c>
      <c r="C143" s="15" t="s">
        <v>74</v>
      </c>
      <c r="D143" s="16"/>
      <c r="E143" s="2">
        <v>68330395.480000004</v>
      </c>
      <c r="F143" s="23">
        <v>2.8454585786337087E-2</v>
      </c>
      <c r="G143" s="26">
        <v>1944313.1</v>
      </c>
      <c r="H143" t="s">
        <v>68</v>
      </c>
    </row>
    <row r="144" spans="1:8">
      <c r="A144" s="17" t="s">
        <v>615</v>
      </c>
      <c r="B144" s="18" t="s">
        <v>616</v>
      </c>
      <c r="C144" s="19" t="s">
        <v>74</v>
      </c>
      <c r="D144" s="20"/>
      <c r="E144" s="3">
        <v>16790640.850000001</v>
      </c>
      <c r="F144" s="24">
        <v>9.4266403774576596E-2</v>
      </c>
      <c r="G144" s="26">
        <v>1582793.33</v>
      </c>
      <c r="H144" t="s">
        <v>68</v>
      </c>
    </row>
    <row r="145" spans="1:8">
      <c r="A145" s="13" t="s">
        <v>617</v>
      </c>
      <c r="B145" s="22" t="s">
        <v>618</v>
      </c>
      <c r="C145" s="15" t="s">
        <v>74</v>
      </c>
      <c r="D145" s="16"/>
      <c r="E145" s="2">
        <v>77458918.129999995</v>
      </c>
      <c r="F145" s="23">
        <v>2.5560651992029056E-2</v>
      </c>
      <c r="G145" s="26">
        <v>1979900.45</v>
      </c>
      <c r="H145" t="s">
        <v>68</v>
      </c>
    </row>
    <row r="146" spans="1:8">
      <c r="A146" s="19" t="s">
        <v>619</v>
      </c>
      <c r="B146" s="20" t="s">
        <v>620</v>
      </c>
      <c r="C146" s="19" t="s">
        <v>74</v>
      </c>
      <c r="D146" s="20"/>
      <c r="E146" s="3">
        <v>77115712.599999994</v>
      </c>
      <c r="F146" s="24">
        <v>3.2633255858676977E-2</v>
      </c>
      <c r="G146" s="26">
        <v>2516536.7799999998</v>
      </c>
      <c r="H146" t="s">
        <v>68</v>
      </c>
    </row>
    <row r="147" spans="1:8">
      <c r="A147" s="13" t="s">
        <v>621</v>
      </c>
      <c r="B147" s="22" t="s">
        <v>622</v>
      </c>
      <c r="C147" s="15" t="s">
        <v>74</v>
      </c>
      <c r="D147" s="16"/>
      <c r="E147" s="2">
        <v>24037651.84</v>
      </c>
      <c r="F147" s="23">
        <v>2.9409331023907533E-2</v>
      </c>
      <c r="G147" s="26">
        <v>706931.26</v>
      </c>
      <c r="H147" t="s">
        <v>68</v>
      </c>
    </row>
    <row r="148" spans="1:8">
      <c r="A148" s="17" t="s">
        <v>623</v>
      </c>
      <c r="B148" s="18" t="s">
        <v>624</v>
      </c>
      <c r="C148" s="19" t="s">
        <v>74</v>
      </c>
      <c r="D148" s="20"/>
      <c r="E148" s="3">
        <v>24575565.170000002</v>
      </c>
      <c r="F148" s="24">
        <v>8.4247962383686648E-2</v>
      </c>
      <c r="G148" s="26">
        <v>2070441.2899999998</v>
      </c>
      <c r="H148" t="s">
        <v>68</v>
      </c>
    </row>
    <row r="149" spans="1:8">
      <c r="A149" s="15" t="s">
        <v>625</v>
      </c>
      <c r="B149" s="16" t="s">
        <v>626</v>
      </c>
      <c r="C149" s="15" t="s">
        <v>74</v>
      </c>
      <c r="D149" s="16"/>
      <c r="E149" s="2">
        <v>338500277</v>
      </c>
      <c r="F149" s="23">
        <v>0.14138337195511363</v>
      </c>
      <c r="G149" s="26">
        <v>47858310.57</v>
      </c>
      <c r="H149" t="s">
        <v>68</v>
      </c>
    </row>
    <row r="150" spans="1:8">
      <c r="A150" s="17" t="s">
        <v>627</v>
      </c>
      <c r="B150" s="18" t="s">
        <v>628</v>
      </c>
      <c r="C150" s="19" t="s">
        <v>74</v>
      </c>
      <c r="D150" s="20"/>
      <c r="E150" s="3">
        <v>7265312.5</v>
      </c>
      <c r="F150" s="24">
        <v>7.3472355112047832E-2</v>
      </c>
      <c r="G150" s="26">
        <v>533799.62</v>
      </c>
      <c r="H150" t="s">
        <v>68</v>
      </c>
    </row>
    <row r="151" spans="1:8">
      <c r="A151" s="13" t="s">
        <v>629</v>
      </c>
      <c r="B151" s="22" t="s">
        <v>630</v>
      </c>
      <c r="C151" s="15" t="s">
        <v>74</v>
      </c>
      <c r="D151" s="16"/>
      <c r="E151" s="2">
        <v>37318535.93</v>
      </c>
      <c r="F151" s="23">
        <v>7.0973231505333592E-2</v>
      </c>
      <c r="G151" s="26">
        <v>2648617.09</v>
      </c>
      <c r="H151" t="s">
        <v>68</v>
      </c>
    </row>
    <row r="152" spans="1:8">
      <c r="A152" s="19" t="s">
        <v>631</v>
      </c>
      <c r="B152" s="20" t="s">
        <v>632</v>
      </c>
      <c r="C152" s="19" t="s">
        <v>74</v>
      </c>
      <c r="D152" s="20"/>
      <c r="E152" s="3">
        <v>71551821.780000001</v>
      </c>
      <c r="F152" s="24">
        <v>2.5222787975252584E-2</v>
      </c>
      <c r="G152" s="26">
        <v>1804736.43</v>
      </c>
      <c r="H152" t="s">
        <v>68</v>
      </c>
    </row>
    <row r="153" spans="1:8">
      <c r="A153" s="13" t="s">
        <v>633</v>
      </c>
      <c r="B153" s="22" t="s">
        <v>634</v>
      </c>
      <c r="C153" s="15" t="s">
        <v>74</v>
      </c>
      <c r="D153" s="16"/>
      <c r="E153" s="2">
        <v>21097366.870000001</v>
      </c>
      <c r="F153" s="23">
        <v>8.3462995209316368E-2</v>
      </c>
      <c r="G153" s="26">
        <v>1760849.43</v>
      </c>
      <c r="H153" t="s">
        <v>68</v>
      </c>
    </row>
    <row r="154" spans="1:8">
      <c r="A154" s="17" t="s">
        <v>635</v>
      </c>
      <c r="B154" s="18" t="s">
        <v>636</v>
      </c>
      <c r="C154" s="19" t="s">
        <v>74</v>
      </c>
      <c r="D154" s="20"/>
      <c r="E154" s="3">
        <v>34313731.310000002</v>
      </c>
      <c r="F154" s="24">
        <v>3.8909120315076574E-2</v>
      </c>
      <c r="G154" s="26">
        <v>1335117.1000000001</v>
      </c>
      <c r="H154" t="s">
        <v>68</v>
      </c>
    </row>
    <row r="155" spans="1:8">
      <c r="A155" s="15" t="s">
        <v>637</v>
      </c>
      <c r="B155" s="16" t="s">
        <v>638</v>
      </c>
      <c r="C155" s="15" t="s">
        <v>74</v>
      </c>
      <c r="D155" s="16"/>
      <c r="E155" s="2">
        <v>20563769.02</v>
      </c>
      <c r="F155" s="23">
        <v>6.497526492835505E-2</v>
      </c>
      <c r="G155" s="26">
        <v>1336136.3400000001</v>
      </c>
      <c r="H155" t="s">
        <v>68</v>
      </c>
    </row>
    <row r="156" spans="1:8">
      <c r="A156" s="17" t="s">
        <v>639</v>
      </c>
      <c r="B156" s="18" t="s">
        <v>640</v>
      </c>
      <c r="C156" s="19" t="s">
        <v>74</v>
      </c>
      <c r="D156" s="20"/>
      <c r="E156" s="3">
        <v>37338497.359999999</v>
      </c>
      <c r="F156" s="24">
        <v>3.9482271227638928E-2</v>
      </c>
      <c r="G156" s="26">
        <v>1474208.68</v>
      </c>
      <c r="H156" t="s">
        <v>68</v>
      </c>
    </row>
    <row r="157" spans="1:8">
      <c r="A157" s="13" t="s">
        <v>641</v>
      </c>
      <c r="B157" s="22" t="s">
        <v>642</v>
      </c>
      <c r="C157" s="15" t="s">
        <v>74</v>
      </c>
      <c r="D157" s="16"/>
      <c r="E157" s="2">
        <v>23111061.09</v>
      </c>
      <c r="F157" s="23">
        <v>6.9895989790748292E-2</v>
      </c>
      <c r="G157" s="26">
        <v>1615370.49</v>
      </c>
      <c r="H157" t="s">
        <v>68</v>
      </c>
    </row>
    <row r="158" spans="1:8">
      <c r="A158" s="19" t="s">
        <v>643</v>
      </c>
      <c r="B158" s="20" t="s">
        <v>644</v>
      </c>
      <c r="C158" s="19" t="s">
        <v>74</v>
      </c>
      <c r="D158" s="20"/>
      <c r="E158" s="3">
        <v>66082089.369999997</v>
      </c>
      <c r="F158" s="24">
        <v>0.11003158297989513</v>
      </c>
      <c r="G158" s="26">
        <v>7271116.9000000004</v>
      </c>
      <c r="H158" t="s">
        <v>68</v>
      </c>
    </row>
    <row r="159" spans="1:8">
      <c r="A159" s="13" t="s">
        <v>645</v>
      </c>
      <c r="B159" s="22" t="s">
        <v>646</v>
      </c>
      <c r="C159" s="15" t="s">
        <v>74</v>
      </c>
      <c r="D159" s="16"/>
      <c r="E159" s="2">
        <v>34612757.700000003</v>
      </c>
      <c r="F159" s="23">
        <v>5.2850951543800276E-2</v>
      </c>
      <c r="G159" s="26">
        <v>1829317.18</v>
      </c>
      <c r="H159" t="s">
        <v>68</v>
      </c>
    </row>
    <row r="160" spans="1:8">
      <c r="A160" s="17" t="s">
        <v>647</v>
      </c>
      <c r="B160" s="18" t="s">
        <v>648</v>
      </c>
      <c r="C160" s="19" t="s">
        <v>74</v>
      </c>
      <c r="D160" s="20"/>
      <c r="E160" s="3">
        <v>18633515.129999999</v>
      </c>
      <c r="F160" s="24">
        <v>8.7106571609068165E-2</v>
      </c>
      <c r="G160" s="26">
        <v>1623101.62</v>
      </c>
      <c r="H160" t="s">
        <v>68</v>
      </c>
    </row>
    <row r="161" spans="1:8">
      <c r="A161" s="15" t="s">
        <v>649</v>
      </c>
      <c r="B161" s="16" t="s">
        <v>650</v>
      </c>
      <c r="C161" s="15" t="s">
        <v>74</v>
      </c>
      <c r="D161" s="16"/>
      <c r="E161" s="2">
        <v>15576986.710000001</v>
      </c>
      <c r="F161" s="23">
        <v>0.11448618999303235</v>
      </c>
      <c r="G161" s="26">
        <v>1783349.86</v>
      </c>
      <c r="H161" t="s">
        <v>68</v>
      </c>
    </row>
    <row r="162" spans="1:8">
      <c r="A162" s="17" t="s">
        <v>651</v>
      </c>
      <c r="B162" s="18" t="s">
        <v>652</v>
      </c>
      <c r="C162" s="19" t="s">
        <v>74</v>
      </c>
      <c r="D162" s="20"/>
      <c r="E162" s="3">
        <v>8415045.6899999995</v>
      </c>
      <c r="F162" s="24">
        <v>9.3279176241763226E-2</v>
      </c>
      <c r="G162" s="26">
        <v>784948.53</v>
      </c>
      <c r="H162" t="s">
        <v>68</v>
      </c>
    </row>
    <row r="163" spans="1:8">
      <c r="A163" s="13" t="s">
        <v>653</v>
      </c>
      <c r="B163" s="22" t="s">
        <v>654</v>
      </c>
      <c r="C163" s="15" t="s">
        <v>74</v>
      </c>
      <c r="D163" s="16"/>
      <c r="E163" s="2">
        <v>124714545.84999999</v>
      </c>
      <c r="F163" s="23">
        <v>3.8371422815071742E-2</v>
      </c>
      <c r="G163" s="26">
        <v>4785474.57</v>
      </c>
      <c r="H163" t="s">
        <v>68</v>
      </c>
    </row>
    <row r="164" spans="1:8">
      <c r="A164" s="19" t="s">
        <v>655</v>
      </c>
      <c r="B164" s="20" t="s">
        <v>656</v>
      </c>
      <c r="C164" s="19" t="s">
        <v>74</v>
      </c>
      <c r="D164" s="20"/>
      <c r="E164" s="3">
        <v>35129934.140000001</v>
      </c>
      <c r="F164" s="24">
        <v>5.8206940037263614E-2</v>
      </c>
      <c r="G164" s="26">
        <v>2044805.97</v>
      </c>
      <c r="H164" t="s">
        <v>68</v>
      </c>
    </row>
    <row r="165" spans="1:8">
      <c r="A165" s="13" t="s">
        <v>657</v>
      </c>
      <c r="B165" s="22" t="s">
        <v>658</v>
      </c>
      <c r="C165" s="15" t="s">
        <v>74</v>
      </c>
      <c r="D165" s="16"/>
      <c r="E165" s="2">
        <v>46274133.109999999</v>
      </c>
      <c r="F165" s="23">
        <v>2.278615090408119E-2</v>
      </c>
      <c r="G165" s="26">
        <v>1054409.3799999999</v>
      </c>
      <c r="H165" t="s">
        <v>68</v>
      </c>
    </row>
    <row r="166" spans="1:8">
      <c r="A166" s="17" t="s">
        <v>659</v>
      </c>
      <c r="B166" s="18" t="s">
        <v>660</v>
      </c>
      <c r="C166" s="19" t="s">
        <v>74</v>
      </c>
      <c r="D166" s="20"/>
      <c r="E166" s="3">
        <v>27779796.359999999</v>
      </c>
      <c r="F166" s="24">
        <v>0.10458175187285643</v>
      </c>
      <c r="G166" s="26">
        <v>2905259.77</v>
      </c>
      <c r="H166" t="s">
        <v>68</v>
      </c>
    </row>
    <row r="167" spans="1:8">
      <c r="A167" s="15" t="s">
        <v>661</v>
      </c>
      <c r="B167" s="16" t="s">
        <v>662</v>
      </c>
      <c r="C167" s="15" t="s">
        <v>74</v>
      </c>
      <c r="D167" s="16"/>
      <c r="E167" s="2">
        <v>18506766.800000001</v>
      </c>
      <c r="F167" s="23">
        <v>4.8281312973587585E-2</v>
      </c>
      <c r="G167" s="26">
        <v>893531</v>
      </c>
      <c r="H167" t="s">
        <v>68</v>
      </c>
    </row>
    <row r="168" spans="1:8">
      <c r="A168" s="17" t="s">
        <v>663</v>
      </c>
      <c r="B168" s="18" t="s">
        <v>664</v>
      </c>
      <c r="C168" s="19" t="s">
        <v>74</v>
      </c>
      <c r="D168" s="20"/>
      <c r="E168" s="3">
        <v>18763524.219999999</v>
      </c>
      <c r="F168" s="24">
        <v>8.7511816583462715E-2</v>
      </c>
      <c r="G168" s="26">
        <v>1642030.09</v>
      </c>
      <c r="H168" t="s">
        <v>68</v>
      </c>
    </row>
    <row r="169" spans="1:8">
      <c r="A169" s="13" t="s">
        <v>665</v>
      </c>
      <c r="B169" s="22" t="s">
        <v>666</v>
      </c>
      <c r="C169" s="15" t="s">
        <v>74</v>
      </c>
      <c r="D169" s="16"/>
      <c r="E169" s="2">
        <v>84521732.920000002</v>
      </c>
      <c r="F169" s="23">
        <v>4.8125259734677003E-2</v>
      </c>
      <c r="G169" s="26">
        <v>4067630.3499999996</v>
      </c>
      <c r="H169" t="s">
        <v>68</v>
      </c>
    </row>
    <row r="170" spans="1:8">
      <c r="A170" s="19" t="s">
        <v>667</v>
      </c>
      <c r="B170" s="20" t="s">
        <v>668</v>
      </c>
      <c r="C170" s="19" t="s">
        <v>74</v>
      </c>
      <c r="D170" s="20"/>
      <c r="E170" s="3">
        <v>26650110.190000001</v>
      </c>
      <c r="F170" s="24">
        <v>6.5877532493609545E-2</v>
      </c>
      <c r="G170" s="26">
        <v>1755643.5</v>
      </c>
      <c r="H170" t="s">
        <v>68</v>
      </c>
    </row>
    <row r="171" spans="1:8">
      <c r="A171" s="13" t="s">
        <v>669</v>
      </c>
      <c r="B171" s="22" t="s">
        <v>670</v>
      </c>
      <c r="C171" s="15" t="s">
        <v>74</v>
      </c>
      <c r="D171" s="16"/>
      <c r="E171" s="2">
        <v>42480929.549999997</v>
      </c>
      <c r="F171" s="23">
        <v>6.8147360725537606E-2</v>
      </c>
      <c r="G171" s="26">
        <v>2894963.2299999995</v>
      </c>
      <c r="H171" t="s">
        <v>68</v>
      </c>
    </row>
    <row r="172" spans="1:8">
      <c r="A172" s="17" t="s">
        <v>671</v>
      </c>
      <c r="B172" s="18" t="s">
        <v>672</v>
      </c>
      <c r="C172" s="19" t="s">
        <v>74</v>
      </c>
      <c r="D172" s="20"/>
      <c r="E172" s="3">
        <v>98655374.400000006</v>
      </c>
      <c r="F172" s="24">
        <v>3.2413656219422347E-2</v>
      </c>
      <c r="G172" s="26">
        <v>3197781.3900000006</v>
      </c>
      <c r="H172" t="s">
        <v>68</v>
      </c>
    </row>
    <row r="173" spans="1:8">
      <c r="A173" s="15" t="s">
        <v>673</v>
      </c>
      <c r="B173" s="16" t="s">
        <v>674</v>
      </c>
      <c r="C173" s="15" t="s">
        <v>74</v>
      </c>
      <c r="D173" s="16"/>
      <c r="E173" s="2">
        <v>22355659.460000001</v>
      </c>
      <c r="F173" s="23">
        <v>1.6462160763295149E-2</v>
      </c>
      <c r="G173" s="26">
        <v>368022.46</v>
      </c>
      <c r="H173" t="s">
        <v>68</v>
      </c>
    </row>
    <row r="174" spans="1:8">
      <c r="A174" s="17" t="s">
        <v>675</v>
      </c>
      <c r="B174" s="18" t="s">
        <v>676</v>
      </c>
      <c r="C174" s="19" t="s">
        <v>74</v>
      </c>
      <c r="D174" s="20"/>
      <c r="E174" s="3">
        <v>47566667.240000002</v>
      </c>
      <c r="F174" s="24">
        <v>9.2895956904127219E-2</v>
      </c>
      <c r="G174" s="26">
        <v>4418751.07</v>
      </c>
      <c r="H174" t="s">
        <v>68</v>
      </c>
    </row>
    <row r="175" spans="1:8">
      <c r="A175" s="13" t="s">
        <v>677</v>
      </c>
      <c r="B175" s="22" t="s">
        <v>678</v>
      </c>
      <c r="C175" s="15" t="s">
        <v>74</v>
      </c>
      <c r="D175" s="16"/>
      <c r="E175" s="2">
        <v>110331526.36</v>
      </c>
      <c r="F175" s="23">
        <v>0.19467425874194169</v>
      </c>
      <c r="G175" s="26">
        <v>21478708.109999999</v>
      </c>
      <c r="H175" t="s">
        <v>68</v>
      </c>
    </row>
    <row r="176" spans="1:8">
      <c r="A176" s="19" t="s">
        <v>679</v>
      </c>
      <c r="B176" s="20" t="s">
        <v>680</v>
      </c>
      <c r="C176" s="19" t="s">
        <v>74</v>
      </c>
      <c r="D176" s="20"/>
      <c r="E176" s="3">
        <v>36369036.479999997</v>
      </c>
      <c r="F176" s="24">
        <v>0.14366196456354405</v>
      </c>
      <c r="G176" s="26">
        <v>5224847.2300000004</v>
      </c>
      <c r="H176" t="s">
        <v>68</v>
      </c>
    </row>
    <row r="177" spans="1:8">
      <c r="A177" s="13" t="s">
        <v>681</v>
      </c>
      <c r="B177" s="22" t="s">
        <v>682</v>
      </c>
      <c r="C177" s="15" t="s">
        <v>74</v>
      </c>
      <c r="D177" s="16"/>
      <c r="E177" s="2">
        <v>6767167.5999999996</v>
      </c>
      <c r="F177" s="23">
        <v>4.9438236168408187E-2</v>
      </c>
      <c r="G177" s="26">
        <v>334556.83</v>
      </c>
      <c r="H177" t="s">
        <v>68</v>
      </c>
    </row>
    <row r="178" spans="1:8">
      <c r="A178" s="17" t="s">
        <v>683</v>
      </c>
      <c r="B178" s="18" t="s">
        <v>684</v>
      </c>
      <c r="C178" s="19" t="s">
        <v>74</v>
      </c>
      <c r="D178" s="20"/>
      <c r="E178" s="3">
        <v>31651655.960000001</v>
      </c>
      <c r="F178" s="24">
        <v>3.553952537022332E-2</v>
      </c>
      <c r="G178" s="26">
        <v>1124884.83</v>
      </c>
      <c r="H178" t="s">
        <v>68</v>
      </c>
    </row>
    <row r="179" spans="1:8">
      <c r="A179" s="15" t="s">
        <v>685</v>
      </c>
      <c r="B179" s="16" t="s">
        <v>686</v>
      </c>
      <c r="C179" s="15" t="s">
        <v>74</v>
      </c>
      <c r="D179" s="16"/>
      <c r="E179" s="2">
        <v>10141965.359999999</v>
      </c>
      <c r="F179" s="23">
        <v>0.12252604065293318</v>
      </c>
      <c r="G179" s="26">
        <v>1242654.8600000001</v>
      </c>
      <c r="H179" t="s">
        <v>68</v>
      </c>
    </row>
    <row r="180" spans="1:8">
      <c r="A180" s="17" t="s">
        <v>687</v>
      </c>
      <c r="B180" s="18" t="s">
        <v>688</v>
      </c>
      <c r="C180" s="19" t="s">
        <v>74</v>
      </c>
      <c r="D180" s="20"/>
      <c r="E180" s="3">
        <v>8467641.5099999998</v>
      </c>
      <c r="F180" s="24">
        <v>3.6915848365904662E-2</v>
      </c>
      <c r="G180" s="26">
        <v>312590.17</v>
      </c>
      <c r="H180" t="s">
        <v>68</v>
      </c>
    </row>
    <row r="181" spans="1:8">
      <c r="A181" s="13" t="s">
        <v>689</v>
      </c>
      <c r="B181" s="22" t="s">
        <v>690</v>
      </c>
      <c r="C181" s="15" t="s">
        <v>74</v>
      </c>
      <c r="D181" s="16"/>
      <c r="E181" s="2">
        <v>5942926.5800000001</v>
      </c>
      <c r="F181" s="23">
        <v>6.7910571427587788E-2</v>
      </c>
      <c r="G181" s="26">
        <v>403587.54000000004</v>
      </c>
      <c r="H181" t="s">
        <v>68</v>
      </c>
    </row>
    <row r="182" spans="1:8">
      <c r="A182" s="19" t="s">
        <v>691</v>
      </c>
      <c r="B182" s="20" t="s">
        <v>692</v>
      </c>
      <c r="C182" s="19" t="s">
        <v>74</v>
      </c>
      <c r="D182" s="20"/>
      <c r="E182" s="3">
        <v>7192294.0499999998</v>
      </c>
      <c r="F182" s="24">
        <v>0.12412131703653023</v>
      </c>
      <c r="G182" s="26">
        <v>892717.01</v>
      </c>
      <c r="H182" t="s">
        <v>68</v>
      </c>
    </row>
    <row r="183" spans="1:8">
      <c r="A183" s="13" t="s">
        <v>693</v>
      </c>
      <c r="B183" s="22" t="s">
        <v>694</v>
      </c>
      <c r="C183" s="15" t="s">
        <v>74</v>
      </c>
      <c r="D183" s="16"/>
      <c r="E183" s="2">
        <v>17117750.629999999</v>
      </c>
      <c r="F183" s="23">
        <v>9.7238795912988479E-2</v>
      </c>
      <c r="G183" s="26">
        <v>1664509.46</v>
      </c>
      <c r="H183" t="s">
        <v>68</v>
      </c>
    </row>
    <row r="184" spans="1:8">
      <c r="A184" s="17" t="s">
        <v>695</v>
      </c>
      <c r="B184" s="18" t="s">
        <v>696</v>
      </c>
      <c r="C184" s="19" t="s">
        <v>74</v>
      </c>
      <c r="D184" s="20"/>
      <c r="E184" s="3">
        <v>7490004.71</v>
      </c>
      <c r="F184" s="24">
        <v>9.2139769829330323E-2</v>
      </c>
      <c r="G184" s="26">
        <v>690127.31</v>
      </c>
      <c r="H184" t="s">
        <v>68</v>
      </c>
    </row>
    <row r="185" spans="1:8">
      <c r="A185" s="15" t="s">
        <v>697</v>
      </c>
      <c r="B185" s="16" t="s">
        <v>904</v>
      </c>
      <c r="C185" s="15" t="s">
        <v>74</v>
      </c>
      <c r="D185" s="16"/>
      <c r="E185" s="2">
        <v>8201064.1500000004</v>
      </c>
      <c r="F185" s="23">
        <v>5.9212424280329523E-2</v>
      </c>
      <c r="G185" s="26">
        <v>485604.89</v>
      </c>
      <c r="H185" t="s">
        <v>68</v>
      </c>
    </row>
    <row r="186" spans="1:8">
      <c r="A186" s="17" t="s">
        <v>905</v>
      </c>
      <c r="B186" s="18" t="s">
        <v>906</v>
      </c>
      <c r="C186" s="19" t="s">
        <v>74</v>
      </c>
      <c r="D186" s="20"/>
      <c r="E186" s="3">
        <v>20910889.09</v>
      </c>
      <c r="F186" s="24">
        <v>9.728800249688474E-2</v>
      </c>
      <c r="G186" s="26">
        <v>2034378.63</v>
      </c>
      <c r="H186" t="s">
        <v>68</v>
      </c>
    </row>
    <row r="187" spans="1:8">
      <c r="A187" s="13" t="s">
        <v>907</v>
      </c>
      <c r="B187" s="22" t="s">
        <v>908</v>
      </c>
      <c r="C187" s="15" t="s">
        <v>74</v>
      </c>
      <c r="D187" s="16"/>
      <c r="E187" s="2">
        <v>20887714.239999998</v>
      </c>
      <c r="F187" s="23">
        <v>2.2434043027199133E-2</v>
      </c>
      <c r="G187" s="26">
        <v>468595.88</v>
      </c>
      <c r="H187" t="s">
        <v>68</v>
      </c>
    </row>
    <row r="188" spans="1:8">
      <c r="A188" s="19" t="s">
        <v>909</v>
      </c>
      <c r="B188" s="20" t="s">
        <v>910</v>
      </c>
      <c r="C188" s="19" t="s">
        <v>74</v>
      </c>
      <c r="D188" s="20"/>
      <c r="E188" s="3">
        <v>11820390.279999999</v>
      </c>
      <c r="F188" s="24">
        <v>0.10428706335405366</v>
      </c>
      <c r="G188" s="26">
        <v>1232713.79</v>
      </c>
      <c r="H188" t="s">
        <v>68</v>
      </c>
    </row>
    <row r="189" spans="1:8">
      <c r="A189" s="13" t="s">
        <v>911</v>
      </c>
      <c r="B189" s="22" t="s">
        <v>912</v>
      </c>
      <c r="C189" s="15" t="s">
        <v>74</v>
      </c>
      <c r="D189" s="16"/>
      <c r="E189" s="2">
        <v>19855832.559999999</v>
      </c>
      <c r="F189" s="23">
        <v>6.6945586692638795E-2</v>
      </c>
      <c r="G189" s="26">
        <v>1329260.3600000001</v>
      </c>
      <c r="H189" t="s">
        <v>68</v>
      </c>
    </row>
    <row r="190" spans="1:8">
      <c r="A190" s="17" t="s">
        <v>913</v>
      </c>
      <c r="B190" s="18" t="s">
        <v>914</v>
      </c>
      <c r="C190" s="19" t="s">
        <v>74</v>
      </c>
      <c r="D190" s="20"/>
      <c r="E190" s="3">
        <v>12483184.029999999</v>
      </c>
      <c r="F190" s="24">
        <v>4.7341947261190863E-2</v>
      </c>
      <c r="G190" s="26">
        <v>590978.24</v>
      </c>
      <c r="H190" t="s">
        <v>68</v>
      </c>
    </row>
    <row r="191" spans="1:8">
      <c r="A191" s="15" t="s">
        <v>915</v>
      </c>
      <c r="B191" s="16" t="s">
        <v>916</v>
      </c>
      <c r="C191" s="15" t="s">
        <v>74</v>
      </c>
      <c r="D191" s="16"/>
      <c r="E191" s="2">
        <v>8466364.6999999993</v>
      </c>
      <c r="F191" s="23">
        <v>6.2377242029273798E-2</v>
      </c>
      <c r="G191" s="26">
        <v>528108.48</v>
      </c>
      <c r="H191" t="s">
        <v>68</v>
      </c>
    </row>
    <row r="192" spans="1:8">
      <c r="A192" s="17" t="s">
        <v>917</v>
      </c>
      <c r="B192" s="18" t="s">
        <v>918</v>
      </c>
      <c r="C192" s="19" t="s">
        <v>74</v>
      </c>
      <c r="D192" s="20"/>
      <c r="E192" s="3">
        <v>7345793.79</v>
      </c>
      <c r="F192" s="24">
        <v>4.8421223106509231E-2</v>
      </c>
      <c r="G192" s="26">
        <v>355692.32</v>
      </c>
      <c r="H192" t="s">
        <v>68</v>
      </c>
    </row>
    <row r="193" spans="1:8">
      <c r="A193" s="13" t="s">
        <v>919</v>
      </c>
      <c r="B193" s="22" t="s">
        <v>920</v>
      </c>
      <c r="C193" s="15" t="s">
        <v>74</v>
      </c>
      <c r="D193" s="16"/>
      <c r="E193" s="2">
        <v>7764306.0199999996</v>
      </c>
      <c r="F193" s="23">
        <v>0.12234416798527992</v>
      </c>
      <c r="G193" s="26">
        <v>949917.56</v>
      </c>
      <c r="H193" t="s">
        <v>68</v>
      </c>
    </row>
    <row r="194" spans="1:8">
      <c r="A194" s="19" t="s">
        <v>921</v>
      </c>
      <c r="B194" s="20" t="s">
        <v>922</v>
      </c>
      <c r="C194" s="19" t="s">
        <v>74</v>
      </c>
      <c r="D194" s="20"/>
      <c r="E194" s="3">
        <v>9482963.4600000009</v>
      </c>
      <c r="F194" s="24">
        <v>0.1124293649867127</v>
      </c>
      <c r="G194" s="26">
        <v>1066163.56</v>
      </c>
      <c r="H194" t="s">
        <v>68</v>
      </c>
    </row>
    <row r="195" spans="1:8">
      <c r="A195" s="13" t="s">
        <v>923</v>
      </c>
      <c r="B195" s="22" t="s">
        <v>728</v>
      </c>
      <c r="C195" s="15" t="s">
        <v>74</v>
      </c>
      <c r="D195" s="16"/>
      <c r="E195" s="2">
        <v>5306242.29</v>
      </c>
      <c r="F195" s="23">
        <v>3.2449215582276023E-2</v>
      </c>
      <c r="G195" s="26">
        <v>172183.4</v>
      </c>
      <c r="H195" t="s">
        <v>68</v>
      </c>
    </row>
    <row r="196" spans="1:8">
      <c r="A196" s="17" t="s">
        <v>729</v>
      </c>
      <c r="B196" s="18" t="s">
        <v>730</v>
      </c>
      <c r="C196" s="19" t="s">
        <v>74</v>
      </c>
      <c r="D196" s="20"/>
      <c r="E196" s="3">
        <v>8675374.1099999994</v>
      </c>
      <c r="F196" s="24">
        <v>8.0788045692706159E-2</v>
      </c>
      <c r="G196" s="26">
        <v>700866.52</v>
      </c>
      <c r="H196" t="s">
        <v>68</v>
      </c>
    </row>
    <row r="197" spans="1:8">
      <c r="A197" s="15" t="s">
        <v>731</v>
      </c>
      <c r="B197" s="16" t="s">
        <v>732</v>
      </c>
      <c r="C197" s="15" t="s">
        <v>74</v>
      </c>
      <c r="D197" s="16"/>
      <c r="E197" s="2">
        <v>8621998.0899999999</v>
      </c>
      <c r="F197" s="23">
        <v>6.3468124707042245E-2</v>
      </c>
      <c r="G197" s="26">
        <v>547222.05000000005</v>
      </c>
      <c r="H197" t="s">
        <v>68</v>
      </c>
    </row>
    <row r="198" spans="1:8">
      <c r="A198" s="17" t="s">
        <v>733</v>
      </c>
      <c r="B198" s="18" t="s">
        <v>734</v>
      </c>
      <c r="C198" s="19" t="s">
        <v>74</v>
      </c>
      <c r="D198" s="20"/>
      <c r="E198" s="3">
        <v>20937075.800000001</v>
      </c>
      <c r="F198" s="24">
        <v>2.7017782970437543E-2</v>
      </c>
      <c r="G198" s="26">
        <v>565673.37</v>
      </c>
      <c r="H198" t="s">
        <v>68</v>
      </c>
    </row>
    <row r="199" spans="1:8">
      <c r="A199" s="13" t="s">
        <v>735</v>
      </c>
      <c r="B199" s="22" t="s">
        <v>736</v>
      </c>
      <c r="C199" s="15" t="s">
        <v>74</v>
      </c>
      <c r="D199" s="16"/>
      <c r="E199" s="2">
        <v>18915163.329999998</v>
      </c>
      <c r="F199" s="23">
        <v>6.291606153421464E-2</v>
      </c>
      <c r="G199" s="26">
        <v>1190067.58</v>
      </c>
      <c r="H199" t="s">
        <v>68</v>
      </c>
    </row>
    <row r="200" spans="1:8">
      <c r="A200" s="19" t="s">
        <v>737</v>
      </c>
      <c r="B200" s="20" t="s">
        <v>738</v>
      </c>
      <c r="C200" s="19" t="s">
        <v>74</v>
      </c>
      <c r="D200" s="20"/>
      <c r="E200" s="3">
        <v>8661488.2899999991</v>
      </c>
      <c r="F200" s="24">
        <v>4.7377898146416596E-2</v>
      </c>
      <c r="G200" s="26">
        <v>410363.11</v>
      </c>
      <c r="H200" t="s">
        <v>68</v>
      </c>
    </row>
    <row r="201" spans="1:8">
      <c r="A201" s="13" t="s">
        <v>739</v>
      </c>
      <c r="B201" s="22" t="s">
        <v>740</v>
      </c>
      <c r="C201" s="15" t="s">
        <v>74</v>
      </c>
      <c r="D201" s="16"/>
      <c r="E201" s="2">
        <v>19522158.219999999</v>
      </c>
      <c r="F201" s="23">
        <v>6.67770932552149E-2</v>
      </c>
      <c r="G201" s="26">
        <v>1303632.98</v>
      </c>
      <c r="H201" t="s">
        <v>68</v>
      </c>
    </row>
    <row r="202" spans="1:8">
      <c r="A202" s="17" t="s">
        <v>741</v>
      </c>
      <c r="B202" s="18" t="s">
        <v>742</v>
      </c>
      <c r="C202" s="19" t="s">
        <v>74</v>
      </c>
      <c r="D202" s="20"/>
      <c r="E202" s="3">
        <v>33031800.510000002</v>
      </c>
      <c r="F202" s="24">
        <v>2.3629171524080506E-2</v>
      </c>
      <c r="G202" s="26">
        <v>780514.08</v>
      </c>
      <c r="H202" t="s">
        <v>68</v>
      </c>
    </row>
    <row r="203" spans="1:8">
      <c r="A203" s="15" t="s">
        <v>743</v>
      </c>
      <c r="B203" s="16" t="s">
        <v>744</v>
      </c>
      <c r="C203" s="15" t="s">
        <v>74</v>
      </c>
      <c r="D203" s="16"/>
      <c r="E203" s="2">
        <v>7066328.1699999999</v>
      </c>
      <c r="F203" s="23">
        <v>6.7118002248118064E-2</v>
      </c>
      <c r="G203" s="26">
        <v>474277.83</v>
      </c>
      <c r="H203" t="s">
        <v>68</v>
      </c>
    </row>
    <row r="204" spans="1:8">
      <c r="A204" s="17" t="s">
        <v>745</v>
      </c>
      <c r="B204" s="18" t="s">
        <v>746</v>
      </c>
      <c r="C204" s="19" t="s">
        <v>74</v>
      </c>
      <c r="D204" s="20"/>
      <c r="E204" s="3">
        <v>8920036.3900000006</v>
      </c>
      <c r="F204" s="24">
        <v>8.3186915115264451E-2</v>
      </c>
      <c r="G204" s="26">
        <v>742030.30999999994</v>
      </c>
      <c r="H204" t="s">
        <v>68</v>
      </c>
    </row>
    <row r="205" spans="1:8">
      <c r="A205" s="13" t="s">
        <v>747</v>
      </c>
      <c r="B205" s="22" t="s">
        <v>748</v>
      </c>
      <c r="C205" s="15" t="s">
        <v>74</v>
      </c>
      <c r="D205" s="16"/>
      <c r="E205" s="2">
        <v>12850004.18</v>
      </c>
      <c r="F205" s="23">
        <v>5.9381581461866881E-2</v>
      </c>
      <c r="G205" s="26">
        <v>763053.57</v>
      </c>
      <c r="H205" t="s">
        <v>68</v>
      </c>
    </row>
    <row r="206" spans="1:8">
      <c r="A206" s="19" t="s">
        <v>749</v>
      </c>
      <c r="B206" s="20" t="s">
        <v>750</v>
      </c>
      <c r="C206" s="19" t="s">
        <v>74</v>
      </c>
      <c r="D206" s="20"/>
      <c r="E206" s="3">
        <v>46219149.960000001</v>
      </c>
      <c r="F206" s="24">
        <v>4.7025108897091453E-2</v>
      </c>
      <c r="G206" s="26">
        <v>2173460.56</v>
      </c>
      <c r="H206" t="s">
        <v>68</v>
      </c>
    </row>
    <row r="207" spans="1:8">
      <c r="A207" s="13" t="s">
        <v>751</v>
      </c>
      <c r="B207" s="22" t="s">
        <v>752</v>
      </c>
      <c r="C207" s="15" t="s">
        <v>74</v>
      </c>
      <c r="D207" s="16"/>
      <c r="E207" s="2">
        <v>6432850.25</v>
      </c>
      <c r="F207" s="23">
        <v>7.0885628030902786E-2</v>
      </c>
      <c r="G207" s="26">
        <v>455996.63</v>
      </c>
      <c r="H207" t="s">
        <v>68</v>
      </c>
    </row>
    <row r="208" spans="1:8">
      <c r="A208" s="17" t="s">
        <v>753</v>
      </c>
      <c r="B208" s="18" t="s">
        <v>754</v>
      </c>
      <c r="C208" s="19" t="s">
        <v>74</v>
      </c>
      <c r="D208" s="20"/>
      <c r="E208" s="3">
        <v>101279238.12</v>
      </c>
      <c r="F208" s="24">
        <v>1.4906057134940857E-2</v>
      </c>
      <c r="G208" s="26">
        <v>1509674.11</v>
      </c>
      <c r="H208" t="s">
        <v>68</v>
      </c>
    </row>
    <row r="209" spans="1:8">
      <c r="A209" s="15" t="s">
        <v>755</v>
      </c>
      <c r="B209" s="16" t="s">
        <v>756</v>
      </c>
      <c r="C209" s="15" t="s">
        <v>74</v>
      </c>
      <c r="D209" s="16"/>
      <c r="E209" s="2">
        <v>53491132.020000003</v>
      </c>
      <c r="F209" s="23">
        <v>4.0625368503838966E-2</v>
      </c>
      <c r="G209" s="26">
        <v>2173096.9500000002</v>
      </c>
      <c r="H209" t="s">
        <v>68</v>
      </c>
    </row>
    <row r="210" spans="1:8">
      <c r="A210" s="17" t="s">
        <v>757</v>
      </c>
      <c r="B210" s="21" t="s">
        <v>758</v>
      </c>
      <c r="C210" s="19" t="s">
        <v>74</v>
      </c>
      <c r="D210" s="20"/>
      <c r="E210" s="3">
        <v>13916160.23</v>
      </c>
      <c r="F210" s="24">
        <v>6.1352811830911208E-2</v>
      </c>
      <c r="G210" s="26">
        <v>853795.56</v>
      </c>
      <c r="H210" t="s">
        <v>68</v>
      </c>
    </row>
    <row r="211" spans="1:8">
      <c r="A211" s="13" t="s">
        <v>759</v>
      </c>
      <c r="B211" s="14" t="s">
        <v>760</v>
      </c>
      <c r="C211" s="15" t="s">
        <v>74</v>
      </c>
      <c r="D211" s="16"/>
      <c r="E211" s="2">
        <v>9743968.8499999996</v>
      </c>
      <c r="F211" s="23">
        <v>4.8408402906583596E-2</v>
      </c>
      <c r="G211" s="26">
        <v>471689.97000000003</v>
      </c>
      <c r="H211" t="s">
        <v>68</v>
      </c>
    </row>
    <row r="212" spans="1:8">
      <c r="A212" s="19" t="s">
        <v>762</v>
      </c>
      <c r="B212" s="20" t="s">
        <v>763</v>
      </c>
      <c r="C212" s="19" t="s">
        <v>74</v>
      </c>
      <c r="D212" s="20"/>
      <c r="E212" s="3">
        <v>14031403.789999999</v>
      </c>
      <c r="F212" s="24">
        <v>6.2826830671658701E-2</v>
      </c>
      <c r="G212" s="26">
        <v>881548.63000000012</v>
      </c>
      <c r="H212" t="s">
        <v>68</v>
      </c>
    </row>
    <row r="213" spans="1:8">
      <c r="A213" s="13" t="s">
        <v>764</v>
      </c>
      <c r="B213" s="14" t="s">
        <v>765</v>
      </c>
      <c r="C213" s="15" t="s">
        <v>74</v>
      </c>
      <c r="D213" s="16"/>
      <c r="E213" s="2">
        <v>10450182.859999999</v>
      </c>
      <c r="F213" s="23">
        <v>9.5916303420550866E-2</v>
      </c>
      <c r="G213" s="26">
        <v>1002342.91</v>
      </c>
      <c r="H213" t="s">
        <v>68</v>
      </c>
    </row>
    <row r="214" spans="1:8">
      <c r="A214" s="17" t="s">
        <v>766</v>
      </c>
      <c r="B214" s="21" t="s">
        <v>767</v>
      </c>
      <c r="C214" s="19" t="s">
        <v>74</v>
      </c>
      <c r="D214" s="20"/>
      <c r="E214" s="3">
        <v>27670914.18</v>
      </c>
      <c r="F214" s="24">
        <v>6.0119751345345689E-2</v>
      </c>
      <c r="G214" s="26">
        <v>1663568.48</v>
      </c>
      <c r="H214" t="s">
        <v>68</v>
      </c>
    </row>
    <row r="215" spans="1:8">
      <c r="A215" s="15" t="s">
        <v>768</v>
      </c>
      <c r="B215" s="16" t="s">
        <v>769</v>
      </c>
      <c r="C215" s="15" t="s">
        <v>74</v>
      </c>
      <c r="D215" s="16"/>
      <c r="E215" s="2">
        <v>11167731.67</v>
      </c>
      <c r="F215" s="23">
        <v>6.8882297026035197E-2</v>
      </c>
      <c r="G215" s="26">
        <v>769259.01000000013</v>
      </c>
      <c r="H215" t="s">
        <v>68</v>
      </c>
    </row>
    <row r="216" spans="1:8">
      <c r="A216" s="17" t="s">
        <v>770</v>
      </c>
      <c r="B216" s="21" t="s">
        <v>771</v>
      </c>
      <c r="C216" s="19" t="s">
        <v>74</v>
      </c>
      <c r="D216" s="20"/>
      <c r="E216" s="3">
        <v>15347984.77</v>
      </c>
      <c r="F216" s="24">
        <v>6.8831508229337396E-2</v>
      </c>
      <c r="G216" s="26">
        <v>1056424.94</v>
      </c>
      <c r="H216" t="s">
        <v>68</v>
      </c>
    </row>
    <row r="217" spans="1:8">
      <c r="A217" s="13" t="s">
        <v>772</v>
      </c>
      <c r="B217" s="14" t="s">
        <v>773</v>
      </c>
      <c r="C217" s="15" t="s">
        <v>74</v>
      </c>
      <c r="D217" s="16"/>
      <c r="E217" s="2">
        <v>38857278.240000002</v>
      </c>
      <c r="F217" s="23">
        <v>2.953523334577229E-2</v>
      </c>
      <c r="G217" s="26">
        <v>1147658.78</v>
      </c>
      <c r="H217" t="s">
        <v>68</v>
      </c>
    </row>
    <row r="218" spans="1:8">
      <c r="A218" s="19" t="s">
        <v>774</v>
      </c>
      <c r="B218" s="20" t="s">
        <v>775</v>
      </c>
      <c r="C218" s="19" t="s">
        <v>74</v>
      </c>
      <c r="D218" s="20"/>
      <c r="E218" s="3">
        <v>9061250.9100000001</v>
      </c>
      <c r="F218" s="24">
        <v>8.8162644201627116E-2</v>
      </c>
      <c r="G218" s="26">
        <v>798863.84</v>
      </c>
      <c r="H218" t="s">
        <v>68</v>
      </c>
    </row>
    <row r="219" spans="1:8">
      <c r="A219" s="13" t="s">
        <v>776</v>
      </c>
      <c r="B219" s="14" t="s">
        <v>777</v>
      </c>
      <c r="C219" s="15" t="s">
        <v>74</v>
      </c>
      <c r="D219" s="16"/>
      <c r="E219" s="2">
        <v>23311031.41</v>
      </c>
      <c r="F219" s="23">
        <v>4.2056315001979566E-2</v>
      </c>
      <c r="G219" s="26">
        <v>980376.07999999984</v>
      </c>
      <c r="H219" t="s">
        <v>68</v>
      </c>
    </row>
    <row r="220" spans="1:8">
      <c r="A220" s="17" t="s">
        <v>778</v>
      </c>
      <c r="B220" s="21" t="s">
        <v>779</v>
      </c>
      <c r="C220" s="19" t="s">
        <v>74</v>
      </c>
      <c r="D220" s="20"/>
      <c r="E220" s="3">
        <v>19264099.41</v>
      </c>
      <c r="F220" s="24">
        <v>4.4619124502327308E-2</v>
      </c>
      <c r="G220" s="26">
        <v>859547.25</v>
      </c>
      <c r="H220" t="s">
        <v>68</v>
      </c>
    </row>
    <row r="221" spans="1:8">
      <c r="A221" s="15" t="s">
        <v>780</v>
      </c>
      <c r="B221" s="16" t="s">
        <v>781</v>
      </c>
      <c r="C221" s="15" t="s">
        <v>74</v>
      </c>
      <c r="D221" s="16"/>
      <c r="E221" s="2">
        <v>14394648.390000001</v>
      </c>
      <c r="F221" s="23">
        <v>5.3182668256893773E-2</v>
      </c>
      <c r="G221" s="26">
        <v>765545.81</v>
      </c>
      <c r="H221" t="s">
        <v>68</v>
      </c>
    </row>
    <row r="222" spans="1:8">
      <c r="A222" s="17" t="s">
        <v>782</v>
      </c>
      <c r="B222" s="21" t="s">
        <v>783</v>
      </c>
      <c r="C222" s="19" t="s">
        <v>74</v>
      </c>
      <c r="D222" s="20"/>
      <c r="E222" s="3">
        <v>11105015.6</v>
      </c>
      <c r="F222" s="24">
        <v>4.5299921955985367E-2</v>
      </c>
      <c r="G222" s="26">
        <v>503056.34</v>
      </c>
      <c r="H222" t="s">
        <v>68</v>
      </c>
    </row>
    <row r="223" spans="1:8">
      <c r="A223" s="13" t="s">
        <v>784</v>
      </c>
      <c r="B223" s="14" t="s">
        <v>785</v>
      </c>
      <c r="C223" s="15" t="s">
        <v>74</v>
      </c>
      <c r="D223" s="16"/>
      <c r="E223" s="2">
        <v>15895713.51</v>
      </c>
      <c r="F223" s="23">
        <v>5.479134733096986E-2</v>
      </c>
      <c r="G223" s="26">
        <v>870947.56</v>
      </c>
      <c r="H223" t="s">
        <v>68</v>
      </c>
    </row>
    <row r="224" spans="1:8">
      <c r="A224" s="19" t="s">
        <v>786</v>
      </c>
      <c r="B224" s="20" t="s">
        <v>787</v>
      </c>
      <c r="C224" s="19" t="s">
        <v>74</v>
      </c>
      <c r="D224" s="20"/>
      <c r="E224" s="3">
        <v>12765815.470000001</v>
      </c>
      <c r="F224" s="24">
        <v>5.4515799765042346E-2</v>
      </c>
      <c r="G224" s="26">
        <v>695938.64</v>
      </c>
      <c r="H224" t="s">
        <v>68</v>
      </c>
    </row>
    <row r="225" spans="1:8">
      <c r="A225" s="13" t="s">
        <v>788</v>
      </c>
      <c r="B225" s="14" t="s">
        <v>789</v>
      </c>
      <c r="C225" s="15" t="s">
        <v>74</v>
      </c>
      <c r="D225" s="16"/>
      <c r="E225" s="2">
        <v>9234233.5899999999</v>
      </c>
      <c r="F225" s="23">
        <v>9.2297038156254826E-2</v>
      </c>
      <c r="G225" s="26">
        <v>852292.40999999992</v>
      </c>
      <c r="H225" t="s">
        <v>68</v>
      </c>
    </row>
    <row r="226" spans="1:8">
      <c r="A226" s="17" t="s">
        <v>790</v>
      </c>
      <c r="B226" s="21" t="s">
        <v>791</v>
      </c>
      <c r="C226" s="19" t="s">
        <v>74</v>
      </c>
      <c r="D226" s="20"/>
      <c r="E226" s="3">
        <v>7167728.6200000001</v>
      </c>
      <c r="F226" s="24">
        <v>4.1541507189483969E-2</v>
      </c>
      <c r="G226" s="26">
        <v>297758.25</v>
      </c>
      <c r="H226" t="s">
        <v>68</v>
      </c>
    </row>
    <row r="227" spans="1:8">
      <c r="A227" s="19" t="s">
        <v>1006</v>
      </c>
      <c r="B227" s="20" t="s">
        <v>1007</v>
      </c>
      <c r="C227" s="19" t="s">
        <v>74</v>
      </c>
      <c r="D227" s="20"/>
      <c r="E227" s="3">
        <v>7785263.0499999998</v>
      </c>
      <c r="F227" s="24">
        <v>4.9356383661307374E-2</v>
      </c>
      <c r="G227" s="26">
        <v>384252.43</v>
      </c>
      <c r="H227" t="s">
        <v>68</v>
      </c>
    </row>
    <row r="228" spans="1:8">
      <c r="A228" s="13" t="s">
        <v>1008</v>
      </c>
      <c r="B228" s="14" t="s">
        <v>1009</v>
      </c>
      <c r="C228" s="15" t="s">
        <v>74</v>
      </c>
      <c r="D228" s="16"/>
      <c r="E228" s="2">
        <v>18582854.649999999</v>
      </c>
      <c r="F228" s="23">
        <v>4.9889988242468444E-2</v>
      </c>
      <c r="G228" s="26">
        <v>927098.4</v>
      </c>
      <c r="H228" t="s">
        <v>68</v>
      </c>
    </row>
    <row r="229" spans="1:8">
      <c r="A229" s="17" t="s">
        <v>1010</v>
      </c>
      <c r="B229" s="21" t="s">
        <v>1011</v>
      </c>
      <c r="C229" s="19" t="s">
        <v>74</v>
      </c>
      <c r="D229" s="20"/>
      <c r="E229" s="3">
        <v>20236793.59</v>
      </c>
      <c r="F229" s="24">
        <v>6.8948177674228089E-2</v>
      </c>
      <c r="G229" s="26">
        <v>1395290.04</v>
      </c>
      <c r="H229" t="s">
        <v>68</v>
      </c>
    </row>
    <row r="230" spans="1:8">
      <c r="A230" s="15" t="s">
        <v>1012</v>
      </c>
      <c r="B230" s="16" t="s">
        <v>1013</v>
      </c>
      <c r="C230" s="15" t="s">
        <v>74</v>
      </c>
      <c r="D230" s="16"/>
      <c r="E230" s="2">
        <v>7379719.0999999996</v>
      </c>
      <c r="F230" s="23">
        <v>7.7631327457978724E-2</v>
      </c>
      <c r="G230" s="26">
        <v>572897.39</v>
      </c>
      <c r="H230" t="s">
        <v>68</v>
      </c>
    </row>
    <row r="231" spans="1:8">
      <c r="A231" s="17" t="s">
        <v>1014</v>
      </c>
      <c r="B231" s="21" t="s">
        <v>1015</v>
      </c>
      <c r="C231" s="19" t="s">
        <v>74</v>
      </c>
      <c r="D231" s="20"/>
      <c r="E231" s="3">
        <v>22328832.859999999</v>
      </c>
      <c r="F231" s="24">
        <v>4.9310508386330415E-2</v>
      </c>
      <c r="G231" s="26">
        <v>1101046.1000000001</v>
      </c>
      <c r="H231" t="s">
        <v>68</v>
      </c>
    </row>
    <row r="232" spans="1:8">
      <c r="A232" s="13" t="s">
        <v>1016</v>
      </c>
      <c r="B232" s="14" t="s">
        <v>1017</v>
      </c>
      <c r="C232" s="15" t="s">
        <v>74</v>
      </c>
      <c r="D232" s="16"/>
      <c r="E232" s="2">
        <v>8032036.0099999998</v>
      </c>
      <c r="F232" s="23">
        <v>5.7712779103937309E-2</v>
      </c>
      <c r="G232" s="26">
        <v>463551.12</v>
      </c>
      <c r="H232" t="s">
        <v>68</v>
      </c>
    </row>
    <row r="233" spans="1:8">
      <c r="A233" s="19" t="s">
        <v>1018</v>
      </c>
      <c r="B233" s="20" t="s">
        <v>1019</v>
      </c>
      <c r="C233" s="19" t="s">
        <v>74</v>
      </c>
      <c r="D233" s="20"/>
      <c r="E233" s="3">
        <v>9586059.5800000001</v>
      </c>
      <c r="F233" s="24">
        <v>4.6550188456057982E-2</v>
      </c>
      <c r="G233" s="26">
        <v>446232.88000000006</v>
      </c>
      <c r="H233" t="s">
        <v>68</v>
      </c>
    </row>
    <row r="234" spans="1:8">
      <c r="A234" s="13" t="s">
        <v>1020</v>
      </c>
      <c r="B234" s="14" t="s">
        <v>1021</v>
      </c>
      <c r="C234" s="15" t="s">
        <v>74</v>
      </c>
      <c r="D234" s="16"/>
      <c r="E234" s="2">
        <v>7950810.2699999996</v>
      </c>
      <c r="F234" s="23">
        <v>5.7251424011153025E-2</v>
      </c>
      <c r="G234" s="26">
        <v>455195.21</v>
      </c>
      <c r="H234" t="s">
        <v>68</v>
      </c>
    </row>
    <row r="235" spans="1:8">
      <c r="A235" s="13" t="s">
        <v>1024</v>
      </c>
      <c r="B235" s="14" t="s">
        <v>1025</v>
      </c>
      <c r="C235" s="15" t="s">
        <v>74</v>
      </c>
      <c r="D235" s="16"/>
      <c r="E235" s="2">
        <v>19175170.420000002</v>
      </c>
      <c r="F235" s="23">
        <v>4.2855697863466498E-2</v>
      </c>
      <c r="G235" s="26">
        <v>821765.31</v>
      </c>
      <c r="H235" t="s">
        <v>68</v>
      </c>
    </row>
    <row r="236" spans="1:8">
      <c r="A236" s="19" t="s">
        <v>1026</v>
      </c>
      <c r="B236" s="20" t="s">
        <v>1027</v>
      </c>
      <c r="C236" s="19" t="s">
        <v>74</v>
      </c>
      <c r="D236" s="20"/>
      <c r="E236" s="3">
        <v>11176468.720000001</v>
      </c>
      <c r="F236" s="24">
        <v>5.6096127113752614E-2</v>
      </c>
      <c r="G236" s="26">
        <v>626956.61</v>
      </c>
      <c r="H236" t="s">
        <v>68</v>
      </c>
    </row>
    <row r="237" spans="1:8">
      <c r="A237" s="13" t="s">
        <v>1028</v>
      </c>
      <c r="B237" s="14" t="s">
        <v>1029</v>
      </c>
      <c r="C237" s="15" t="s">
        <v>74</v>
      </c>
      <c r="D237" s="16"/>
      <c r="E237" s="2">
        <v>16366777.91</v>
      </c>
      <c r="F237" s="23">
        <v>4.2639925453720535E-2</v>
      </c>
      <c r="G237" s="26">
        <v>697878.19</v>
      </c>
      <c r="H237" t="s">
        <v>68</v>
      </c>
    </row>
    <row r="238" spans="1:8">
      <c r="A238" s="17" t="s">
        <v>1030</v>
      </c>
      <c r="B238" s="21" t="s">
        <v>1031</v>
      </c>
      <c r="C238" s="19" t="s">
        <v>74</v>
      </c>
      <c r="D238" s="20"/>
      <c r="E238" s="3">
        <v>11834655.970000001</v>
      </c>
      <c r="F238" s="24">
        <v>5.3929307418642269E-2</v>
      </c>
      <c r="G238" s="26">
        <v>638234.80000000005</v>
      </c>
      <c r="H238" t="s">
        <v>68</v>
      </c>
    </row>
    <row r="239" spans="1:8">
      <c r="A239" s="15" t="s">
        <v>1032</v>
      </c>
      <c r="B239" s="16" t="s">
        <v>820</v>
      </c>
      <c r="C239" s="15" t="s">
        <v>74</v>
      </c>
      <c r="D239" s="16"/>
      <c r="E239" s="2">
        <v>16441677.23</v>
      </c>
      <c r="F239" s="23">
        <v>0.12879549941146726</v>
      </c>
      <c r="G239" s="26">
        <v>2117614.0299999998</v>
      </c>
      <c r="H239" t="s">
        <v>68</v>
      </c>
    </row>
    <row r="240" spans="1:8">
      <c r="A240" s="17" t="s">
        <v>821</v>
      </c>
      <c r="B240" s="21" t="s">
        <v>822</v>
      </c>
      <c r="C240" s="19" t="s">
        <v>74</v>
      </c>
      <c r="D240" s="20"/>
      <c r="E240" s="3">
        <v>13014122.949999999</v>
      </c>
      <c r="F240" s="24">
        <v>0.12418360854659054</v>
      </c>
      <c r="G240" s="26">
        <v>1616140.75</v>
      </c>
      <c r="H240" t="s">
        <v>68</v>
      </c>
    </row>
    <row r="241" spans="1:8">
      <c r="A241" s="13" t="s">
        <v>823</v>
      </c>
      <c r="B241" s="14" t="s">
        <v>824</v>
      </c>
      <c r="C241" s="15" t="s">
        <v>74</v>
      </c>
      <c r="D241" s="16"/>
      <c r="E241" s="2">
        <v>9893099.1099999994</v>
      </c>
      <c r="F241" s="23">
        <v>0.17190979601941944</v>
      </c>
      <c r="G241" s="26">
        <v>1700720.65</v>
      </c>
      <c r="H241" t="s">
        <v>68</v>
      </c>
    </row>
    <row r="242" spans="1:8">
      <c r="A242" s="15" t="s">
        <v>827</v>
      </c>
      <c r="B242" s="16" t="s">
        <v>828</v>
      </c>
      <c r="C242" s="15" t="s">
        <v>74</v>
      </c>
      <c r="D242" s="16"/>
      <c r="E242" s="2">
        <v>7522382.6900000004</v>
      </c>
      <c r="F242" s="23">
        <v>2.4685533514115857E-2</v>
      </c>
      <c r="G242" s="26">
        <v>185694.03</v>
      </c>
      <c r="H242" t="s">
        <v>68</v>
      </c>
    </row>
    <row r="243" spans="1:8">
      <c r="A243" s="17" t="s">
        <v>829</v>
      </c>
      <c r="B243" s="21" t="s">
        <v>830</v>
      </c>
      <c r="C243" s="19" t="s">
        <v>74</v>
      </c>
      <c r="D243" s="20"/>
      <c r="E243" s="3">
        <v>8470837.2400000002</v>
      </c>
      <c r="F243" s="24">
        <v>2.8981371385669547E-2</v>
      </c>
      <c r="G243" s="26">
        <v>245496.48</v>
      </c>
      <c r="H243" t="s">
        <v>68</v>
      </c>
    </row>
    <row r="244" spans="1:8">
      <c r="A244" s="13" t="s">
        <v>831</v>
      </c>
      <c r="B244" s="14" t="s">
        <v>832</v>
      </c>
      <c r="C244" s="15" t="s">
        <v>74</v>
      </c>
      <c r="D244" s="16"/>
      <c r="E244" s="2">
        <v>4167295.73</v>
      </c>
      <c r="F244" s="23">
        <v>3.3407050763829521E-2</v>
      </c>
      <c r="G244" s="26">
        <v>139217.06</v>
      </c>
      <c r="H244" t="s">
        <v>68</v>
      </c>
    </row>
    <row r="245" spans="1:8">
      <c r="A245" s="19" t="s">
        <v>833</v>
      </c>
      <c r="B245" s="20" t="s">
        <v>834</v>
      </c>
      <c r="C245" s="19" t="s">
        <v>74</v>
      </c>
      <c r="D245" s="20"/>
      <c r="E245" s="3">
        <v>5232522.08</v>
      </c>
      <c r="F245" s="24">
        <v>5.5200800987351015E-2</v>
      </c>
      <c r="G245" s="26">
        <v>288839.40999999997</v>
      </c>
      <c r="H245" t="s">
        <v>68</v>
      </c>
    </row>
    <row r="246" spans="1:8">
      <c r="A246" s="17" t="s">
        <v>837</v>
      </c>
      <c r="B246" s="21" t="s">
        <v>838</v>
      </c>
      <c r="C246" s="19" t="s">
        <v>74</v>
      </c>
      <c r="D246" s="20"/>
      <c r="E246" s="3">
        <v>13313127.460000001</v>
      </c>
      <c r="F246" s="24">
        <v>6.9502644872897493E-2</v>
      </c>
      <c r="G246" s="26">
        <v>925297.56999999983</v>
      </c>
      <c r="H246" t="s">
        <v>68</v>
      </c>
    </row>
    <row r="247" spans="1:8">
      <c r="A247" s="13" t="s">
        <v>839</v>
      </c>
      <c r="B247" s="14" t="s">
        <v>840</v>
      </c>
      <c r="C247" s="15" t="s">
        <v>74</v>
      </c>
      <c r="D247" s="16"/>
      <c r="E247" s="2">
        <v>6194700.6900000004</v>
      </c>
      <c r="F247" s="23">
        <v>5.9897216761250816E-2</v>
      </c>
      <c r="G247" s="26">
        <v>371045.33</v>
      </c>
      <c r="H247" t="s">
        <v>68</v>
      </c>
    </row>
    <row r="248" spans="1:8">
      <c r="A248" s="19" t="s">
        <v>841</v>
      </c>
      <c r="B248" s="20" t="s">
        <v>842</v>
      </c>
      <c r="C248" s="19" t="s">
        <v>74</v>
      </c>
      <c r="D248" s="20"/>
      <c r="E248" s="3">
        <v>12540698.060000001</v>
      </c>
      <c r="F248" s="24">
        <v>8.4239830585634876E-2</v>
      </c>
      <c r="G248" s="26">
        <v>1056426.28</v>
      </c>
      <c r="H248" t="s">
        <v>68</v>
      </c>
    </row>
    <row r="249" spans="1:8">
      <c r="A249" s="17" t="s">
        <v>845</v>
      </c>
      <c r="B249" s="21" t="s">
        <v>846</v>
      </c>
      <c r="C249" s="19" t="s">
        <v>74</v>
      </c>
      <c r="D249" s="20"/>
      <c r="E249" s="3">
        <v>11955559.699999999</v>
      </c>
      <c r="F249" s="24">
        <v>8.4842994845318709E-2</v>
      </c>
      <c r="G249" s="26">
        <v>1014345.49</v>
      </c>
      <c r="H249" t="s">
        <v>68</v>
      </c>
    </row>
    <row r="250" spans="1:8">
      <c r="A250" s="13" t="s">
        <v>847</v>
      </c>
      <c r="B250" s="14" t="s">
        <v>848</v>
      </c>
      <c r="C250" s="15" t="s">
        <v>74</v>
      </c>
      <c r="D250" s="16"/>
      <c r="E250" s="2">
        <v>8024603.8399999999</v>
      </c>
      <c r="F250" s="23">
        <v>5.6000172589205352E-2</v>
      </c>
      <c r="G250" s="26">
        <v>449379.2</v>
      </c>
      <c r="H250" t="s">
        <v>68</v>
      </c>
    </row>
    <row r="251" spans="1:8">
      <c r="A251" s="19" t="s">
        <v>849</v>
      </c>
      <c r="B251" s="20" t="s">
        <v>850</v>
      </c>
      <c r="C251" s="19" t="s">
        <v>74</v>
      </c>
      <c r="D251" s="20"/>
      <c r="E251" s="3">
        <v>26175041.5</v>
      </c>
      <c r="F251" s="24">
        <v>7.6345037313503394E-2</v>
      </c>
      <c r="G251" s="26">
        <v>1998334.5199999998</v>
      </c>
      <c r="H251" t="s">
        <v>68</v>
      </c>
    </row>
    <row r="252" spans="1:8">
      <c r="A252" s="13" t="s">
        <v>851</v>
      </c>
      <c r="B252" s="14" t="s">
        <v>852</v>
      </c>
      <c r="C252" s="15" t="s">
        <v>74</v>
      </c>
      <c r="D252" s="16"/>
      <c r="E252" s="2">
        <v>10879101.84</v>
      </c>
      <c r="F252" s="23">
        <v>0.11035102416138427</v>
      </c>
      <c r="G252" s="26">
        <v>1200520.03</v>
      </c>
      <c r="H252" t="s">
        <v>68</v>
      </c>
    </row>
    <row r="253" spans="1:8">
      <c r="A253" s="13" t="s">
        <v>855</v>
      </c>
      <c r="B253" s="14" t="s">
        <v>856</v>
      </c>
      <c r="C253" s="15" t="s">
        <v>74</v>
      </c>
      <c r="D253" s="16"/>
      <c r="E253" s="2">
        <v>30137880.09</v>
      </c>
      <c r="F253" s="23">
        <v>5.3013964659383579E-2</v>
      </c>
      <c r="G253" s="26">
        <v>1597728.51</v>
      </c>
      <c r="H253" t="s">
        <v>68</v>
      </c>
    </row>
    <row r="254" spans="1:8">
      <c r="A254" s="19" t="s">
        <v>857</v>
      </c>
      <c r="B254" s="20" t="s">
        <v>858</v>
      </c>
      <c r="C254" s="19" t="s">
        <v>74</v>
      </c>
      <c r="D254" s="20"/>
      <c r="E254" s="3">
        <v>76316088.239999995</v>
      </c>
      <c r="F254" s="24">
        <v>4.5918901385242177E-2</v>
      </c>
      <c r="G254" s="26">
        <v>3504350.9299999997</v>
      </c>
      <c r="H254" t="s">
        <v>68</v>
      </c>
    </row>
    <row r="255" spans="1:8">
      <c r="A255" s="13" t="s">
        <v>859</v>
      </c>
      <c r="B255" s="14" t="s">
        <v>860</v>
      </c>
      <c r="C255" s="15" t="s">
        <v>74</v>
      </c>
      <c r="D255" s="16"/>
      <c r="E255" s="2">
        <v>154118900.83000001</v>
      </c>
      <c r="F255" s="23">
        <v>3.1665064789055695E-2</v>
      </c>
      <c r="G255" s="26">
        <v>4880184.9800000004</v>
      </c>
      <c r="H255" t="s">
        <v>68</v>
      </c>
    </row>
    <row r="256" spans="1:8">
      <c r="A256" s="17" t="s">
        <v>861</v>
      </c>
      <c r="B256" s="21" t="s">
        <v>862</v>
      </c>
      <c r="C256" s="19" t="s">
        <v>74</v>
      </c>
      <c r="D256" s="20"/>
      <c r="E256" s="3">
        <v>12439868.220000001</v>
      </c>
      <c r="F256" s="24">
        <v>5.3490810210528095E-2</v>
      </c>
      <c r="G256" s="26">
        <v>665418.63</v>
      </c>
      <c r="H256" t="s">
        <v>68</v>
      </c>
    </row>
    <row r="257" spans="1:8">
      <c r="A257" s="15" t="s">
        <v>863</v>
      </c>
      <c r="B257" s="16" t="s">
        <v>864</v>
      </c>
      <c r="C257" s="15" t="s">
        <v>74</v>
      </c>
      <c r="D257" s="16"/>
      <c r="E257" s="2">
        <v>6967139.7800000003</v>
      </c>
      <c r="F257" s="23">
        <v>0.10710873809969693</v>
      </c>
      <c r="G257" s="26">
        <v>746241.55</v>
      </c>
      <c r="H257" t="s">
        <v>68</v>
      </c>
    </row>
    <row r="258" spans="1:8">
      <c r="A258" s="17" t="s">
        <v>865</v>
      </c>
      <c r="B258" s="21" t="s">
        <v>866</v>
      </c>
      <c r="C258" s="19" t="s">
        <v>74</v>
      </c>
      <c r="D258" s="20"/>
      <c r="E258" s="3">
        <v>21334785.75</v>
      </c>
      <c r="F258" s="24">
        <v>4.8531790857098245E-2</v>
      </c>
      <c r="G258" s="26">
        <v>1035415.3599999999</v>
      </c>
      <c r="H258" t="s">
        <v>68</v>
      </c>
    </row>
    <row r="259" spans="1:8">
      <c r="A259" s="13" t="s">
        <v>867</v>
      </c>
      <c r="B259" s="14" t="s">
        <v>868</v>
      </c>
      <c r="C259" s="15" t="s">
        <v>74</v>
      </c>
      <c r="D259" s="16"/>
      <c r="E259" s="2">
        <v>29836682.84</v>
      </c>
      <c r="F259" s="23">
        <v>5.1189378798920132E-2</v>
      </c>
      <c r="G259" s="26">
        <v>1527321.26</v>
      </c>
      <c r="H259" t="s">
        <v>68</v>
      </c>
    </row>
    <row r="260" spans="1:8">
      <c r="A260" s="19" t="s">
        <v>869</v>
      </c>
      <c r="B260" s="20" t="s">
        <v>870</v>
      </c>
      <c r="C260" s="19" t="s">
        <v>74</v>
      </c>
      <c r="D260" s="20"/>
      <c r="E260" s="3">
        <v>7516951.9800000004</v>
      </c>
      <c r="F260" s="24">
        <v>9.3573407395905708E-2</v>
      </c>
      <c r="G260" s="26">
        <v>703386.81</v>
      </c>
      <c r="H260" t="s">
        <v>68</v>
      </c>
    </row>
    <row r="261" spans="1:8">
      <c r="A261" s="13" t="s">
        <v>871</v>
      </c>
      <c r="B261" s="14" t="s">
        <v>872</v>
      </c>
      <c r="C261" s="15" t="s">
        <v>74</v>
      </c>
      <c r="D261" s="16"/>
      <c r="E261" s="2">
        <v>17011666.93</v>
      </c>
      <c r="F261" s="23">
        <v>5.7046297931486717E-2</v>
      </c>
      <c r="G261" s="26">
        <v>970452.62</v>
      </c>
      <c r="H261" t="s">
        <v>68</v>
      </c>
    </row>
    <row r="262" spans="1:8">
      <c r="A262" s="17" t="s">
        <v>873</v>
      </c>
      <c r="B262" s="21" t="s">
        <v>874</v>
      </c>
      <c r="C262" s="19" t="s">
        <v>74</v>
      </c>
      <c r="D262" s="20"/>
      <c r="E262" s="3">
        <v>9702939.4499999993</v>
      </c>
      <c r="F262" s="24">
        <v>4.6046063906953476E-2</v>
      </c>
      <c r="G262" s="26">
        <v>446782.17</v>
      </c>
      <c r="H262" t="s">
        <v>68</v>
      </c>
    </row>
    <row r="263" spans="1:8">
      <c r="A263" s="15" t="s">
        <v>875</v>
      </c>
      <c r="B263" s="16" t="s">
        <v>876</v>
      </c>
      <c r="C263" s="15" t="s">
        <v>74</v>
      </c>
      <c r="D263" s="16"/>
      <c r="E263" s="2">
        <v>11072588.66</v>
      </c>
      <c r="F263" s="23">
        <v>4.421457935745262E-2</v>
      </c>
      <c r="G263" s="26">
        <v>489569.85</v>
      </c>
      <c r="H263" t="s">
        <v>68</v>
      </c>
    </row>
    <row r="264" spans="1:8">
      <c r="A264" s="13" t="s">
        <v>879</v>
      </c>
      <c r="B264" s="14" t="s">
        <v>880</v>
      </c>
      <c r="C264" s="15" t="s">
        <v>74</v>
      </c>
      <c r="D264" s="16"/>
      <c r="E264" s="2">
        <v>14514300.470000001</v>
      </c>
      <c r="F264" s="23">
        <v>5.8466451190947406E-2</v>
      </c>
      <c r="G264" s="26">
        <v>848599.64</v>
      </c>
      <c r="H264" t="s">
        <v>68</v>
      </c>
    </row>
    <row r="265" spans="1:8">
      <c r="A265" s="17" t="s">
        <v>881</v>
      </c>
      <c r="B265" s="21" t="s">
        <v>882</v>
      </c>
      <c r="C265" s="19" t="s">
        <v>74</v>
      </c>
      <c r="D265" s="20"/>
      <c r="E265" s="3">
        <v>28100013.550000001</v>
      </c>
      <c r="F265" s="24">
        <v>7.31599974619941E-2</v>
      </c>
      <c r="G265" s="26">
        <v>2055796.92</v>
      </c>
      <c r="H265" t="s">
        <v>68</v>
      </c>
    </row>
    <row r="266" spans="1:8">
      <c r="A266" s="15" t="s">
        <v>883</v>
      </c>
      <c r="B266" s="16" t="s">
        <v>884</v>
      </c>
      <c r="C266" s="15" t="s">
        <v>74</v>
      </c>
      <c r="D266" s="16"/>
      <c r="E266" s="2">
        <v>29080579.670000002</v>
      </c>
      <c r="F266" s="23">
        <v>4.1236621952109802E-2</v>
      </c>
      <c r="G266" s="26">
        <v>1199184.8700000001</v>
      </c>
      <c r="H266" t="s">
        <v>68</v>
      </c>
    </row>
    <row r="267" spans="1:8">
      <c r="A267" s="17" t="s">
        <v>885</v>
      </c>
      <c r="B267" s="21" t="s">
        <v>886</v>
      </c>
      <c r="C267" s="19" t="s">
        <v>74</v>
      </c>
      <c r="D267" s="20"/>
      <c r="E267" s="3">
        <v>14702138.109999999</v>
      </c>
      <c r="F267" s="24">
        <v>5.3794277681424939E-2</v>
      </c>
      <c r="G267" s="26">
        <v>790890.9</v>
      </c>
      <c r="H267" t="s">
        <v>68</v>
      </c>
    </row>
    <row r="268" spans="1:8">
      <c r="A268" s="13" t="s">
        <v>887</v>
      </c>
      <c r="B268" s="14" t="s">
        <v>888</v>
      </c>
      <c r="C268" s="15" t="s">
        <v>74</v>
      </c>
      <c r="D268" s="16"/>
      <c r="E268" s="2">
        <v>7152626.5099999998</v>
      </c>
      <c r="F268" s="23">
        <v>4.7069797301634866E-2</v>
      </c>
      <c r="G268" s="26">
        <v>336672.68</v>
      </c>
      <c r="H268" t="s">
        <v>68</v>
      </c>
    </row>
    <row r="269" spans="1:8">
      <c r="A269" s="19" t="s">
        <v>889</v>
      </c>
      <c r="B269" s="20" t="s">
        <v>890</v>
      </c>
      <c r="C269" s="19" t="s">
        <v>74</v>
      </c>
      <c r="D269" s="20"/>
      <c r="E269" s="3">
        <v>18823914.449999999</v>
      </c>
      <c r="F269" s="24">
        <v>4.9866142480263984E-2</v>
      </c>
      <c r="G269" s="26">
        <v>938676</v>
      </c>
      <c r="H269" t="s">
        <v>68</v>
      </c>
    </row>
    <row r="270" spans="1:8">
      <c r="A270" s="17" t="s">
        <v>893</v>
      </c>
      <c r="B270" s="21" t="s">
        <v>894</v>
      </c>
      <c r="C270" s="19" t="s">
        <v>74</v>
      </c>
      <c r="D270" s="20"/>
      <c r="E270" s="3">
        <v>17187194.91</v>
      </c>
      <c r="F270" s="24">
        <v>5.995330683080035E-2</v>
      </c>
      <c r="G270" s="26">
        <v>1030429.17</v>
      </c>
      <c r="H270" t="s">
        <v>68</v>
      </c>
    </row>
    <row r="271" spans="1:8">
      <c r="A271" s="13" t="s">
        <v>895</v>
      </c>
      <c r="B271" s="14" t="s">
        <v>896</v>
      </c>
      <c r="C271" s="15" t="s">
        <v>74</v>
      </c>
      <c r="D271" s="16"/>
      <c r="E271" s="2">
        <v>14803223.470000001</v>
      </c>
      <c r="F271" s="23">
        <v>6.7639984766101752E-2</v>
      </c>
      <c r="G271" s="26">
        <v>1001289.8099999999</v>
      </c>
      <c r="H271" t="s">
        <v>68</v>
      </c>
    </row>
    <row r="272" spans="1:8">
      <c r="A272" s="19" t="s">
        <v>897</v>
      </c>
      <c r="B272" s="20" t="s">
        <v>898</v>
      </c>
      <c r="C272" s="19" t="s">
        <v>74</v>
      </c>
      <c r="D272" s="20"/>
      <c r="E272" s="3">
        <v>16110634.1</v>
      </c>
      <c r="F272" s="24">
        <v>5.8130201094940145E-2</v>
      </c>
      <c r="G272" s="26">
        <v>936514.4</v>
      </c>
      <c r="H272" t="s">
        <v>68</v>
      </c>
    </row>
    <row r="273" spans="1:8">
      <c r="A273" s="13" t="s">
        <v>899</v>
      </c>
      <c r="B273" s="14" t="s">
        <v>900</v>
      </c>
      <c r="C273" s="15" t="s">
        <v>74</v>
      </c>
      <c r="D273" s="16"/>
      <c r="E273" s="2">
        <v>10281627.060000001</v>
      </c>
      <c r="F273" s="23">
        <v>0.10110553747317109</v>
      </c>
      <c r="G273" s="26">
        <v>1039529.43</v>
      </c>
      <c r="H273" t="s">
        <v>68</v>
      </c>
    </row>
    <row r="274" spans="1:8">
      <c r="A274" s="17" t="s">
        <v>901</v>
      </c>
      <c r="B274" s="21" t="s">
        <v>902</v>
      </c>
      <c r="C274" s="19" t="s">
        <v>74</v>
      </c>
      <c r="D274" s="20"/>
      <c r="E274" s="3">
        <v>21876285.079999998</v>
      </c>
      <c r="F274" s="24">
        <v>6.3844610951650671E-2</v>
      </c>
      <c r="G274" s="26">
        <v>1396682.9100000001</v>
      </c>
      <c r="H274" t="s">
        <v>68</v>
      </c>
    </row>
    <row r="275" spans="1:8">
      <c r="A275" s="15" t="s">
        <v>903</v>
      </c>
      <c r="B275" s="16" t="s">
        <v>1119</v>
      </c>
      <c r="C275" s="15" t="s">
        <v>74</v>
      </c>
      <c r="D275" s="16"/>
      <c r="E275" s="2">
        <v>73220052.640000001</v>
      </c>
      <c r="F275" s="23">
        <v>5.8022791391426673E-2</v>
      </c>
      <c r="G275" s="26">
        <v>4248431.84</v>
      </c>
      <c r="H275" t="s">
        <v>68</v>
      </c>
    </row>
    <row r="276" spans="1:8">
      <c r="A276" s="17" t="s">
        <v>1120</v>
      </c>
      <c r="B276" s="21" t="s">
        <v>1121</v>
      </c>
      <c r="C276" s="19" t="s">
        <v>74</v>
      </c>
      <c r="D276" s="20"/>
      <c r="E276" s="3">
        <v>8819057.2400000002</v>
      </c>
      <c r="F276" s="24">
        <v>6.1934079248588701E-2</v>
      </c>
      <c r="G276" s="26">
        <v>546200.18999999994</v>
      </c>
      <c r="H276" t="s">
        <v>68</v>
      </c>
    </row>
    <row r="277" spans="1:8">
      <c r="A277" s="17" t="s">
        <v>1124</v>
      </c>
      <c r="B277" s="21" t="s">
        <v>1125</v>
      </c>
      <c r="C277" s="19" t="s">
        <v>74</v>
      </c>
      <c r="D277" s="20"/>
      <c r="E277" s="3">
        <v>13844356.529999999</v>
      </c>
      <c r="F277" s="24">
        <v>6.7401561638343627E-2</v>
      </c>
      <c r="G277" s="26">
        <v>933131.25</v>
      </c>
      <c r="H277" t="s">
        <v>68</v>
      </c>
    </row>
    <row r="278" spans="1:8">
      <c r="A278" s="15" t="s">
        <v>1126</v>
      </c>
      <c r="B278" s="16" t="s">
        <v>1127</v>
      </c>
      <c r="C278" s="15" t="s">
        <v>74</v>
      </c>
      <c r="D278" s="16"/>
      <c r="E278" s="2">
        <v>14267718.93</v>
      </c>
      <c r="F278" s="23">
        <v>4.736431263578305E-2</v>
      </c>
      <c r="G278" s="26">
        <v>675780.7</v>
      </c>
      <c r="H278" t="s">
        <v>68</v>
      </c>
    </row>
    <row r="279" spans="1:8">
      <c r="A279" s="17" t="s">
        <v>1128</v>
      </c>
      <c r="B279" s="21" t="s">
        <v>1129</v>
      </c>
      <c r="C279" s="19" t="s">
        <v>74</v>
      </c>
      <c r="D279" s="20"/>
      <c r="E279" s="3">
        <v>11320561.779999999</v>
      </c>
      <c r="F279" s="24">
        <v>7.101301822496657E-2</v>
      </c>
      <c r="G279" s="26">
        <v>803907.25999999989</v>
      </c>
      <c r="H279" t="s">
        <v>68</v>
      </c>
    </row>
    <row r="280" spans="1:8">
      <c r="A280" s="17" t="s">
        <v>1132</v>
      </c>
      <c r="B280" s="21" t="s">
        <v>1133</v>
      </c>
      <c r="C280" s="19" t="s">
        <v>74</v>
      </c>
      <c r="D280" s="20"/>
      <c r="E280" s="3">
        <v>18522275.789999999</v>
      </c>
      <c r="F280" s="24">
        <v>7.5575209324750051E-2</v>
      </c>
      <c r="G280" s="26">
        <v>1399824.87</v>
      </c>
      <c r="H280" t="s">
        <v>68</v>
      </c>
    </row>
    <row r="281" spans="1:8">
      <c r="A281" s="15" t="s">
        <v>1134</v>
      </c>
      <c r="B281" s="16" t="s">
        <v>1135</v>
      </c>
      <c r="C281" s="15" t="s">
        <v>74</v>
      </c>
      <c r="D281" s="16"/>
      <c r="E281" s="2">
        <v>9340223.9399999995</v>
      </c>
      <c r="F281" s="23">
        <v>4.3650715723631786E-2</v>
      </c>
      <c r="G281" s="26">
        <v>407707.46</v>
      </c>
      <c r="H281" t="s">
        <v>68</v>
      </c>
    </row>
    <row r="282" spans="1:8">
      <c r="A282" s="17" t="s">
        <v>1136</v>
      </c>
      <c r="B282" s="21" t="s">
        <v>1137</v>
      </c>
      <c r="C282" s="19" t="s">
        <v>74</v>
      </c>
      <c r="D282" s="20"/>
      <c r="E282" s="3">
        <v>8699332.7899999991</v>
      </c>
      <c r="F282" s="24">
        <v>5.0764536851337083E-2</v>
      </c>
      <c r="G282" s="26">
        <v>441617.6</v>
      </c>
      <c r="H282" t="s">
        <v>68</v>
      </c>
    </row>
    <row r="283" spans="1:8">
      <c r="A283" s="13" t="s">
        <v>1138</v>
      </c>
      <c r="B283" s="14" t="s">
        <v>1139</v>
      </c>
      <c r="C283" s="15" t="s">
        <v>74</v>
      </c>
      <c r="D283" s="16"/>
      <c r="E283" s="2">
        <v>11021074.58</v>
      </c>
      <c r="F283" s="23">
        <v>4.5346364038487429E-2</v>
      </c>
      <c r="G283" s="26">
        <v>499765.65999999992</v>
      </c>
      <c r="H283" t="s">
        <v>68</v>
      </c>
    </row>
    <row r="284" spans="1:8">
      <c r="A284" s="19" t="s">
        <v>1140</v>
      </c>
      <c r="B284" s="20" t="s">
        <v>1141</v>
      </c>
      <c r="C284" s="19" t="s">
        <v>74</v>
      </c>
      <c r="D284" s="20"/>
      <c r="E284" s="3">
        <v>11273454.18</v>
      </c>
      <c r="F284" s="24">
        <v>8.1434026815727922E-2</v>
      </c>
      <c r="G284" s="26">
        <v>918042.77</v>
      </c>
      <c r="H284" t="s">
        <v>68</v>
      </c>
    </row>
    <row r="285" spans="1:8">
      <c r="A285" s="13" t="s">
        <v>1142</v>
      </c>
      <c r="B285" s="14" t="s">
        <v>1143</v>
      </c>
      <c r="C285" s="15" t="s">
        <v>74</v>
      </c>
      <c r="D285" s="16"/>
      <c r="E285" s="2">
        <v>20287238.309999999</v>
      </c>
      <c r="F285" s="23">
        <v>9.8914294264037764E-2</v>
      </c>
      <c r="G285" s="26">
        <v>2006697.86</v>
      </c>
      <c r="H285" t="s">
        <v>68</v>
      </c>
    </row>
    <row r="286" spans="1:8">
      <c r="A286" s="17" t="s">
        <v>924</v>
      </c>
      <c r="B286" s="21" t="s">
        <v>925</v>
      </c>
      <c r="C286" s="19" t="s">
        <v>74</v>
      </c>
      <c r="D286" s="20"/>
      <c r="E286" s="3">
        <v>8256386.1399999997</v>
      </c>
      <c r="F286" s="24">
        <v>4.5814251366881935E-2</v>
      </c>
      <c r="G286" s="26">
        <v>378260.15</v>
      </c>
      <c r="H286" t="s">
        <v>68</v>
      </c>
    </row>
    <row r="287" spans="1:8">
      <c r="A287" s="15" t="s">
        <v>926</v>
      </c>
      <c r="B287" s="16" t="s">
        <v>927</v>
      </c>
      <c r="C287" s="15" t="s">
        <v>74</v>
      </c>
      <c r="D287" s="16"/>
      <c r="E287" s="2">
        <v>8231415.4100000001</v>
      </c>
      <c r="F287" s="23">
        <v>5.0914836528703385E-2</v>
      </c>
      <c r="G287" s="26">
        <v>419101.17</v>
      </c>
      <c r="H287" t="s">
        <v>68</v>
      </c>
    </row>
    <row r="288" spans="1:8">
      <c r="A288" s="17" t="s">
        <v>928</v>
      </c>
      <c r="B288" s="21" t="s">
        <v>929</v>
      </c>
      <c r="C288" s="19" t="s">
        <v>74</v>
      </c>
      <c r="D288" s="20"/>
      <c r="E288" s="3">
        <v>10312220.609999999</v>
      </c>
      <c r="F288" s="24">
        <v>5.1289531130385702E-2</v>
      </c>
      <c r="G288" s="26">
        <v>528908.96</v>
      </c>
      <c r="H288" t="s">
        <v>68</v>
      </c>
    </row>
    <row r="289" spans="1:8">
      <c r="A289" s="17" t="s">
        <v>932</v>
      </c>
      <c r="B289" s="21" t="s">
        <v>933</v>
      </c>
      <c r="C289" s="19" t="s">
        <v>74</v>
      </c>
      <c r="D289" s="20"/>
      <c r="E289" s="3">
        <v>15202239.710000001</v>
      </c>
      <c r="F289" s="24">
        <v>6.9455213188451947E-3</v>
      </c>
      <c r="G289" s="26">
        <v>105587.48</v>
      </c>
      <c r="H289" t="s">
        <v>68</v>
      </c>
    </row>
    <row r="290" spans="1:8">
      <c r="A290" s="15" t="s">
        <v>934</v>
      </c>
      <c r="B290" s="16" t="s">
        <v>935</v>
      </c>
      <c r="C290" s="15" t="s">
        <v>74</v>
      </c>
      <c r="D290" s="16"/>
      <c r="E290" s="2">
        <v>14125742.01</v>
      </c>
      <c r="F290" s="23">
        <v>5.1474931333536375E-3</v>
      </c>
      <c r="G290" s="26">
        <v>72712.160000000003</v>
      </c>
      <c r="H290" t="s">
        <v>68</v>
      </c>
    </row>
    <row r="291" spans="1:8">
      <c r="A291" s="17" t="s">
        <v>936</v>
      </c>
      <c r="B291" s="21" t="s">
        <v>937</v>
      </c>
      <c r="C291" s="19" t="s">
        <v>74</v>
      </c>
      <c r="D291" s="20"/>
      <c r="E291" s="3">
        <v>34782536.130000003</v>
      </c>
      <c r="F291" s="24">
        <v>2.8144757654852467E-2</v>
      </c>
      <c r="G291" s="26">
        <v>978946.05</v>
      </c>
      <c r="H291" t="s">
        <v>68</v>
      </c>
    </row>
    <row r="292" spans="1:8">
      <c r="A292" s="13" t="s">
        <v>938</v>
      </c>
      <c r="B292" s="14" t="s">
        <v>939</v>
      </c>
      <c r="C292" s="15" t="s">
        <v>74</v>
      </c>
      <c r="D292" s="16"/>
      <c r="E292" s="2">
        <v>45685827.439999998</v>
      </c>
      <c r="F292" s="23">
        <v>1.6778002565602652E-2</v>
      </c>
      <c r="G292" s="26">
        <v>766516.92999999993</v>
      </c>
      <c r="H292" t="s">
        <v>68</v>
      </c>
    </row>
    <row r="293" spans="1:8">
      <c r="A293" s="19" t="s">
        <v>940</v>
      </c>
      <c r="B293" s="20" t="s">
        <v>941</v>
      </c>
      <c r="C293" s="19" t="s">
        <v>74</v>
      </c>
      <c r="D293" s="20"/>
      <c r="E293" s="3">
        <v>11535893.949999999</v>
      </c>
      <c r="F293" s="24">
        <v>2.5850905988954589E-2</v>
      </c>
      <c r="G293" s="26">
        <v>298213.31</v>
      </c>
      <c r="H293" t="s">
        <v>68</v>
      </c>
    </row>
    <row r="294" spans="1:8">
      <c r="A294" s="13" t="s">
        <v>942</v>
      </c>
      <c r="B294" s="14" t="s">
        <v>943</v>
      </c>
      <c r="C294" s="15" t="s">
        <v>74</v>
      </c>
      <c r="D294" s="16"/>
      <c r="E294" s="2">
        <v>64697076.57</v>
      </c>
      <c r="F294" s="23">
        <v>2.433840914428817E-2</v>
      </c>
      <c r="G294" s="26">
        <v>1574623.92</v>
      </c>
      <c r="H294" t="s">
        <v>68</v>
      </c>
    </row>
    <row r="295" spans="1:8">
      <c r="A295" s="13" t="s">
        <v>946</v>
      </c>
      <c r="B295" s="14" t="s">
        <v>947</v>
      </c>
      <c r="C295" s="15" t="s">
        <v>74</v>
      </c>
      <c r="D295" s="16"/>
      <c r="E295" s="2">
        <v>6354132.4000000004</v>
      </c>
      <c r="F295" s="23">
        <v>7.5046857695316507E-2</v>
      </c>
      <c r="G295" s="26">
        <v>476857.67</v>
      </c>
      <c r="H295" t="s">
        <v>68</v>
      </c>
    </row>
    <row r="296" spans="1:8">
      <c r="A296" s="19" t="s">
        <v>948</v>
      </c>
      <c r="B296" s="20" t="s">
        <v>949</v>
      </c>
      <c r="C296" s="19" t="s">
        <v>74</v>
      </c>
      <c r="D296" s="20"/>
      <c r="E296" s="3">
        <v>8367992.0099999998</v>
      </c>
      <c r="F296" s="24">
        <v>5.4869631740960517E-2</v>
      </c>
      <c r="G296" s="26">
        <v>459148.64</v>
      </c>
      <c r="H296" t="s">
        <v>68</v>
      </c>
    </row>
    <row r="297" spans="1:8">
      <c r="A297" s="13" t="s">
        <v>950</v>
      </c>
      <c r="B297" s="14" t="s">
        <v>951</v>
      </c>
      <c r="C297" s="15" t="s">
        <v>74</v>
      </c>
      <c r="D297" s="16"/>
      <c r="E297" s="2">
        <v>6136361.29</v>
      </c>
      <c r="F297" s="23">
        <v>4.4571290227925935E-2</v>
      </c>
      <c r="G297" s="26">
        <v>273505.53999999998</v>
      </c>
      <c r="H297" t="s">
        <v>68</v>
      </c>
    </row>
    <row r="298" spans="1:8">
      <c r="A298" s="17" t="s">
        <v>952</v>
      </c>
      <c r="B298" s="21" t="s">
        <v>953</v>
      </c>
      <c r="C298" s="19" t="s">
        <v>74</v>
      </c>
      <c r="D298" s="20"/>
      <c r="E298" s="3">
        <v>6474712.0499999998</v>
      </c>
      <c r="F298" s="24">
        <v>0.1025773447330372</v>
      </c>
      <c r="G298" s="26">
        <v>664158.77</v>
      </c>
      <c r="H298" t="s">
        <v>68</v>
      </c>
    </row>
    <row r="299" spans="1:8">
      <c r="A299" s="15" t="s">
        <v>954</v>
      </c>
      <c r="B299" s="16" t="s">
        <v>955</v>
      </c>
      <c r="C299" s="15" t="s">
        <v>74</v>
      </c>
      <c r="D299" s="16"/>
      <c r="E299" s="2">
        <v>6696499.3399999999</v>
      </c>
      <c r="F299" s="23">
        <v>7.4850029030242543E-2</v>
      </c>
      <c r="G299" s="26">
        <v>501233.17000000004</v>
      </c>
      <c r="H299" t="s">
        <v>68</v>
      </c>
    </row>
    <row r="300" spans="1:8">
      <c r="A300" s="17" t="s">
        <v>956</v>
      </c>
      <c r="B300" s="21" t="s">
        <v>957</v>
      </c>
      <c r="C300" s="19" t="s">
        <v>74</v>
      </c>
      <c r="D300" s="20"/>
      <c r="E300" s="3">
        <v>7978581.2000000002</v>
      </c>
      <c r="F300" s="24">
        <v>3.5248160412279815E-2</v>
      </c>
      <c r="G300" s="26">
        <v>281230.31</v>
      </c>
      <c r="H300" t="s">
        <v>68</v>
      </c>
    </row>
    <row r="301" spans="1:8">
      <c r="A301" s="13" t="s">
        <v>958</v>
      </c>
      <c r="B301" s="14" t="s">
        <v>959</v>
      </c>
      <c r="C301" s="15" t="s">
        <v>74</v>
      </c>
      <c r="D301" s="16"/>
      <c r="E301" s="2">
        <v>10122756.34</v>
      </c>
      <c r="F301" s="23">
        <v>4.7452792882299089E-2</v>
      </c>
      <c r="G301" s="26">
        <v>480353.05999999994</v>
      </c>
      <c r="H301" t="s">
        <v>68</v>
      </c>
    </row>
    <row r="302" spans="1:8">
      <c r="A302" s="19" t="s">
        <v>960</v>
      </c>
      <c r="B302" s="20" t="s">
        <v>884</v>
      </c>
      <c r="C302" s="19" t="s">
        <v>74</v>
      </c>
      <c r="D302" s="20"/>
      <c r="E302" s="3">
        <v>9653243.8100000005</v>
      </c>
      <c r="F302" s="24">
        <v>5.2985177839406504E-2</v>
      </c>
      <c r="G302" s="26">
        <v>511478.84</v>
      </c>
      <c r="H302" t="s">
        <v>68</v>
      </c>
    </row>
    <row r="303" spans="1:8">
      <c r="A303" s="17" t="s">
        <v>963</v>
      </c>
      <c r="B303" s="21" t="s">
        <v>964</v>
      </c>
      <c r="C303" s="19" t="s">
        <v>74</v>
      </c>
      <c r="D303" s="20"/>
      <c r="E303" s="3">
        <v>23594771.609999999</v>
      </c>
      <c r="F303" s="24">
        <v>3.7870478458935167E-2</v>
      </c>
      <c r="G303" s="26">
        <v>893545.29</v>
      </c>
      <c r="H303" t="s">
        <v>68</v>
      </c>
    </row>
    <row r="304" spans="1:8">
      <c r="A304" s="13" t="s">
        <v>965</v>
      </c>
      <c r="B304" s="14" t="s">
        <v>966</v>
      </c>
      <c r="C304" s="15" t="s">
        <v>74</v>
      </c>
      <c r="D304" s="16"/>
      <c r="E304" s="2">
        <v>20549606.27</v>
      </c>
      <c r="F304" s="23">
        <v>4.4501815167867935E-2</v>
      </c>
      <c r="G304" s="26">
        <v>914494.78</v>
      </c>
      <c r="H304" t="s">
        <v>68</v>
      </c>
    </row>
    <row r="305" spans="1:8">
      <c r="A305" s="19" t="s">
        <v>967</v>
      </c>
      <c r="B305" s="20" t="s">
        <v>968</v>
      </c>
      <c r="C305" s="19" t="s">
        <v>74</v>
      </c>
      <c r="D305" s="20"/>
      <c r="E305" s="3">
        <v>107130035.59</v>
      </c>
      <c r="F305" s="24">
        <v>2.7970545361040704E-2</v>
      </c>
      <c r="G305" s="26">
        <v>2996485.52</v>
      </c>
      <c r="H305" t="s">
        <v>68</v>
      </c>
    </row>
    <row r="306" spans="1:8">
      <c r="A306" s="13" t="s">
        <v>969</v>
      </c>
      <c r="B306" s="14" t="s">
        <v>970</v>
      </c>
      <c r="C306" s="15" t="s">
        <v>74</v>
      </c>
      <c r="D306" s="16"/>
      <c r="E306" s="2">
        <v>15032213.439999999</v>
      </c>
      <c r="F306" s="23">
        <v>5.5784519249082724E-2</v>
      </c>
      <c r="G306" s="26">
        <v>838564.8</v>
      </c>
      <c r="H306" t="s">
        <v>68</v>
      </c>
    </row>
    <row r="307" spans="1:8">
      <c r="A307" s="17" t="s">
        <v>971</v>
      </c>
      <c r="B307" s="21" t="s">
        <v>972</v>
      </c>
      <c r="C307" s="19" t="s">
        <v>74</v>
      </c>
      <c r="D307" s="20"/>
      <c r="E307" s="3">
        <v>1030447.52</v>
      </c>
      <c r="F307" s="24">
        <v>2.0821128280264094E-2</v>
      </c>
      <c r="G307" s="26">
        <v>21455.08</v>
      </c>
      <c r="H307" t="s">
        <v>68</v>
      </c>
    </row>
    <row r="308" spans="1:8">
      <c r="A308" s="15" t="s">
        <v>973</v>
      </c>
      <c r="B308" s="16" t="s">
        <v>974</v>
      </c>
      <c r="C308" s="15" t="s">
        <v>74</v>
      </c>
      <c r="D308" s="16"/>
      <c r="E308" s="2">
        <v>11736559.310000001</v>
      </c>
      <c r="F308" s="23">
        <v>4.1112413549418685E-2</v>
      </c>
      <c r="G308" s="26">
        <v>482518.28</v>
      </c>
      <c r="H308" t="s">
        <v>68</v>
      </c>
    </row>
    <row r="309" spans="1:8">
      <c r="A309" s="17" t="s">
        <v>975</v>
      </c>
      <c r="B309" s="21" t="s">
        <v>976</v>
      </c>
      <c r="C309" s="19" t="s">
        <v>74</v>
      </c>
      <c r="D309" s="20"/>
      <c r="E309" s="3">
        <v>20539749.489999998</v>
      </c>
      <c r="F309" s="24">
        <v>4.3524794712576607E-2</v>
      </c>
      <c r="G309" s="26">
        <v>893988.38</v>
      </c>
      <c r="H309" t="s">
        <v>68</v>
      </c>
    </row>
    <row r="310" spans="1:8">
      <c r="A310" s="13" t="s">
        <v>977</v>
      </c>
      <c r="B310" s="14" t="s">
        <v>978</v>
      </c>
      <c r="C310" s="15" t="s">
        <v>74</v>
      </c>
      <c r="D310" s="16"/>
      <c r="E310" s="2">
        <v>24822914.199999999</v>
      </c>
      <c r="F310" s="23">
        <v>4.7947135876576487E-2</v>
      </c>
      <c r="G310" s="26">
        <v>1190187.6399999999</v>
      </c>
      <c r="H310" t="s">
        <v>68</v>
      </c>
    </row>
    <row r="311" spans="1:8">
      <c r="A311" s="15" t="s">
        <v>981</v>
      </c>
      <c r="B311" s="16" t="s">
        <v>982</v>
      </c>
      <c r="C311" s="15" t="s">
        <v>74</v>
      </c>
      <c r="D311" s="16"/>
      <c r="E311" s="2">
        <v>13539723.18</v>
      </c>
      <c r="F311" s="23">
        <v>7.0524644212113061E-2</v>
      </c>
      <c r="G311" s="26">
        <v>954884.16</v>
      </c>
      <c r="H311" s="41" t="s">
        <v>68</v>
      </c>
    </row>
    <row r="312" spans="1:8">
      <c r="A312" s="17" t="s">
        <v>983</v>
      </c>
      <c r="B312" s="21" t="s">
        <v>984</v>
      </c>
      <c r="C312" s="19" t="s">
        <v>74</v>
      </c>
      <c r="D312" s="20"/>
      <c r="E312" s="3">
        <v>8450602.2300000004</v>
      </c>
      <c r="F312" s="24">
        <v>6.2917527713288193E-2</v>
      </c>
      <c r="G312" s="26">
        <v>531691</v>
      </c>
      <c r="H312" t="s">
        <v>68</v>
      </c>
    </row>
    <row r="313" spans="1:8">
      <c r="A313" s="13" t="s">
        <v>985</v>
      </c>
      <c r="B313" s="14" t="s">
        <v>986</v>
      </c>
      <c r="C313" s="15" t="s">
        <v>74</v>
      </c>
      <c r="D313" s="16"/>
      <c r="E313" s="2">
        <v>12598762.699999999</v>
      </c>
      <c r="F313" s="23">
        <v>3.6085615772412316E-2</v>
      </c>
      <c r="G313" s="26">
        <v>454634.10999999993</v>
      </c>
      <c r="H313" t="s">
        <v>68</v>
      </c>
    </row>
    <row r="314" spans="1:8">
      <c r="A314" s="19" t="s">
        <v>987</v>
      </c>
      <c r="B314" s="20" t="s">
        <v>988</v>
      </c>
      <c r="C314" s="19" t="s">
        <v>74</v>
      </c>
      <c r="D314" s="20"/>
      <c r="E314" s="3">
        <v>16777740.350000001</v>
      </c>
      <c r="F314" s="24">
        <v>4.9149955405049517E-2</v>
      </c>
      <c r="G314" s="26">
        <v>824625.19</v>
      </c>
      <c r="H314" t="s">
        <v>68</v>
      </c>
    </row>
    <row r="315" spans="1:8">
      <c r="A315" s="13" t="s">
        <v>989</v>
      </c>
      <c r="B315" s="14" t="s">
        <v>990</v>
      </c>
      <c r="C315" s="15" t="s">
        <v>74</v>
      </c>
      <c r="D315" s="16"/>
      <c r="E315" s="2">
        <v>12283381.609999999</v>
      </c>
      <c r="F315" s="23">
        <v>4.6178711857182135E-2</v>
      </c>
      <c r="G315" s="26">
        <v>567230.74</v>
      </c>
      <c r="H315" t="s">
        <v>68</v>
      </c>
    </row>
    <row r="316" spans="1:8">
      <c r="A316" s="17" t="s">
        <v>991</v>
      </c>
      <c r="B316" s="21" t="s">
        <v>992</v>
      </c>
      <c r="C316" s="19" t="s">
        <v>74</v>
      </c>
      <c r="D316" s="20"/>
      <c r="E316" s="3">
        <v>86067234.769999996</v>
      </c>
      <c r="F316" s="24">
        <v>2.8881161996695576E-2</v>
      </c>
      <c r="G316" s="26">
        <v>2485721.75</v>
      </c>
      <c r="H316" t="s">
        <v>68</v>
      </c>
    </row>
    <row r="317" spans="1:8">
      <c r="A317" s="15" t="s">
        <v>993</v>
      </c>
      <c r="B317" s="16" t="s">
        <v>994</v>
      </c>
      <c r="C317" s="15" t="s">
        <v>74</v>
      </c>
      <c r="D317" s="16"/>
      <c r="E317" s="2">
        <v>6410207.5199999996</v>
      </c>
      <c r="F317" s="23">
        <v>5.8012568054895047E-2</v>
      </c>
      <c r="G317" s="26">
        <v>371872.6</v>
      </c>
      <c r="H317" t="s">
        <v>68</v>
      </c>
    </row>
    <row r="318" spans="1:8">
      <c r="A318" s="17" t="s">
        <v>995</v>
      </c>
      <c r="B318" s="21" t="s">
        <v>996</v>
      </c>
      <c r="C318" s="19" t="s">
        <v>74</v>
      </c>
      <c r="D318" s="20"/>
      <c r="E318" s="3">
        <v>24081787.489999998</v>
      </c>
      <c r="F318" s="24">
        <v>5.6126075797374296E-2</v>
      </c>
      <c r="G318" s="26">
        <v>1351616.23</v>
      </c>
      <c r="H318" t="s">
        <v>68</v>
      </c>
    </row>
    <row r="319" spans="1:8">
      <c r="A319" s="13" t="s">
        <v>997</v>
      </c>
      <c r="B319" s="14" t="s">
        <v>998</v>
      </c>
      <c r="C319" s="15" t="s">
        <v>74</v>
      </c>
      <c r="D319" s="16"/>
      <c r="E319" s="2">
        <v>39804850.399999999</v>
      </c>
      <c r="F319" s="23">
        <v>0.21632603121151286</v>
      </c>
      <c r="G319" s="26">
        <v>8610825.3100000005</v>
      </c>
      <c r="H319" t="s">
        <v>68</v>
      </c>
    </row>
    <row r="320" spans="1:8">
      <c r="A320" s="19" t="s">
        <v>999</v>
      </c>
      <c r="B320" s="20" t="s">
        <v>1000</v>
      </c>
      <c r="C320" s="19" t="s">
        <v>74</v>
      </c>
      <c r="D320" s="20"/>
      <c r="E320" s="3">
        <v>27123735.449999999</v>
      </c>
      <c r="F320" s="24">
        <v>4.474803340555366E-2</v>
      </c>
      <c r="G320" s="26">
        <v>1213733.82</v>
      </c>
      <c r="H320" t="s">
        <v>68</v>
      </c>
    </row>
    <row r="321" spans="1:8">
      <c r="A321" s="13" t="s">
        <v>1001</v>
      </c>
      <c r="B321" s="14" t="s">
        <v>1002</v>
      </c>
      <c r="C321" s="15" t="s">
        <v>74</v>
      </c>
      <c r="D321" s="16"/>
      <c r="E321" s="2">
        <v>23564123.59</v>
      </c>
      <c r="F321" s="23">
        <v>7.679459637395325E-2</v>
      </c>
      <c r="G321" s="26">
        <v>1809597.3600000003</v>
      </c>
      <c r="H321" t="s">
        <v>68</v>
      </c>
    </row>
    <row r="322" spans="1:8">
      <c r="A322" s="17" t="s">
        <v>1003</v>
      </c>
      <c r="B322" s="21" t="s">
        <v>1004</v>
      </c>
      <c r="C322" s="19" t="s">
        <v>74</v>
      </c>
      <c r="D322" s="20"/>
      <c r="E322" s="3">
        <v>70171234.180000007</v>
      </c>
      <c r="F322" s="24">
        <v>4.0082036077422167E-2</v>
      </c>
      <c r="G322" s="26">
        <v>2812605.94</v>
      </c>
      <c r="H322" t="s">
        <v>68</v>
      </c>
    </row>
    <row r="323" spans="1:8">
      <c r="A323" s="15" t="s">
        <v>1005</v>
      </c>
      <c r="B323" s="16" t="s">
        <v>1231</v>
      </c>
      <c r="C323" s="15" t="s">
        <v>74</v>
      </c>
      <c r="D323" s="16"/>
      <c r="E323" s="2">
        <v>53132811.259999998</v>
      </c>
      <c r="F323" s="23">
        <v>6.3483219878849681E-2</v>
      </c>
      <c r="G323" s="26">
        <v>3373041.94</v>
      </c>
      <c r="H323" t="s">
        <v>68</v>
      </c>
    </row>
    <row r="324" spans="1:8">
      <c r="A324" s="17" t="s">
        <v>1232</v>
      </c>
      <c r="B324" s="21" t="s">
        <v>1233</v>
      </c>
      <c r="C324" s="19" t="s">
        <v>74</v>
      </c>
      <c r="D324" s="20"/>
      <c r="E324" s="3">
        <v>39800276.240000002</v>
      </c>
      <c r="F324" s="24">
        <v>1.7808657299912246E-2</v>
      </c>
      <c r="G324" s="26">
        <v>708789.48</v>
      </c>
      <c r="H324" t="s">
        <v>68</v>
      </c>
    </row>
    <row r="325" spans="1:8">
      <c r="A325" s="13" t="s">
        <v>1234</v>
      </c>
      <c r="B325" s="14" t="s">
        <v>1235</v>
      </c>
      <c r="C325" s="15" t="s">
        <v>74</v>
      </c>
      <c r="D325" s="16"/>
      <c r="E325" s="2">
        <v>55392180.079999998</v>
      </c>
      <c r="F325" s="23">
        <v>5.1523837947488133E-2</v>
      </c>
      <c r="G325" s="26">
        <v>2854017.71</v>
      </c>
      <c r="H325" t="s">
        <v>68</v>
      </c>
    </row>
    <row r="326" spans="1:8">
      <c r="A326" s="19" t="s">
        <v>1236</v>
      </c>
      <c r="B326" s="20" t="s">
        <v>1237</v>
      </c>
      <c r="C326" s="19" t="s">
        <v>74</v>
      </c>
      <c r="D326" s="20"/>
      <c r="E326" s="3">
        <v>146358873.93000001</v>
      </c>
      <c r="F326" s="24">
        <v>3.1736309287413222E-2</v>
      </c>
      <c r="G326" s="26">
        <v>4644890.49</v>
      </c>
      <c r="H326" t="s">
        <v>68</v>
      </c>
    </row>
    <row r="327" spans="1:8">
      <c r="A327" s="13" t="s">
        <v>1238</v>
      </c>
      <c r="B327" s="14" t="s">
        <v>1239</v>
      </c>
      <c r="C327" s="15" t="s">
        <v>74</v>
      </c>
      <c r="D327" s="16"/>
      <c r="E327" s="2">
        <v>139847960.08000001</v>
      </c>
      <c r="F327" s="23">
        <v>2.6508387879804102E-2</v>
      </c>
      <c r="G327" s="26">
        <v>3707143.97</v>
      </c>
      <c r="H327" t="s">
        <v>68</v>
      </c>
    </row>
    <row r="328" spans="1:8">
      <c r="A328" s="17" t="s">
        <v>1240</v>
      </c>
      <c r="B328" s="21" t="s">
        <v>1241</v>
      </c>
      <c r="C328" s="19" t="s">
        <v>74</v>
      </c>
      <c r="D328" s="20"/>
      <c r="E328" s="3">
        <v>12695760.550000001</v>
      </c>
      <c r="F328" s="24">
        <v>4.2173559267388673E-2</v>
      </c>
      <c r="G328" s="26">
        <v>535425.41</v>
      </c>
      <c r="H328" t="s">
        <v>68</v>
      </c>
    </row>
    <row r="329" spans="1:8">
      <c r="A329" s="15" t="s">
        <v>1242</v>
      </c>
      <c r="B329" s="16" t="s">
        <v>1243</v>
      </c>
      <c r="C329" s="15" t="s">
        <v>74</v>
      </c>
      <c r="D329" s="16"/>
      <c r="E329" s="2">
        <v>12619113.380000001</v>
      </c>
      <c r="F329" s="23">
        <v>5.3938757779827477E-2</v>
      </c>
      <c r="G329" s="26">
        <v>680659.3</v>
      </c>
      <c r="H329" t="s">
        <v>68</v>
      </c>
    </row>
    <row r="330" spans="1:8">
      <c r="A330" s="17" t="s">
        <v>1244</v>
      </c>
      <c r="B330" s="21" t="s">
        <v>1245</v>
      </c>
      <c r="C330" s="19" t="s">
        <v>74</v>
      </c>
      <c r="D330" s="20"/>
      <c r="E330" s="3">
        <v>8701431.3800000008</v>
      </c>
      <c r="F330" s="24">
        <v>1.575031555325556E-2</v>
      </c>
      <c r="G330" s="26">
        <v>137050.29</v>
      </c>
      <c r="H330" t="s">
        <v>68</v>
      </c>
    </row>
    <row r="331" spans="1:8">
      <c r="A331" s="13" t="s">
        <v>1246</v>
      </c>
      <c r="B331" s="14" t="s">
        <v>1247</v>
      </c>
      <c r="C331" s="15" t="s">
        <v>74</v>
      </c>
      <c r="D331" s="16"/>
      <c r="E331" s="2">
        <v>4620962.82</v>
      </c>
      <c r="F331" s="23">
        <v>3.0335864074318604E-2</v>
      </c>
      <c r="G331" s="26">
        <v>140180.9</v>
      </c>
      <c r="H331" t="s">
        <v>68</v>
      </c>
    </row>
    <row r="332" spans="1:8">
      <c r="A332" s="19" t="s">
        <v>1248</v>
      </c>
      <c r="B332" s="20" t="s">
        <v>1249</v>
      </c>
      <c r="C332" s="19" t="s">
        <v>74</v>
      </c>
      <c r="D332" s="20"/>
      <c r="E332" s="3">
        <v>14879821.970000001</v>
      </c>
      <c r="F332" s="24">
        <v>5.5587355256509152E-2</v>
      </c>
      <c r="G332" s="26">
        <v>827129.95</v>
      </c>
      <c r="H332" t="s">
        <v>68</v>
      </c>
    </row>
    <row r="333" spans="1:8">
      <c r="A333" s="13" t="s">
        <v>1250</v>
      </c>
      <c r="B333" s="14" t="s">
        <v>1251</v>
      </c>
      <c r="C333" s="15" t="s">
        <v>74</v>
      </c>
      <c r="D333" s="16"/>
      <c r="E333" s="2">
        <v>14114404.92</v>
      </c>
      <c r="F333" s="23">
        <v>4.9548577780210087E-2</v>
      </c>
      <c r="G333" s="26">
        <v>699348.69</v>
      </c>
      <c r="H333" t="s">
        <v>68</v>
      </c>
    </row>
    <row r="334" spans="1:8">
      <c r="A334" s="13" t="s">
        <v>1254</v>
      </c>
      <c r="B334" s="14" t="s">
        <v>1033</v>
      </c>
      <c r="C334" s="15" t="s">
        <v>74</v>
      </c>
      <c r="D334" s="16"/>
      <c r="E334" s="2">
        <v>11265760.279999999</v>
      </c>
      <c r="F334" s="23">
        <v>4.5475654307105498E-2</v>
      </c>
      <c r="G334" s="26">
        <v>512317.82</v>
      </c>
      <c r="H334" t="s">
        <v>68</v>
      </c>
    </row>
    <row r="335" spans="1:8">
      <c r="A335" s="19" t="s">
        <v>1034</v>
      </c>
      <c r="B335" s="20" t="s">
        <v>1035</v>
      </c>
      <c r="C335" s="19" t="s">
        <v>74</v>
      </c>
      <c r="D335" s="20"/>
      <c r="E335" s="3">
        <v>14189664.75</v>
      </c>
      <c r="F335" s="24">
        <v>0.10188543037988267</v>
      </c>
      <c r="G335" s="26">
        <v>1445720.1</v>
      </c>
      <c r="H335" t="s">
        <v>68</v>
      </c>
    </row>
    <row r="336" spans="1:8">
      <c r="A336" s="13" t="s">
        <v>1036</v>
      </c>
      <c r="B336" s="14" t="s">
        <v>1037</v>
      </c>
      <c r="C336" s="15" t="s">
        <v>74</v>
      </c>
      <c r="D336" s="16"/>
      <c r="E336" s="2">
        <v>28357977.079999998</v>
      </c>
      <c r="F336" s="23">
        <v>3.4653965874493896E-2</v>
      </c>
      <c r="G336" s="26">
        <v>982716.37</v>
      </c>
      <c r="H336" t="s">
        <v>68</v>
      </c>
    </row>
    <row r="337" spans="1:8">
      <c r="A337" s="17" t="s">
        <v>1038</v>
      </c>
      <c r="B337" s="21" t="s">
        <v>1039</v>
      </c>
      <c r="C337" s="19" t="s">
        <v>74</v>
      </c>
      <c r="D337" s="20"/>
      <c r="E337" s="3">
        <v>34661834.030000001</v>
      </c>
      <c r="F337" s="24">
        <v>2.6678912004472487E-2</v>
      </c>
      <c r="G337" s="26">
        <v>924740.02</v>
      </c>
      <c r="H337" t="s">
        <v>68</v>
      </c>
    </row>
    <row r="338" spans="1:8">
      <c r="A338" s="15" t="s">
        <v>1040</v>
      </c>
      <c r="B338" s="16" t="s">
        <v>1041</v>
      </c>
      <c r="C338" s="15" t="s">
        <v>74</v>
      </c>
      <c r="D338" s="16"/>
      <c r="E338" s="2">
        <v>5854862.1900000004</v>
      </c>
      <c r="F338" s="23">
        <v>5.2502410821047861E-2</v>
      </c>
      <c r="G338" s="26">
        <v>307394.38</v>
      </c>
      <c r="H338" t="s">
        <v>68</v>
      </c>
    </row>
    <row r="339" spans="1:8">
      <c r="A339" s="17" t="s">
        <v>1042</v>
      </c>
      <c r="B339" s="21" t="s">
        <v>1043</v>
      </c>
      <c r="C339" s="19" t="s">
        <v>74</v>
      </c>
      <c r="D339" s="20"/>
      <c r="E339" s="3">
        <v>7320926.21</v>
      </c>
      <c r="F339" s="24">
        <v>5.1040414734626859E-2</v>
      </c>
      <c r="G339" s="26">
        <v>373663.11</v>
      </c>
      <c r="H339" t="s">
        <v>68</v>
      </c>
    </row>
    <row r="340" spans="1:8">
      <c r="A340" s="13" t="s">
        <v>1044</v>
      </c>
      <c r="B340" s="14" t="s">
        <v>1045</v>
      </c>
      <c r="C340" s="15" t="s">
        <v>74</v>
      </c>
      <c r="D340" s="16"/>
      <c r="E340" s="2">
        <v>24491326.100000001</v>
      </c>
      <c r="F340" s="23">
        <v>2.6994715079964572E-2</v>
      </c>
      <c r="G340" s="26">
        <v>661136.37</v>
      </c>
      <c r="H340" t="s">
        <v>68</v>
      </c>
    </row>
    <row r="341" spans="1:8">
      <c r="A341" s="15" t="s">
        <v>1048</v>
      </c>
      <c r="B341" s="16" t="s">
        <v>1049</v>
      </c>
      <c r="C341" s="15" t="s">
        <v>74</v>
      </c>
      <c r="D341" s="16"/>
      <c r="E341" s="2">
        <v>68621518.370000005</v>
      </c>
      <c r="F341" s="23">
        <v>4.9728330136918825E-2</v>
      </c>
      <c r="G341" s="26">
        <v>3412433.52</v>
      </c>
      <c r="H341" t="s">
        <v>68</v>
      </c>
    </row>
    <row r="342" spans="1:8">
      <c r="A342" s="17" t="s">
        <v>1050</v>
      </c>
      <c r="B342" s="21" t="s">
        <v>1051</v>
      </c>
      <c r="C342" s="19" t="s">
        <v>74</v>
      </c>
      <c r="D342" s="20"/>
      <c r="E342" s="3">
        <v>5773643.1500000004</v>
      </c>
      <c r="F342" s="24">
        <v>4.138817446658441E-2</v>
      </c>
      <c r="G342" s="26">
        <v>238960.55</v>
      </c>
      <c r="H342" t="s">
        <v>68</v>
      </c>
    </row>
    <row r="343" spans="1:8">
      <c r="A343" s="13" t="s">
        <v>1052</v>
      </c>
      <c r="B343" s="14" t="s">
        <v>1053</v>
      </c>
      <c r="C343" s="15" t="s">
        <v>74</v>
      </c>
      <c r="D343" s="16"/>
      <c r="E343" s="2">
        <v>11770376.550000001</v>
      </c>
      <c r="F343" s="23">
        <v>5.4638003063716765E-2</v>
      </c>
      <c r="G343" s="26">
        <v>643109.87</v>
      </c>
      <c r="H343" t="s">
        <v>68</v>
      </c>
    </row>
    <row r="344" spans="1:8">
      <c r="A344" s="19" t="s">
        <v>1054</v>
      </c>
      <c r="B344" s="20" t="s">
        <v>1055</v>
      </c>
      <c r="C344" s="19" t="s">
        <v>74</v>
      </c>
      <c r="D344" s="20"/>
      <c r="E344" s="3">
        <v>22366890.149999999</v>
      </c>
      <c r="F344" s="24">
        <v>3.62078963400283E-2</v>
      </c>
      <c r="G344" s="26">
        <v>809858.04</v>
      </c>
      <c r="H344" t="s">
        <v>68</v>
      </c>
    </row>
    <row r="345" spans="1:8">
      <c r="A345" s="13" t="s">
        <v>1056</v>
      </c>
      <c r="B345" s="14" t="s">
        <v>1057</v>
      </c>
      <c r="C345" s="15" t="s">
        <v>74</v>
      </c>
      <c r="D345" s="16"/>
      <c r="E345" s="2">
        <v>16868919.969999999</v>
      </c>
      <c r="F345" s="23">
        <v>0.10955426330118515</v>
      </c>
      <c r="G345" s="26">
        <v>1848062.1</v>
      </c>
      <c r="H345" t="s">
        <v>68</v>
      </c>
    </row>
    <row r="346" spans="1:8">
      <c r="A346" s="13" t="s">
        <v>1060</v>
      </c>
      <c r="B346" s="14" t="s">
        <v>1061</v>
      </c>
      <c r="C346" s="15" t="s">
        <v>74</v>
      </c>
      <c r="D346" s="16"/>
      <c r="E346" s="2">
        <v>18856936.359999999</v>
      </c>
      <c r="F346" s="23">
        <v>5.5585110963380271E-2</v>
      </c>
      <c r="G346" s="26">
        <v>1048164.9</v>
      </c>
      <c r="H346" t="s">
        <v>68</v>
      </c>
    </row>
    <row r="347" spans="1:8">
      <c r="A347" s="19" t="s">
        <v>1062</v>
      </c>
      <c r="B347" s="20" t="s">
        <v>1063</v>
      </c>
      <c r="C347" s="19" t="s">
        <v>74</v>
      </c>
      <c r="D347" s="20"/>
      <c r="E347" s="3">
        <v>67771437.480000004</v>
      </c>
      <c r="F347" s="24">
        <v>3.2010951083046142E-2</v>
      </c>
      <c r="G347" s="26">
        <v>2169428.17</v>
      </c>
      <c r="H347" t="s">
        <v>68</v>
      </c>
    </row>
    <row r="348" spans="1:8">
      <c r="A348" s="13" t="s">
        <v>1064</v>
      </c>
      <c r="B348" s="14" t="s">
        <v>1065</v>
      </c>
      <c r="C348" s="15" t="s">
        <v>74</v>
      </c>
      <c r="D348" s="16"/>
      <c r="E348" s="2">
        <v>81667590.340000004</v>
      </c>
      <c r="F348" s="23">
        <v>6.3441955351317886E-2</v>
      </c>
      <c r="G348" s="26">
        <v>5181151.62</v>
      </c>
      <c r="H348" t="s">
        <v>68</v>
      </c>
    </row>
    <row r="349" spans="1:8">
      <c r="A349" s="17" t="s">
        <v>1066</v>
      </c>
      <c r="B349" s="21" t="s">
        <v>1067</v>
      </c>
      <c r="C349" s="19" t="s">
        <v>74</v>
      </c>
      <c r="D349" s="20"/>
      <c r="E349" s="3">
        <v>62160247.119999997</v>
      </c>
      <c r="F349" s="24">
        <v>4.1981906136283074E-2</v>
      </c>
      <c r="G349" s="26">
        <v>2609605.66</v>
      </c>
      <c r="H349" t="s">
        <v>68</v>
      </c>
    </row>
    <row r="350" spans="1:8">
      <c r="A350" s="15" t="s">
        <v>1068</v>
      </c>
      <c r="B350" s="16" t="s">
        <v>1069</v>
      </c>
      <c r="C350" s="15" t="s">
        <v>74</v>
      </c>
      <c r="D350" s="16"/>
      <c r="E350" s="2">
        <v>29010636.989999998</v>
      </c>
      <c r="F350" s="23">
        <v>5.3051644489244293E-2</v>
      </c>
      <c r="G350" s="26">
        <v>1539062</v>
      </c>
      <c r="H350" t="s">
        <v>68</v>
      </c>
    </row>
    <row r="351" spans="1:8">
      <c r="A351" s="17" t="s">
        <v>1070</v>
      </c>
      <c r="B351" s="21" t="s">
        <v>1071</v>
      </c>
      <c r="C351" s="19" t="s">
        <v>74</v>
      </c>
      <c r="D351" s="20"/>
      <c r="E351" s="3">
        <v>20519652.670000002</v>
      </c>
      <c r="F351" s="24">
        <v>4.9397455517457348E-2</v>
      </c>
      <c r="G351" s="26">
        <v>1013618.63</v>
      </c>
      <c r="H351" t="s">
        <v>68</v>
      </c>
    </row>
    <row r="352" spans="1:8">
      <c r="A352" s="17" t="s">
        <v>1074</v>
      </c>
      <c r="B352" s="21" t="s">
        <v>1075</v>
      </c>
      <c r="C352" s="19" t="s">
        <v>74</v>
      </c>
      <c r="D352" s="20"/>
      <c r="E352" s="3">
        <v>6113293.5099999998</v>
      </c>
      <c r="F352" s="24">
        <v>4.5862631908867725E-2</v>
      </c>
      <c r="G352" s="26">
        <v>280371.73</v>
      </c>
      <c r="H352" t="s">
        <v>68</v>
      </c>
    </row>
    <row r="353" spans="1:8">
      <c r="A353" s="15" t="s">
        <v>1076</v>
      </c>
      <c r="B353" s="16" t="s">
        <v>1077</v>
      </c>
      <c r="C353" s="15" t="s">
        <v>74</v>
      </c>
      <c r="D353" s="16"/>
      <c r="E353" s="2">
        <v>5585255.3899999997</v>
      </c>
      <c r="F353" s="23">
        <v>5.1047703299383067E-2</v>
      </c>
      <c r="G353" s="26">
        <v>285114.46000000002</v>
      </c>
      <c r="H353" t="s">
        <v>68</v>
      </c>
    </row>
    <row r="354" spans="1:8">
      <c r="A354" s="17" t="s">
        <v>1078</v>
      </c>
      <c r="B354" s="21" t="s">
        <v>1079</v>
      </c>
      <c r="C354" s="19" t="s">
        <v>74</v>
      </c>
      <c r="D354" s="20"/>
      <c r="E354" s="3">
        <v>6539228.5300000003</v>
      </c>
      <c r="F354" s="24">
        <v>4.0170983288758066E-2</v>
      </c>
      <c r="G354" s="26">
        <v>262687.24</v>
      </c>
      <c r="H354" t="s">
        <v>68</v>
      </c>
    </row>
    <row r="355" spans="1:8">
      <c r="A355" s="13" t="s">
        <v>1080</v>
      </c>
      <c r="B355" s="14" t="s">
        <v>1081</v>
      </c>
      <c r="C355" s="15" t="s">
        <v>74</v>
      </c>
      <c r="D355" s="16"/>
      <c r="E355" s="2">
        <v>11765234.449999999</v>
      </c>
      <c r="F355" s="23">
        <v>3.7903514111442126E-2</v>
      </c>
      <c r="G355" s="26">
        <v>445943.73</v>
      </c>
      <c r="H355" t="s">
        <v>68</v>
      </c>
    </row>
    <row r="356" spans="1:8">
      <c r="A356" s="19" t="s">
        <v>1082</v>
      </c>
      <c r="B356" s="20" t="s">
        <v>1083</v>
      </c>
      <c r="C356" s="19" t="s">
        <v>74</v>
      </c>
      <c r="D356" s="20"/>
      <c r="E356" s="3">
        <v>6848252.0300000003</v>
      </c>
      <c r="F356" s="24">
        <v>6.3678969186535622E-2</v>
      </c>
      <c r="G356" s="26">
        <v>436089.63000000006</v>
      </c>
      <c r="H356" t="s">
        <v>68</v>
      </c>
    </row>
    <row r="357" spans="1:8">
      <c r="A357" s="13" t="s">
        <v>1084</v>
      </c>
      <c r="B357" s="14" t="s">
        <v>1085</v>
      </c>
      <c r="C357" s="15" t="s">
        <v>74</v>
      </c>
      <c r="D357" s="16"/>
      <c r="E357" s="2">
        <v>10065105.710000001</v>
      </c>
      <c r="F357" s="23">
        <v>3.6679074282668409E-2</v>
      </c>
      <c r="G357" s="26">
        <v>369178.76</v>
      </c>
      <c r="H357" t="s">
        <v>68</v>
      </c>
    </row>
    <row r="358" spans="1:8">
      <c r="A358" s="17" t="s">
        <v>1086</v>
      </c>
      <c r="B358" s="21" t="s">
        <v>1087</v>
      </c>
      <c r="C358" s="19" t="s">
        <v>74</v>
      </c>
      <c r="D358" s="20"/>
      <c r="E358" s="3">
        <v>3344569.65</v>
      </c>
      <c r="F358" s="24">
        <v>4.7616664224648456E-2</v>
      </c>
      <c r="G358" s="26">
        <v>159257.25</v>
      </c>
      <c r="H358" t="s">
        <v>68</v>
      </c>
    </row>
    <row r="359" spans="1:8">
      <c r="A359" s="19" t="s">
        <v>1090</v>
      </c>
      <c r="B359" s="20" t="s">
        <v>1091</v>
      </c>
      <c r="C359" s="19" t="s">
        <v>74</v>
      </c>
      <c r="D359" s="20"/>
      <c r="E359" s="3">
        <v>4485376.05</v>
      </c>
      <c r="F359" s="24">
        <v>3.3362119102588954E-2</v>
      </c>
      <c r="G359" s="26">
        <v>149641.65</v>
      </c>
      <c r="H359" t="s">
        <v>68</v>
      </c>
    </row>
    <row r="360" spans="1:8">
      <c r="A360" s="13" t="s">
        <v>1092</v>
      </c>
      <c r="B360" s="14" t="s">
        <v>1093</v>
      </c>
      <c r="C360" s="15" t="s">
        <v>74</v>
      </c>
      <c r="D360" s="16"/>
      <c r="E360" s="2">
        <v>4955184.96</v>
      </c>
      <c r="F360" s="23">
        <v>5.5923809552408721E-2</v>
      </c>
      <c r="G360" s="26">
        <v>277112.82</v>
      </c>
      <c r="H360" t="s">
        <v>68</v>
      </c>
    </row>
    <row r="361" spans="1:8">
      <c r="A361" s="17" t="s">
        <v>1094</v>
      </c>
      <c r="B361" s="21" t="s">
        <v>1095</v>
      </c>
      <c r="C361" s="19" t="s">
        <v>74</v>
      </c>
      <c r="D361" s="20"/>
      <c r="E361" s="3">
        <v>9506982.3000000007</v>
      </c>
      <c r="F361" s="24">
        <v>2.5292701975473328E-2</v>
      </c>
      <c r="G361" s="26">
        <v>240457.27</v>
      </c>
      <c r="H361" t="s">
        <v>68</v>
      </c>
    </row>
    <row r="362" spans="1:8">
      <c r="A362" s="15" t="s">
        <v>1096</v>
      </c>
      <c r="B362" s="16" t="s">
        <v>1097</v>
      </c>
      <c r="C362" s="15" t="s">
        <v>74</v>
      </c>
      <c r="D362" s="16"/>
      <c r="E362" s="2">
        <v>6534618.9000000004</v>
      </c>
      <c r="F362" s="23">
        <v>2.8999795229068367E-2</v>
      </c>
      <c r="G362" s="26">
        <v>189502.61</v>
      </c>
      <c r="H362" t="s">
        <v>68</v>
      </c>
    </row>
    <row r="363" spans="1:8">
      <c r="A363" s="17" t="s">
        <v>1098</v>
      </c>
      <c r="B363" s="21" t="s">
        <v>1099</v>
      </c>
      <c r="C363" s="19" t="s">
        <v>74</v>
      </c>
      <c r="D363" s="20"/>
      <c r="E363" s="3">
        <v>5316278.4000000004</v>
      </c>
      <c r="F363" s="24">
        <v>7.427210170182208E-2</v>
      </c>
      <c r="G363" s="26">
        <v>394851.17</v>
      </c>
      <c r="H363" t="s">
        <v>68</v>
      </c>
    </row>
    <row r="364" spans="1:8">
      <c r="A364" s="13" t="s">
        <v>1100</v>
      </c>
      <c r="B364" s="14" t="s">
        <v>1101</v>
      </c>
      <c r="C364" s="15" t="s">
        <v>74</v>
      </c>
      <c r="D364" s="16"/>
      <c r="E364" s="2">
        <v>4753798.2300000004</v>
      </c>
      <c r="F364" s="23">
        <v>5.9665723338872122E-2</v>
      </c>
      <c r="G364" s="26">
        <v>283638.81</v>
      </c>
      <c r="H364" t="s">
        <v>68</v>
      </c>
    </row>
    <row r="365" spans="1:8">
      <c r="A365" s="19" t="s">
        <v>1102</v>
      </c>
      <c r="B365" s="20" t="s">
        <v>1103</v>
      </c>
      <c r="C365" s="19" t="s">
        <v>74</v>
      </c>
      <c r="D365" s="20"/>
      <c r="E365" s="3">
        <v>10906527.880000001</v>
      </c>
      <c r="F365" s="24">
        <v>4.4681352797312057E-2</v>
      </c>
      <c r="G365" s="26">
        <v>487318.42</v>
      </c>
      <c r="H365" t="s">
        <v>68</v>
      </c>
    </row>
    <row r="366" spans="1:8">
      <c r="A366" s="13" t="s">
        <v>1104</v>
      </c>
      <c r="B366" s="14" t="s">
        <v>1105</v>
      </c>
      <c r="C366" s="15" t="s">
        <v>74</v>
      </c>
      <c r="D366" s="16"/>
      <c r="E366" s="2">
        <v>9789530.1600000001</v>
      </c>
      <c r="F366" s="23">
        <v>5.4877923783831516E-2</v>
      </c>
      <c r="G366" s="26">
        <v>537229.09</v>
      </c>
      <c r="H366" t="s">
        <v>68</v>
      </c>
    </row>
    <row r="367" spans="1:8">
      <c r="A367" s="17" t="s">
        <v>1106</v>
      </c>
      <c r="B367" s="21" t="s">
        <v>1107</v>
      </c>
      <c r="C367" s="19" t="s">
        <v>74</v>
      </c>
      <c r="D367" s="20"/>
      <c r="E367" s="3">
        <v>7269538.1900000004</v>
      </c>
      <c r="F367" s="24">
        <v>9.9303599641726345E-2</v>
      </c>
      <c r="G367" s="26">
        <v>721891.31</v>
      </c>
      <c r="H367" t="s">
        <v>68</v>
      </c>
    </row>
    <row r="368" spans="1:8">
      <c r="A368" s="15" t="s">
        <v>1108</v>
      </c>
      <c r="B368" s="16" t="s">
        <v>1109</v>
      </c>
      <c r="C368" s="15" t="s">
        <v>74</v>
      </c>
      <c r="D368" s="16"/>
      <c r="E368" s="2">
        <v>7036665.0199999996</v>
      </c>
      <c r="F368" s="23">
        <v>5.4184654082055486E-2</v>
      </c>
      <c r="G368" s="26">
        <v>381279.26</v>
      </c>
      <c r="H368" t="s">
        <v>68</v>
      </c>
    </row>
    <row r="369" spans="1:8">
      <c r="A369" s="17" t="s">
        <v>1110</v>
      </c>
      <c r="B369" s="21" t="s">
        <v>1111</v>
      </c>
      <c r="C369" s="19" t="s">
        <v>74</v>
      </c>
      <c r="D369" s="20"/>
      <c r="E369" s="3">
        <v>11326336.52</v>
      </c>
      <c r="F369" s="24">
        <v>6.1851035307222184E-2</v>
      </c>
      <c r="G369" s="26">
        <v>700545.64</v>
      </c>
      <c r="H369" t="s">
        <v>68</v>
      </c>
    </row>
    <row r="370" spans="1:8">
      <c r="A370" s="13" t="s">
        <v>1112</v>
      </c>
      <c r="B370" s="14" t="s">
        <v>1113</v>
      </c>
      <c r="C370" s="15" t="s">
        <v>74</v>
      </c>
      <c r="D370" s="16"/>
      <c r="E370" s="2">
        <v>16677248.359999999</v>
      </c>
      <c r="F370" s="23">
        <v>0.13221178112862259</v>
      </c>
      <c r="G370" s="26">
        <v>2204928.71</v>
      </c>
      <c r="H370" t="s">
        <v>68</v>
      </c>
    </row>
    <row r="371" spans="1:8">
      <c r="A371" s="19" t="s">
        <v>1114</v>
      </c>
      <c r="B371" s="20" t="s">
        <v>1115</v>
      </c>
      <c r="C371" s="19" t="s">
        <v>74</v>
      </c>
      <c r="D371" s="20"/>
      <c r="E371" s="3">
        <v>21909111.600000001</v>
      </c>
      <c r="F371" s="24">
        <v>0.11151204643094702</v>
      </c>
      <c r="G371" s="26">
        <v>2443129.87</v>
      </c>
      <c r="H371" t="s">
        <v>68</v>
      </c>
    </row>
    <row r="372" spans="1:8">
      <c r="A372" s="13" t="s">
        <v>1116</v>
      </c>
      <c r="B372" s="14" t="s">
        <v>1117</v>
      </c>
      <c r="C372" s="15" t="s">
        <v>74</v>
      </c>
      <c r="D372" s="16"/>
      <c r="E372" s="2">
        <v>5844057.46</v>
      </c>
      <c r="F372" s="23">
        <v>5.4596947785657129E-2</v>
      </c>
      <c r="G372" s="26">
        <v>319067.7</v>
      </c>
      <c r="H372" t="s">
        <v>68</v>
      </c>
    </row>
    <row r="373" spans="1:8">
      <c r="A373" s="17" t="s">
        <v>1118</v>
      </c>
      <c r="B373" s="21" t="s">
        <v>1341</v>
      </c>
      <c r="C373" s="19" t="s">
        <v>74</v>
      </c>
      <c r="D373" s="20"/>
      <c r="E373" s="3">
        <v>9418684.6899999995</v>
      </c>
      <c r="F373" s="24">
        <v>5.0887985507029436E-2</v>
      </c>
      <c r="G373" s="26">
        <v>479297.89</v>
      </c>
      <c r="H373" t="s">
        <v>68</v>
      </c>
    </row>
    <row r="374" spans="1:8">
      <c r="A374" s="15" t="s">
        <v>1342</v>
      </c>
      <c r="B374" s="16" t="s">
        <v>1343</v>
      </c>
      <c r="C374" s="15" t="s">
        <v>74</v>
      </c>
      <c r="D374" s="16"/>
      <c r="E374" s="2">
        <v>8020030.0700000003</v>
      </c>
      <c r="F374" s="23">
        <v>6.5545519831199342E-2</v>
      </c>
      <c r="G374" s="26">
        <v>525677.04</v>
      </c>
      <c r="H374" t="s">
        <v>68</v>
      </c>
    </row>
    <row r="375" spans="1:8">
      <c r="A375" s="17" t="s">
        <v>1344</v>
      </c>
      <c r="B375" s="21" t="s">
        <v>1345</v>
      </c>
      <c r="C375" s="19" t="s">
        <v>74</v>
      </c>
      <c r="D375" s="20"/>
      <c r="E375" s="3">
        <v>11517126.49</v>
      </c>
      <c r="F375" s="24">
        <v>5.6267998841784017E-2</v>
      </c>
      <c r="G375" s="26">
        <v>648045.66</v>
      </c>
      <c r="H375" t="s">
        <v>68</v>
      </c>
    </row>
    <row r="376" spans="1:8">
      <c r="A376" s="13" t="s">
        <v>1346</v>
      </c>
      <c r="B376" s="14" t="s">
        <v>1347</v>
      </c>
      <c r="C376" s="15" t="s">
        <v>74</v>
      </c>
      <c r="D376" s="16"/>
      <c r="E376" s="2">
        <v>11463955.83</v>
      </c>
      <c r="F376" s="23">
        <v>0.10414841069742678</v>
      </c>
      <c r="G376" s="26">
        <v>1193952.78</v>
      </c>
      <c r="H376" t="s">
        <v>68</v>
      </c>
    </row>
    <row r="377" spans="1:8">
      <c r="A377" s="15" t="s">
        <v>1350</v>
      </c>
      <c r="B377" s="16" t="s">
        <v>1025</v>
      </c>
      <c r="C377" s="15" t="s">
        <v>74</v>
      </c>
      <c r="D377" s="16"/>
      <c r="E377" s="2">
        <v>19428839.039999999</v>
      </c>
      <c r="F377" s="23">
        <v>0.10063060257871179</v>
      </c>
      <c r="G377" s="26">
        <v>1955135.78</v>
      </c>
      <c r="H377" t="s">
        <v>68</v>
      </c>
    </row>
    <row r="378" spans="1:8">
      <c r="A378" s="17" t="s">
        <v>1351</v>
      </c>
      <c r="B378" s="21" t="s">
        <v>1352</v>
      </c>
      <c r="C378" s="19" t="s">
        <v>74</v>
      </c>
      <c r="D378" s="20"/>
      <c r="E378" s="3">
        <v>20556857.420000002</v>
      </c>
      <c r="F378" s="24">
        <v>9.694447547518184E-2</v>
      </c>
      <c r="G378" s="26">
        <v>1992873.76</v>
      </c>
      <c r="H378" t="s">
        <v>68</v>
      </c>
    </row>
    <row r="379" spans="1:8">
      <c r="A379" s="13" t="s">
        <v>1353</v>
      </c>
      <c r="B379" s="14" t="s">
        <v>1354</v>
      </c>
      <c r="C379" s="15" t="s">
        <v>74</v>
      </c>
      <c r="D379" s="16"/>
      <c r="E379" s="2">
        <v>19037960.460000001</v>
      </c>
      <c r="F379" s="23">
        <v>8.5624974031488249E-2</v>
      </c>
      <c r="G379" s="26">
        <v>1630124.87</v>
      </c>
      <c r="H379" t="s">
        <v>68</v>
      </c>
    </row>
    <row r="380" spans="1:8">
      <c r="A380" s="15" t="s">
        <v>1357</v>
      </c>
      <c r="B380" s="16" t="s">
        <v>1358</v>
      </c>
      <c r="C380" s="15" t="s">
        <v>74</v>
      </c>
      <c r="D380" s="16"/>
      <c r="E380" s="2">
        <v>9544435.4600000009</v>
      </c>
      <c r="F380" s="23">
        <v>5.3898193576343796E-2</v>
      </c>
      <c r="G380" s="26">
        <v>514427.83</v>
      </c>
      <c r="H380" t="s">
        <v>68</v>
      </c>
    </row>
    <row r="381" spans="1:8">
      <c r="A381" s="17" t="s">
        <v>1359</v>
      </c>
      <c r="B381" s="21" t="s">
        <v>1360</v>
      </c>
      <c r="C381" s="19" t="s">
        <v>74</v>
      </c>
      <c r="D381" s="20"/>
      <c r="E381" s="3">
        <v>6318044.5800000001</v>
      </c>
      <c r="F381" s="24">
        <v>7.1304224637174063E-2</v>
      </c>
      <c r="G381" s="26">
        <v>450503.27000000008</v>
      </c>
      <c r="H381" t="s">
        <v>68</v>
      </c>
    </row>
    <row r="382" spans="1:8">
      <c r="A382" s="13" t="s">
        <v>1361</v>
      </c>
      <c r="B382" s="14" t="s">
        <v>1362</v>
      </c>
      <c r="C382" s="15" t="s">
        <v>74</v>
      </c>
      <c r="D382" s="16"/>
      <c r="E382" s="2">
        <v>10923012.73</v>
      </c>
      <c r="F382" s="23">
        <v>8.3812831920044822E-2</v>
      </c>
      <c r="G382" s="26">
        <v>915488.63</v>
      </c>
      <c r="H382" t="s">
        <v>68</v>
      </c>
    </row>
    <row r="383" spans="1:8">
      <c r="A383" s="19" t="s">
        <v>1363</v>
      </c>
      <c r="B383" s="20" t="s">
        <v>1364</v>
      </c>
      <c r="C383" s="19" t="s">
        <v>74</v>
      </c>
      <c r="D383" s="20"/>
      <c r="E383" s="3">
        <v>9650874.7200000007</v>
      </c>
      <c r="F383" s="24">
        <v>8.2641670640192497E-2</v>
      </c>
      <c r="G383" s="26">
        <v>797564.41</v>
      </c>
      <c r="H383" t="s">
        <v>68</v>
      </c>
    </row>
    <row r="384" spans="1:8">
      <c r="A384" s="17" t="s">
        <v>1145</v>
      </c>
      <c r="B384" s="21" t="s">
        <v>1146</v>
      </c>
      <c r="C384" s="19" t="s">
        <v>74</v>
      </c>
      <c r="D384" s="20"/>
      <c r="E384" s="3">
        <v>13060811.08</v>
      </c>
      <c r="F384" s="24">
        <v>2.5099746714964351E-2</v>
      </c>
      <c r="G384" s="26">
        <v>327823.05</v>
      </c>
      <c r="H384" t="s">
        <v>68</v>
      </c>
    </row>
    <row r="385" spans="1:8">
      <c r="A385" s="13" t="s">
        <v>1147</v>
      </c>
      <c r="B385" s="14" t="s">
        <v>862</v>
      </c>
      <c r="C385" s="15" t="s">
        <v>74</v>
      </c>
      <c r="D385" s="16"/>
      <c r="E385" s="2">
        <v>29256917.890000001</v>
      </c>
      <c r="F385" s="23">
        <v>5.3191695921323175E-2</v>
      </c>
      <c r="G385" s="26">
        <v>1556225.08</v>
      </c>
      <c r="H385" t="s">
        <v>68</v>
      </c>
    </row>
    <row r="386" spans="1:8">
      <c r="A386" s="19" t="s">
        <v>1148</v>
      </c>
      <c r="B386" s="20" t="s">
        <v>1149</v>
      </c>
      <c r="C386" s="19" t="s">
        <v>74</v>
      </c>
      <c r="D386" s="20"/>
      <c r="E386" s="3">
        <v>39876061.18</v>
      </c>
      <c r="F386" s="24">
        <v>4.0551549780724859E-2</v>
      </c>
      <c r="G386" s="26">
        <v>1617036.08</v>
      </c>
      <c r="H386" t="s">
        <v>68</v>
      </c>
    </row>
    <row r="387" spans="1:8">
      <c r="A387" s="13" t="s">
        <v>1150</v>
      </c>
      <c r="B387" s="14" t="s">
        <v>1013</v>
      </c>
      <c r="C387" s="15" t="s">
        <v>74</v>
      </c>
      <c r="D387" s="16"/>
      <c r="E387" s="2">
        <v>30492028.600000001</v>
      </c>
      <c r="F387" s="23">
        <v>1.8904132865728715E-2</v>
      </c>
      <c r="G387" s="26">
        <v>576425.36</v>
      </c>
      <c r="H387" t="s">
        <v>68</v>
      </c>
    </row>
    <row r="388" spans="1:8">
      <c r="A388" s="17" t="s">
        <v>1151</v>
      </c>
      <c r="B388" s="21" t="s">
        <v>1152</v>
      </c>
      <c r="C388" s="19" t="s">
        <v>74</v>
      </c>
      <c r="D388" s="20"/>
      <c r="E388" s="3">
        <v>11521393.949999999</v>
      </c>
      <c r="F388" s="24">
        <v>7.132475059582527E-2</v>
      </c>
      <c r="G388" s="26">
        <v>821760.55000000016</v>
      </c>
      <c r="H388" t="s">
        <v>68</v>
      </c>
    </row>
    <row r="389" spans="1:8">
      <c r="A389" s="15" t="s">
        <v>1153</v>
      </c>
      <c r="B389" s="16" t="s">
        <v>1154</v>
      </c>
      <c r="C389" s="15" t="s">
        <v>74</v>
      </c>
      <c r="D389" s="16"/>
      <c r="E389" s="2">
        <v>13990418.050000001</v>
      </c>
      <c r="F389" s="23">
        <v>8.4304099833528559E-2</v>
      </c>
      <c r="G389" s="26">
        <v>1179449.6000000001</v>
      </c>
      <c r="H389" t="s">
        <v>68</v>
      </c>
    </row>
    <row r="390" spans="1:8">
      <c r="A390" s="17" t="s">
        <v>1155</v>
      </c>
      <c r="B390" s="21" t="s">
        <v>1156</v>
      </c>
      <c r="C390" s="19" t="s">
        <v>74</v>
      </c>
      <c r="D390" s="20"/>
      <c r="E390" s="3">
        <v>17901191.079999998</v>
      </c>
      <c r="F390" s="24">
        <v>0.11766192934241336</v>
      </c>
      <c r="G390" s="26">
        <v>2106288.6800000002</v>
      </c>
      <c r="H390" t="s">
        <v>68</v>
      </c>
    </row>
    <row r="391" spans="1:8">
      <c r="A391" s="13" t="s">
        <v>1157</v>
      </c>
      <c r="B391" s="14" t="s">
        <v>1158</v>
      </c>
      <c r="C391" s="15" t="s">
        <v>74</v>
      </c>
      <c r="D391" s="16"/>
      <c r="E391" s="2">
        <v>16853911.940000001</v>
      </c>
      <c r="F391" s="23">
        <v>0.10000270239931014</v>
      </c>
      <c r="G391" s="26">
        <v>1685436.74</v>
      </c>
      <c r="H391" t="s">
        <v>68</v>
      </c>
    </row>
    <row r="392" spans="1:8">
      <c r="A392" s="19" t="s">
        <v>1159</v>
      </c>
      <c r="B392" s="20" t="s">
        <v>1160</v>
      </c>
      <c r="C392" s="19" t="s">
        <v>74</v>
      </c>
      <c r="D392" s="20"/>
      <c r="E392" s="3">
        <v>8425008.5500000007</v>
      </c>
      <c r="F392" s="24">
        <v>0.10615068871354438</v>
      </c>
      <c r="G392" s="26">
        <v>894320.46</v>
      </c>
      <c r="H392" t="s">
        <v>68</v>
      </c>
    </row>
    <row r="393" spans="1:8">
      <c r="A393" s="17" t="s">
        <v>1163</v>
      </c>
      <c r="B393" s="21" t="s">
        <v>1164</v>
      </c>
      <c r="C393" s="19" t="s">
        <v>74</v>
      </c>
      <c r="D393" s="20"/>
      <c r="E393" s="3">
        <v>12812446.98</v>
      </c>
      <c r="F393" s="24">
        <v>4.2040710946223948E-2</v>
      </c>
      <c r="G393" s="26">
        <v>538644.38</v>
      </c>
      <c r="H393" t="s">
        <v>68</v>
      </c>
    </row>
    <row r="394" spans="1:8">
      <c r="A394" s="13" t="s">
        <v>1165</v>
      </c>
      <c r="B394" s="14" t="s">
        <v>1166</v>
      </c>
      <c r="C394" s="15" t="s">
        <v>74</v>
      </c>
      <c r="D394" s="16"/>
      <c r="E394" s="2">
        <v>20434468.960000001</v>
      </c>
      <c r="F394" s="23">
        <v>6.6247630053411471E-2</v>
      </c>
      <c r="G394" s="26">
        <v>1353735.14</v>
      </c>
      <c r="H394" t="s">
        <v>68</v>
      </c>
    </row>
    <row r="395" spans="1:8">
      <c r="A395" s="19" t="s">
        <v>1167</v>
      </c>
      <c r="B395" s="20" t="s">
        <v>1168</v>
      </c>
      <c r="C395" s="19" t="s">
        <v>74</v>
      </c>
      <c r="D395" s="20"/>
      <c r="E395" s="3">
        <v>19445224.649999999</v>
      </c>
      <c r="F395" s="24">
        <v>5.2821769791175963E-2</v>
      </c>
      <c r="G395" s="26">
        <v>1027131.18</v>
      </c>
      <c r="H395" t="s">
        <v>68</v>
      </c>
    </row>
    <row r="396" spans="1:8">
      <c r="A396" s="13" t="s">
        <v>1169</v>
      </c>
      <c r="B396" s="14" t="s">
        <v>1170</v>
      </c>
      <c r="C396" s="15" t="s">
        <v>74</v>
      </c>
      <c r="D396" s="16"/>
      <c r="E396" s="2">
        <v>17080374.030000001</v>
      </c>
      <c r="F396" s="23">
        <v>5.053438867813833E-2</v>
      </c>
      <c r="G396" s="26">
        <v>863146.26</v>
      </c>
      <c r="H396" t="s">
        <v>68</v>
      </c>
    </row>
    <row r="397" spans="1:8">
      <c r="A397" s="17" t="s">
        <v>1171</v>
      </c>
      <c r="B397" s="21" t="s">
        <v>1172</v>
      </c>
      <c r="C397" s="19" t="s">
        <v>74</v>
      </c>
      <c r="D397" s="20"/>
      <c r="E397" s="3">
        <v>14534876.24</v>
      </c>
      <c r="F397" s="24">
        <v>6.3395857301087002E-2</v>
      </c>
      <c r="G397" s="26">
        <v>921450.94000000006</v>
      </c>
      <c r="H397" t="s">
        <v>68</v>
      </c>
    </row>
    <row r="398" spans="1:8">
      <c r="A398" s="15" t="s">
        <v>1173</v>
      </c>
      <c r="B398" s="16" t="s">
        <v>1174</v>
      </c>
      <c r="C398" s="15" t="s">
        <v>74</v>
      </c>
      <c r="D398" s="16"/>
      <c r="E398" s="2">
        <v>11908354.83</v>
      </c>
      <c r="F398" s="23">
        <v>3.8749263570608601E-2</v>
      </c>
      <c r="G398" s="26">
        <v>461439.98</v>
      </c>
      <c r="H398" t="s">
        <v>68</v>
      </c>
    </row>
    <row r="399" spans="1:8">
      <c r="A399" s="17" t="s">
        <v>1175</v>
      </c>
      <c r="B399" s="21" t="s">
        <v>1176</v>
      </c>
      <c r="C399" s="19" t="s">
        <v>74</v>
      </c>
      <c r="D399" s="20"/>
      <c r="E399" s="3">
        <v>31681171.879999999</v>
      </c>
      <c r="F399" s="24">
        <v>3.9062609952924508E-2</v>
      </c>
      <c r="G399" s="26">
        <v>1237549.26</v>
      </c>
      <c r="H399" t="s">
        <v>68</v>
      </c>
    </row>
    <row r="400" spans="1:8">
      <c r="A400" s="17" t="s">
        <v>1179</v>
      </c>
      <c r="B400" s="21" t="s">
        <v>1180</v>
      </c>
      <c r="C400" s="19" t="s">
        <v>74</v>
      </c>
      <c r="D400" s="20"/>
      <c r="E400" s="3">
        <v>16972129.460000001</v>
      </c>
      <c r="F400" s="24">
        <v>3.9697993206328039E-2</v>
      </c>
      <c r="G400" s="26">
        <v>673759.48</v>
      </c>
      <c r="H400" t="s">
        <v>68</v>
      </c>
    </row>
    <row r="401" spans="1:8">
      <c r="A401" s="15" t="s">
        <v>1181</v>
      </c>
      <c r="B401" s="16" t="s">
        <v>1182</v>
      </c>
      <c r="C401" s="15" t="s">
        <v>74</v>
      </c>
      <c r="D401" s="16"/>
      <c r="E401" s="2">
        <v>16768943.859999999</v>
      </c>
      <c r="F401" s="23">
        <v>7.2966555927154259E-2</v>
      </c>
      <c r="G401" s="26">
        <v>1223572.08</v>
      </c>
      <c r="H401" t="s">
        <v>68</v>
      </c>
    </row>
    <row r="402" spans="1:8">
      <c r="A402" s="17" t="s">
        <v>1183</v>
      </c>
      <c r="B402" s="21" t="s">
        <v>1149</v>
      </c>
      <c r="C402" s="19" t="s">
        <v>74</v>
      </c>
      <c r="D402" s="20"/>
      <c r="E402" s="3">
        <v>6646869.0599999996</v>
      </c>
      <c r="F402" s="24">
        <v>6.5880351492887693E-2</v>
      </c>
      <c r="G402" s="26">
        <v>437898.07</v>
      </c>
      <c r="H402" t="s">
        <v>68</v>
      </c>
    </row>
    <row r="403" spans="1:8">
      <c r="A403" s="17" t="s">
        <v>1186</v>
      </c>
      <c r="B403" s="21" t="s">
        <v>1187</v>
      </c>
      <c r="C403" s="19" t="s">
        <v>74</v>
      </c>
      <c r="D403" s="20"/>
      <c r="E403" s="3">
        <v>24793691.5</v>
      </c>
      <c r="F403" s="24">
        <v>3.3609579678766273E-2</v>
      </c>
      <c r="G403" s="26">
        <v>833305.55</v>
      </c>
      <c r="H403" t="s">
        <v>68</v>
      </c>
    </row>
    <row r="404" spans="1:8">
      <c r="A404" s="15" t="s">
        <v>1188</v>
      </c>
      <c r="B404" s="16" t="s">
        <v>1189</v>
      </c>
      <c r="C404" s="15" t="s">
        <v>74</v>
      </c>
      <c r="D404" s="16"/>
      <c r="E404" s="2">
        <v>36360032.649999999</v>
      </c>
      <c r="F404" s="23">
        <v>2.3974445743518882E-2</v>
      </c>
      <c r="G404" s="26">
        <v>871711.63</v>
      </c>
      <c r="H404" t="s">
        <v>68</v>
      </c>
    </row>
    <row r="405" spans="1:8">
      <c r="A405" s="17" t="s">
        <v>1190</v>
      </c>
      <c r="B405" s="21" t="s">
        <v>1191</v>
      </c>
      <c r="C405" s="19" t="s">
        <v>74</v>
      </c>
      <c r="D405" s="20"/>
      <c r="E405" s="3">
        <v>12771086.09</v>
      </c>
      <c r="F405" s="24">
        <v>9.7002404593453023E-2</v>
      </c>
      <c r="G405" s="26">
        <v>1238826.06</v>
      </c>
      <c r="H405" t="s">
        <v>68</v>
      </c>
    </row>
    <row r="406" spans="1:8">
      <c r="A406" s="13" t="s">
        <v>1192</v>
      </c>
      <c r="B406" s="14" t="s">
        <v>1193</v>
      </c>
      <c r="C406" s="15" t="s">
        <v>74</v>
      </c>
      <c r="D406" s="16"/>
      <c r="E406" s="2">
        <v>10045347.390000001</v>
      </c>
      <c r="F406" s="23">
        <v>3.1869123841221383E-2</v>
      </c>
      <c r="G406" s="26">
        <v>320136.42000000004</v>
      </c>
      <c r="H406" t="s">
        <v>68</v>
      </c>
    </row>
    <row r="407" spans="1:8">
      <c r="A407" s="19" t="s">
        <v>1194</v>
      </c>
      <c r="B407" s="20" t="s">
        <v>1195</v>
      </c>
      <c r="C407" s="19" t="s">
        <v>74</v>
      </c>
      <c r="D407" s="20"/>
      <c r="E407" s="3">
        <v>16505943.74</v>
      </c>
      <c r="F407" s="24">
        <v>4.0909451809388028E-2</v>
      </c>
      <c r="G407" s="26">
        <v>675249.11</v>
      </c>
      <c r="H407" t="s">
        <v>68</v>
      </c>
    </row>
    <row r="408" spans="1:8">
      <c r="A408" s="13" t="s">
        <v>1196</v>
      </c>
      <c r="B408" s="14" t="s">
        <v>1197</v>
      </c>
      <c r="C408" s="15" t="s">
        <v>74</v>
      </c>
      <c r="D408" s="16"/>
      <c r="E408" s="2">
        <v>13739270</v>
      </c>
      <c r="F408" s="23">
        <v>5.0578119507077156E-2</v>
      </c>
      <c r="G408" s="26">
        <v>694906.44</v>
      </c>
      <c r="H408" t="s">
        <v>68</v>
      </c>
    </row>
    <row r="409" spans="1:8">
      <c r="A409" s="17" t="s">
        <v>1198</v>
      </c>
      <c r="B409" s="21" t="s">
        <v>1199</v>
      </c>
      <c r="C409" s="19" t="s">
        <v>74</v>
      </c>
      <c r="D409" s="20"/>
      <c r="E409" s="3">
        <v>25769869.5</v>
      </c>
      <c r="F409" s="24">
        <v>4.7483816322779593E-2</v>
      </c>
      <c r="G409" s="26">
        <v>1223651.75</v>
      </c>
      <c r="H409" t="s">
        <v>68</v>
      </c>
    </row>
    <row r="410" spans="1:8">
      <c r="A410" s="19" t="s">
        <v>1202</v>
      </c>
      <c r="B410" s="20" t="s">
        <v>1203</v>
      </c>
      <c r="C410" s="19" t="s">
        <v>74</v>
      </c>
      <c r="D410" s="20"/>
      <c r="E410" s="3">
        <v>32232003.739999998</v>
      </c>
      <c r="F410" s="24">
        <v>2.7176184796508716E-2</v>
      </c>
      <c r="G410" s="26">
        <v>875942.89</v>
      </c>
      <c r="H410" t="s">
        <v>68</v>
      </c>
    </row>
    <row r="411" spans="1:8">
      <c r="A411" s="13" t="s">
        <v>1204</v>
      </c>
      <c r="B411" s="14" t="s">
        <v>1205</v>
      </c>
      <c r="C411" s="15" t="s">
        <v>74</v>
      </c>
      <c r="D411" s="16"/>
      <c r="E411" s="2">
        <v>11977808.18</v>
      </c>
      <c r="F411" s="23">
        <v>2.3170193229793402E-2</v>
      </c>
      <c r="G411" s="26">
        <v>277528.13</v>
      </c>
      <c r="H411" t="s">
        <v>68</v>
      </c>
    </row>
    <row r="412" spans="1:8">
      <c r="A412" s="17" t="s">
        <v>1206</v>
      </c>
      <c r="B412" s="21" t="s">
        <v>1207</v>
      </c>
      <c r="C412" s="19" t="s">
        <v>74</v>
      </c>
      <c r="D412" s="20"/>
      <c r="E412" s="3">
        <v>34289142.93</v>
      </c>
      <c r="F412" s="24">
        <v>6.5300083019602023E-2</v>
      </c>
      <c r="G412" s="26">
        <v>2239083.88</v>
      </c>
      <c r="H412" t="s">
        <v>68</v>
      </c>
    </row>
    <row r="413" spans="1:8">
      <c r="A413" s="15" t="s">
        <v>1208</v>
      </c>
      <c r="B413" s="16" t="s">
        <v>1209</v>
      </c>
      <c r="C413" s="15" t="s">
        <v>74</v>
      </c>
      <c r="D413" s="16"/>
      <c r="E413" s="2">
        <v>73835540.200000003</v>
      </c>
      <c r="F413" s="23">
        <v>5.1824256037609373E-2</v>
      </c>
      <c r="G413" s="26">
        <v>3826471.94</v>
      </c>
      <c r="H413" t="s">
        <v>68</v>
      </c>
    </row>
    <row r="414" spans="1:8">
      <c r="A414" s="17" t="s">
        <v>1210</v>
      </c>
      <c r="B414" s="21" t="s">
        <v>1211</v>
      </c>
      <c r="C414" s="19" t="s">
        <v>74</v>
      </c>
      <c r="D414" s="20"/>
      <c r="E414" s="3">
        <v>11789867.859999999</v>
      </c>
      <c r="F414" s="24">
        <v>4.673897252653348E-2</v>
      </c>
      <c r="G414" s="26">
        <v>551046.31000000006</v>
      </c>
      <c r="H414" t="s">
        <v>68</v>
      </c>
    </row>
    <row r="415" spans="1:8">
      <c r="A415" s="13" t="s">
        <v>1212</v>
      </c>
      <c r="B415" s="22" t="s">
        <v>1213</v>
      </c>
      <c r="C415" s="15" t="s">
        <v>74</v>
      </c>
      <c r="D415" s="16"/>
      <c r="E415" s="2">
        <v>13634098.720000001</v>
      </c>
      <c r="F415" s="23">
        <v>5.6381873550054508E-2</v>
      </c>
      <c r="G415" s="26">
        <v>768716.03</v>
      </c>
      <c r="H415" t="s">
        <v>68</v>
      </c>
    </row>
    <row r="416" spans="1:8">
      <c r="A416" s="19" t="s">
        <v>1214</v>
      </c>
      <c r="B416" s="20" t="s">
        <v>1215</v>
      </c>
      <c r="C416" s="19" t="s">
        <v>74</v>
      </c>
      <c r="D416" s="20"/>
      <c r="E416" s="3">
        <v>15684082.49</v>
      </c>
      <c r="F416" s="24">
        <v>4.1251120071098275E-2</v>
      </c>
      <c r="G416" s="26">
        <v>646985.97</v>
      </c>
      <c r="H416" t="s">
        <v>68</v>
      </c>
    </row>
    <row r="417" spans="1:8">
      <c r="A417" s="17" t="s">
        <v>1218</v>
      </c>
      <c r="B417" s="18" t="s">
        <v>1219</v>
      </c>
      <c r="C417" s="19" t="s">
        <v>74</v>
      </c>
      <c r="D417" s="20"/>
      <c r="E417" s="3">
        <v>41886616.590000004</v>
      </c>
      <c r="F417" s="24">
        <v>7.1289376490554099E-2</v>
      </c>
      <c r="G417" s="26">
        <v>2986070.7799999993</v>
      </c>
      <c r="H417" t="s">
        <v>68</v>
      </c>
    </row>
    <row r="418" spans="1:8">
      <c r="A418" s="13" t="s">
        <v>1220</v>
      </c>
      <c r="B418" s="22" t="s">
        <v>1221</v>
      </c>
      <c r="C418" s="15" t="s">
        <v>74</v>
      </c>
      <c r="D418" s="16"/>
      <c r="E418" s="2">
        <v>42677018.090000004</v>
      </c>
      <c r="F418" s="23">
        <v>4.8092576329294326E-2</v>
      </c>
      <c r="G418" s="26">
        <v>2052447.75</v>
      </c>
      <c r="H418" t="s">
        <v>68</v>
      </c>
    </row>
    <row r="419" spans="1:8">
      <c r="A419" s="19" t="s">
        <v>1222</v>
      </c>
      <c r="B419" s="20" t="s">
        <v>1223</v>
      </c>
      <c r="C419" s="19" t="s">
        <v>74</v>
      </c>
      <c r="D419" s="20"/>
      <c r="E419" s="3">
        <v>24286362.109999999</v>
      </c>
      <c r="F419" s="24">
        <v>3.6300295450054129E-2</v>
      </c>
      <c r="G419" s="26">
        <v>881602.12</v>
      </c>
      <c r="H419" t="s">
        <v>68</v>
      </c>
    </row>
    <row r="420" spans="1:8">
      <c r="A420" s="13" t="s">
        <v>1224</v>
      </c>
      <c r="B420" s="22" t="s">
        <v>1225</v>
      </c>
      <c r="C420" s="15" t="s">
        <v>74</v>
      </c>
      <c r="D420" s="16"/>
      <c r="E420" s="2">
        <v>9307829.1400000006</v>
      </c>
      <c r="F420" s="23">
        <v>5.6592117461236505E-2</v>
      </c>
      <c r="G420" s="26">
        <v>526749.76</v>
      </c>
      <c r="H420" t="s">
        <v>68</v>
      </c>
    </row>
    <row r="421" spans="1:8">
      <c r="A421" s="17" t="s">
        <v>1226</v>
      </c>
      <c r="B421" s="18" t="s">
        <v>1227</v>
      </c>
      <c r="C421" s="19" t="s">
        <v>74</v>
      </c>
      <c r="D421" s="20"/>
      <c r="E421" s="3">
        <v>5122505.47</v>
      </c>
      <c r="F421" s="24">
        <v>5.538831176689793E-2</v>
      </c>
      <c r="G421" s="26">
        <v>283726.93</v>
      </c>
      <c r="H421" t="s">
        <v>68</v>
      </c>
    </row>
    <row r="422" spans="1:8">
      <c r="A422" s="15" t="s">
        <v>1228</v>
      </c>
      <c r="B422" s="16" t="s">
        <v>1229</v>
      </c>
      <c r="C422" s="15" t="s">
        <v>74</v>
      </c>
      <c r="D422" s="16"/>
      <c r="E422" s="2">
        <v>19891559.57</v>
      </c>
      <c r="F422" s="23">
        <v>3.6674991592929182E-2</v>
      </c>
      <c r="G422" s="26">
        <v>729522.78</v>
      </c>
      <c r="H422" t="s">
        <v>68</v>
      </c>
    </row>
    <row r="423" spans="1:8">
      <c r="A423" s="17" t="s">
        <v>1230</v>
      </c>
      <c r="B423" s="18" t="s">
        <v>1452</v>
      </c>
      <c r="C423" s="19" t="s">
        <v>74</v>
      </c>
      <c r="D423" s="20"/>
      <c r="E423" s="3">
        <v>6143270.0800000001</v>
      </c>
      <c r="F423" s="24">
        <v>7.7231702956481449E-2</v>
      </c>
      <c r="G423" s="26">
        <v>474455.21</v>
      </c>
      <c r="H423" t="s">
        <v>68</v>
      </c>
    </row>
    <row r="424" spans="1:8">
      <c r="A424" s="13" t="s">
        <v>1453</v>
      </c>
      <c r="B424" s="22" t="s">
        <v>1454</v>
      </c>
      <c r="C424" s="15" t="s">
        <v>74</v>
      </c>
      <c r="D424" s="16"/>
      <c r="E424" s="2">
        <v>12977788.609999999</v>
      </c>
      <c r="F424" s="23">
        <v>3.5162172363354595E-2</v>
      </c>
      <c r="G424" s="26">
        <v>456327.24000000005</v>
      </c>
      <c r="H424" t="s">
        <v>68</v>
      </c>
    </row>
    <row r="425" spans="1:8">
      <c r="A425" s="19" t="s">
        <v>1455</v>
      </c>
      <c r="B425" s="20" t="s">
        <v>1207</v>
      </c>
      <c r="C425" s="19" t="s">
        <v>74</v>
      </c>
      <c r="D425" s="20"/>
      <c r="E425" s="3">
        <v>9756389.7300000004</v>
      </c>
      <c r="F425" s="24">
        <v>6.5873911127574444E-2</v>
      </c>
      <c r="G425" s="26">
        <v>642691.55000000005</v>
      </c>
      <c r="H425" t="s">
        <v>68</v>
      </c>
    </row>
    <row r="426" spans="1:8">
      <c r="A426" s="13" t="s">
        <v>1456</v>
      </c>
      <c r="B426" s="22" t="s">
        <v>1457</v>
      </c>
      <c r="C426" s="15" t="s">
        <v>74</v>
      </c>
      <c r="D426" s="16"/>
      <c r="E426" s="2">
        <v>19033325.890000001</v>
      </c>
      <c r="F426" s="23">
        <v>5.6512950296570573E-2</v>
      </c>
      <c r="G426" s="26">
        <v>1075629.3999999999</v>
      </c>
      <c r="H426" t="s">
        <v>68</v>
      </c>
    </row>
    <row r="427" spans="1:8">
      <c r="A427" s="17" t="s">
        <v>1458</v>
      </c>
      <c r="B427" s="18" t="s">
        <v>1345</v>
      </c>
      <c r="C427" s="19" t="s">
        <v>74</v>
      </c>
      <c r="D427" s="20"/>
      <c r="E427" s="3">
        <v>6578553.0899999999</v>
      </c>
      <c r="F427" s="24">
        <v>3.8932789094508931E-2</v>
      </c>
      <c r="G427" s="26">
        <v>256121.42</v>
      </c>
      <c r="H427" t="s">
        <v>68</v>
      </c>
    </row>
    <row r="428" spans="1:8">
      <c r="A428" s="15" t="s">
        <v>1459</v>
      </c>
      <c r="B428" s="16" t="s">
        <v>1460</v>
      </c>
      <c r="C428" s="15" t="s">
        <v>74</v>
      </c>
      <c r="D428" s="16"/>
      <c r="E428" s="2">
        <v>12941097.390000001</v>
      </c>
      <c r="F428" s="23">
        <v>5.7901379413079275E-2</v>
      </c>
      <c r="G428" s="26">
        <v>749307.39</v>
      </c>
      <c r="H428" t="s">
        <v>68</v>
      </c>
    </row>
    <row r="429" spans="1:8">
      <c r="A429" s="17" t="s">
        <v>1461</v>
      </c>
      <c r="B429" s="18" t="s">
        <v>1462</v>
      </c>
      <c r="C429" s="19" t="s">
        <v>74</v>
      </c>
      <c r="D429" s="20"/>
      <c r="E429" s="3">
        <v>11298582.15</v>
      </c>
      <c r="F429" s="24">
        <v>4.2574340179488801E-2</v>
      </c>
      <c r="G429" s="26">
        <v>481029.68</v>
      </c>
      <c r="H429" t="s">
        <v>68</v>
      </c>
    </row>
    <row r="430" spans="1:8">
      <c r="A430" s="13" t="s">
        <v>1463</v>
      </c>
      <c r="B430" s="22" t="s">
        <v>1464</v>
      </c>
      <c r="C430" s="15" t="s">
        <v>74</v>
      </c>
      <c r="D430" s="16"/>
      <c r="E430" s="2">
        <v>7924210.2699999996</v>
      </c>
      <c r="F430" s="23">
        <v>4.6307730044624372E-2</v>
      </c>
      <c r="G430" s="26">
        <v>366952.19</v>
      </c>
      <c r="H430" t="s">
        <v>68</v>
      </c>
    </row>
    <row r="431" spans="1:8">
      <c r="A431" s="19" t="s">
        <v>1465</v>
      </c>
      <c r="B431" s="20" t="s">
        <v>1466</v>
      </c>
      <c r="C431" s="19" t="s">
        <v>74</v>
      </c>
      <c r="D431" s="20"/>
      <c r="E431" s="3">
        <v>15645265.630000001</v>
      </c>
      <c r="F431" s="24">
        <v>5.8791366139304087E-2</v>
      </c>
      <c r="G431" s="26">
        <v>919806.54</v>
      </c>
      <c r="H431" t="s">
        <v>68</v>
      </c>
    </row>
    <row r="432" spans="1:8">
      <c r="A432" s="13" t="s">
        <v>1467</v>
      </c>
      <c r="B432" s="22" t="s">
        <v>1468</v>
      </c>
      <c r="C432" s="15" t="s">
        <v>74</v>
      </c>
      <c r="D432" s="16"/>
      <c r="E432" s="2">
        <v>13033759.67</v>
      </c>
      <c r="F432" s="23">
        <v>6.1839407846009484E-2</v>
      </c>
      <c r="G432" s="26">
        <v>805999.98</v>
      </c>
      <c r="H432" t="s">
        <v>68</v>
      </c>
    </row>
    <row r="433" spans="1:8">
      <c r="A433" s="17" t="s">
        <v>1469</v>
      </c>
      <c r="B433" s="18" t="s">
        <v>1025</v>
      </c>
      <c r="C433" s="19" t="s">
        <v>74</v>
      </c>
      <c r="D433" s="20"/>
      <c r="E433" s="3">
        <v>17914157.23</v>
      </c>
      <c r="F433" s="24">
        <v>4.2321462866830042E-2</v>
      </c>
      <c r="G433" s="26">
        <v>758153.34</v>
      </c>
      <c r="H433" t="s">
        <v>68</v>
      </c>
    </row>
    <row r="434" spans="1:8">
      <c r="A434" s="15" t="s">
        <v>1470</v>
      </c>
      <c r="B434" s="16" t="s">
        <v>1471</v>
      </c>
      <c r="C434" s="15" t="s">
        <v>74</v>
      </c>
      <c r="D434" s="16"/>
      <c r="E434" s="2">
        <v>25838279.390000001</v>
      </c>
      <c r="F434" s="23">
        <v>5.6302374397384357E-2</v>
      </c>
      <c r="G434" s="26">
        <v>1454756.48</v>
      </c>
      <c r="H434" t="s">
        <v>68</v>
      </c>
    </row>
    <row r="435" spans="1:8">
      <c r="A435" s="17" t="s">
        <v>1472</v>
      </c>
      <c r="B435" s="18" t="s">
        <v>1473</v>
      </c>
      <c r="C435" s="19" t="s">
        <v>74</v>
      </c>
      <c r="D435" s="20"/>
      <c r="E435" s="3">
        <v>23829695.469999999</v>
      </c>
      <c r="F435" s="24">
        <v>3.0142062910718349E-2</v>
      </c>
      <c r="G435" s="26">
        <v>718276.18</v>
      </c>
      <c r="H435" t="s">
        <v>68</v>
      </c>
    </row>
    <row r="436" spans="1:8">
      <c r="A436" s="13" t="s">
        <v>1474</v>
      </c>
      <c r="B436" s="22" t="s">
        <v>846</v>
      </c>
      <c r="C436" s="15" t="s">
        <v>74</v>
      </c>
      <c r="D436" s="16"/>
      <c r="E436" s="2">
        <v>7147042.0099999998</v>
      </c>
      <c r="F436" s="23">
        <v>7.6146025060233269E-2</v>
      </c>
      <c r="G436" s="26">
        <v>544218.84</v>
      </c>
      <c r="H436" t="s">
        <v>68</v>
      </c>
    </row>
    <row r="437" spans="1:8">
      <c r="A437" s="19" t="s">
        <v>1475</v>
      </c>
      <c r="B437" s="20" t="s">
        <v>1476</v>
      </c>
      <c r="C437" s="19" t="s">
        <v>74</v>
      </c>
      <c r="D437" s="20"/>
      <c r="E437" s="3">
        <v>19652713.960000001</v>
      </c>
      <c r="F437" s="24">
        <v>0.1217561007029484</v>
      </c>
      <c r="G437" s="26">
        <v>2392837.8199999998</v>
      </c>
      <c r="H437" t="s">
        <v>68</v>
      </c>
    </row>
    <row r="438" spans="1:8">
      <c r="A438" s="13" t="s">
        <v>1477</v>
      </c>
      <c r="B438" s="22" t="s">
        <v>1137</v>
      </c>
      <c r="C438" s="15" t="s">
        <v>74</v>
      </c>
      <c r="D438" s="16"/>
      <c r="E438" s="2">
        <v>6657574.9900000002</v>
      </c>
      <c r="F438" s="23">
        <v>9.1322480169314615E-2</v>
      </c>
      <c r="G438" s="26">
        <v>607986.26</v>
      </c>
      <c r="H438" t="s">
        <v>68</v>
      </c>
    </row>
    <row r="439" spans="1:8">
      <c r="A439" s="13" t="s">
        <v>1255</v>
      </c>
      <c r="B439" s="22" t="s">
        <v>1256</v>
      </c>
      <c r="C439" s="15" t="s">
        <v>74</v>
      </c>
      <c r="D439" s="16"/>
      <c r="E439" s="2">
        <v>7247766.5099999998</v>
      </c>
      <c r="F439" s="23">
        <v>3.6840481772087333E-2</v>
      </c>
      <c r="G439" s="26">
        <v>267011.21000000002</v>
      </c>
      <c r="H439" t="s">
        <v>68</v>
      </c>
    </row>
    <row r="440" spans="1:8">
      <c r="A440" s="19" t="s">
        <v>1257</v>
      </c>
      <c r="B440" s="20" t="s">
        <v>1258</v>
      </c>
      <c r="C440" s="19" t="s">
        <v>74</v>
      </c>
      <c r="D440" s="20"/>
      <c r="E440" s="3">
        <v>9759289</v>
      </c>
      <c r="F440" s="24">
        <v>3.080840827646358E-2</v>
      </c>
      <c r="G440" s="26">
        <v>300668.15999999997</v>
      </c>
      <c r="H440" t="s">
        <v>68</v>
      </c>
    </row>
    <row r="441" spans="1:8">
      <c r="A441" s="13" t="s">
        <v>1259</v>
      </c>
      <c r="B441" s="22" t="s">
        <v>1260</v>
      </c>
      <c r="C441" s="15" t="s">
        <v>74</v>
      </c>
      <c r="D441" s="16"/>
      <c r="E441" s="2">
        <v>8762625.2699999996</v>
      </c>
      <c r="F441" s="23">
        <v>3.4123570366943239E-2</v>
      </c>
      <c r="G441" s="26">
        <v>299012.06</v>
      </c>
      <c r="H441" t="s">
        <v>68</v>
      </c>
    </row>
    <row r="442" spans="1:8">
      <c r="A442" s="17" t="s">
        <v>1261</v>
      </c>
      <c r="B442" s="18" t="s">
        <v>1262</v>
      </c>
      <c r="C442" s="19" t="s">
        <v>74</v>
      </c>
      <c r="D442" s="20"/>
      <c r="E442" s="3">
        <v>8163698.3399999999</v>
      </c>
      <c r="F442" s="24">
        <v>4.0168457522892741E-2</v>
      </c>
      <c r="G442" s="26">
        <v>327923.17</v>
      </c>
      <c r="H442" t="s">
        <v>68</v>
      </c>
    </row>
    <row r="443" spans="1:8">
      <c r="A443" s="19" t="s">
        <v>1265</v>
      </c>
      <c r="B443" s="20" t="s">
        <v>1266</v>
      </c>
      <c r="C443" s="19" t="s">
        <v>74</v>
      </c>
      <c r="D443" s="20"/>
      <c r="E443" s="3">
        <v>7052335.3899999997</v>
      </c>
      <c r="F443" s="24">
        <v>3.1432600371548693E-2</v>
      </c>
      <c r="G443" s="26">
        <v>221673.24</v>
      </c>
      <c r="H443" t="s">
        <v>68</v>
      </c>
    </row>
    <row r="444" spans="1:8">
      <c r="A444" s="13" t="s">
        <v>1267</v>
      </c>
      <c r="B444" s="22" t="s">
        <v>1268</v>
      </c>
      <c r="C444" s="15" t="s">
        <v>74</v>
      </c>
      <c r="D444" s="16"/>
      <c r="E444" s="2">
        <v>9968547.3800000008</v>
      </c>
      <c r="F444" s="23">
        <v>4.4156463647163802E-2</v>
      </c>
      <c r="G444" s="26">
        <v>440175.8</v>
      </c>
      <c r="H444" t="s">
        <v>68</v>
      </c>
    </row>
    <row r="445" spans="1:8">
      <c r="A445" s="17" t="s">
        <v>1269</v>
      </c>
      <c r="B445" s="18" t="s">
        <v>1270</v>
      </c>
      <c r="C445" s="19" t="s">
        <v>74</v>
      </c>
      <c r="D445" s="20"/>
      <c r="E445" s="3">
        <v>5174502.62</v>
      </c>
      <c r="F445" s="24">
        <v>4.6049732215615341E-2</v>
      </c>
      <c r="G445" s="26">
        <v>238284.46</v>
      </c>
      <c r="H445" t="s">
        <v>68</v>
      </c>
    </row>
    <row r="446" spans="1:8">
      <c r="A446" s="15" t="s">
        <v>1271</v>
      </c>
      <c r="B446" s="16" t="s">
        <v>1272</v>
      </c>
      <c r="C446" s="15" t="s">
        <v>74</v>
      </c>
      <c r="D446" s="16"/>
      <c r="E446" s="2">
        <v>24217676.260000002</v>
      </c>
      <c r="F446" s="23">
        <v>9.5553675140258892E-2</v>
      </c>
      <c r="G446" s="26">
        <v>2314087.9700000002</v>
      </c>
      <c r="H446" t="s">
        <v>68</v>
      </c>
    </row>
    <row r="447" spans="1:8">
      <c r="A447" s="17" t="s">
        <v>1273</v>
      </c>
      <c r="B447" s="18" t="s">
        <v>1274</v>
      </c>
      <c r="C447" s="19" t="s">
        <v>74</v>
      </c>
      <c r="D447" s="20"/>
      <c r="E447" s="3">
        <v>27806138.300000001</v>
      </c>
      <c r="F447" s="24">
        <v>7.3723834208218694E-2</v>
      </c>
      <c r="G447" s="26">
        <v>2049975.1300000001</v>
      </c>
      <c r="H447" t="s">
        <v>68</v>
      </c>
    </row>
    <row r="448" spans="1:8">
      <c r="A448" s="13" t="s">
        <v>1275</v>
      </c>
      <c r="B448" s="22" t="s">
        <v>1276</v>
      </c>
      <c r="C448" s="15" t="s">
        <v>74</v>
      </c>
      <c r="D448" s="16"/>
      <c r="E448" s="2">
        <v>11922420.73</v>
      </c>
      <c r="F448" s="23">
        <v>5.7553961191235369E-2</v>
      </c>
      <c r="G448" s="26">
        <v>686182.54</v>
      </c>
      <c r="H448" t="s">
        <v>68</v>
      </c>
    </row>
    <row r="449" spans="1:8">
      <c r="A449" s="19" t="s">
        <v>1277</v>
      </c>
      <c r="B449" s="20" t="s">
        <v>1278</v>
      </c>
      <c r="C449" s="19" t="s">
        <v>74</v>
      </c>
      <c r="D449" s="20"/>
      <c r="E449" s="3">
        <v>8409506.3900000006</v>
      </c>
      <c r="F449" s="24">
        <v>0.16344160956158094</v>
      </c>
      <c r="G449" s="26">
        <v>1374463.26</v>
      </c>
      <c r="H449" t="s">
        <v>68</v>
      </c>
    </row>
    <row r="450" spans="1:8">
      <c r="A450" s="13" t="s">
        <v>1279</v>
      </c>
      <c r="B450" s="22" t="s">
        <v>1280</v>
      </c>
      <c r="C450" s="15" t="s">
        <v>74</v>
      </c>
      <c r="D450" s="16"/>
      <c r="E450" s="2">
        <v>34944083.149999999</v>
      </c>
      <c r="F450" s="23">
        <v>0.12104734074272028</v>
      </c>
      <c r="G450" s="26">
        <v>4229888.34</v>
      </c>
      <c r="H450" t="s">
        <v>68</v>
      </c>
    </row>
    <row r="451" spans="1:8">
      <c r="A451" s="17" t="s">
        <v>1281</v>
      </c>
      <c r="B451" s="18" t="s">
        <v>1282</v>
      </c>
      <c r="C451" s="19" t="s">
        <v>74</v>
      </c>
      <c r="D451" s="20"/>
      <c r="E451" s="3">
        <v>35933156.039999999</v>
      </c>
      <c r="F451" s="24">
        <v>0.11716387214397325</v>
      </c>
      <c r="G451" s="26">
        <v>4210067.7</v>
      </c>
      <c r="H451" t="s">
        <v>68</v>
      </c>
    </row>
    <row r="452" spans="1:8">
      <c r="A452" s="15" t="s">
        <v>1283</v>
      </c>
      <c r="B452" s="16" t="s">
        <v>1284</v>
      </c>
      <c r="C452" s="15" t="s">
        <v>74</v>
      </c>
      <c r="D452" s="16"/>
      <c r="E452" s="2">
        <v>10117515.84</v>
      </c>
      <c r="F452" s="23">
        <v>5.5260940416773291E-2</v>
      </c>
      <c r="G452" s="26">
        <v>559103.43999999994</v>
      </c>
      <c r="H452" t="s">
        <v>68</v>
      </c>
    </row>
    <row r="453" spans="1:8">
      <c r="A453" s="17" t="s">
        <v>1285</v>
      </c>
      <c r="B453" s="18" t="s">
        <v>1286</v>
      </c>
      <c r="C453" s="19" t="s">
        <v>74</v>
      </c>
      <c r="D453" s="20"/>
      <c r="E453" s="3">
        <v>48385730.399999999</v>
      </c>
      <c r="F453" s="24">
        <v>4.6154422007030405E-2</v>
      </c>
      <c r="G453" s="26">
        <v>2233215.42</v>
      </c>
      <c r="H453" t="s">
        <v>68</v>
      </c>
    </row>
    <row r="454" spans="1:8">
      <c r="A454" s="13" t="s">
        <v>1287</v>
      </c>
      <c r="B454" s="22" t="s">
        <v>1174</v>
      </c>
      <c r="C454" s="15" t="s">
        <v>74</v>
      </c>
      <c r="D454" s="16"/>
      <c r="E454" s="2">
        <v>20682988.780000001</v>
      </c>
      <c r="F454" s="23">
        <v>0.10862498422725538</v>
      </c>
      <c r="G454" s="26">
        <v>2246689.33</v>
      </c>
      <c r="H454" t="s">
        <v>68</v>
      </c>
    </row>
    <row r="455" spans="1:8">
      <c r="A455" s="19" t="s">
        <v>1288</v>
      </c>
      <c r="B455" s="20" t="s">
        <v>1289</v>
      </c>
      <c r="C455" s="19" t="s">
        <v>74</v>
      </c>
      <c r="D455" s="20"/>
      <c r="E455" s="3">
        <v>18092282.18</v>
      </c>
      <c r="F455" s="24">
        <v>3.0750394807295668E-2</v>
      </c>
      <c r="G455" s="26">
        <v>556344.81999999995</v>
      </c>
      <c r="H455" t="s">
        <v>68</v>
      </c>
    </row>
    <row r="456" spans="1:8">
      <c r="A456" s="13" t="s">
        <v>1290</v>
      </c>
      <c r="B456" s="22" t="s">
        <v>1291</v>
      </c>
      <c r="C456" s="15" t="s">
        <v>74</v>
      </c>
      <c r="D456" s="16"/>
      <c r="E456" s="2">
        <v>62992473.82</v>
      </c>
      <c r="F456" s="23">
        <v>5.3060165561219737E-2</v>
      </c>
      <c r="G456" s="26">
        <v>3342391.09</v>
      </c>
      <c r="H456" t="s">
        <v>68</v>
      </c>
    </row>
    <row r="457" spans="1:8">
      <c r="A457" s="17" t="s">
        <v>1292</v>
      </c>
      <c r="B457" s="18" t="s">
        <v>1293</v>
      </c>
      <c r="C457" s="19" t="s">
        <v>74</v>
      </c>
      <c r="D457" s="20"/>
      <c r="E457" s="3">
        <v>21353164.57</v>
      </c>
      <c r="F457" s="24">
        <v>0.1176451205517965</v>
      </c>
      <c r="G457" s="26">
        <v>2512095.62</v>
      </c>
      <c r="H457" t="s">
        <v>68</v>
      </c>
    </row>
    <row r="458" spans="1:8">
      <c r="A458" s="15" t="s">
        <v>1294</v>
      </c>
      <c r="B458" s="16" t="s">
        <v>1295</v>
      </c>
      <c r="C458" s="15" t="s">
        <v>74</v>
      </c>
      <c r="D458" s="16"/>
      <c r="E458" s="2">
        <v>11251998.560000001</v>
      </c>
      <c r="F458" s="23">
        <v>5.7913080642982236E-2</v>
      </c>
      <c r="G458" s="26">
        <v>651637.9</v>
      </c>
      <c r="H458" t="s">
        <v>68</v>
      </c>
    </row>
    <row r="459" spans="1:8">
      <c r="A459" s="17" t="s">
        <v>1296</v>
      </c>
      <c r="B459" s="18" t="s">
        <v>1473</v>
      </c>
      <c r="C459" s="19" t="s">
        <v>74</v>
      </c>
      <c r="D459" s="20"/>
      <c r="E459" s="3">
        <v>15058086.01</v>
      </c>
      <c r="F459" s="24">
        <v>0.13542751838751119</v>
      </c>
      <c r="G459" s="26">
        <v>2039279.22</v>
      </c>
      <c r="H459" t="s">
        <v>68</v>
      </c>
    </row>
    <row r="460" spans="1:8">
      <c r="A460" s="13" t="s">
        <v>1297</v>
      </c>
      <c r="B460" s="22" t="s">
        <v>1298</v>
      </c>
      <c r="C460" s="15" t="s">
        <v>74</v>
      </c>
      <c r="D460" s="16"/>
      <c r="E460" s="2">
        <v>11007336.050000001</v>
      </c>
      <c r="F460" s="23">
        <v>8.3731582811083519E-2</v>
      </c>
      <c r="G460" s="26">
        <v>921661.67</v>
      </c>
      <c r="H460" t="s">
        <v>68</v>
      </c>
    </row>
    <row r="461" spans="1:8">
      <c r="A461" s="19" t="s">
        <v>1299</v>
      </c>
      <c r="B461" s="20" t="s">
        <v>1300</v>
      </c>
      <c r="C461" s="19" t="s">
        <v>74</v>
      </c>
      <c r="D461" s="20"/>
      <c r="E461" s="3">
        <v>17154055.640000001</v>
      </c>
      <c r="F461" s="24">
        <v>6.477595638718589E-2</v>
      </c>
      <c r="G461" s="26">
        <v>1111170.3600000001</v>
      </c>
      <c r="H461" t="s">
        <v>68</v>
      </c>
    </row>
    <row r="462" spans="1:8">
      <c r="A462" s="13" t="s">
        <v>1301</v>
      </c>
      <c r="B462" s="22" t="s">
        <v>1302</v>
      </c>
      <c r="C462" s="15" t="s">
        <v>74</v>
      </c>
      <c r="D462" s="16"/>
      <c r="E462" s="2">
        <v>20062755.899999999</v>
      </c>
      <c r="F462" s="23">
        <v>9.2691211978509894E-2</v>
      </c>
      <c r="G462" s="26">
        <v>1859641.16</v>
      </c>
      <c r="H462" t="s">
        <v>68</v>
      </c>
    </row>
    <row r="463" spans="1:8">
      <c r="A463" s="17" t="s">
        <v>1303</v>
      </c>
      <c r="B463" s="18" t="s">
        <v>1304</v>
      </c>
      <c r="C463" s="19" t="s">
        <v>74</v>
      </c>
      <c r="D463" s="20"/>
      <c r="E463" s="3">
        <v>17450402.960000001</v>
      </c>
      <c r="F463" s="24">
        <v>9.2756405895626365E-2</v>
      </c>
      <c r="G463" s="26">
        <v>1618636.66</v>
      </c>
      <c r="H463" t="s">
        <v>68</v>
      </c>
    </row>
    <row r="464" spans="1:8">
      <c r="A464" s="15" t="s">
        <v>1305</v>
      </c>
      <c r="B464" s="16" t="s">
        <v>1306</v>
      </c>
      <c r="C464" s="15" t="s">
        <v>74</v>
      </c>
      <c r="D464" s="16"/>
      <c r="E464" s="2">
        <v>24269485.530000001</v>
      </c>
      <c r="F464" s="23">
        <v>6.0786232908662731E-2</v>
      </c>
      <c r="G464" s="26">
        <v>1475250.6</v>
      </c>
      <c r="H464" t="s">
        <v>68</v>
      </c>
    </row>
    <row r="465" spans="1:8">
      <c r="A465" s="17" t="s">
        <v>1307</v>
      </c>
      <c r="B465" s="18" t="s">
        <v>1308</v>
      </c>
      <c r="C465" s="19" t="s">
        <v>74</v>
      </c>
      <c r="D465" s="20"/>
      <c r="E465" s="3">
        <v>14552960.99</v>
      </c>
      <c r="F465" s="24">
        <v>7.7290996710079135E-2</v>
      </c>
      <c r="G465" s="26">
        <v>1124812.8600000001</v>
      </c>
      <c r="H465" t="s">
        <v>68</v>
      </c>
    </row>
    <row r="466" spans="1:8">
      <c r="A466" s="13" t="s">
        <v>1309</v>
      </c>
      <c r="B466" s="22" t="s">
        <v>1310</v>
      </c>
      <c r="C466" s="15" t="s">
        <v>74</v>
      </c>
      <c r="D466" s="16"/>
      <c r="E466" s="2">
        <v>9454691.0600000005</v>
      </c>
      <c r="F466" s="23">
        <v>9.0179279744757729E-2</v>
      </c>
      <c r="G466" s="26">
        <v>852617.23</v>
      </c>
      <c r="H466" t="s">
        <v>68</v>
      </c>
    </row>
    <row r="467" spans="1:8">
      <c r="A467" s="19" t="s">
        <v>1311</v>
      </c>
      <c r="B467" s="20" t="s">
        <v>1312</v>
      </c>
      <c r="C467" s="19" t="s">
        <v>74</v>
      </c>
      <c r="D467" s="20"/>
      <c r="E467" s="3">
        <v>18920026.07</v>
      </c>
      <c r="F467" s="24">
        <v>5.1973602803814745E-2</v>
      </c>
      <c r="G467" s="26">
        <v>983341.92</v>
      </c>
      <c r="H467" t="s">
        <v>68</v>
      </c>
    </row>
    <row r="468" spans="1:8">
      <c r="A468" s="13" t="s">
        <v>1313</v>
      </c>
      <c r="B468" s="22" t="s">
        <v>1314</v>
      </c>
      <c r="C468" s="15" t="s">
        <v>74</v>
      </c>
      <c r="D468" s="16"/>
      <c r="E468" s="2">
        <v>8808986.4399999995</v>
      </c>
      <c r="F468" s="23">
        <v>2.9125465426417436E-2</v>
      </c>
      <c r="G468" s="26">
        <v>256565.83</v>
      </c>
      <c r="H468" t="s">
        <v>68</v>
      </c>
    </row>
    <row r="469" spans="1:8">
      <c r="A469" s="17" t="s">
        <v>1315</v>
      </c>
      <c r="B469" s="18" t="s">
        <v>1316</v>
      </c>
      <c r="C469" s="19" t="s">
        <v>74</v>
      </c>
      <c r="D469" s="20"/>
      <c r="E469" s="3">
        <v>11638254.17</v>
      </c>
      <c r="F469" s="24">
        <v>4.6614252625486352E-2</v>
      </c>
      <c r="G469" s="26">
        <v>542508.52</v>
      </c>
      <c r="H469" t="s">
        <v>68</v>
      </c>
    </row>
    <row r="470" spans="1:8">
      <c r="A470" s="15" t="s">
        <v>1317</v>
      </c>
      <c r="B470" s="16" t="s">
        <v>1318</v>
      </c>
      <c r="C470" s="15" t="s">
        <v>74</v>
      </c>
      <c r="D470" s="16"/>
      <c r="E470" s="2">
        <v>153698.9</v>
      </c>
      <c r="F470" s="23">
        <v>0</v>
      </c>
      <c r="G470" s="26">
        <v>0</v>
      </c>
      <c r="H470" t="s">
        <v>68</v>
      </c>
    </row>
    <row r="471" spans="1:8">
      <c r="A471" s="17" t="s">
        <v>1319</v>
      </c>
      <c r="B471" s="18" t="s">
        <v>1320</v>
      </c>
      <c r="C471" s="19" t="s">
        <v>74</v>
      </c>
      <c r="D471" s="20"/>
      <c r="E471" s="3">
        <v>165538.65</v>
      </c>
      <c r="F471" s="24">
        <v>0</v>
      </c>
      <c r="G471" s="26">
        <v>0</v>
      </c>
      <c r="H471" t="s">
        <v>68</v>
      </c>
    </row>
    <row r="472" spans="1:8">
      <c r="A472" s="13" t="s">
        <v>1321</v>
      </c>
      <c r="B472" s="22" t="s">
        <v>1322</v>
      </c>
      <c r="C472" s="15" t="s">
        <v>74</v>
      </c>
      <c r="D472" s="16"/>
      <c r="E472" s="2">
        <v>2344321.52</v>
      </c>
      <c r="F472" s="23">
        <v>1.3052706183407812E-2</v>
      </c>
      <c r="G472" s="26">
        <v>30599.74</v>
      </c>
      <c r="H472" t="s">
        <v>68</v>
      </c>
    </row>
    <row r="473" spans="1:8">
      <c r="A473" s="19" t="s">
        <v>1323</v>
      </c>
      <c r="B473" s="20" t="s">
        <v>1324</v>
      </c>
      <c r="C473" s="19" t="s">
        <v>74</v>
      </c>
      <c r="D473" s="20"/>
      <c r="E473" s="3">
        <v>5483477.9500000002</v>
      </c>
      <c r="F473" s="24">
        <v>2.6021350190712448E-2</v>
      </c>
      <c r="G473" s="26">
        <v>142687.5</v>
      </c>
      <c r="H473" t="s">
        <v>68</v>
      </c>
    </row>
    <row r="474" spans="1:8">
      <c r="A474" s="13" t="s">
        <v>1325</v>
      </c>
      <c r="B474" s="22" t="s">
        <v>1326</v>
      </c>
      <c r="C474" s="15" t="s">
        <v>74</v>
      </c>
      <c r="D474" s="16"/>
      <c r="E474" s="2">
        <v>9275419.9199999999</v>
      </c>
      <c r="F474" s="23">
        <v>7.4319766214961835E-2</v>
      </c>
      <c r="G474" s="26">
        <v>689347.04</v>
      </c>
      <c r="H474" t="s">
        <v>68</v>
      </c>
    </row>
    <row r="475" spans="1:8">
      <c r="A475" s="17" t="s">
        <v>1327</v>
      </c>
      <c r="B475" s="18" t="s">
        <v>1328</v>
      </c>
      <c r="C475" s="19" t="s">
        <v>74</v>
      </c>
      <c r="D475" s="20"/>
      <c r="E475" s="3">
        <v>18438974.43</v>
      </c>
      <c r="F475" s="24">
        <v>7.0197559789121095E-2</v>
      </c>
      <c r="G475" s="26">
        <v>1294371.01</v>
      </c>
      <c r="H475" t="s">
        <v>68</v>
      </c>
    </row>
    <row r="476" spans="1:8">
      <c r="A476" s="15" t="s">
        <v>1329</v>
      </c>
      <c r="B476" s="16" t="s">
        <v>1137</v>
      </c>
      <c r="C476" s="15" t="s">
        <v>74</v>
      </c>
      <c r="D476" s="16"/>
      <c r="E476" s="2">
        <v>9408431.1300000008</v>
      </c>
      <c r="F476" s="23">
        <v>0.17094906874234619</v>
      </c>
      <c r="G476" s="26">
        <v>1608362.54</v>
      </c>
      <c r="H476" t="s">
        <v>68</v>
      </c>
    </row>
    <row r="477" spans="1:8">
      <c r="A477" s="17" t="s">
        <v>1330</v>
      </c>
      <c r="B477" s="18" t="s">
        <v>1331</v>
      </c>
      <c r="C477" s="19" t="s">
        <v>74</v>
      </c>
      <c r="D477" s="20"/>
      <c r="E477" s="3">
        <v>19517130.77</v>
      </c>
      <c r="F477" s="24">
        <v>7.089674073029742E-2</v>
      </c>
      <c r="G477" s="26">
        <v>1383700.96</v>
      </c>
      <c r="H477" t="s">
        <v>68</v>
      </c>
    </row>
    <row r="478" spans="1:8">
      <c r="A478" s="13" t="s">
        <v>1332</v>
      </c>
      <c r="B478" s="22" t="s">
        <v>1333</v>
      </c>
      <c r="C478" s="15" t="s">
        <v>74</v>
      </c>
      <c r="D478" s="16"/>
      <c r="E478" s="2">
        <v>28343337.66</v>
      </c>
      <c r="F478" s="23">
        <v>4.7790774899161968E-2</v>
      </c>
      <c r="G478" s="26">
        <v>1354550.07</v>
      </c>
      <c r="H478" t="s">
        <v>68</v>
      </c>
    </row>
    <row r="479" spans="1:8">
      <c r="A479" s="19" t="s">
        <v>1334</v>
      </c>
      <c r="B479" s="20" t="s">
        <v>1335</v>
      </c>
      <c r="C479" s="19" t="s">
        <v>74</v>
      </c>
      <c r="D479" s="20"/>
      <c r="E479" s="3">
        <v>13536338.75</v>
      </c>
      <c r="F479" s="24">
        <v>7.8179269856112316E-2</v>
      </c>
      <c r="G479" s="26">
        <v>1058261.08</v>
      </c>
      <c r="H479" t="s">
        <v>68</v>
      </c>
    </row>
    <row r="480" spans="1:8">
      <c r="A480" s="13" t="s">
        <v>1336</v>
      </c>
      <c r="B480" s="22" t="s">
        <v>846</v>
      </c>
      <c r="C480" s="15" t="s">
        <v>74</v>
      </c>
      <c r="D480" s="16"/>
      <c r="E480" s="2">
        <v>7915974.1299999999</v>
      </c>
      <c r="F480" s="23">
        <v>0.10509890587527729</v>
      </c>
      <c r="G480" s="26">
        <v>831960.22</v>
      </c>
      <c r="H480" t="s">
        <v>68</v>
      </c>
    </row>
    <row r="481" spans="1:8">
      <c r="A481" s="17" t="s">
        <v>1337</v>
      </c>
      <c r="B481" s="18" t="s">
        <v>1338</v>
      </c>
      <c r="C481" s="19" t="s">
        <v>74</v>
      </c>
      <c r="D481" s="20"/>
      <c r="E481" s="3">
        <v>15605255.689999999</v>
      </c>
      <c r="F481" s="24">
        <v>0.14320970667799421</v>
      </c>
      <c r="G481" s="26">
        <v>2234824.09</v>
      </c>
      <c r="H481" t="s">
        <v>68</v>
      </c>
    </row>
    <row r="482" spans="1:8">
      <c r="A482" s="15" t="s">
        <v>1339</v>
      </c>
      <c r="B482" s="16" t="s">
        <v>1340</v>
      </c>
      <c r="C482" s="15" t="s">
        <v>74</v>
      </c>
      <c r="D482" s="16"/>
      <c r="E482" s="2">
        <v>16844500.23</v>
      </c>
      <c r="F482" s="23">
        <v>9.1080823357856305E-2</v>
      </c>
      <c r="G482" s="26">
        <v>1534210.95</v>
      </c>
      <c r="H482" t="s">
        <v>68</v>
      </c>
    </row>
    <row r="483" spans="1:8">
      <c r="A483" s="17" t="s">
        <v>1565</v>
      </c>
      <c r="B483" s="18" t="s">
        <v>1566</v>
      </c>
      <c r="C483" s="19" t="s">
        <v>74</v>
      </c>
      <c r="D483" s="20"/>
      <c r="E483" s="3">
        <v>8660255.2400000002</v>
      </c>
      <c r="F483" s="24">
        <v>0.16166815309706736</v>
      </c>
      <c r="G483" s="26">
        <v>1400087.47</v>
      </c>
      <c r="H483" t="s">
        <v>68</v>
      </c>
    </row>
    <row r="484" spans="1:8">
      <c r="A484" s="17" t="s">
        <v>1569</v>
      </c>
      <c r="B484" s="18" t="s">
        <v>1570</v>
      </c>
      <c r="C484" s="19" t="s">
        <v>74</v>
      </c>
      <c r="D484" s="20"/>
      <c r="E484" s="3">
        <v>27059686.879999999</v>
      </c>
      <c r="F484" s="24">
        <v>2.7664587299910396E-2</v>
      </c>
      <c r="G484" s="26">
        <v>748595.07</v>
      </c>
      <c r="H484" t="s">
        <v>68</v>
      </c>
    </row>
    <row r="485" spans="1:8">
      <c r="A485" s="15" t="s">
        <v>1571</v>
      </c>
      <c r="B485" s="16" t="s">
        <v>1572</v>
      </c>
      <c r="C485" s="15" t="s">
        <v>74</v>
      </c>
      <c r="D485" s="16"/>
      <c r="E485" s="2">
        <v>21366883.82</v>
      </c>
      <c r="F485" s="23">
        <v>4.1201549903873626E-2</v>
      </c>
      <c r="G485" s="26">
        <v>880348.73</v>
      </c>
      <c r="H485" t="s">
        <v>68</v>
      </c>
    </row>
    <row r="486" spans="1:8">
      <c r="A486" s="17" t="s">
        <v>1573</v>
      </c>
      <c r="B486" s="18" t="s">
        <v>1574</v>
      </c>
      <c r="C486" s="19" t="s">
        <v>74</v>
      </c>
      <c r="D486" s="20"/>
      <c r="E486" s="3">
        <v>18768443.84</v>
      </c>
      <c r="F486" s="24">
        <v>5.4217134285332418E-2</v>
      </c>
      <c r="G486" s="26">
        <v>1017571.24</v>
      </c>
      <c r="H486" t="s">
        <v>68</v>
      </c>
    </row>
    <row r="487" spans="1:8">
      <c r="A487" s="13" t="s">
        <v>1575</v>
      </c>
      <c r="B487" s="22" t="s">
        <v>1576</v>
      </c>
      <c r="C487" s="15" t="s">
        <v>74</v>
      </c>
      <c r="D487" s="16"/>
      <c r="E487" s="2">
        <v>12466894.550000001</v>
      </c>
      <c r="F487" s="23">
        <v>5.6452859786160617E-2</v>
      </c>
      <c r="G487" s="26">
        <v>703791.85</v>
      </c>
      <c r="H487" t="s">
        <v>68</v>
      </c>
    </row>
    <row r="488" spans="1:8">
      <c r="A488" s="19" t="s">
        <v>1577</v>
      </c>
      <c r="B488" s="20" t="s">
        <v>1578</v>
      </c>
      <c r="C488" s="19" t="s">
        <v>74</v>
      </c>
      <c r="D488" s="20"/>
      <c r="E488" s="3">
        <v>10295153.74</v>
      </c>
      <c r="F488" s="24">
        <v>3.9504831134265311E-2</v>
      </c>
      <c r="G488" s="26">
        <v>406708.31</v>
      </c>
      <c r="H488" t="s">
        <v>68</v>
      </c>
    </row>
    <row r="489" spans="1:8">
      <c r="A489" s="13" t="s">
        <v>1579</v>
      </c>
      <c r="B489" s="22" t="s">
        <v>1580</v>
      </c>
      <c r="C489" s="15" t="s">
        <v>74</v>
      </c>
      <c r="D489" s="16"/>
      <c r="E489" s="2">
        <v>18507947.789999999</v>
      </c>
      <c r="F489" s="23">
        <v>7.9255861138346137E-2</v>
      </c>
      <c r="G489" s="26">
        <v>1466863.34</v>
      </c>
      <c r="H489" t="s">
        <v>68</v>
      </c>
    </row>
    <row r="490" spans="1:8">
      <c r="A490" s="17" t="s">
        <v>1581</v>
      </c>
      <c r="B490" s="18" t="s">
        <v>1582</v>
      </c>
      <c r="C490" s="19" t="s">
        <v>74</v>
      </c>
      <c r="D490" s="20"/>
      <c r="E490" s="3">
        <v>19522441.969999999</v>
      </c>
      <c r="F490" s="24">
        <v>4.2662455920210889E-2</v>
      </c>
      <c r="G490" s="26">
        <v>832875.32</v>
      </c>
      <c r="H490" t="s">
        <v>68</v>
      </c>
    </row>
    <row r="491" spans="1:8">
      <c r="A491" s="15" t="s">
        <v>1583</v>
      </c>
      <c r="B491" s="16" t="s">
        <v>1584</v>
      </c>
      <c r="C491" s="15" t="s">
        <v>74</v>
      </c>
      <c r="D491" s="16"/>
      <c r="E491" s="2">
        <v>10920158.369999999</v>
      </c>
      <c r="F491" s="23">
        <v>6.6641258793392388E-2</v>
      </c>
      <c r="G491" s="26">
        <v>727733.1</v>
      </c>
      <c r="H491" t="s">
        <v>68</v>
      </c>
    </row>
    <row r="492" spans="1:8">
      <c r="A492" s="13" t="s">
        <v>1587</v>
      </c>
      <c r="B492" s="22" t="s">
        <v>1588</v>
      </c>
      <c r="C492" s="15" t="s">
        <v>74</v>
      </c>
      <c r="D492" s="16"/>
      <c r="E492" s="2">
        <v>9821853.0999999996</v>
      </c>
      <c r="F492" s="23">
        <v>6.865439068723192E-2</v>
      </c>
      <c r="G492" s="26">
        <v>674313.34</v>
      </c>
      <c r="H492" t="s">
        <v>68</v>
      </c>
    </row>
    <row r="493" spans="1:8">
      <c r="A493" s="17" t="s">
        <v>1589</v>
      </c>
      <c r="B493" s="18" t="s">
        <v>1590</v>
      </c>
      <c r="C493" s="19" t="s">
        <v>74</v>
      </c>
      <c r="D493" s="20"/>
      <c r="E493" s="3">
        <v>13128621.92</v>
      </c>
      <c r="F493" s="24">
        <v>6.0875383941287269E-2</v>
      </c>
      <c r="G493" s="26">
        <v>799209.9</v>
      </c>
      <c r="H493" t="s">
        <v>68</v>
      </c>
    </row>
    <row r="494" spans="1:8">
      <c r="A494" s="15" t="s">
        <v>1591</v>
      </c>
      <c r="B494" s="16" t="s">
        <v>1366</v>
      </c>
      <c r="C494" s="15" t="s">
        <v>74</v>
      </c>
      <c r="D494" s="16"/>
      <c r="E494" s="2">
        <v>8681437.5299999993</v>
      </c>
      <c r="F494" s="23">
        <v>6.5288990220954815E-2</v>
      </c>
      <c r="G494" s="26">
        <v>566802.29</v>
      </c>
      <c r="H494" t="s">
        <v>68</v>
      </c>
    </row>
    <row r="495" spans="1:8">
      <c r="A495" s="13" t="s">
        <v>1369</v>
      </c>
      <c r="B495" s="22" t="s">
        <v>1370</v>
      </c>
      <c r="C495" s="15" t="s">
        <v>74</v>
      </c>
      <c r="D495" s="16"/>
      <c r="E495" s="2">
        <v>7134497.7699999996</v>
      </c>
      <c r="F495" s="23">
        <v>2.4015443766828737E-2</v>
      </c>
      <c r="G495" s="26">
        <v>171338.13</v>
      </c>
      <c r="H495" t="s">
        <v>68</v>
      </c>
    </row>
    <row r="496" spans="1:8">
      <c r="A496" s="17" t="s">
        <v>1371</v>
      </c>
      <c r="B496" s="18" t="s">
        <v>1372</v>
      </c>
      <c r="C496" s="19" t="s">
        <v>74</v>
      </c>
      <c r="D496" s="20"/>
      <c r="E496" s="3">
        <v>6006446.7300000004</v>
      </c>
      <c r="F496" s="24">
        <v>3.4608844354139467E-2</v>
      </c>
      <c r="G496" s="26">
        <v>207876.18</v>
      </c>
      <c r="H496" t="s">
        <v>68</v>
      </c>
    </row>
    <row r="497" spans="1:8">
      <c r="A497" s="15" t="s">
        <v>1373</v>
      </c>
      <c r="B497" s="16" t="s">
        <v>1374</v>
      </c>
      <c r="C497" s="15" t="s">
        <v>74</v>
      </c>
      <c r="D497" s="16"/>
      <c r="E497" s="2">
        <v>3391382.06</v>
      </c>
      <c r="F497" s="23">
        <v>2.4194531476645246E-2</v>
      </c>
      <c r="G497" s="26">
        <v>82052.899999999994</v>
      </c>
      <c r="H497" t="s">
        <v>68</v>
      </c>
    </row>
    <row r="498" spans="1:8">
      <c r="A498" s="17" t="s">
        <v>1375</v>
      </c>
      <c r="B498" s="18" t="s">
        <v>1376</v>
      </c>
      <c r="C498" s="19" t="s">
        <v>74</v>
      </c>
      <c r="D498" s="20"/>
      <c r="E498" s="3">
        <v>5571077.4000000004</v>
      </c>
      <c r="F498" s="24">
        <v>1.5808480779678273E-2</v>
      </c>
      <c r="G498" s="26">
        <v>88070.270000000019</v>
      </c>
      <c r="H498" t="s">
        <v>68</v>
      </c>
    </row>
    <row r="499" spans="1:8">
      <c r="A499" s="13" t="s">
        <v>1377</v>
      </c>
      <c r="B499" s="22" t="s">
        <v>1378</v>
      </c>
      <c r="C499" s="15" t="s">
        <v>74</v>
      </c>
      <c r="D499" s="16"/>
      <c r="E499" s="2">
        <v>5605557.6100000003</v>
      </c>
      <c r="F499" s="23">
        <v>2.2931313696729627E-2</v>
      </c>
      <c r="G499" s="26">
        <v>128542.8</v>
      </c>
      <c r="H499" t="s">
        <v>68</v>
      </c>
    </row>
    <row r="500" spans="1:8">
      <c r="A500" s="19" t="s">
        <v>1379</v>
      </c>
      <c r="B500" s="20" t="s">
        <v>1380</v>
      </c>
      <c r="C500" s="19" t="s">
        <v>74</v>
      </c>
      <c r="D500" s="20"/>
      <c r="E500" s="3">
        <v>4096035.06</v>
      </c>
      <c r="F500" s="24">
        <v>2.6525947265695526E-2</v>
      </c>
      <c r="G500" s="26">
        <v>108651.21</v>
      </c>
      <c r="H500" t="s">
        <v>68</v>
      </c>
    </row>
    <row r="501" spans="1:8">
      <c r="A501" s="13" t="s">
        <v>1381</v>
      </c>
      <c r="B501" s="22" t="s">
        <v>1382</v>
      </c>
      <c r="C501" s="15" t="s">
        <v>74</v>
      </c>
      <c r="D501" s="16"/>
      <c r="E501" s="2">
        <v>11848561.560000001</v>
      </c>
      <c r="F501" s="23">
        <v>5.509225459094462E-2</v>
      </c>
      <c r="G501" s="26">
        <v>652763.97</v>
      </c>
      <c r="H501" t="s">
        <v>68</v>
      </c>
    </row>
    <row r="502" spans="1:8">
      <c r="A502" s="17" t="s">
        <v>1383</v>
      </c>
      <c r="B502" s="18" t="s">
        <v>1384</v>
      </c>
      <c r="C502" s="19" t="s">
        <v>74</v>
      </c>
      <c r="D502" s="20"/>
      <c r="E502" s="3">
        <v>4376408.2699999996</v>
      </c>
      <c r="F502" s="24">
        <v>2.7868823582128919E-2</v>
      </c>
      <c r="G502" s="26">
        <v>121965.35</v>
      </c>
      <c r="H502" t="s">
        <v>68</v>
      </c>
    </row>
    <row r="503" spans="1:8">
      <c r="A503" s="15" t="s">
        <v>1385</v>
      </c>
      <c r="B503" s="16" t="s">
        <v>1386</v>
      </c>
      <c r="C503" s="15" t="s">
        <v>74</v>
      </c>
      <c r="D503" s="16"/>
      <c r="E503" s="2">
        <v>5335062.71</v>
      </c>
      <c r="F503" s="23">
        <v>4.4348087897171123E-2</v>
      </c>
      <c r="G503" s="26">
        <v>236599.83</v>
      </c>
      <c r="H503" t="s">
        <v>68</v>
      </c>
    </row>
    <row r="504" spans="1:8">
      <c r="A504" s="17" t="s">
        <v>1387</v>
      </c>
      <c r="B504" s="18" t="s">
        <v>1388</v>
      </c>
      <c r="C504" s="19" t="s">
        <v>74</v>
      </c>
      <c r="D504" s="20"/>
      <c r="E504" s="3">
        <v>13930307.73</v>
      </c>
      <c r="F504" s="24">
        <v>6.3092407363494765E-2</v>
      </c>
      <c r="G504" s="26">
        <v>878896.65</v>
      </c>
      <c r="H504" t="s">
        <v>68</v>
      </c>
    </row>
    <row r="505" spans="1:8">
      <c r="A505" s="13" t="s">
        <v>1389</v>
      </c>
      <c r="B505" s="22" t="s">
        <v>1135</v>
      </c>
      <c r="C505" s="15" t="s">
        <v>74</v>
      </c>
      <c r="D505" s="16"/>
      <c r="E505" s="2">
        <v>9948314.6999999993</v>
      </c>
      <c r="F505" s="23">
        <v>8.2132240951324154E-2</v>
      </c>
      <c r="G505" s="26">
        <v>817077.38</v>
      </c>
      <c r="H505" t="s">
        <v>68</v>
      </c>
    </row>
    <row r="506" spans="1:8">
      <c r="A506" s="19" t="s">
        <v>1390</v>
      </c>
      <c r="B506" s="20" t="s">
        <v>1391</v>
      </c>
      <c r="C506" s="19" t="s">
        <v>74</v>
      </c>
      <c r="D506" s="20"/>
      <c r="E506" s="3">
        <v>19920929.609999999</v>
      </c>
      <c r="F506" s="24">
        <v>3.8651395044008691E-2</v>
      </c>
      <c r="G506" s="26">
        <v>769971.72</v>
      </c>
      <c r="H506" t="s">
        <v>68</v>
      </c>
    </row>
    <row r="507" spans="1:8">
      <c r="A507" s="13" t="s">
        <v>1392</v>
      </c>
      <c r="B507" s="22" t="s">
        <v>1393</v>
      </c>
      <c r="C507" s="15" t="s">
        <v>74</v>
      </c>
      <c r="D507" s="16"/>
      <c r="E507" s="2">
        <v>4700693.6500000004</v>
      </c>
      <c r="F507" s="23">
        <v>4.7267972887363119E-2</v>
      </c>
      <c r="G507" s="26">
        <v>222192.26</v>
      </c>
      <c r="H507" t="s">
        <v>68</v>
      </c>
    </row>
    <row r="508" spans="1:8">
      <c r="A508" s="17" t="s">
        <v>1394</v>
      </c>
      <c r="B508" s="18" t="s">
        <v>862</v>
      </c>
      <c r="C508" s="19" t="s">
        <v>74</v>
      </c>
      <c r="D508" s="20"/>
      <c r="E508" s="3">
        <v>31670840.050000001</v>
      </c>
      <c r="F508" s="24">
        <v>7.8062602573751444E-2</v>
      </c>
      <c r="G508" s="26">
        <v>2472308.2000000002</v>
      </c>
      <c r="H508" t="s">
        <v>68</v>
      </c>
    </row>
    <row r="509" spans="1:8">
      <c r="A509" s="15" t="s">
        <v>1395</v>
      </c>
      <c r="B509" s="16" t="s">
        <v>1396</v>
      </c>
      <c r="C509" s="15" t="s">
        <v>74</v>
      </c>
      <c r="D509" s="16"/>
      <c r="E509" s="2">
        <v>8754378.9100000001</v>
      </c>
      <c r="F509" s="23">
        <v>8.8590061953349925E-2</v>
      </c>
      <c r="G509" s="26">
        <v>775550.97</v>
      </c>
      <c r="H509" t="s">
        <v>68</v>
      </c>
    </row>
    <row r="510" spans="1:8">
      <c r="A510" s="17" t="s">
        <v>1397</v>
      </c>
      <c r="B510" s="18" t="s">
        <v>1398</v>
      </c>
      <c r="C510" s="19" t="s">
        <v>74</v>
      </c>
      <c r="D510" s="20"/>
      <c r="E510" s="3">
        <v>14261154.1</v>
      </c>
      <c r="F510" s="24">
        <v>4.228487721060388E-2</v>
      </c>
      <c r="G510" s="26">
        <v>603031.15</v>
      </c>
      <c r="H510" t="s">
        <v>68</v>
      </c>
    </row>
    <row r="511" spans="1:8">
      <c r="A511" s="13" t="s">
        <v>1399</v>
      </c>
      <c r="B511" s="22" t="s">
        <v>1400</v>
      </c>
      <c r="C511" s="15" t="s">
        <v>74</v>
      </c>
      <c r="D511" s="16"/>
      <c r="E511" s="2">
        <v>10182998.789999999</v>
      </c>
      <c r="F511" s="23">
        <v>9.6525732769924072E-2</v>
      </c>
      <c r="G511" s="26">
        <v>982921.42</v>
      </c>
      <c r="H511" t="s">
        <v>68</v>
      </c>
    </row>
    <row r="512" spans="1:8">
      <c r="A512" s="19" t="s">
        <v>1401</v>
      </c>
      <c r="B512" s="20" t="s">
        <v>1402</v>
      </c>
      <c r="C512" s="19" t="s">
        <v>74</v>
      </c>
      <c r="D512" s="20"/>
      <c r="E512" s="3">
        <v>11727558.039999999</v>
      </c>
      <c r="F512" s="24">
        <v>0.10681586701403356</v>
      </c>
      <c r="G512" s="26">
        <v>1252689.28</v>
      </c>
      <c r="H512" t="s">
        <v>68</v>
      </c>
    </row>
    <row r="513" spans="1:8">
      <c r="A513" s="13" t="s">
        <v>1403</v>
      </c>
      <c r="B513" s="22" t="s">
        <v>1404</v>
      </c>
      <c r="C513" s="15" t="s">
        <v>74</v>
      </c>
      <c r="D513" s="16"/>
      <c r="E513" s="2">
        <v>10134896.15</v>
      </c>
      <c r="F513" s="23">
        <v>9.3319063757747525E-2</v>
      </c>
      <c r="G513" s="26">
        <v>945779.0199999999</v>
      </c>
      <c r="H513" t="s">
        <v>68</v>
      </c>
    </row>
    <row r="514" spans="1:8">
      <c r="A514" s="17" t="s">
        <v>1405</v>
      </c>
      <c r="B514" s="18" t="s">
        <v>888</v>
      </c>
      <c r="C514" s="19" t="s">
        <v>74</v>
      </c>
      <c r="D514" s="20"/>
      <c r="E514" s="3">
        <v>10531077.49</v>
      </c>
      <c r="F514" s="24">
        <v>7.8183113815450622E-2</v>
      </c>
      <c r="G514" s="26">
        <v>823352.43</v>
      </c>
      <c r="H514" t="s">
        <v>68</v>
      </c>
    </row>
    <row r="515" spans="1:8">
      <c r="A515" s="15" t="s">
        <v>1406</v>
      </c>
      <c r="B515" s="16" t="s">
        <v>1407</v>
      </c>
      <c r="C515" s="15" t="s">
        <v>74</v>
      </c>
      <c r="D515" s="16"/>
      <c r="E515" s="2">
        <v>16419663.02</v>
      </c>
      <c r="F515" s="23">
        <v>7.6159217669498791E-2</v>
      </c>
      <c r="G515" s="26">
        <v>1250508.69</v>
      </c>
      <c r="H515" t="s">
        <v>68</v>
      </c>
    </row>
    <row r="516" spans="1:8">
      <c r="A516" s="17" t="s">
        <v>1408</v>
      </c>
      <c r="B516" s="18" t="s">
        <v>1409</v>
      </c>
      <c r="C516" s="19" t="s">
        <v>74</v>
      </c>
      <c r="D516" s="20"/>
      <c r="E516" s="3">
        <v>11788744.710000001</v>
      </c>
      <c r="F516" s="24">
        <v>5.5096425105298587E-2</v>
      </c>
      <c r="G516" s="26">
        <v>649517.68999999994</v>
      </c>
      <c r="H516" t="s">
        <v>68</v>
      </c>
    </row>
    <row r="517" spans="1:8">
      <c r="A517" s="17" t="s">
        <v>1412</v>
      </c>
      <c r="B517" s="18" t="s">
        <v>860</v>
      </c>
      <c r="C517" s="19" t="s">
        <v>74</v>
      </c>
      <c r="D517" s="20"/>
      <c r="E517" s="3">
        <v>11080461.720000001</v>
      </c>
      <c r="F517" s="24">
        <v>9.0976406531911191E-2</v>
      </c>
      <c r="G517" s="26">
        <v>1008060.59</v>
      </c>
      <c r="H517" t="s">
        <v>68</v>
      </c>
    </row>
    <row r="518" spans="1:8">
      <c r="A518" s="15" t="s">
        <v>1413</v>
      </c>
      <c r="B518" s="16" t="s">
        <v>1414</v>
      </c>
      <c r="C518" s="15" t="s">
        <v>74</v>
      </c>
      <c r="D518" s="16"/>
      <c r="E518" s="2">
        <v>8850114.5</v>
      </c>
      <c r="F518" s="23">
        <v>5.3845216352850576E-2</v>
      </c>
      <c r="G518" s="26">
        <v>476536.33</v>
      </c>
      <c r="H518" t="s">
        <v>68</v>
      </c>
    </row>
    <row r="519" spans="1:8">
      <c r="A519" s="17" t="s">
        <v>1415</v>
      </c>
      <c r="B519" s="18" t="s">
        <v>1416</v>
      </c>
      <c r="C519" s="19" t="s">
        <v>74</v>
      </c>
      <c r="D519" s="20"/>
      <c r="E519" s="3">
        <v>8878218.1199999992</v>
      </c>
      <c r="F519" s="24">
        <v>0.11183910065953641</v>
      </c>
      <c r="G519" s="26">
        <v>992931.93</v>
      </c>
      <c r="H519" t="s">
        <v>68</v>
      </c>
    </row>
    <row r="520" spans="1:8">
      <c r="A520" s="13" t="s">
        <v>1417</v>
      </c>
      <c r="B520" s="22" t="s">
        <v>1418</v>
      </c>
      <c r="C520" s="15" t="s">
        <v>74</v>
      </c>
      <c r="D520" s="16"/>
      <c r="E520" s="2">
        <v>5311041.4800000004</v>
      </c>
      <c r="F520" s="23">
        <v>7.8715559193862653E-2</v>
      </c>
      <c r="G520" s="26">
        <v>418061.59999999992</v>
      </c>
      <c r="H520" t="s">
        <v>68</v>
      </c>
    </row>
    <row r="521" spans="1:8">
      <c r="A521" s="19" t="s">
        <v>1419</v>
      </c>
      <c r="B521" s="20" t="s">
        <v>1420</v>
      </c>
      <c r="C521" s="19" t="s">
        <v>74</v>
      </c>
      <c r="D521" s="20"/>
      <c r="E521" s="3">
        <v>6339652.1299999999</v>
      </c>
      <c r="F521" s="24">
        <v>8.4318839431336431E-2</v>
      </c>
      <c r="G521" s="26">
        <v>534552.11</v>
      </c>
      <c r="H521" t="s">
        <v>68</v>
      </c>
    </row>
    <row r="522" spans="1:8">
      <c r="A522" s="13" t="s">
        <v>1421</v>
      </c>
      <c r="B522" s="22" t="s">
        <v>1422</v>
      </c>
      <c r="C522" s="15" t="s">
        <v>74</v>
      </c>
      <c r="D522" s="16"/>
      <c r="E522" s="2">
        <v>13872311.93</v>
      </c>
      <c r="F522" s="23">
        <v>8.9138614114194006E-2</v>
      </c>
      <c r="G522" s="26">
        <v>1236558.6599999999</v>
      </c>
      <c r="H522" t="s">
        <v>68</v>
      </c>
    </row>
    <row r="523" spans="1:8">
      <c r="A523" s="17" t="s">
        <v>1423</v>
      </c>
      <c r="B523" s="18" t="s">
        <v>1065</v>
      </c>
      <c r="C523" s="19" t="s">
        <v>74</v>
      </c>
      <c r="D523" s="20"/>
      <c r="E523" s="3">
        <v>15614454.08</v>
      </c>
      <c r="F523" s="24">
        <v>0.11285898891957931</v>
      </c>
      <c r="G523" s="26">
        <v>1762231.5</v>
      </c>
      <c r="H523" t="s">
        <v>68</v>
      </c>
    </row>
    <row r="524" spans="1:8">
      <c r="A524" s="15" t="s">
        <v>1424</v>
      </c>
      <c r="B524" s="16" t="s">
        <v>1425</v>
      </c>
      <c r="C524" s="15" t="s">
        <v>74</v>
      </c>
      <c r="D524" s="16"/>
      <c r="E524" s="2">
        <v>11003643.66</v>
      </c>
      <c r="F524" s="23">
        <v>7.3685312343166151E-2</v>
      </c>
      <c r="G524" s="26">
        <v>810806.91999999993</v>
      </c>
      <c r="H524" t="s">
        <v>68</v>
      </c>
    </row>
    <row r="525" spans="1:8">
      <c r="A525" s="17" t="s">
        <v>1426</v>
      </c>
      <c r="B525" s="18" t="s">
        <v>1427</v>
      </c>
      <c r="C525" s="19" t="s">
        <v>74</v>
      </c>
      <c r="D525" s="20"/>
      <c r="E525" s="3">
        <v>13771929.08</v>
      </c>
      <c r="F525" s="24">
        <v>0.11042088302708571</v>
      </c>
      <c r="G525" s="26">
        <v>1520708.57</v>
      </c>
      <c r="H525" t="s">
        <v>68</v>
      </c>
    </row>
    <row r="526" spans="1:8">
      <c r="A526" s="13" t="s">
        <v>1428</v>
      </c>
      <c r="B526" s="22" t="s">
        <v>1429</v>
      </c>
      <c r="C526" s="15" t="s">
        <v>74</v>
      </c>
      <c r="D526" s="16"/>
      <c r="E526" s="2">
        <v>11847947.57</v>
      </c>
      <c r="F526" s="23">
        <v>9.9188493454820378E-2</v>
      </c>
      <c r="G526" s="26">
        <v>1175180.07</v>
      </c>
      <c r="H526" t="s">
        <v>68</v>
      </c>
    </row>
    <row r="527" spans="1:8">
      <c r="A527" s="19" t="s">
        <v>1430</v>
      </c>
      <c r="B527" s="20" t="s">
        <v>1431</v>
      </c>
      <c r="C527" s="19" t="s">
        <v>74</v>
      </c>
      <c r="D527" s="20"/>
      <c r="E527" s="3">
        <v>9016858.1999999993</v>
      </c>
      <c r="F527" s="24">
        <v>7.9737454449488848E-2</v>
      </c>
      <c r="G527" s="26">
        <v>718981.32</v>
      </c>
      <c r="H527" t="s">
        <v>68</v>
      </c>
    </row>
    <row r="528" spans="1:8">
      <c r="A528" s="13" t="s">
        <v>1432</v>
      </c>
      <c r="B528" s="22" t="s">
        <v>1433</v>
      </c>
      <c r="C528" s="15" t="s">
        <v>74</v>
      </c>
      <c r="D528" s="16"/>
      <c r="E528" s="2">
        <v>2382345.71</v>
      </c>
      <c r="F528" s="23">
        <v>8.0098479913731743E-2</v>
      </c>
      <c r="G528" s="26">
        <v>190822.27</v>
      </c>
      <c r="H528" t="s">
        <v>68</v>
      </c>
    </row>
    <row r="529" spans="1:8">
      <c r="A529" s="17" t="s">
        <v>1434</v>
      </c>
      <c r="B529" s="18" t="s">
        <v>1435</v>
      </c>
      <c r="C529" s="19" t="s">
        <v>74</v>
      </c>
      <c r="D529" s="20"/>
      <c r="E529" s="3">
        <v>6829855.2300000004</v>
      </c>
      <c r="F529" s="24">
        <v>5.2572489153624412E-2</v>
      </c>
      <c r="G529" s="26">
        <v>359062.49</v>
      </c>
      <c r="H529" t="s">
        <v>68</v>
      </c>
    </row>
    <row r="530" spans="1:8">
      <c r="A530" s="15" t="s">
        <v>1436</v>
      </c>
      <c r="B530" s="16" t="s">
        <v>1437</v>
      </c>
      <c r="C530" s="15" t="s">
        <v>74</v>
      </c>
      <c r="D530" s="16"/>
      <c r="E530" s="2">
        <v>3573575.75</v>
      </c>
      <c r="F530" s="23">
        <v>5.7455729041143169E-2</v>
      </c>
      <c r="G530" s="26">
        <v>205322.4</v>
      </c>
      <c r="H530" t="s">
        <v>68</v>
      </c>
    </row>
    <row r="531" spans="1:8">
      <c r="A531" s="17" t="s">
        <v>1438</v>
      </c>
      <c r="B531" s="18" t="s">
        <v>1439</v>
      </c>
      <c r="C531" s="19" t="s">
        <v>74</v>
      </c>
      <c r="D531" s="20"/>
      <c r="E531" s="3">
        <v>4601090.83</v>
      </c>
      <c r="F531" s="24">
        <v>5.7320841892617019E-2</v>
      </c>
      <c r="G531" s="26">
        <v>263738.40000000002</v>
      </c>
      <c r="H531" t="s">
        <v>68</v>
      </c>
    </row>
    <row r="532" spans="1:8">
      <c r="A532" s="17" t="s">
        <v>1442</v>
      </c>
      <c r="B532" s="18" t="s">
        <v>1443</v>
      </c>
      <c r="C532" s="19" t="s">
        <v>74</v>
      </c>
      <c r="D532" s="20"/>
      <c r="E532" s="3">
        <v>9195929.7599999998</v>
      </c>
      <c r="F532" s="24">
        <v>3.6284140778387153E-2</v>
      </c>
      <c r="G532" s="26">
        <v>333666.40999999997</v>
      </c>
      <c r="H532" t="s">
        <v>68</v>
      </c>
    </row>
    <row r="533" spans="1:8">
      <c r="A533" s="15" t="s">
        <v>1444</v>
      </c>
      <c r="B533" s="16" t="s">
        <v>1445</v>
      </c>
      <c r="C533" s="15" t="s">
        <v>74</v>
      </c>
      <c r="D533" s="16"/>
      <c r="E533" s="2">
        <v>4272199.41</v>
      </c>
      <c r="F533" s="23">
        <v>4.9715834776541949E-2</v>
      </c>
      <c r="G533" s="26">
        <v>212395.96</v>
      </c>
      <c r="H533" t="s">
        <v>68</v>
      </c>
    </row>
    <row r="534" spans="1:8">
      <c r="A534" s="17" t="s">
        <v>1446</v>
      </c>
      <c r="B534" s="18" t="s">
        <v>1447</v>
      </c>
      <c r="C534" s="19" t="s">
        <v>74</v>
      </c>
      <c r="D534" s="20"/>
      <c r="E534" s="3">
        <v>4393710.62</v>
      </c>
      <c r="F534" s="24">
        <v>6.6625368695765408E-2</v>
      </c>
      <c r="G534" s="26">
        <v>292732.59000000003</v>
      </c>
      <c r="H534" t="s">
        <v>68</v>
      </c>
    </row>
    <row r="535" spans="1:8">
      <c r="A535" s="13" t="s">
        <v>1448</v>
      </c>
      <c r="B535" s="22" t="s">
        <v>1449</v>
      </c>
      <c r="C535" s="15" t="s">
        <v>74</v>
      </c>
      <c r="D535" s="16"/>
      <c r="E535" s="2">
        <v>6986178.9900000002</v>
      </c>
      <c r="F535" s="23">
        <v>3.4010658807927273E-2</v>
      </c>
      <c r="G535" s="26">
        <v>237604.54999999996</v>
      </c>
      <c r="H535" t="s">
        <v>68</v>
      </c>
    </row>
    <row r="536" spans="1:8">
      <c r="A536" s="19" t="s">
        <v>1450</v>
      </c>
      <c r="B536" s="20" t="s">
        <v>1451</v>
      </c>
      <c r="C536" s="19" t="s">
        <v>74</v>
      </c>
      <c r="D536" s="20"/>
      <c r="E536" s="3">
        <v>7807906.5899999999</v>
      </c>
      <c r="F536" s="24">
        <v>4.8483625621858269E-2</v>
      </c>
      <c r="G536" s="26">
        <v>378555.62</v>
      </c>
      <c r="H536" t="s">
        <v>68</v>
      </c>
    </row>
    <row r="537" spans="1:8">
      <c r="A537" s="13" t="s">
        <v>1666</v>
      </c>
      <c r="B537" s="22" t="s">
        <v>1667</v>
      </c>
      <c r="C537" s="15" t="s">
        <v>74</v>
      </c>
      <c r="D537" s="16"/>
      <c r="E537" s="2">
        <v>4813558.74</v>
      </c>
      <c r="F537" s="23">
        <v>5.90063101629461E-2</v>
      </c>
      <c r="G537" s="26">
        <v>284030.34000000003</v>
      </c>
      <c r="H537" t="s">
        <v>68</v>
      </c>
    </row>
    <row r="538" spans="1:8">
      <c r="A538" s="17" t="s">
        <v>1668</v>
      </c>
      <c r="B538" s="18" t="s">
        <v>1669</v>
      </c>
      <c r="C538" s="19" t="s">
        <v>74</v>
      </c>
      <c r="D538" s="20"/>
      <c r="E538" s="3">
        <v>3963933.19</v>
      </c>
      <c r="F538" s="24">
        <v>4.5054896598799639E-2</v>
      </c>
      <c r="G538" s="26">
        <v>178594.6</v>
      </c>
      <c r="H538" t="s">
        <v>68</v>
      </c>
    </row>
    <row r="539" spans="1:8">
      <c r="A539" s="19" t="s">
        <v>1672</v>
      </c>
      <c r="B539" s="20" t="s">
        <v>1673</v>
      </c>
      <c r="C539" s="19" t="s">
        <v>74</v>
      </c>
      <c r="D539" s="20"/>
      <c r="E539" s="3">
        <v>21134521.239999998</v>
      </c>
      <c r="F539" s="24">
        <v>6.6657589921350874E-2</v>
      </c>
      <c r="G539" s="26">
        <v>1408776.2499999998</v>
      </c>
      <c r="H539" t="s">
        <v>68</v>
      </c>
    </row>
    <row r="540" spans="1:8">
      <c r="A540" s="13" t="s">
        <v>1674</v>
      </c>
      <c r="B540" s="22" t="s">
        <v>1675</v>
      </c>
      <c r="C540" s="15" t="s">
        <v>74</v>
      </c>
      <c r="D540" s="16"/>
      <c r="E540" s="2">
        <v>16247452.609999999</v>
      </c>
      <c r="F540" s="23">
        <v>6.4089659160421461E-2</v>
      </c>
      <c r="G540" s="26">
        <v>1041293.7000000001</v>
      </c>
      <c r="H540" t="s">
        <v>68</v>
      </c>
    </row>
    <row r="541" spans="1:8">
      <c r="A541" s="17" t="s">
        <v>1676</v>
      </c>
      <c r="B541" s="18" t="s">
        <v>1677</v>
      </c>
      <c r="C541" s="19" t="s">
        <v>74</v>
      </c>
      <c r="D541" s="20"/>
      <c r="E541" s="3">
        <v>46253684.880000003</v>
      </c>
      <c r="F541" s="24">
        <v>3.362529653659023E-2</v>
      </c>
      <c r="G541" s="26">
        <v>1555293.8699999999</v>
      </c>
      <c r="H541" t="s">
        <v>68</v>
      </c>
    </row>
    <row r="542" spans="1:8">
      <c r="A542" s="15" t="s">
        <v>1678</v>
      </c>
      <c r="B542" s="16" t="s">
        <v>1679</v>
      </c>
      <c r="C542" s="15" t="s">
        <v>74</v>
      </c>
      <c r="D542" s="16"/>
      <c r="E542" s="2">
        <v>28053930.199999999</v>
      </c>
      <c r="F542" s="23">
        <v>4.6550914994434547E-2</v>
      </c>
      <c r="G542" s="26">
        <v>1305936.1200000001</v>
      </c>
      <c r="H542" t="s">
        <v>68</v>
      </c>
    </row>
    <row r="543" spans="1:8">
      <c r="A543" s="17" t="s">
        <v>1680</v>
      </c>
      <c r="B543" s="18" t="s">
        <v>1681</v>
      </c>
      <c r="C543" s="19" t="s">
        <v>74</v>
      </c>
      <c r="D543" s="20"/>
      <c r="E543" s="3">
        <v>23555146.899999999</v>
      </c>
      <c r="F543" s="24">
        <v>2.5407208986669493E-2</v>
      </c>
      <c r="G543" s="26">
        <v>598470.54</v>
      </c>
      <c r="H543" t="s">
        <v>68</v>
      </c>
    </row>
    <row r="544" spans="1:8">
      <c r="A544" s="13" t="s">
        <v>1682</v>
      </c>
      <c r="B544" s="22" t="s">
        <v>1683</v>
      </c>
      <c r="C544" s="15" t="s">
        <v>74</v>
      </c>
      <c r="D544" s="16"/>
      <c r="E544" s="2">
        <v>22323626.77</v>
      </c>
      <c r="F544" s="23">
        <v>5.6911747947128041E-2</v>
      </c>
      <c r="G544" s="26">
        <v>1270476.6200000001</v>
      </c>
      <c r="H544" t="s">
        <v>68</v>
      </c>
    </row>
    <row r="545" spans="1:8">
      <c r="A545" s="19" t="s">
        <v>1684</v>
      </c>
      <c r="B545" s="20" t="s">
        <v>1685</v>
      </c>
      <c r="C545" s="19" t="s">
        <v>74</v>
      </c>
      <c r="D545" s="20"/>
      <c r="E545" s="3">
        <v>17161665.010000002</v>
      </c>
      <c r="F545" s="24">
        <v>6.8976638298803378E-2</v>
      </c>
      <c r="G545" s="26">
        <v>1183753.96</v>
      </c>
      <c r="H545" t="s">
        <v>68</v>
      </c>
    </row>
    <row r="546" spans="1:8">
      <c r="A546" s="13" t="s">
        <v>1686</v>
      </c>
      <c r="B546" s="22" t="s">
        <v>1065</v>
      </c>
      <c r="C546" s="15" t="s">
        <v>74</v>
      </c>
      <c r="D546" s="16"/>
      <c r="E546" s="2">
        <v>18094493.609999999</v>
      </c>
      <c r="F546" s="23">
        <v>4.8670059465676312E-2</v>
      </c>
      <c r="G546" s="26">
        <v>880660.08</v>
      </c>
      <c r="H546" t="s">
        <v>68</v>
      </c>
    </row>
    <row r="547" spans="1:8">
      <c r="A547" s="17" t="s">
        <v>1687</v>
      </c>
      <c r="B547" s="18" t="s">
        <v>1688</v>
      </c>
      <c r="C547" s="19" t="s">
        <v>74</v>
      </c>
      <c r="D547" s="20"/>
      <c r="E547" s="3">
        <v>7531718.3899999997</v>
      </c>
      <c r="F547" s="24">
        <v>5.2639061827695344E-2</v>
      </c>
      <c r="G547" s="26">
        <v>396462.59</v>
      </c>
      <c r="H547" t="s">
        <v>68</v>
      </c>
    </row>
    <row r="548" spans="1:8">
      <c r="A548" s="15" t="s">
        <v>1689</v>
      </c>
      <c r="B548" s="16" t="s">
        <v>1013</v>
      </c>
      <c r="C548" s="15" t="s">
        <v>74</v>
      </c>
      <c r="D548" s="16"/>
      <c r="E548" s="2">
        <v>44348397.340000004</v>
      </c>
      <c r="F548" s="23">
        <v>5.3491298948481904E-2</v>
      </c>
      <c r="G548" s="26">
        <v>2372253.38</v>
      </c>
      <c r="H548" t="s">
        <v>68</v>
      </c>
    </row>
    <row r="549" spans="1:8">
      <c r="A549" s="17" t="s">
        <v>1690</v>
      </c>
      <c r="B549" s="18" t="s">
        <v>1691</v>
      </c>
      <c r="C549" s="19" t="s">
        <v>74</v>
      </c>
      <c r="D549" s="20"/>
      <c r="E549" s="3">
        <v>46459046.810000002</v>
      </c>
      <c r="F549" s="24">
        <v>6.3271942535146466E-2</v>
      </c>
      <c r="G549" s="26">
        <v>2939554.14</v>
      </c>
      <c r="H549" t="s">
        <v>68</v>
      </c>
    </row>
    <row r="550" spans="1:8">
      <c r="A550" s="13" t="s">
        <v>1692</v>
      </c>
      <c r="B550" s="22" t="s">
        <v>1693</v>
      </c>
      <c r="C550" s="15" t="s">
        <v>74</v>
      </c>
      <c r="D550" s="16"/>
      <c r="E550" s="2">
        <v>13099282.08</v>
      </c>
      <c r="F550" s="23">
        <v>6.5573169945814302E-2</v>
      </c>
      <c r="G550" s="26">
        <v>858961.44999999984</v>
      </c>
      <c r="H550" t="s">
        <v>68</v>
      </c>
    </row>
    <row r="551" spans="1:8">
      <c r="A551" s="19" t="s">
        <v>1694</v>
      </c>
      <c r="B551" s="20" t="s">
        <v>1695</v>
      </c>
      <c r="C551" s="19" t="s">
        <v>74</v>
      </c>
      <c r="D551" s="20"/>
      <c r="E551" s="3">
        <v>11130198.470000001</v>
      </c>
      <c r="F551" s="24">
        <v>4.8716097153297208E-2</v>
      </c>
      <c r="G551" s="26">
        <v>542219.82999999996</v>
      </c>
      <c r="H551" t="s">
        <v>68</v>
      </c>
    </row>
    <row r="552" spans="1:8">
      <c r="A552" s="17" t="s">
        <v>1482</v>
      </c>
      <c r="B552" s="18" t="s">
        <v>1483</v>
      </c>
      <c r="C552" s="19" t="s">
        <v>74</v>
      </c>
      <c r="D552" s="20"/>
      <c r="E552" s="3">
        <v>21742459.59</v>
      </c>
      <c r="F552" s="24">
        <v>5.1497969462248869E-2</v>
      </c>
      <c r="G552" s="26">
        <v>1119692.52</v>
      </c>
      <c r="H552" t="s">
        <v>68</v>
      </c>
    </row>
    <row r="553" spans="1:8">
      <c r="A553" s="13" t="s">
        <v>1484</v>
      </c>
      <c r="B553" s="22" t="s">
        <v>1485</v>
      </c>
      <c r="C553" s="15" t="s">
        <v>74</v>
      </c>
      <c r="D553" s="16"/>
      <c r="E553" s="2">
        <v>30176126.75</v>
      </c>
      <c r="F553" s="23">
        <v>3.7649111478496824E-2</v>
      </c>
      <c r="G553" s="26">
        <v>1136104.3600000001</v>
      </c>
      <c r="H553" t="s">
        <v>68</v>
      </c>
    </row>
    <row r="554" spans="1:8">
      <c r="A554" s="19" t="s">
        <v>1486</v>
      </c>
      <c r="B554" s="20" t="s">
        <v>1487</v>
      </c>
      <c r="C554" s="19" t="s">
        <v>74</v>
      </c>
      <c r="D554" s="20"/>
      <c r="E554" s="3">
        <v>19729348.149999999</v>
      </c>
      <c r="F554" s="24">
        <v>4.6326859511574899E-2</v>
      </c>
      <c r="G554" s="26">
        <v>913998.74000000011</v>
      </c>
      <c r="H554" t="s">
        <v>68</v>
      </c>
    </row>
    <row r="555" spans="1:8">
      <c r="A555" s="13" t="s">
        <v>1488</v>
      </c>
      <c r="B555" s="22" t="s">
        <v>153</v>
      </c>
      <c r="C555" s="15" t="s">
        <v>74</v>
      </c>
      <c r="D555" s="16"/>
      <c r="E555" s="2">
        <v>12653350.99</v>
      </c>
      <c r="F555" s="23">
        <v>3.480257999229025E-2</v>
      </c>
      <c r="G555" s="26">
        <v>440369.26</v>
      </c>
      <c r="H555" t="s">
        <v>68</v>
      </c>
    </row>
    <row r="556" spans="1:8">
      <c r="A556" s="17" t="s">
        <v>1489</v>
      </c>
      <c r="B556" s="18" t="s">
        <v>1420</v>
      </c>
      <c r="C556" s="19" t="s">
        <v>74</v>
      </c>
      <c r="D556" s="20"/>
      <c r="E556" s="3">
        <v>32554996.710000001</v>
      </c>
      <c r="F556" s="24">
        <v>5.0332672265227821E-2</v>
      </c>
      <c r="G556" s="26">
        <v>1638579.98</v>
      </c>
      <c r="H556" t="s">
        <v>68</v>
      </c>
    </row>
    <row r="557" spans="1:8">
      <c r="A557" s="15" t="s">
        <v>1490</v>
      </c>
      <c r="B557" s="16" t="s">
        <v>1491</v>
      </c>
      <c r="C557" s="15" t="s">
        <v>74</v>
      </c>
      <c r="D557" s="16"/>
      <c r="E557" s="2">
        <v>57716374.939999998</v>
      </c>
      <c r="F557" s="23">
        <v>3.6894242790086088E-2</v>
      </c>
      <c r="G557" s="26">
        <v>2129401.9500000002</v>
      </c>
      <c r="H557" t="s">
        <v>68</v>
      </c>
    </row>
    <row r="558" spans="1:8">
      <c r="A558" s="17" t="s">
        <v>1492</v>
      </c>
      <c r="B558" s="18" t="s">
        <v>1493</v>
      </c>
      <c r="C558" s="19" t="s">
        <v>74</v>
      </c>
      <c r="D558" s="20"/>
      <c r="E558" s="3">
        <v>8589061.1899999995</v>
      </c>
      <c r="F558" s="24">
        <v>3.5705500661359239E-2</v>
      </c>
      <c r="G558" s="26">
        <v>306676.73</v>
      </c>
      <c r="H558" t="s">
        <v>68</v>
      </c>
    </row>
    <row r="559" spans="1:8">
      <c r="A559" s="13" t="s">
        <v>1494</v>
      </c>
      <c r="B559" s="22" t="s">
        <v>1495</v>
      </c>
      <c r="C559" s="15" t="s">
        <v>74</v>
      </c>
      <c r="D559" s="16"/>
      <c r="E559" s="2">
        <v>37910328.469999999</v>
      </c>
      <c r="F559" s="23">
        <v>2.9453310088927331E-2</v>
      </c>
      <c r="G559" s="26">
        <v>1116584.6599999999</v>
      </c>
      <c r="H559" t="s">
        <v>68</v>
      </c>
    </row>
    <row r="560" spans="1:8">
      <c r="A560" s="19" t="s">
        <v>1496</v>
      </c>
      <c r="B560" s="20" t="s">
        <v>1497</v>
      </c>
      <c r="C560" s="19" t="s">
        <v>74</v>
      </c>
      <c r="D560" s="20"/>
      <c r="E560" s="3">
        <v>29195068.460000001</v>
      </c>
      <c r="F560" s="24">
        <v>2.7273455826655732E-2</v>
      </c>
      <c r="G560" s="26">
        <v>796250.41</v>
      </c>
      <c r="H560" t="s">
        <v>68</v>
      </c>
    </row>
    <row r="561" spans="1:8">
      <c r="A561" s="13" t="s">
        <v>1498</v>
      </c>
      <c r="B561" s="22" t="s">
        <v>1207</v>
      </c>
      <c r="C561" s="15" t="s">
        <v>74</v>
      </c>
      <c r="D561" s="16"/>
      <c r="E561" s="2">
        <v>26204737.5</v>
      </c>
      <c r="F561" s="23">
        <v>6.8138036490539164E-2</v>
      </c>
      <c r="G561" s="26">
        <v>1785539.36</v>
      </c>
      <c r="H561" t="s">
        <v>68</v>
      </c>
    </row>
    <row r="562" spans="1:8">
      <c r="A562" s="17" t="s">
        <v>1499</v>
      </c>
      <c r="B562" s="18" t="s">
        <v>1500</v>
      </c>
      <c r="C562" s="19" t="s">
        <v>74</v>
      </c>
      <c r="D562" s="20"/>
      <c r="E562" s="3">
        <v>42975084.380000003</v>
      </c>
      <c r="F562" s="24">
        <v>2.696137649794185E-2</v>
      </c>
      <c r="G562" s="26">
        <v>1158667.43</v>
      </c>
      <c r="H562" t="s">
        <v>68</v>
      </c>
    </row>
    <row r="563" spans="1:8">
      <c r="A563" s="19" t="s">
        <v>1503</v>
      </c>
      <c r="B563" s="20" t="s">
        <v>1504</v>
      </c>
      <c r="C563" s="19" t="s">
        <v>74</v>
      </c>
      <c r="D563" s="20"/>
      <c r="E563" s="3">
        <v>3735580.48</v>
      </c>
      <c r="F563" s="24">
        <v>0.17760615346185768</v>
      </c>
      <c r="G563" s="26">
        <v>663462.07999999996</v>
      </c>
      <c r="H563" t="s">
        <v>68</v>
      </c>
    </row>
    <row r="564" spans="1:8">
      <c r="A564" s="13" t="s">
        <v>1505</v>
      </c>
      <c r="B564" s="22" t="s">
        <v>1506</v>
      </c>
      <c r="C564" s="15" t="s">
        <v>74</v>
      </c>
      <c r="D564" s="16"/>
      <c r="E564" s="2">
        <v>6415258.5800000001</v>
      </c>
      <c r="F564" s="23">
        <v>5.570455275397488E-2</v>
      </c>
      <c r="G564" s="26">
        <v>357359.11</v>
      </c>
      <c r="H564" t="s">
        <v>68</v>
      </c>
    </row>
    <row r="565" spans="1:8">
      <c r="A565" s="17" t="s">
        <v>1507</v>
      </c>
      <c r="B565" s="18" t="s">
        <v>1508</v>
      </c>
      <c r="C565" s="19" t="s">
        <v>74</v>
      </c>
      <c r="D565" s="20"/>
      <c r="E565" s="3">
        <v>10675381.220000001</v>
      </c>
      <c r="F565" s="24">
        <v>8.108375918026467E-2</v>
      </c>
      <c r="G565" s="26">
        <v>865600.04000000015</v>
      </c>
      <c r="H565" t="s">
        <v>68</v>
      </c>
    </row>
    <row r="566" spans="1:8">
      <c r="A566" s="15" t="s">
        <v>1509</v>
      </c>
      <c r="B566" s="16" t="s">
        <v>1510</v>
      </c>
      <c r="C566" s="15" t="s">
        <v>74</v>
      </c>
      <c r="D566" s="16"/>
      <c r="E566" s="2">
        <v>12306488.529999999</v>
      </c>
      <c r="F566" s="23">
        <v>4.5675524633183077E-2</v>
      </c>
      <c r="G566" s="26">
        <v>562105.31999999995</v>
      </c>
      <c r="H566" t="s">
        <v>68</v>
      </c>
    </row>
    <row r="567" spans="1:8">
      <c r="A567" s="17" t="s">
        <v>1511</v>
      </c>
      <c r="B567" s="18" t="s">
        <v>1512</v>
      </c>
      <c r="C567" s="19" t="s">
        <v>74</v>
      </c>
      <c r="D567" s="20"/>
      <c r="E567" s="3">
        <v>9120709.1999999993</v>
      </c>
      <c r="F567" s="24">
        <v>3.425088698146412E-2</v>
      </c>
      <c r="G567" s="26">
        <v>312392.38</v>
      </c>
      <c r="H567" t="s">
        <v>68</v>
      </c>
    </row>
    <row r="568" spans="1:8">
      <c r="A568" s="13" t="s">
        <v>1513</v>
      </c>
      <c r="B568" s="22" t="s">
        <v>1514</v>
      </c>
      <c r="C568" s="15" t="s">
        <v>74</v>
      </c>
      <c r="D568" s="16"/>
      <c r="E568" s="2">
        <v>30403040.420000002</v>
      </c>
      <c r="F568" s="23">
        <v>4.2313815402282053E-2</v>
      </c>
      <c r="G568" s="26">
        <v>1286468.6399999999</v>
      </c>
      <c r="H568" t="s">
        <v>68</v>
      </c>
    </row>
    <row r="569" spans="1:8">
      <c r="A569" s="19" t="s">
        <v>1515</v>
      </c>
      <c r="B569" s="20" t="s">
        <v>1516</v>
      </c>
      <c r="C569" s="19" t="s">
        <v>74</v>
      </c>
      <c r="D569" s="20"/>
      <c r="E569" s="3">
        <v>8405285.9600000009</v>
      </c>
      <c r="F569" s="24">
        <v>6.0352304777504556E-2</v>
      </c>
      <c r="G569" s="26">
        <v>507278.38</v>
      </c>
      <c r="H569" t="s">
        <v>68</v>
      </c>
    </row>
    <row r="570" spans="1:8">
      <c r="A570" s="13" t="s">
        <v>1517</v>
      </c>
      <c r="B570" s="22" t="s">
        <v>1518</v>
      </c>
      <c r="C570" s="15" t="s">
        <v>74</v>
      </c>
      <c r="D570" s="16"/>
      <c r="E570" s="2">
        <v>16482861.16</v>
      </c>
      <c r="F570" s="23">
        <v>5.0096284982600679E-2</v>
      </c>
      <c r="G570" s="26">
        <v>825730.11</v>
      </c>
      <c r="H570" t="s">
        <v>68</v>
      </c>
    </row>
    <row r="571" spans="1:8">
      <c r="A571" s="17" t="s">
        <v>1519</v>
      </c>
      <c r="B571" s="18" t="s">
        <v>1520</v>
      </c>
      <c r="C571" s="19" t="s">
        <v>74</v>
      </c>
      <c r="D571" s="20"/>
      <c r="E571" s="3">
        <v>16035309.67</v>
      </c>
      <c r="F571" s="24">
        <v>5.530290329591122E-2</v>
      </c>
      <c r="G571" s="26">
        <v>886799.18</v>
      </c>
      <c r="H571" t="s">
        <v>68</v>
      </c>
    </row>
    <row r="572" spans="1:8">
      <c r="A572" s="15" t="s">
        <v>1521</v>
      </c>
      <c r="B572" s="16" t="s">
        <v>1522</v>
      </c>
      <c r="C572" s="15" t="s">
        <v>74</v>
      </c>
      <c r="D572" s="16"/>
      <c r="E572" s="2">
        <v>8046763.1699999999</v>
      </c>
      <c r="F572" s="23">
        <v>2.4639355702573758E-2</v>
      </c>
      <c r="G572" s="26">
        <v>198267.06</v>
      </c>
      <c r="H572" t="s">
        <v>68</v>
      </c>
    </row>
    <row r="573" spans="1:8">
      <c r="A573" s="17" t="s">
        <v>1523</v>
      </c>
      <c r="B573" s="18" t="s">
        <v>1524</v>
      </c>
      <c r="C573" s="19" t="s">
        <v>74</v>
      </c>
      <c r="D573" s="20"/>
      <c r="E573" s="3">
        <v>8666347.9499999993</v>
      </c>
      <c r="F573" s="24">
        <v>4.7475281672714288E-2</v>
      </c>
      <c r="G573" s="26">
        <v>411437.31</v>
      </c>
      <c r="H573" t="s">
        <v>68</v>
      </c>
    </row>
    <row r="574" spans="1:8">
      <c r="A574" s="13" t="s">
        <v>1525</v>
      </c>
      <c r="B574" s="22" t="s">
        <v>1526</v>
      </c>
      <c r="C574" s="15" t="s">
        <v>74</v>
      </c>
      <c r="D574" s="16"/>
      <c r="E574" s="2">
        <v>6430449.0499999998</v>
      </c>
      <c r="F574" s="23">
        <v>3.9839967319234108E-2</v>
      </c>
      <c r="G574" s="26">
        <v>256188.88</v>
      </c>
      <c r="H574" t="s">
        <v>68</v>
      </c>
    </row>
    <row r="575" spans="1:8">
      <c r="A575" s="19" t="s">
        <v>1527</v>
      </c>
      <c r="B575" s="20" t="s">
        <v>1528</v>
      </c>
      <c r="C575" s="19" t="s">
        <v>74</v>
      </c>
      <c r="D575" s="20"/>
      <c r="E575" s="3">
        <v>5273255.3099999996</v>
      </c>
      <c r="F575" s="24">
        <v>8.0302241235499741E-2</v>
      </c>
      <c r="G575" s="26">
        <v>423454.21999999991</v>
      </c>
      <c r="H575" t="s">
        <v>68</v>
      </c>
    </row>
    <row r="576" spans="1:8">
      <c r="A576" s="13" t="s">
        <v>1529</v>
      </c>
      <c r="B576" s="22" t="s">
        <v>1530</v>
      </c>
      <c r="C576" s="15" t="s">
        <v>74</v>
      </c>
      <c r="D576" s="16"/>
      <c r="E576" s="2">
        <v>13175201.68</v>
      </c>
      <c r="F576" s="23">
        <v>7.2045669816266519E-2</v>
      </c>
      <c r="G576" s="26">
        <v>949216.22999999986</v>
      </c>
      <c r="H576" t="s">
        <v>68</v>
      </c>
    </row>
    <row r="577" spans="1:8">
      <c r="A577" s="17" t="s">
        <v>1531</v>
      </c>
      <c r="B577" s="18" t="s">
        <v>1532</v>
      </c>
      <c r="C577" s="19" t="s">
        <v>74</v>
      </c>
      <c r="D577" s="20"/>
      <c r="E577" s="3">
        <v>9528323.7799999993</v>
      </c>
      <c r="F577" s="24">
        <v>5.9963884854467034E-2</v>
      </c>
      <c r="G577" s="26">
        <v>571355.31000000006</v>
      </c>
      <c r="H577" t="s">
        <v>68</v>
      </c>
    </row>
    <row r="578" spans="1:8">
      <c r="A578" s="19" t="s">
        <v>1535</v>
      </c>
      <c r="B578" s="20" t="s">
        <v>1536</v>
      </c>
      <c r="C578" s="19" t="s">
        <v>74</v>
      </c>
      <c r="D578" s="20"/>
      <c r="E578" s="3">
        <v>10953662.74</v>
      </c>
      <c r="F578" s="24">
        <v>6.5918785993222942E-2</v>
      </c>
      <c r="G578" s="26">
        <v>722052.15</v>
      </c>
      <c r="H578" t="s">
        <v>68</v>
      </c>
    </row>
    <row r="579" spans="1:8">
      <c r="A579" s="13" t="s">
        <v>1537</v>
      </c>
      <c r="B579" s="22" t="s">
        <v>1538</v>
      </c>
      <c r="C579" s="15" t="s">
        <v>74</v>
      </c>
      <c r="D579" s="16"/>
      <c r="E579" s="2">
        <v>15139271.220000001</v>
      </c>
      <c r="F579" s="23">
        <v>9.5856346643877613E-2</v>
      </c>
      <c r="G579" s="26">
        <v>1451195.23</v>
      </c>
      <c r="H579" t="s">
        <v>68</v>
      </c>
    </row>
    <row r="580" spans="1:8">
      <c r="A580" s="17" t="s">
        <v>1539</v>
      </c>
      <c r="B580" s="18" t="s">
        <v>1540</v>
      </c>
      <c r="C580" s="19" t="s">
        <v>74</v>
      </c>
      <c r="D580" s="20"/>
      <c r="E580" s="3">
        <v>4983756.6500000004</v>
      </c>
      <c r="F580" s="24">
        <v>5.2442578631924169E-2</v>
      </c>
      <c r="G580" s="26">
        <v>261361.05</v>
      </c>
      <c r="H580" t="s">
        <v>68</v>
      </c>
    </row>
    <row r="581" spans="1:8">
      <c r="A581" s="15" t="s">
        <v>1541</v>
      </c>
      <c r="B581" s="16" t="s">
        <v>1542</v>
      </c>
      <c r="C581" s="15" t="s">
        <v>74</v>
      </c>
      <c r="D581" s="16"/>
      <c r="E581" s="2">
        <v>12576546.560000001</v>
      </c>
      <c r="F581" s="23">
        <v>5.4577828398704703E-2</v>
      </c>
      <c r="G581" s="26">
        <v>686400.6</v>
      </c>
      <c r="H581" t="s">
        <v>68</v>
      </c>
    </row>
    <row r="582" spans="1:8">
      <c r="A582" s="17" t="s">
        <v>1543</v>
      </c>
      <c r="B582" s="18" t="s">
        <v>1544</v>
      </c>
      <c r="C582" s="19" t="s">
        <v>74</v>
      </c>
      <c r="D582" s="20"/>
      <c r="E582" s="3">
        <v>8926734.9100000001</v>
      </c>
      <c r="F582" s="24">
        <v>3.6628884278137486E-2</v>
      </c>
      <c r="G582" s="26">
        <v>326976.34000000003</v>
      </c>
      <c r="H582" t="s">
        <v>68</v>
      </c>
    </row>
    <row r="583" spans="1:8">
      <c r="A583" s="13" t="s">
        <v>1545</v>
      </c>
      <c r="B583" s="22" t="s">
        <v>1546</v>
      </c>
      <c r="C583" s="15" t="s">
        <v>74</v>
      </c>
      <c r="D583" s="16"/>
      <c r="E583" s="2">
        <v>13803479.48</v>
      </c>
      <c r="F583" s="23">
        <v>5.6827298590659402E-2</v>
      </c>
      <c r="G583" s="26">
        <v>784414.45</v>
      </c>
      <c r="H583" t="s">
        <v>68</v>
      </c>
    </row>
    <row r="584" spans="1:8">
      <c r="A584" s="19" t="s">
        <v>1547</v>
      </c>
      <c r="B584" s="20" t="s">
        <v>1135</v>
      </c>
      <c r="C584" s="19" t="s">
        <v>74</v>
      </c>
      <c r="D584" s="20"/>
      <c r="E584" s="3">
        <v>8513628.5299999993</v>
      </c>
      <c r="F584" s="24">
        <v>5.440142101196422E-2</v>
      </c>
      <c r="G584" s="26">
        <v>463153.49</v>
      </c>
      <c r="H584" t="s">
        <v>68</v>
      </c>
    </row>
    <row r="585" spans="1:8">
      <c r="A585" s="13" t="s">
        <v>1548</v>
      </c>
      <c r="B585" s="22" t="s">
        <v>1549</v>
      </c>
      <c r="C585" s="15" t="s">
        <v>74</v>
      </c>
      <c r="D585" s="16"/>
      <c r="E585" s="2">
        <v>8905939.7400000002</v>
      </c>
      <c r="F585" s="23">
        <v>5.0660749249578911E-2</v>
      </c>
      <c r="G585" s="26">
        <v>451181.58</v>
      </c>
      <c r="H585" t="s">
        <v>68</v>
      </c>
    </row>
    <row r="586" spans="1:8">
      <c r="A586" s="17" t="s">
        <v>1550</v>
      </c>
      <c r="B586" s="18" t="s">
        <v>1551</v>
      </c>
      <c r="C586" s="19" t="s">
        <v>74</v>
      </c>
      <c r="D586" s="20"/>
      <c r="E586" s="3">
        <v>25255078.09</v>
      </c>
      <c r="F586" s="24">
        <v>0.12320973464865656</v>
      </c>
      <c r="G586" s="26">
        <v>3111671.47</v>
      </c>
      <c r="H586" t="s">
        <v>68</v>
      </c>
    </row>
    <row r="587" spans="1:8">
      <c r="A587" s="19" t="s">
        <v>1554</v>
      </c>
      <c r="B587" s="20" t="s">
        <v>1555</v>
      </c>
      <c r="C587" s="19" t="s">
        <v>74</v>
      </c>
      <c r="D587" s="20"/>
      <c r="E587" s="3">
        <v>15252385.539999999</v>
      </c>
      <c r="F587" s="24">
        <v>5.0557066498071228E-2</v>
      </c>
      <c r="G587" s="26">
        <v>771115.87</v>
      </c>
      <c r="H587" t="s">
        <v>68</v>
      </c>
    </row>
    <row r="588" spans="1:8">
      <c r="A588" s="13" t="s">
        <v>1556</v>
      </c>
      <c r="B588" s="22" t="s">
        <v>1557</v>
      </c>
      <c r="C588" s="15" t="s">
        <v>74</v>
      </c>
      <c r="D588" s="16"/>
      <c r="E588" s="2">
        <v>39387060.969999999</v>
      </c>
      <c r="F588" s="23">
        <v>2.2836000398330811E-2</v>
      </c>
      <c r="G588" s="26">
        <v>899442.94</v>
      </c>
      <c r="H588" t="s">
        <v>68</v>
      </c>
    </row>
    <row r="589" spans="1:8">
      <c r="A589" s="17" t="s">
        <v>1558</v>
      </c>
      <c r="B589" s="18" t="s">
        <v>1559</v>
      </c>
      <c r="C589" s="19" t="s">
        <v>74</v>
      </c>
      <c r="D589" s="20"/>
      <c r="E589" s="3">
        <v>35231344.310000002</v>
      </c>
      <c r="F589" s="24">
        <v>3.2206595354862283E-2</v>
      </c>
      <c r="G589" s="26">
        <v>1134681.6499999999</v>
      </c>
      <c r="H589" t="s">
        <v>68</v>
      </c>
    </row>
    <row r="590" spans="1:8">
      <c r="A590" s="15" t="s">
        <v>1560</v>
      </c>
      <c r="B590" s="16" t="s">
        <v>1561</v>
      </c>
      <c r="C590" s="15" t="s">
        <v>74</v>
      </c>
      <c r="D590" s="16"/>
      <c r="E590" s="2">
        <v>27386198.149999999</v>
      </c>
      <c r="F590" s="23">
        <v>4.2802032380679318E-2</v>
      </c>
      <c r="G590" s="26">
        <v>1172184.94</v>
      </c>
      <c r="H590" t="s">
        <v>68</v>
      </c>
    </row>
    <row r="591" spans="1:8">
      <c r="A591" s="17" t="s">
        <v>1562</v>
      </c>
      <c r="B591" s="18" t="s">
        <v>1563</v>
      </c>
      <c r="C591" s="19" t="s">
        <v>74</v>
      </c>
      <c r="D591" s="20"/>
      <c r="E591" s="3">
        <v>95376203.079999998</v>
      </c>
      <c r="F591" s="24">
        <v>2.7652379889644061E-2</v>
      </c>
      <c r="G591" s="26">
        <v>2637379</v>
      </c>
      <c r="H591" t="s">
        <v>68</v>
      </c>
    </row>
    <row r="592" spans="1:8">
      <c r="A592" s="13" t="s">
        <v>1564</v>
      </c>
      <c r="B592" s="22" t="s">
        <v>1760</v>
      </c>
      <c r="C592" s="15" t="s">
        <v>74</v>
      </c>
      <c r="D592" s="16"/>
      <c r="E592" s="2">
        <v>11078644.51</v>
      </c>
      <c r="F592" s="23">
        <v>4.4184955078046817E-2</v>
      </c>
      <c r="G592" s="26">
        <v>489509.41</v>
      </c>
      <c r="H592" t="s">
        <v>68</v>
      </c>
    </row>
    <row r="593" spans="1:8">
      <c r="A593" s="15" t="s">
        <v>1763</v>
      </c>
      <c r="B593" s="16" t="s">
        <v>1764</v>
      </c>
      <c r="C593" s="15" t="s">
        <v>74</v>
      </c>
      <c r="D593" s="16"/>
      <c r="E593" s="2">
        <v>10099317.99</v>
      </c>
      <c r="F593" s="23">
        <v>8.9101729531738408E-2</v>
      </c>
      <c r="G593" s="26">
        <v>899866.7</v>
      </c>
      <c r="H593" t="s">
        <v>68</v>
      </c>
    </row>
    <row r="594" spans="1:8">
      <c r="A594" s="17" t="s">
        <v>1765</v>
      </c>
      <c r="B594" s="18" t="s">
        <v>1766</v>
      </c>
      <c r="C594" s="19" t="s">
        <v>74</v>
      </c>
      <c r="D594" s="20"/>
      <c r="E594" s="3">
        <v>8392570.4000000004</v>
      </c>
      <c r="F594" s="24">
        <v>0.18489806174280052</v>
      </c>
      <c r="G594" s="26">
        <v>1551770</v>
      </c>
      <c r="H594" t="s">
        <v>68</v>
      </c>
    </row>
    <row r="595" spans="1:8">
      <c r="A595" s="13" t="s">
        <v>1767</v>
      </c>
      <c r="B595" s="22" t="s">
        <v>1768</v>
      </c>
      <c r="C595" s="15" t="s">
        <v>74</v>
      </c>
      <c r="D595" s="16"/>
      <c r="E595" s="2">
        <v>21559248.309999999</v>
      </c>
      <c r="F595" s="23">
        <v>8.0759533679678655E-2</v>
      </c>
      <c r="G595" s="26">
        <v>1741114.84</v>
      </c>
      <c r="H595" t="s">
        <v>68</v>
      </c>
    </row>
    <row r="596" spans="1:8">
      <c r="A596" s="19" t="s">
        <v>1769</v>
      </c>
      <c r="B596" s="20" t="s">
        <v>1770</v>
      </c>
      <c r="C596" s="19" t="s">
        <v>74</v>
      </c>
      <c r="D596" s="20"/>
      <c r="E596" s="3">
        <v>6928959.9900000002</v>
      </c>
      <c r="F596" s="24">
        <v>6.1655529923185487E-2</v>
      </c>
      <c r="G596" s="26">
        <v>427208.7</v>
      </c>
      <c r="H596" t="s">
        <v>68</v>
      </c>
    </row>
    <row r="597" spans="1:8">
      <c r="A597" s="17" t="s">
        <v>1773</v>
      </c>
      <c r="B597" s="18" t="s">
        <v>1774</v>
      </c>
      <c r="C597" s="19" t="s">
        <v>74</v>
      </c>
      <c r="D597" s="20"/>
      <c r="E597" s="3">
        <v>9427561.6099999994</v>
      </c>
      <c r="F597" s="24">
        <v>1.0942790327731416E-2</v>
      </c>
      <c r="G597" s="26">
        <v>103163.83</v>
      </c>
      <c r="H597" t="s">
        <v>68</v>
      </c>
    </row>
    <row r="598" spans="1:8">
      <c r="A598" s="13" t="s">
        <v>1775</v>
      </c>
      <c r="B598" s="22" t="s">
        <v>1776</v>
      </c>
      <c r="C598" s="15" t="s">
        <v>74</v>
      </c>
      <c r="D598" s="16"/>
      <c r="E598" s="2">
        <v>8061681.9900000002</v>
      </c>
      <c r="F598" s="23">
        <v>7.5015542755240819E-2</v>
      </c>
      <c r="G598" s="26">
        <v>604751.44999999995</v>
      </c>
      <c r="H598" t="s">
        <v>68</v>
      </c>
    </row>
    <row r="599" spans="1:8">
      <c r="A599" s="19" t="s">
        <v>1777</v>
      </c>
      <c r="B599" s="20" t="s">
        <v>1420</v>
      </c>
      <c r="C599" s="19" t="s">
        <v>74</v>
      </c>
      <c r="D599" s="20"/>
      <c r="E599" s="3">
        <v>10510759.880000001</v>
      </c>
      <c r="F599" s="24">
        <v>4.5828861614142395E-2</v>
      </c>
      <c r="G599" s="26">
        <v>481696.16</v>
      </c>
      <c r="H599" t="s">
        <v>68</v>
      </c>
    </row>
    <row r="600" spans="1:8">
      <c r="A600" s="13" t="s">
        <v>1778</v>
      </c>
      <c r="B600" s="22" t="s">
        <v>1779</v>
      </c>
      <c r="C600" s="15" t="s">
        <v>74</v>
      </c>
      <c r="D600" s="16"/>
      <c r="E600" s="2">
        <v>10856080.48</v>
      </c>
      <c r="F600" s="23">
        <v>5.612724971250397E-2</v>
      </c>
      <c r="G600" s="26">
        <v>609321.93999999994</v>
      </c>
      <c r="H600" t="s">
        <v>68</v>
      </c>
    </row>
    <row r="601" spans="1:8">
      <c r="A601" s="17" t="s">
        <v>1780</v>
      </c>
      <c r="B601" s="18" t="s">
        <v>886</v>
      </c>
      <c r="C601" s="19" t="s">
        <v>74</v>
      </c>
      <c r="D601" s="20"/>
      <c r="E601" s="3">
        <v>11862217.27</v>
      </c>
      <c r="F601" s="24">
        <v>6.6312571427044859E-2</v>
      </c>
      <c r="G601" s="26">
        <v>786614.13</v>
      </c>
      <c r="H601" t="s">
        <v>68</v>
      </c>
    </row>
    <row r="602" spans="1:8">
      <c r="A602" s="15" t="s">
        <v>1781</v>
      </c>
      <c r="B602" s="16" t="s">
        <v>1580</v>
      </c>
      <c r="C602" s="15" t="s">
        <v>74</v>
      </c>
      <c r="D602" s="16"/>
      <c r="E602" s="2">
        <v>15088727.02</v>
      </c>
      <c r="F602" s="23">
        <v>0.13479188054129168</v>
      </c>
      <c r="G602" s="26">
        <v>2033837.89</v>
      </c>
      <c r="H602" t="s">
        <v>68</v>
      </c>
    </row>
    <row r="603" spans="1:8">
      <c r="A603" s="17" t="s">
        <v>1782</v>
      </c>
      <c r="B603" s="18" t="s">
        <v>1783</v>
      </c>
      <c r="C603" s="19" t="s">
        <v>74</v>
      </c>
      <c r="D603" s="20"/>
      <c r="E603" s="3">
        <v>17383859.309999999</v>
      </c>
      <c r="F603" s="24">
        <v>5.7473787735112546E-2</v>
      </c>
      <c r="G603" s="26">
        <v>999116.24</v>
      </c>
      <c r="H603" t="s">
        <v>68</v>
      </c>
    </row>
    <row r="604" spans="1:8">
      <c r="A604" s="13" t="s">
        <v>1784</v>
      </c>
      <c r="B604" s="22" t="s">
        <v>1785</v>
      </c>
      <c r="C604" s="15" t="s">
        <v>74</v>
      </c>
      <c r="D604" s="16"/>
      <c r="E604" s="2">
        <v>5555998.04</v>
      </c>
      <c r="F604" s="23">
        <v>5.95595476487965E-2</v>
      </c>
      <c r="G604" s="26">
        <v>330912.73</v>
      </c>
      <c r="H604" t="s">
        <v>68</v>
      </c>
    </row>
    <row r="605" spans="1:8">
      <c r="A605" s="19" t="s">
        <v>1786</v>
      </c>
      <c r="B605" s="20" t="s">
        <v>1787</v>
      </c>
      <c r="C605" s="19" t="s">
        <v>74</v>
      </c>
      <c r="D605" s="20"/>
      <c r="E605" s="3">
        <v>5608250.7800000003</v>
      </c>
      <c r="F605" s="24">
        <v>7.6008293266800031E-2</v>
      </c>
      <c r="G605" s="26">
        <v>426273.57000000007</v>
      </c>
      <c r="H605" t="s">
        <v>68</v>
      </c>
    </row>
    <row r="606" spans="1:8">
      <c r="A606" s="13" t="s">
        <v>1788</v>
      </c>
      <c r="B606" s="22" t="s">
        <v>1592</v>
      </c>
      <c r="C606" s="15" t="s">
        <v>74</v>
      </c>
      <c r="D606" s="16"/>
      <c r="E606" s="2">
        <v>6338480.1699999999</v>
      </c>
      <c r="F606" s="23">
        <v>5.6411016586015446E-2</v>
      </c>
      <c r="G606" s="26">
        <v>357560.11</v>
      </c>
      <c r="H606" t="s">
        <v>68</v>
      </c>
    </row>
    <row r="607" spans="1:8">
      <c r="A607" s="17" t="s">
        <v>1593</v>
      </c>
      <c r="B607" s="18" t="s">
        <v>1779</v>
      </c>
      <c r="C607" s="19" t="s">
        <v>74</v>
      </c>
      <c r="D607" s="20"/>
      <c r="E607" s="3">
        <v>6880778.9699999997</v>
      </c>
      <c r="F607" s="24">
        <v>2.6179296092110921E-2</v>
      </c>
      <c r="G607" s="26">
        <v>180133.95</v>
      </c>
      <c r="H607" t="s">
        <v>68</v>
      </c>
    </row>
    <row r="608" spans="1:8">
      <c r="A608" s="15" t="s">
        <v>1594</v>
      </c>
      <c r="B608" s="16" t="s">
        <v>1595</v>
      </c>
      <c r="C608" s="15" t="s">
        <v>74</v>
      </c>
      <c r="D608" s="16"/>
      <c r="E608" s="2">
        <v>4398320.1100000003</v>
      </c>
      <c r="F608" s="23">
        <v>6.1041157370421581E-2</v>
      </c>
      <c r="G608" s="26">
        <v>268478.55</v>
      </c>
      <c r="H608" t="s">
        <v>68</v>
      </c>
    </row>
    <row r="609" spans="1:10">
      <c r="A609" s="13" t="s">
        <v>1598</v>
      </c>
      <c r="B609" s="22" t="s">
        <v>1599</v>
      </c>
      <c r="C609" s="15" t="s">
        <v>74</v>
      </c>
      <c r="D609" s="16"/>
      <c r="E609" s="2">
        <v>13983589.57</v>
      </c>
      <c r="F609" s="23">
        <v>2.1321521094958738E-2</v>
      </c>
      <c r="G609" s="26">
        <v>298151.40000000002</v>
      </c>
      <c r="H609" t="s">
        <v>68</v>
      </c>
    </row>
    <row r="610" spans="1:10">
      <c r="A610" s="17" t="s">
        <v>1600</v>
      </c>
      <c r="B610" s="18" t="s">
        <v>1601</v>
      </c>
      <c r="C610" s="19" t="s">
        <v>74</v>
      </c>
      <c r="D610" s="20"/>
      <c r="E610" s="3">
        <v>10643106.800000001</v>
      </c>
      <c r="F610" s="24">
        <v>5.0719861234503442E-2</v>
      </c>
      <c r="G610" s="26">
        <v>539816.9</v>
      </c>
      <c r="H610" t="s">
        <v>68</v>
      </c>
    </row>
    <row r="611" spans="1:10">
      <c r="A611" s="15" t="s">
        <v>1602</v>
      </c>
      <c r="B611" s="16" t="s">
        <v>1679</v>
      </c>
      <c r="C611" s="15" t="s">
        <v>74</v>
      </c>
      <c r="D611" s="16"/>
      <c r="E611" s="2">
        <v>13261847.18</v>
      </c>
      <c r="F611" s="23">
        <v>5.4916114634341609E-2</v>
      </c>
      <c r="G611" s="26">
        <v>728289.12</v>
      </c>
      <c r="H611" t="s">
        <v>68</v>
      </c>
    </row>
    <row r="612" spans="1:10">
      <c r="A612" s="17" t="s">
        <v>1603</v>
      </c>
      <c r="B612" s="18" t="s">
        <v>1604</v>
      </c>
      <c r="C612" s="19" t="s">
        <v>74</v>
      </c>
      <c r="D612" s="20"/>
      <c r="E612" s="3">
        <v>7158730.9100000001</v>
      </c>
      <c r="F612" s="24">
        <v>6.4345398058829953E-2</v>
      </c>
      <c r="G612" s="26">
        <v>460631.39</v>
      </c>
      <c r="H612" t="s">
        <v>68</v>
      </c>
    </row>
    <row r="613" spans="1:10">
      <c r="A613" s="13" t="s">
        <v>1605</v>
      </c>
      <c r="B613" s="22" t="s">
        <v>1606</v>
      </c>
      <c r="C613" s="15" t="s">
        <v>74</v>
      </c>
      <c r="D613" s="16"/>
      <c r="E613" s="2">
        <v>9602713.2200000007</v>
      </c>
      <c r="F613" s="23">
        <v>5.2331026501278771E-2</v>
      </c>
      <c r="G613" s="26">
        <v>502519.84</v>
      </c>
      <c r="H613" t="s">
        <v>68</v>
      </c>
    </row>
    <row r="614" spans="1:10">
      <c r="A614" s="19" t="s">
        <v>1607</v>
      </c>
      <c r="B614" s="20" t="s">
        <v>1608</v>
      </c>
      <c r="C614" s="19" t="s">
        <v>74</v>
      </c>
      <c r="D614" s="20"/>
      <c r="E614" s="3">
        <v>14076521.779999999</v>
      </c>
      <c r="F614" s="24">
        <v>5.285733092511153E-2</v>
      </c>
      <c r="G614" s="26">
        <v>744047.37</v>
      </c>
      <c r="H614" t="s">
        <v>68</v>
      </c>
      <c r="I614" s="67"/>
      <c r="J614" s="67"/>
    </row>
    <row r="615" spans="1:10">
      <c r="A615" s="13" t="s">
        <v>1609</v>
      </c>
      <c r="B615" s="22" t="s">
        <v>1610</v>
      </c>
      <c r="C615" s="15" t="s">
        <v>74</v>
      </c>
      <c r="D615" s="16"/>
      <c r="E615" s="2">
        <v>8730587.2699999996</v>
      </c>
      <c r="F615" s="23">
        <v>5.7294310741137576E-2</v>
      </c>
      <c r="G615" s="26">
        <v>500212.98</v>
      </c>
      <c r="H615" t="s">
        <v>68</v>
      </c>
      <c r="I615" s="67"/>
      <c r="J615" s="67"/>
    </row>
    <row r="616" spans="1:10">
      <c r="A616" s="17" t="s">
        <v>1611</v>
      </c>
      <c r="B616" s="18" t="s">
        <v>1612</v>
      </c>
      <c r="C616" s="19" t="s">
        <v>74</v>
      </c>
      <c r="D616" s="20"/>
      <c r="E616" s="3">
        <v>38036358.719999999</v>
      </c>
      <c r="F616" s="24">
        <v>9.2368042531701097E-2</v>
      </c>
      <c r="G616" s="26">
        <v>3513344</v>
      </c>
      <c r="H616" t="s">
        <v>68</v>
      </c>
      <c r="I616" s="67"/>
      <c r="J616" s="67"/>
    </row>
    <row r="617" spans="1:10">
      <c r="A617" s="15" t="s">
        <v>1613</v>
      </c>
      <c r="B617" s="16" t="s">
        <v>1614</v>
      </c>
      <c r="C617" s="15" t="s">
        <v>74</v>
      </c>
      <c r="D617" s="16"/>
      <c r="E617" s="2">
        <v>1295633.67</v>
      </c>
      <c r="F617" s="23">
        <v>8.1887313101395409E-2</v>
      </c>
      <c r="G617" s="26">
        <v>106095.96</v>
      </c>
      <c r="H617" t="s">
        <v>68</v>
      </c>
      <c r="I617" s="67"/>
      <c r="J617" s="67"/>
    </row>
    <row r="618" spans="1:10">
      <c r="A618" s="17" t="s">
        <v>1615</v>
      </c>
      <c r="B618" s="18" t="s">
        <v>1616</v>
      </c>
      <c r="C618" s="19" t="s">
        <v>74</v>
      </c>
      <c r="D618" s="20"/>
      <c r="E618" s="3">
        <v>23334740.719999999</v>
      </c>
      <c r="F618" s="24">
        <v>0.14005408413211631</v>
      </c>
      <c r="G618" s="26">
        <v>3268125.74</v>
      </c>
      <c r="H618" t="s">
        <v>68</v>
      </c>
      <c r="I618" s="67"/>
      <c r="J618" s="67"/>
    </row>
    <row r="619" spans="1:10">
      <c r="A619" s="13" t="s">
        <v>1617</v>
      </c>
      <c r="B619" s="22" t="s">
        <v>1618</v>
      </c>
      <c r="C619" s="15" t="s">
        <v>74</v>
      </c>
      <c r="D619" s="16"/>
      <c r="E619" s="2">
        <v>10656779.35</v>
      </c>
      <c r="F619" s="23">
        <v>0.10113438259374302</v>
      </c>
      <c r="G619" s="26">
        <v>1077766.8</v>
      </c>
      <c r="H619" t="s">
        <v>68</v>
      </c>
      <c r="I619" s="67"/>
      <c r="J619" s="67"/>
    </row>
    <row r="620" spans="1:10">
      <c r="A620" s="19" t="s">
        <v>1619</v>
      </c>
      <c r="B620" s="20" t="s">
        <v>1620</v>
      </c>
      <c r="C620" s="19" t="s">
        <v>74</v>
      </c>
      <c r="D620" s="20"/>
      <c r="E620" s="3">
        <v>9036139.3399999999</v>
      </c>
      <c r="F620" s="24">
        <v>5.399793668963055E-2</v>
      </c>
      <c r="G620" s="26">
        <v>487932.88</v>
      </c>
      <c r="H620" t="s">
        <v>68</v>
      </c>
      <c r="I620" s="67" t="s">
        <v>1913</v>
      </c>
      <c r="J620" s="67"/>
    </row>
    <row r="621" spans="1:10">
      <c r="A621" s="17" t="s">
        <v>1802</v>
      </c>
      <c r="B621" s="18" t="s">
        <v>1803</v>
      </c>
      <c r="C621" s="19" t="s">
        <v>74</v>
      </c>
      <c r="D621" s="20"/>
      <c r="E621" s="3">
        <v>15517674.18</v>
      </c>
      <c r="F621" s="24">
        <v>4.6199511710588059E-2</v>
      </c>
      <c r="G621" s="26">
        <v>716908.97</v>
      </c>
      <c r="H621" t="s">
        <v>68</v>
      </c>
      <c r="I621" s="66">
        <f>SUM(G3:G621)</f>
        <v>1312828245.4999995</v>
      </c>
    </row>
    <row r="622" spans="1:10">
      <c r="A622" s="17" t="s">
        <v>152</v>
      </c>
      <c r="B622" s="21" t="s">
        <v>153</v>
      </c>
      <c r="C622" s="19" t="s">
        <v>72</v>
      </c>
      <c r="D622" s="20"/>
      <c r="E622" s="3">
        <v>13272749.470000001</v>
      </c>
      <c r="F622" s="24">
        <v>0.46772578914653462</v>
      </c>
      <c r="G622" s="26">
        <v>6208007.2199999997</v>
      </c>
      <c r="H622" t="s">
        <v>68</v>
      </c>
    </row>
    <row r="623" spans="1:10">
      <c r="A623" s="19" t="s">
        <v>256</v>
      </c>
      <c r="B623" s="20" t="s">
        <v>257</v>
      </c>
      <c r="C623" s="19" t="s">
        <v>72</v>
      </c>
      <c r="D623" s="20"/>
      <c r="E623" s="3">
        <v>204904.7</v>
      </c>
      <c r="F623" s="24">
        <v>0</v>
      </c>
      <c r="G623" s="26">
        <v>0</v>
      </c>
      <c r="H623" t="s">
        <v>68</v>
      </c>
    </row>
    <row r="624" spans="1:10">
      <c r="A624" s="13" t="s">
        <v>258</v>
      </c>
      <c r="B624" s="14" t="s">
        <v>259</v>
      </c>
      <c r="C624" s="15" t="s">
        <v>72</v>
      </c>
      <c r="D624" s="16"/>
      <c r="E624" s="2">
        <v>205403.19</v>
      </c>
      <c r="F624" s="23">
        <v>0</v>
      </c>
      <c r="G624" s="26">
        <v>0</v>
      </c>
      <c r="H624" t="s">
        <v>68</v>
      </c>
    </row>
    <row r="625" spans="1:8">
      <c r="A625" s="17" t="s">
        <v>260</v>
      </c>
      <c r="B625" s="21" t="s">
        <v>261</v>
      </c>
      <c r="C625" s="19" t="s">
        <v>72</v>
      </c>
      <c r="D625" s="20"/>
      <c r="E625" s="3">
        <v>204907.09</v>
      </c>
      <c r="F625" s="24">
        <v>0</v>
      </c>
      <c r="G625" s="26">
        <v>0</v>
      </c>
      <c r="H625" t="s">
        <v>68</v>
      </c>
    </row>
    <row r="626" spans="1:8">
      <c r="A626" s="15" t="s">
        <v>358</v>
      </c>
      <c r="B626" s="16" t="s">
        <v>359</v>
      </c>
      <c r="C626" s="15" t="s">
        <v>72</v>
      </c>
      <c r="D626" s="16"/>
      <c r="E626" s="2">
        <v>307911048.30000001</v>
      </c>
      <c r="F626" s="23">
        <v>0.39008865986833119</v>
      </c>
      <c r="G626" s="26">
        <v>120112608.19</v>
      </c>
      <c r="H626" t="s">
        <v>68</v>
      </c>
    </row>
    <row r="627" spans="1:8">
      <c r="A627" s="17" t="s">
        <v>360</v>
      </c>
      <c r="B627" s="21" t="s">
        <v>361</v>
      </c>
      <c r="C627" s="19" t="s">
        <v>72</v>
      </c>
      <c r="D627" s="20"/>
      <c r="E627" s="3">
        <v>30321614.07</v>
      </c>
      <c r="F627" s="24">
        <v>0.28275400083277952</v>
      </c>
      <c r="G627" s="26">
        <v>8573557.6899999995</v>
      </c>
      <c r="H627" t="s">
        <v>68</v>
      </c>
    </row>
    <row r="628" spans="1:8">
      <c r="A628" s="13" t="s">
        <v>362</v>
      </c>
      <c r="B628" s="14" t="s">
        <v>363</v>
      </c>
      <c r="C628" s="15" t="s">
        <v>72</v>
      </c>
      <c r="D628" s="16"/>
      <c r="E628" s="2">
        <v>32742400.109999999</v>
      </c>
      <c r="F628" s="23">
        <v>0.54995650439505916</v>
      </c>
      <c r="G628" s="26">
        <v>18006895.91</v>
      </c>
      <c r="H628" t="s">
        <v>68</v>
      </c>
    </row>
    <row r="629" spans="1:8">
      <c r="A629" s="19" t="s">
        <v>364</v>
      </c>
      <c r="B629" s="20" t="s">
        <v>365</v>
      </c>
      <c r="C629" s="19" t="s">
        <v>72</v>
      </c>
      <c r="D629" s="20"/>
      <c r="E629" s="3">
        <v>40237484.840000004</v>
      </c>
      <c r="F629" s="24">
        <v>0.30262771538580091</v>
      </c>
      <c r="G629" s="26">
        <v>12176978.109999999</v>
      </c>
      <c r="H629" t="s">
        <v>68</v>
      </c>
    </row>
    <row r="630" spans="1:8">
      <c r="A630" s="13" t="s">
        <v>366</v>
      </c>
      <c r="B630" s="14" t="s">
        <v>367</v>
      </c>
      <c r="C630" s="15" t="s">
        <v>72</v>
      </c>
      <c r="D630" s="16"/>
      <c r="E630" s="2">
        <v>29275566.309999999</v>
      </c>
      <c r="F630" s="23">
        <v>0.5871567674552014</v>
      </c>
      <c r="G630" s="26">
        <v>17189346.879999999</v>
      </c>
      <c r="H630" t="s">
        <v>68</v>
      </c>
    </row>
    <row r="631" spans="1:8">
      <c r="A631" s="17" t="s">
        <v>368</v>
      </c>
      <c r="B631" s="21" t="s">
        <v>369</v>
      </c>
      <c r="C631" s="19" t="s">
        <v>72</v>
      </c>
      <c r="D631" s="20"/>
      <c r="E631" s="3">
        <v>42958715.689999998</v>
      </c>
      <c r="F631" s="24">
        <v>0.35632779807621856</v>
      </c>
      <c r="G631" s="26">
        <v>15307384.570000002</v>
      </c>
      <c r="H631" t="s">
        <v>68</v>
      </c>
    </row>
    <row r="632" spans="1:8">
      <c r="A632" s="15" t="s">
        <v>370</v>
      </c>
      <c r="B632" s="16" t="s">
        <v>371</v>
      </c>
      <c r="C632" s="15" t="s">
        <v>72</v>
      </c>
      <c r="D632" s="16"/>
      <c r="E632" s="2">
        <v>26540939.359999999</v>
      </c>
      <c r="F632" s="23">
        <v>0.70792130132051212</v>
      </c>
      <c r="G632" s="26">
        <v>18788896.329999998</v>
      </c>
      <c r="H632" t="s">
        <v>68</v>
      </c>
    </row>
    <row r="633" spans="1:8">
      <c r="A633" s="17" t="s">
        <v>372</v>
      </c>
      <c r="B633" s="21" t="s">
        <v>373</v>
      </c>
      <c r="C633" s="19" t="s">
        <v>72</v>
      </c>
      <c r="D633" s="20"/>
      <c r="E633" s="3">
        <v>32237838.699999999</v>
      </c>
      <c r="F633" s="24">
        <v>0.856244265841556</v>
      </c>
      <c r="G633" s="26">
        <v>27603464.530000001</v>
      </c>
      <c r="H633" t="s">
        <v>68</v>
      </c>
    </row>
    <row r="634" spans="1:8">
      <c r="A634" s="13" t="s">
        <v>374</v>
      </c>
      <c r="B634" s="14" t="s">
        <v>587</v>
      </c>
      <c r="C634" s="15" t="s">
        <v>72</v>
      </c>
      <c r="D634" s="16"/>
      <c r="E634" s="2">
        <v>48210983.43</v>
      </c>
      <c r="F634" s="23">
        <v>0.7433205622538781</v>
      </c>
      <c r="G634" s="26">
        <v>35836215.310000002</v>
      </c>
      <c r="H634" t="s">
        <v>68</v>
      </c>
    </row>
    <row r="635" spans="1:8">
      <c r="A635" s="19" t="s">
        <v>588</v>
      </c>
      <c r="B635" s="20" t="s">
        <v>589</v>
      </c>
      <c r="C635" s="19" t="s">
        <v>72</v>
      </c>
      <c r="D635" s="20"/>
      <c r="E635" s="3">
        <v>15106600.300000001</v>
      </c>
      <c r="F635" s="24">
        <v>0.2070188386463101</v>
      </c>
      <c r="G635" s="26">
        <v>3127350.85</v>
      </c>
      <c r="H635" t="s">
        <v>68</v>
      </c>
    </row>
    <row r="636" spans="1:8">
      <c r="A636" s="13" t="s">
        <v>590</v>
      </c>
      <c r="B636" s="14" t="s">
        <v>591</v>
      </c>
      <c r="C636" s="15" t="s">
        <v>72</v>
      </c>
      <c r="D636" s="16"/>
      <c r="E636" s="2">
        <v>22731351.550000001</v>
      </c>
      <c r="F636" s="23">
        <v>0.36000094195894827</v>
      </c>
      <c r="G636" s="26">
        <v>8183307.9699999988</v>
      </c>
      <c r="H636" t="s">
        <v>68</v>
      </c>
    </row>
    <row r="637" spans="1:8">
      <c r="A637" s="17" t="s">
        <v>592</v>
      </c>
      <c r="B637" s="21" t="s">
        <v>593</v>
      </c>
      <c r="C637" s="19" t="s">
        <v>72</v>
      </c>
      <c r="D637" s="20"/>
      <c r="E637" s="3">
        <v>19764606.469999999</v>
      </c>
      <c r="F637" s="24">
        <v>0.4597458863545994</v>
      </c>
      <c r="G637" s="26">
        <v>9086696.5199999996</v>
      </c>
      <c r="H637" t="s">
        <v>68</v>
      </c>
    </row>
    <row r="638" spans="1:8">
      <c r="A638" s="15" t="s">
        <v>594</v>
      </c>
      <c r="B638" s="16" t="s">
        <v>595</v>
      </c>
      <c r="C638" s="15" t="s">
        <v>72</v>
      </c>
      <c r="D638" s="16"/>
      <c r="E638" s="2">
        <v>10690220.98</v>
      </c>
      <c r="F638" s="23">
        <v>0.49849369250363246</v>
      </c>
      <c r="G638" s="26">
        <v>5329007.7300000004</v>
      </c>
      <c r="H638" t="s">
        <v>68</v>
      </c>
    </row>
    <row r="639" spans="1:8">
      <c r="A639" s="17" t="s">
        <v>596</v>
      </c>
      <c r="B639" s="21" t="s">
        <v>597</v>
      </c>
      <c r="C639" s="19" t="s">
        <v>72</v>
      </c>
      <c r="D639" s="20"/>
      <c r="E639" s="3">
        <v>90945144.790000007</v>
      </c>
      <c r="F639" s="24">
        <v>0.79860708262884716</v>
      </c>
      <c r="G639" s="26">
        <v>72629436.760000005</v>
      </c>
      <c r="H639" t="s">
        <v>68</v>
      </c>
    </row>
    <row r="640" spans="1:8">
      <c r="A640" s="13" t="s">
        <v>598</v>
      </c>
      <c r="B640" s="14" t="s">
        <v>599</v>
      </c>
      <c r="C640" s="15" t="s">
        <v>72</v>
      </c>
      <c r="D640" s="16"/>
      <c r="E640" s="2">
        <v>31536525.390000001</v>
      </c>
      <c r="F640" s="23">
        <v>0.77397495469617428</v>
      </c>
      <c r="G640" s="26">
        <v>24408480.809999999</v>
      </c>
      <c r="H640" t="s">
        <v>68</v>
      </c>
    </row>
    <row r="641" spans="1:12">
      <c r="A641" s="19" t="s">
        <v>600</v>
      </c>
      <c r="B641" s="20" t="s">
        <v>601</v>
      </c>
      <c r="C641" s="19" t="s">
        <v>72</v>
      </c>
      <c r="D641" s="20"/>
      <c r="E641" s="3">
        <v>30994229.449999999</v>
      </c>
      <c r="F641" s="24">
        <v>0.64488764407724286</v>
      </c>
      <c r="G641" s="26">
        <v>19987795.609999999</v>
      </c>
      <c r="H641" t="s">
        <v>68</v>
      </c>
    </row>
    <row r="642" spans="1:12">
      <c r="A642" s="13" t="s">
        <v>602</v>
      </c>
      <c r="B642" s="14" t="s">
        <v>603</v>
      </c>
      <c r="C642" s="15" t="s">
        <v>72</v>
      </c>
      <c r="D642" s="16"/>
      <c r="E642" s="2">
        <v>48468462.549999997</v>
      </c>
      <c r="F642" s="23">
        <v>0.7573131442354778</v>
      </c>
      <c r="G642" s="26">
        <v>36705803.770000003</v>
      </c>
      <c r="H642" t="s">
        <v>68</v>
      </c>
    </row>
    <row r="643" spans="1:12">
      <c r="A643" s="17" t="s">
        <v>604</v>
      </c>
      <c r="B643" s="21" t="s">
        <v>605</v>
      </c>
      <c r="C643" s="19" t="s">
        <v>72</v>
      </c>
      <c r="D643" s="20"/>
      <c r="E643" s="3">
        <v>13468889.23</v>
      </c>
      <c r="F643" s="24">
        <v>0.81318282918271489</v>
      </c>
      <c r="G643" s="26">
        <v>10952669.449999999</v>
      </c>
      <c r="H643" t="s">
        <v>68</v>
      </c>
    </row>
    <row r="644" spans="1:12">
      <c r="A644" s="15" t="s">
        <v>606</v>
      </c>
      <c r="B644" s="16" t="s">
        <v>607</v>
      </c>
      <c r="C644" s="15" t="s">
        <v>72</v>
      </c>
      <c r="D644" s="16"/>
      <c r="E644" s="2">
        <v>59778905.079999998</v>
      </c>
      <c r="F644" s="23">
        <v>0.52257676446555623</v>
      </c>
      <c r="G644" s="26">
        <v>31239066.800000001</v>
      </c>
      <c r="H644" t="s">
        <v>68</v>
      </c>
    </row>
    <row r="645" spans="1:12">
      <c r="A645" s="17" t="s">
        <v>608</v>
      </c>
      <c r="B645" s="21" t="s">
        <v>609</v>
      </c>
      <c r="C645" s="19" t="s">
        <v>72</v>
      </c>
      <c r="D645" s="20"/>
      <c r="E645" s="3">
        <v>18066404.300000001</v>
      </c>
      <c r="F645" s="24">
        <v>0.55226099916296012</v>
      </c>
      <c r="G645" s="26">
        <v>9977370.4900000002</v>
      </c>
      <c r="H645" t="s">
        <v>68</v>
      </c>
    </row>
    <row r="646" spans="1:12">
      <c r="A646" s="13" t="s">
        <v>610</v>
      </c>
      <c r="B646" s="14" t="s">
        <v>611</v>
      </c>
      <c r="C646" s="15" t="s">
        <v>72</v>
      </c>
      <c r="D646" s="16"/>
      <c r="E646" s="2">
        <v>17173797.93</v>
      </c>
      <c r="F646" s="23">
        <v>0.371813722627165</v>
      </c>
      <c r="G646" s="26">
        <v>6385453.7400000002</v>
      </c>
      <c r="H646" t="s">
        <v>68</v>
      </c>
    </row>
    <row r="647" spans="1:12">
      <c r="A647" s="19" t="s">
        <v>612</v>
      </c>
      <c r="B647" s="20" t="s">
        <v>613</v>
      </c>
      <c r="C647" s="19" t="s">
        <v>72</v>
      </c>
      <c r="D647" s="20"/>
      <c r="E647" s="3">
        <v>20526336.670000002</v>
      </c>
      <c r="F647" s="24">
        <v>0.25042795909670712</v>
      </c>
      <c r="G647" s="26">
        <v>5140368.5999999996</v>
      </c>
      <c r="H647" t="s">
        <v>68</v>
      </c>
    </row>
    <row r="648" spans="1:12">
      <c r="A648" s="13" t="s">
        <v>614</v>
      </c>
      <c r="B648" s="14" t="s">
        <v>394</v>
      </c>
      <c r="C648" s="15" t="s">
        <v>72</v>
      </c>
      <c r="D648" s="16"/>
      <c r="E648" s="2">
        <v>13929004.85</v>
      </c>
      <c r="F648" s="23">
        <v>0.1817738587405259</v>
      </c>
      <c r="G648" s="26">
        <v>2531928.96</v>
      </c>
      <c r="H648" t="s">
        <v>68</v>
      </c>
    </row>
    <row r="649" spans="1:12">
      <c r="A649" s="17" t="s">
        <v>395</v>
      </c>
      <c r="B649" s="21" t="s">
        <v>396</v>
      </c>
      <c r="C649" s="19" t="s">
        <v>72</v>
      </c>
      <c r="D649" s="20"/>
      <c r="E649" s="3">
        <v>116056861.73</v>
      </c>
      <c r="F649" s="24">
        <v>0.2959220513811493</v>
      </c>
      <c r="G649" s="26">
        <v>34343784.600000001</v>
      </c>
      <c r="H649" t="s">
        <v>68</v>
      </c>
    </row>
    <row r="650" spans="1:12">
      <c r="A650" s="15" t="s">
        <v>397</v>
      </c>
      <c r="B650" s="16" t="s">
        <v>398</v>
      </c>
      <c r="C650" s="15" t="s">
        <v>72</v>
      </c>
      <c r="D650" s="16"/>
      <c r="E650" s="2">
        <v>30424849.309999999</v>
      </c>
      <c r="F650" s="23">
        <v>0.51164556647067916</v>
      </c>
      <c r="G650" s="26">
        <v>15566739.260000002</v>
      </c>
      <c r="H650" t="s">
        <v>68</v>
      </c>
    </row>
    <row r="651" spans="1:12">
      <c r="A651" s="17" t="s">
        <v>399</v>
      </c>
      <c r="B651" s="21" t="s">
        <v>400</v>
      </c>
      <c r="C651" s="19" t="s">
        <v>72</v>
      </c>
      <c r="D651" s="20"/>
      <c r="E651" s="3">
        <v>74911637.209999993</v>
      </c>
      <c r="F651" s="24">
        <v>0.72290354472149976</v>
      </c>
      <c r="G651" s="26">
        <v>54153888.079999998</v>
      </c>
      <c r="H651" t="s">
        <v>68</v>
      </c>
    </row>
    <row r="652" spans="1:12">
      <c r="A652" s="13" t="s">
        <v>401</v>
      </c>
      <c r="B652" s="14" t="s">
        <v>402</v>
      </c>
      <c r="C652" s="15" t="s">
        <v>72</v>
      </c>
      <c r="D652" s="16"/>
      <c r="E652" s="2">
        <v>29309539.07</v>
      </c>
      <c r="F652" s="23">
        <v>0.50318171448473747</v>
      </c>
      <c r="G652" s="26">
        <v>14748024.119999997</v>
      </c>
      <c r="H652" t="s">
        <v>68</v>
      </c>
    </row>
    <row r="653" spans="1:12">
      <c r="A653" s="19" t="s">
        <v>403</v>
      </c>
      <c r="B653" s="20" t="s">
        <v>404</v>
      </c>
      <c r="C653" s="19" t="s">
        <v>72</v>
      </c>
      <c r="D653" s="20"/>
      <c r="E653" s="3">
        <v>455397346.29000002</v>
      </c>
      <c r="F653" s="24">
        <v>0.55818662770187921</v>
      </c>
      <c r="G653" s="26">
        <v>254196708.99000001</v>
      </c>
      <c r="H653" t="s">
        <v>68</v>
      </c>
    </row>
    <row r="654" spans="1:12">
      <c r="A654" s="13" t="s">
        <v>405</v>
      </c>
      <c r="B654" s="14" t="s">
        <v>406</v>
      </c>
      <c r="C654" s="15" t="s">
        <v>72</v>
      </c>
      <c r="D654" s="16"/>
      <c r="E654" s="2">
        <v>22744503.600000001</v>
      </c>
      <c r="F654" s="23">
        <v>0.45315845143351463</v>
      </c>
      <c r="G654" s="26">
        <v>10306864.029999999</v>
      </c>
      <c r="H654" t="s">
        <v>68</v>
      </c>
    </row>
    <row r="655" spans="1:12">
      <c r="A655" s="17" t="s">
        <v>407</v>
      </c>
      <c r="B655" s="21" t="s">
        <v>408</v>
      </c>
      <c r="C655" s="19" t="s">
        <v>72</v>
      </c>
      <c r="D655" s="20"/>
      <c r="E655" s="3">
        <v>18569454.02</v>
      </c>
      <c r="F655" s="24">
        <v>0.25178847019218931</v>
      </c>
      <c r="G655" s="26">
        <v>4675574.42</v>
      </c>
      <c r="H655" t="s">
        <v>68</v>
      </c>
    </row>
    <row r="656" spans="1:12">
      <c r="A656" s="77" t="s">
        <v>409</v>
      </c>
      <c r="B656" s="78" t="s">
        <v>410</v>
      </c>
      <c r="C656" s="77" t="s">
        <v>72</v>
      </c>
      <c r="D656" s="78"/>
      <c r="E656" s="79">
        <v>711491489.63</v>
      </c>
      <c r="F656" s="80">
        <v>0.3100519744160527</v>
      </c>
      <c r="G656" s="81">
        <v>220599341.13999999</v>
      </c>
      <c r="H656" s="69" t="s">
        <v>68</v>
      </c>
      <c r="I656" s="69"/>
      <c r="J656" s="69"/>
      <c r="K656" s="69"/>
      <c r="L656" s="69" t="s">
        <v>1814</v>
      </c>
    </row>
    <row r="657" spans="1:12">
      <c r="A657" s="17" t="s">
        <v>411</v>
      </c>
      <c r="B657" s="21" t="s">
        <v>412</v>
      </c>
      <c r="C657" s="19" t="s">
        <v>72</v>
      </c>
      <c r="D657" s="20"/>
      <c r="E657" s="3">
        <v>98409786.879999995</v>
      </c>
      <c r="F657" s="24">
        <v>0.6528364897115404</v>
      </c>
      <c r="G657" s="26">
        <v>64245499.82</v>
      </c>
      <c r="H657" t="s">
        <v>68</v>
      </c>
    </row>
    <row r="658" spans="1:12">
      <c r="A658" s="13" t="s">
        <v>413</v>
      </c>
      <c r="B658" s="14" t="s">
        <v>414</v>
      </c>
      <c r="C658" s="15" t="s">
        <v>72</v>
      </c>
      <c r="D658" s="16"/>
      <c r="E658" s="2">
        <v>696640716.53999996</v>
      </c>
      <c r="F658" s="23">
        <v>0.53949388479135829</v>
      </c>
      <c r="G658" s="26">
        <v>375833406.47000003</v>
      </c>
      <c r="H658" t="s">
        <v>68</v>
      </c>
    </row>
    <row r="659" spans="1:12">
      <c r="A659" s="19" t="s">
        <v>415</v>
      </c>
      <c r="B659" s="20" t="s">
        <v>416</v>
      </c>
      <c r="C659" s="19" t="s">
        <v>72</v>
      </c>
      <c r="D659" s="20"/>
      <c r="E659" s="3">
        <v>19640706.07</v>
      </c>
      <c r="F659" s="24">
        <v>0.25151964457864318</v>
      </c>
      <c r="G659" s="26">
        <v>4940023.41</v>
      </c>
      <c r="H659" t="s">
        <v>68</v>
      </c>
    </row>
    <row r="660" spans="1:12">
      <c r="A660" s="13" t="s">
        <v>417</v>
      </c>
      <c r="B660" s="14" t="s">
        <v>418</v>
      </c>
      <c r="C660" s="15" t="s">
        <v>72</v>
      </c>
      <c r="D660" s="16"/>
      <c r="E660" s="2">
        <v>16690161.66</v>
      </c>
      <c r="F660" s="23">
        <v>0.37029618142116905</v>
      </c>
      <c r="G660" s="26">
        <v>6180303.1299999999</v>
      </c>
      <c r="H660" t="s">
        <v>68</v>
      </c>
    </row>
    <row r="661" spans="1:12">
      <c r="A661" s="17" t="s">
        <v>419</v>
      </c>
      <c r="B661" s="21" t="s">
        <v>420</v>
      </c>
      <c r="C661" s="19" t="s">
        <v>72</v>
      </c>
      <c r="D661" s="20"/>
      <c r="E661" s="3">
        <v>46276611.859999999</v>
      </c>
      <c r="F661" s="24">
        <v>0.65536885266690736</v>
      </c>
      <c r="G661" s="26">
        <v>30328250.019999996</v>
      </c>
      <c r="H661" t="s">
        <v>68</v>
      </c>
    </row>
    <row r="662" spans="1:12">
      <c r="A662" s="77" t="s">
        <v>421</v>
      </c>
      <c r="B662" s="78" t="s">
        <v>422</v>
      </c>
      <c r="C662" s="77" t="s">
        <v>72</v>
      </c>
      <c r="D662" s="78"/>
      <c r="E662" s="79">
        <v>209025743.63999999</v>
      </c>
      <c r="F662" s="80">
        <v>0.39378958183143348</v>
      </c>
      <c r="G662" s="81">
        <v>82312160.180000007</v>
      </c>
      <c r="H662" s="69" t="s">
        <v>68</v>
      </c>
      <c r="I662" s="69"/>
      <c r="J662" s="69"/>
      <c r="K662" s="69"/>
      <c r="L662" s="69" t="s">
        <v>1812</v>
      </c>
    </row>
    <row r="663" spans="1:12">
      <c r="A663" s="17" t="s">
        <v>423</v>
      </c>
      <c r="B663" s="21" t="s">
        <v>424</v>
      </c>
      <c r="C663" s="19" t="s">
        <v>72</v>
      </c>
      <c r="D663" s="20"/>
      <c r="E663" s="3">
        <v>14444274.01</v>
      </c>
      <c r="F663" s="24">
        <v>0.65159094832208875</v>
      </c>
      <c r="G663" s="26">
        <v>9411758.1999999993</v>
      </c>
      <c r="H663" t="s">
        <v>68</v>
      </c>
    </row>
    <row r="664" spans="1:12">
      <c r="A664" s="13" t="s">
        <v>425</v>
      </c>
      <c r="B664" s="14" t="s">
        <v>426</v>
      </c>
      <c r="C664" s="15" t="s">
        <v>72</v>
      </c>
      <c r="D664" s="16"/>
      <c r="E664" s="2">
        <v>22578644.68</v>
      </c>
      <c r="F664" s="23">
        <v>0.4066241778512279</v>
      </c>
      <c r="G664" s="26">
        <v>9181022.8300000001</v>
      </c>
      <c r="H664" t="s">
        <v>68</v>
      </c>
    </row>
    <row r="665" spans="1:12">
      <c r="A665" s="19" t="s">
        <v>427</v>
      </c>
      <c r="B665" s="20" t="s">
        <v>428</v>
      </c>
      <c r="C665" s="19" t="s">
        <v>72</v>
      </c>
      <c r="D665" s="20"/>
      <c r="E665" s="3">
        <v>40689416.700000003</v>
      </c>
      <c r="F665" s="24">
        <v>0.58622417828860152</v>
      </c>
      <c r="G665" s="26">
        <v>23853119.870000001</v>
      </c>
      <c r="H665" t="s">
        <v>68</v>
      </c>
    </row>
    <row r="666" spans="1:12">
      <c r="A666" s="13" t="s">
        <v>429</v>
      </c>
      <c r="B666" s="14" t="s">
        <v>430</v>
      </c>
      <c r="C666" s="15" t="s">
        <v>72</v>
      </c>
      <c r="D666" s="16"/>
      <c r="E666" s="2">
        <v>9189823.3000000007</v>
      </c>
      <c r="F666" s="23">
        <v>0.58222160484848495</v>
      </c>
      <c r="G666" s="26">
        <v>5350513.6700000009</v>
      </c>
      <c r="H666" t="s">
        <v>68</v>
      </c>
    </row>
    <row r="667" spans="1:12">
      <c r="A667" s="17" t="s">
        <v>431</v>
      </c>
      <c r="B667" s="21" t="s">
        <v>432</v>
      </c>
      <c r="C667" s="19" t="s">
        <v>72</v>
      </c>
      <c r="D667" s="20"/>
      <c r="E667" s="3">
        <v>20473083.920000002</v>
      </c>
      <c r="F667" s="24">
        <v>0.55986735680806021</v>
      </c>
      <c r="G667" s="26">
        <v>11462211.380000001</v>
      </c>
      <c r="H667" t="s">
        <v>68</v>
      </c>
    </row>
    <row r="668" spans="1:12">
      <c r="A668" s="15" t="s">
        <v>433</v>
      </c>
      <c r="B668" s="16" t="s">
        <v>434</v>
      </c>
      <c r="C668" s="15" t="s">
        <v>72</v>
      </c>
      <c r="D668" s="16"/>
      <c r="E668" s="2">
        <v>57785808.520000003</v>
      </c>
      <c r="F668" s="23">
        <v>0.24460833000385954</v>
      </c>
      <c r="G668" s="26">
        <v>14134890.119999999</v>
      </c>
      <c r="H668" t="s">
        <v>68</v>
      </c>
    </row>
    <row r="669" spans="1:12">
      <c r="A669" s="17" t="s">
        <v>435</v>
      </c>
      <c r="B669" s="21" t="s">
        <v>436</v>
      </c>
      <c r="C669" s="19" t="s">
        <v>72</v>
      </c>
      <c r="D669" s="20"/>
      <c r="E669" s="3">
        <v>25065118.539999999</v>
      </c>
      <c r="F669" s="24">
        <v>0.18016359239608049</v>
      </c>
      <c r="G669" s="26">
        <v>4515821.8</v>
      </c>
      <c r="H669" t="s">
        <v>68</v>
      </c>
    </row>
    <row r="670" spans="1:12">
      <c r="A670" s="13" t="s">
        <v>437</v>
      </c>
      <c r="B670" s="14" t="s">
        <v>438</v>
      </c>
      <c r="C670" s="15" t="s">
        <v>72</v>
      </c>
      <c r="D670" s="16"/>
      <c r="E670" s="2">
        <v>10582408.880000001</v>
      </c>
      <c r="F670" s="23">
        <v>0.23710321330921771</v>
      </c>
      <c r="G670" s="26">
        <v>2509123.15</v>
      </c>
      <c r="H670" t="s">
        <v>68</v>
      </c>
    </row>
    <row r="671" spans="1:12">
      <c r="A671" s="19" t="s">
        <v>439</v>
      </c>
      <c r="B671" s="20" t="s">
        <v>440</v>
      </c>
      <c r="C671" s="19" t="s">
        <v>72</v>
      </c>
      <c r="D671" s="20"/>
      <c r="E671" s="3">
        <v>19925240.859999999</v>
      </c>
      <c r="F671" s="24">
        <v>0.5039198406959684</v>
      </c>
      <c r="G671" s="26">
        <v>10040724.199999999</v>
      </c>
      <c r="H671" t="s">
        <v>68</v>
      </c>
    </row>
    <row r="672" spans="1:12">
      <c r="A672" s="13" t="s">
        <v>441</v>
      </c>
      <c r="B672" s="14" t="s">
        <v>442</v>
      </c>
      <c r="C672" s="15" t="s">
        <v>72</v>
      </c>
      <c r="D672" s="16"/>
      <c r="E672" s="2">
        <v>76055634</v>
      </c>
      <c r="F672" s="23">
        <v>0.4758601191859107</v>
      </c>
      <c r="G672" s="26">
        <v>36191843.060000002</v>
      </c>
      <c r="H672" t="s">
        <v>68</v>
      </c>
    </row>
    <row r="673" spans="1:8">
      <c r="A673" s="17" t="s">
        <v>443</v>
      </c>
      <c r="B673" s="21" t="s">
        <v>444</v>
      </c>
      <c r="C673" s="19" t="s">
        <v>72</v>
      </c>
      <c r="D673" s="20"/>
      <c r="E673" s="3">
        <v>75583917.049999997</v>
      </c>
      <c r="F673" s="24">
        <v>0.54543351626945091</v>
      </c>
      <c r="G673" s="26">
        <v>41226001.649999999</v>
      </c>
      <c r="H673" t="s">
        <v>68</v>
      </c>
    </row>
    <row r="674" spans="1:8">
      <c r="A674" s="15" t="s">
        <v>445</v>
      </c>
      <c r="B674" s="16" t="s">
        <v>446</v>
      </c>
      <c r="C674" s="15" t="s">
        <v>72</v>
      </c>
      <c r="D674" s="16"/>
      <c r="E674" s="2">
        <v>40189558.159999996</v>
      </c>
      <c r="F674" s="23">
        <v>0.41956233116248826</v>
      </c>
      <c r="G674" s="26">
        <v>16862024.710000001</v>
      </c>
      <c r="H674" t="s">
        <v>68</v>
      </c>
    </row>
    <row r="675" spans="1:8">
      <c r="A675" s="17" t="s">
        <v>447</v>
      </c>
      <c r="B675" s="21" t="s">
        <v>448</v>
      </c>
      <c r="C675" s="19" t="s">
        <v>72</v>
      </c>
      <c r="D675" s="20"/>
      <c r="E675" s="3">
        <v>21089156.25</v>
      </c>
      <c r="F675" s="24">
        <v>0.77315716744239116</v>
      </c>
      <c r="G675" s="26">
        <v>16305232.310000001</v>
      </c>
      <c r="H675" t="s">
        <v>68</v>
      </c>
    </row>
    <row r="676" spans="1:8">
      <c r="A676" s="13" t="s">
        <v>449</v>
      </c>
      <c r="B676" s="14" t="s">
        <v>450</v>
      </c>
      <c r="C676" s="15" t="s">
        <v>72</v>
      </c>
      <c r="D676" s="16"/>
      <c r="E676" s="2">
        <v>59118390</v>
      </c>
      <c r="F676" s="23">
        <v>0.54132197476961064</v>
      </c>
      <c r="G676" s="26">
        <v>32002083.620000001</v>
      </c>
      <c r="H676" t="s">
        <v>68</v>
      </c>
    </row>
    <row r="677" spans="1:8">
      <c r="A677" s="19" t="s">
        <v>451</v>
      </c>
      <c r="B677" s="20" t="s">
        <v>452</v>
      </c>
      <c r="C677" s="19" t="s">
        <v>72</v>
      </c>
      <c r="D677" s="20"/>
      <c r="E677" s="3">
        <v>23926241.140000001</v>
      </c>
      <c r="F677" s="24">
        <v>0.40985723844460087</v>
      </c>
      <c r="G677" s="26">
        <v>9806343.1199999992</v>
      </c>
      <c r="H677" t="s">
        <v>68</v>
      </c>
    </row>
    <row r="678" spans="1:8">
      <c r="A678" s="13" t="s">
        <v>453</v>
      </c>
      <c r="B678" s="14" t="s">
        <v>454</v>
      </c>
      <c r="C678" s="15" t="s">
        <v>72</v>
      </c>
      <c r="D678" s="16"/>
      <c r="E678" s="2">
        <v>28030840.309999999</v>
      </c>
      <c r="F678" s="23">
        <v>0.52291325368404562</v>
      </c>
      <c r="G678" s="26">
        <v>14657697.910000002</v>
      </c>
      <c r="H678" t="s">
        <v>68</v>
      </c>
    </row>
    <row r="679" spans="1:8">
      <c r="A679" s="17" t="s">
        <v>455</v>
      </c>
      <c r="B679" s="21" t="s">
        <v>456</v>
      </c>
      <c r="C679" s="19" t="s">
        <v>72</v>
      </c>
      <c r="D679" s="20"/>
      <c r="E679" s="3">
        <v>38039247.960000001</v>
      </c>
      <c r="F679" s="24">
        <v>0.51440443540251313</v>
      </c>
      <c r="G679" s="26">
        <v>19567557.870000001</v>
      </c>
      <c r="H679" t="s">
        <v>68</v>
      </c>
    </row>
    <row r="680" spans="1:8">
      <c r="A680" s="15" t="s">
        <v>457</v>
      </c>
      <c r="B680" s="16" t="s">
        <v>458</v>
      </c>
      <c r="C680" s="15" t="s">
        <v>72</v>
      </c>
      <c r="D680" s="16"/>
      <c r="E680" s="2">
        <v>17359661.91</v>
      </c>
      <c r="F680" s="23">
        <v>0.3475564167827736</v>
      </c>
      <c r="G680" s="26">
        <v>6033461.8899999997</v>
      </c>
      <c r="H680" t="s">
        <v>68</v>
      </c>
    </row>
    <row r="681" spans="1:8">
      <c r="A681" s="17" t="s">
        <v>459</v>
      </c>
      <c r="B681" s="21" t="s">
        <v>460</v>
      </c>
      <c r="C681" s="19" t="s">
        <v>72</v>
      </c>
      <c r="D681" s="20"/>
      <c r="E681" s="3">
        <v>20089693.66</v>
      </c>
      <c r="F681" s="24">
        <v>0.28433308873063223</v>
      </c>
      <c r="G681" s="26">
        <v>5712164.6499999994</v>
      </c>
      <c r="H681" t="s">
        <v>68</v>
      </c>
    </row>
    <row r="682" spans="1:8">
      <c r="A682" s="13" t="s">
        <v>461</v>
      </c>
      <c r="B682" s="14" t="s">
        <v>462</v>
      </c>
      <c r="C682" s="15" t="s">
        <v>72</v>
      </c>
      <c r="D682" s="16"/>
      <c r="E682" s="2">
        <v>36662718.210000001</v>
      </c>
      <c r="F682" s="23">
        <v>0.4183691940718216</v>
      </c>
      <c r="G682" s="26">
        <v>15338551.869999999</v>
      </c>
      <c r="H682" t="s">
        <v>68</v>
      </c>
    </row>
    <row r="683" spans="1:8">
      <c r="A683" s="19" t="s">
        <v>463</v>
      </c>
      <c r="B683" s="20" t="s">
        <v>464</v>
      </c>
      <c r="C683" s="19" t="s">
        <v>72</v>
      </c>
      <c r="D683" s="20"/>
      <c r="E683" s="3">
        <v>23166627.800000001</v>
      </c>
      <c r="F683" s="24">
        <v>0.34366470462308718</v>
      </c>
      <c r="G683" s="26">
        <v>7961552.2999999998</v>
      </c>
      <c r="H683" t="s">
        <v>68</v>
      </c>
    </row>
    <row r="684" spans="1:8">
      <c r="A684" s="13" t="s">
        <v>465</v>
      </c>
      <c r="B684" s="14" t="s">
        <v>466</v>
      </c>
      <c r="C684" s="15" t="s">
        <v>72</v>
      </c>
      <c r="D684" s="16"/>
      <c r="E684" s="2">
        <v>15469545.689999999</v>
      </c>
      <c r="F684" s="23">
        <v>0.34241466660679937</v>
      </c>
      <c r="G684" s="26">
        <v>5296999.33</v>
      </c>
      <c r="H684" t="s">
        <v>68</v>
      </c>
    </row>
    <row r="685" spans="1:8">
      <c r="A685" s="17" t="s">
        <v>467</v>
      </c>
      <c r="B685" s="21" t="s">
        <v>468</v>
      </c>
      <c r="C685" s="19" t="s">
        <v>72</v>
      </c>
      <c r="D685" s="20"/>
      <c r="E685" s="3">
        <v>15099765.460000001</v>
      </c>
      <c r="F685" s="24">
        <v>0.74642180634241451</v>
      </c>
      <c r="G685" s="26">
        <v>11270794.210000001</v>
      </c>
      <c r="H685" t="s">
        <v>68</v>
      </c>
    </row>
    <row r="686" spans="1:8">
      <c r="A686" s="15" t="s">
        <v>469</v>
      </c>
      <c r="B686" s="16" t="s">
        <v>470</v>
      </c>
      <c r="C686" s="15" t="s">
        <v>72</v>
      </c>
      <c r="D686" s="16"/>
      <c r="E686" s="2">
        <v>41071987.07</v>
      </c>
      <c r="F686" s="23">
        <v>0.54995713018469261</v>
      </c>
      <c r="G686" s="26">
        <v>22587832.140000001</v>
      </c>
      <c r="H686" t="s">
        <v>68</v>
      </c>
    </row>
    <row r="687" spans="1:8">
      <c r="A687" s="17" t="s">
        <v>471</v>
      </c>
      <c r="B687" s="21" t="s">
        <v>472</v>
      </c>
      <c r="C687" s="19" t="s">
        <v>72</v>
      </c>
      <c r="D687" s="20"/>
      <c r="E687" s="3">
        <v>26477148.899999999</v>
      </c>
      <c r="F687" s="24">
        <v>0.44661079690494926</v>
      </c>
      <c r="G687" s="26">
        <v>11824980.57</v>
      </c>
      <c r="H687" t="s">
        <v>68</v>
      </c>
    </row>
    <row r="688" spans="1:8">
      <c r="A688" s="13" t="s">
        <v>473</v>
      </c>
      <c r="B688" s="14" t="s">
        <v>474</v>
      </c>
      <c r="C688" s="15" t="s">
        <v>72</v>
      </c>
      <c r="D688" s="16"/>
      <c r="E688" s="2">
        <v>81616180.319999993</v>
      </c>
      <c r="F688" s="23">
        <v>0.25739833532557554</v>
      </c>
      <c r="G688" s="26">
        <v>21007868.949999999</v>
      </c>
      <c r="H688" t="s">
        <v>68</v>
      </c>
    </row>
    <row r="689" spans="1:8">
      <c r="A689" s="19" t="s">
        <v>475</v>
      </c>
      <c r="B689" s="20" t="s">
        <v>476</v>
      </c>
      <c r="C689" s="19" t="s">
        <v>72</v>
      </c>
      <c r="D689" s="20"/>
      <c r="E689" s="3">
        <v>13853473.76</v>
      </c>
      <c r="F689" s="24">
        <v>0.57938514188227697</v>
      </c>
      <c r="G689" s="26">
        <v>8026496.8600000013</v>
      </c>
      <c r="H689" t="s">
        <v>68</v>
      </c>
    </row>
    <row r="690" spans="1:8">
      <c r="A690" s="13" t="s">
        <v>477</v>
      </c>
      <c r="B690" s="14" t="s">
        <v>478</v>
      </c>
      <c r="C690" s="15" t="s">
        <v>72</v>
      </c>
      <c r="D690" s="16"/>
      <c r="E690" s="2">
        <v>23627362.699999999</v>
      </c>
      <c r="F690" s="23">
        <v>0.36761943346305004</v>
      </c>
      <c r="G690" s="26">
        <v>8685877.6899999995</v>
      </c>
      <c r="H690" t="s">
        <v>68</v>
      </c>
    </row>
    <row r="691" spans="1:8">
      <c r="A691" s="17" t="s">
        <v>479</v>
      </c>
      <c r="B691" s="21" t="s">
        <v>698</v>
      </c>
      <c r="C691" s="19" t="s">
        <v>72</v>
      </c>
      <c r="D691" s="20"/>
      <c r="E691" s="3">
        <v>15874233.560000001</v>
      </c>
      <c r="F691" s="24">
        <v>0.70141620242105085</v>
      </c>
      <c r="G691" s="26">
        <v>11134444.619999999</v>
      </c>
      <c r="H691" t="s">
        <v>68</v>
      </c>
    </row>
    <row r="692" spans="1:8">
      <c r="A692" s="15" t="s">
        <v>699</v>
      </c>
      <c r="B692" s="16" t="s">
        <v>700</v>
      </c>
      <c r="C692" s="15" t="s">
        <v>72</v>
      </c>
      <c r="D692" s="16"/>
      <c r="E692" s="2">
        <v>14026612.189999999</v>
      </c>
      <c r="F692" s="23">
        <v>0.2460958885325823</v>
      </c>
      <c r="G692" s="26">
        <v>3451891.59</v>
      </c>
      <c r="H692" t="s">
        <v>68</v>
      </c>
    </row>
    <row r="693" spans="1:8">
      <c r="A693" s="17" t="s">
        <v>701</v>
      </c>
      <c r="B693" s="21" t="s">
        <v>702</v>
      </c>
      <c r="C693" s="19" t="s">
        <v>72</v>
      </c>
      <c r="D693" s="20"/>
      <c r="E693" s="3">
        <v>21876566.219999999</v>
      </c>
      <c r="F693" s="24">
        <v>0.27248549612645745</v>
      </c>
      <c r="G693" s="26">
        <v>5961047</v>
      </c>
      <c r="H693" t="s">
        <v>68</v>
      </c>
    </row>
    <row r="694" spans="1:8">
      <c r="A694" s="13" t="s">
        <v>703</v>
      </c>
      <c r="B694" s="14" t="s">
        <v>704</v>
      </c>
      <c r="C694" s="15" t="s">
        <v>72</v>
      </c>
      <c r="D694" s="16"/>
      <c r="E694" s="2">
        <v>42683193.149999999</v>
      </c>
      <c r="F694" s="23">
        <v>0.57587785978472428</v>
      </c>
      <c r="G694" s="26">
        <v>24580305.920000002</v>
      </c>
      <c r="H694" t="s">
        <v>68</v>
      </c>
    </row>
    <row r="695" spans="1:8">
      <c r="A695" s="19" t="s">
        <v>705</v>
      </c>
      <c r="B695" s="20" t="s">
        <v>706</v>
      </c>
      <c r="C695" s="19" t="s">
        <v>72</v>
      </c>
      <c r="D695" s="20"/>
      <c r="E695" s="3">
        <v>17829259.850000001</v>
      </c>
      <c r="F695" s="24">
        <v>0.40897126697045699</v>
      </c>
      <c r="G695" s="26">
        <v>7291654.9900000002</v>
      </c>
      <c r="H695" t="s">
        <v>68</v>
      </c>
    </row>
    <row r="696" spans="1:8">
      <c r="A696" s="13" t="s">
        <v>707</v>
      </c>
      <c r="B696" s="14" t="s">
        <v>708</v>
      </c>
      <c r="C696" s="15" t="s">
        <v>72</v>
      </c>
      <c r="D696" s="16"/>
      <c r="E696" s="2">
        <v>76561330.579999998</v>
      </c>
      <c r="F696" s="23">
        <v>0.70651084170329481</v>
      </c>
      <c r="G696" s="26">
        <v>54091410.109999999</v>
      </c>
      <c r="H696" t="s">
        <v>68</v>
      </c>
    </row>
    <row r="697" spans="1:8">
      <c r="A697" s="17" t="s">
        <v>709</v>
      </c>
      <c r="B697" s="21" t="s">
        <v>710</v>
      </c>
      <c r="C697" s="19" t="s">
        <v>72</v>
      </c>
      <c r="D697" s="20"/>
      <c r="E697" s="3">
        <v>70620348.269999996</v>
      </c>
      <c r="F697" s="24">
        <v>0.59304321100029611</v>
      </c>
      <c r="G697" s="26">
        <v>41880918.100000001</v>
      </c>
      <c r="H697" t="s">
        <v>68</v>
      </c>
    </row>
    <row r="698" spans="1:8">
      <c r="A698" s="15" t="s">
        <v>711</v>
      </c>
      <c r="B698" s="16" t="s">
        <v>712</v>
      </c>
      <c r="C698" s="15" t="s">
        <v>72</v>
      </c>
      <c r="D698" s="16"/>
      <c r="E698" s="2">
        <v>52975437.609999999</v>
      </c>
      <c r="F698" s="23">
        <v>0.53386795175168733</v>
      </c>
      <c r="G698" s="26">
        <v>28281888.370000001</v>
      </c>
      <c r="H698" t="s">
        <v>68</v>
      </c>
    </row>
    <row r="699" spans="1:8">
      <c r="A699" s="17" t="s">
        <v>713</v>
      </c>
      <c r="B699" s="21" t="s">
        <v>714</v>
      </c>
      <c r="C699" s="19" t="s">
        <v>72</v>
      </c>
      <c r="D699" s="20"/>
      <c r="E699" s="3">
        <v>41493644.530000001</v>
      </c>
      <c r="F699" s="24">
        <v>0.47422011233005562</v>
      </c>
      <c r="G699" s="26">
        <v>19677120.77</v>
      </c>
      <c r="H699" t="s">
        <v>68</v>
      </c>
    </row>
    <row r="700" spans="1:8">
      <c r="A700" s="13" t="s">
        <v>715</v>
      </c>
      <c r="B700" s="14" t="s">
        <v>716</v>
      </c>
      <c r="C700" s="15" t="s">
        <v>72</v>
      </c>
      <c r="D700" s="16"/>
      <c r="E700" s="2">
        <v>49260092.880000003</v>
      </c>
      <c r="F700" s="23">
        <v>0.2209180911718979</v>
      </c>
      <c r="G700" s="26">
        <v>10882445.689999999</v>
      </c>
      <c r="H700" t="s">
        <v>68</v>
      </c>
    </row>
    <row r="701" spans="1:8">
      <c r="A701" s="19" t="s">
        <v>717</v>
      </c>
      <c r="B701" s="20" t="s">
        <v>718</v>
      </c>
      <c r="C701" s="19" t="s">
        <v>72</v>
      </c>
      <c r="D701" s="20"/>
      <c r="E701" s="3">
        <v>8226898.5700000003</v>
      </c>
      <c r="F701" s="24">
        <v>0.57280500785364608</v>
      </c>
      <c r="G701" s="26">
        <v>4712408.7</v>
      </c>
      <c r="H701" t="s">
        <v>68</v>
      </c>
    </row>
    <row r="702" spans="1:8">
      <c r="A702" s="13" t="s">
        <v>719</v>
      </c>
      <c r="B702" s="14" t="s">
        <v>720</v>
      </c>
      <c r="C702" s="15" t="s">
        <v>72</v>
      </c>
      <c r="D702" s="16"/>
      <c r="E702" s="2">
        <v>34721668.590000004</v>
      </c>
      <c r="F702" s="23">
        <v>0.30328679950112958</v>
      </c>
      <c r="G702" s="26">
        <v>10530623.74</v>
      </c>
      <c r="H702" t="s">
        <v>68</v>
      </c>
    </row>
    <row r="703" spans="1:8">
      <c r="A703" s="17" t="s">
        <v>721</v>
      </c>
      <c r="B703" s="21" t="s">
        <v>722</v>
      </c>
      <c r="C703" s="19" t="s">
        <v>72</v>
      </c>
      <c r="D703" s="20"/>
      <c r="E703" s="3">
        <v>19308312.82</v>
      </c>
      <c r="F703" s="24">
        <v>0.45045836273124978</v>
      </c>
      <c r="G703" s="26">
        <v>8697590.9800000004</v>
      </c>
      <c r="H703" t="s">
        <v>68</v>
      </c>
    </row>
    <row r="704" spans="1:8">
      <c r="A704" s="15" t="s">
        <v>723</v>
      </c>
      <c r="B704" s="16" t="s">
        <v>724</v>
      </c>
      <c r="C704" s="15" t="s">
        <v>72</v>
      </c>
      <c r="D704" s="16"/>
      <c r="E704" s="2">
        <v>96160434.400000006</v>
      </c>
      <c r="F704" s="23">
        <v>0.26482028725111495</v>
      </c>
      <c r="G704" s="26">
        <v>25465233.859999996</v>
      </c>
      <c r="H704" t="s">
        <v>68</v>
      </c>
    </row>
    <row r="705" spans="1:8">
      <c r="A705" s="17" t="s">
        <v>725</v>
      </c>
      <c r="B705" s="21" t="s">
        <v>726</v>
      </c>
      <c r="C705" s="19" t="s">
        <v>72</v>
      </c>
      <c r="D705" s="20"/>
      <c r="E705" s="3">
        <v>36156785.460000001</v>
      </c>
      <c r="F705" s="24">
        <v>0.58204585286714261</v>
      </c>
      <c r="G705" s="26">
        <v>21044907.030000001</v>
      </c>
      <c r="H705" t="s">
        <v>68</v>
      </c>
    </row>
    <row r="706" spans="1:8">
      <c r="A706" s="13" t="s">
        <v>727</v>
      </c>
      <c r="B706" s="14" t="s">
        <v>500</v>
      </c>
      <c r="C706" s="15" t="s">
        <v>72</v>
      </c>
      <c r="D706" s="16"/>
      <c r="E706" s="2">
        <v>14710622.18</v>
      </c>
      <c r="F706" s="23">
        <v>0.67880161544601647</v>
      </c>
      <c r="G706" s="26">
        <v>9985594.0999999996</v>
      </c>
      <c r="H706" t="s">
        <v>68</v>
      </c>
    </row>
    <row r="707" spans="1:8">
      <c r="A707" s="19" t="s">
        <v>501</v>
      </c>
      <c r="B707" s="20" t="s">
        <v>502</v>
      </c>
      <c r="C707" s="19" t="s">
        <v>72</v>
      </c>
      <c r="D707" s="20"/>
      <c r="E707" s="3">
        <v>58910923.350000001</v>
      </c>
      <c r="F707" s="24">
        <v>0.33573447088060282</v>
      </c>
      <c r="G707" s="26">
        <v>19778427.68</v>
      </c>
      <c r="H707" t="s">
        <v>68</v>
      </c>
    </row>
    <row r="708" spans="1:8">
      <c r="A708" s="13" t="s">
        <v>503</v>
      </c>
      <c r="B708" s="14" t="s">
        <v>504</v>
      </c>
      <c r="C708" s="15" t="s">
        <v>72</v>
      </c>
      <c r="D708" s="16"/>
      <c r="E708" s="2">
        <v>40643249.810000002</v>
      </c>
      <c r="F708" s="23">
        <v>0.43821589841513708</v>
      </c>
      <c r="G708" s="26">
        <v>17810518.23</v>
      </c>
      <c r="H708" t="s">
        <v>68</v>
      </c>
    </row>
    <row r="709" spans="1:8">
      <c r="A709" s="17" t="s">
        <v>505</v>
      </c>
      <c r="B709" s="21" t="s">
        <v>506</v>
      </c>
      <c r="C709" s="19" t="s">
        <v>72</v>
      </c>
      <c r="D709" s="20"/>
      <c r="E709" s="3">
        <v>18373364.68</v>
      </c>
      <c r="F709" s="24">
        <v>0.70473857050770738</v>
      </c>
      <c r="G709" s="26">
        <v>12948418.76</v>
      </c>
      <c r="H709" t="s">
        <v>68</v>
      </c>
    </row>
    <row r="710" spans="1:8">
      <c r="A710" s="15" t="s">
        <v>507</v>
      </c>
      <c r="B710" s="16" t="s">
        <v>508</v>
      </c>
      <c r="C710" s="15" t="s">
        <v>72</v>
      </c>
      <c r="D710" s="16"/>
      <c r="E710" s="2">
        <v>23936041.170000002</v>
      </c>
      <c r="F710" s="23">
        <v>0.48751046370296658</v>
      </c>
      <c r="G710" s="26">
        <v>11669070.529999999</v>
      </c>
      <c r="H710" t="s">
        <v>68</v>
      </c>
    </row>
    <row r="711" spans="1:8">
      <c r="A711" s="17" t="s">
        <v>509</v>
      </c>
      <c r="B711" s="21" t="s">
        <v>510</v>
      </c>
      <c r="C711" s="19" t="s">
        <v>72</v>
      </c>
      <c r="D711" s="20"/>
      <c r="E711" s="3">
        <v>51512424.140000001</v>
      </c>
      <c r="F711" s="24">
        <v>0.24650000736696062</v>
      </c>
      <c r="G711" s="26">
        <v>12697812.93</v>
      </c>
      <c r="H711" t="s">
        <v>68</v>
      </c>
    </row>
    <row r="712" spans="1:8">
      <c r="A712" s="13" t="s">
        <v>511</v>
      </c>
      <c r="B712" s="14" t="s">
        <v>512</v>
      </c>
      <c r="C712" s="15" t="s">
        <v>72</v>
      </c>
      <c r="D712" s="16"/>
      <c r="E712" s="2">
        <v>13163817.859999999</v>
      </c>
      <c r="F712" s="23">
        <v>0.27556281609019467</v>
      </c>
      <c r="G712" s="26">
        <v>3627458.7199999997</v>
      </c>
      <c r="H712" t="s">
        <v>68</v>
      </c>
    </row>
    <row r="713" spans="1:8">
      <c r="A713" s="19" t="s">
        <v>513</v>
      </c>
      <c r="B713" s="20" t="s">
        <v>514</v>
      </c>
      <c r="C713" s="19" t="s">
        <v>72</v>
      </c>
      <c r="D713" s="20"/>
      <c r="E713" s="3">
        <v>44372272.600000001</v>
      </c>
      <c r="F713" s="24">
        <v>0.38698026568961447</v>
      </c>
      <c r="G713" s="26">
        <v>17171193.84</v>
      </c>
      <c r="H713" t="s">
        <v>68</v>
      </c>
    </row>
    <row r="714" spans="1:8">
      <c r="A714" s="13" t="s">
        <v>515</v>
      </c>
      <c r="B714" s="14" t="s">
        <v>516</v>
      </c>
      <c r="C714" s="15" t="s">
        <v>72</v>
      </c>
      <c r="D714" s="16"/>
      <c r="E714" s="2">
        <v>29412593.77</v>
      </c>
      <c r="F714" s="23">
        <v>0.73678384060447999</v>
      </c>
      <c r="G714" s="26">
        <v>21670723.800000001</v>
      </c>
      <c r="H714" t="s">
        <v>68</v>
      </c>
    </row>
    <row r="715" spans="1:8">
      <c r="A715" s="17" t="s">
        <v>517</v>
      </c>
      <c r="B715" s="21" t="s">
        <v>518</v>
      </c>
      <c r="C715" s="19" t="s">
        <v>72</v>
      </c>
      <c r="D715" s="20"/>
      <c r="E715" s="3">
        <v>57068526.289999999</v>
      </c>
      <c r="F715" s="24">
        <v>0.83166812331575279</v>
      </c>
      <c r="G715" s="26">
        <v>47462074.159999996</v>
      </c>
      <c r="H715" t="s">
        <v>68</v>
      </c>
    </row>
    <row r="716" spans="1:8">
      <c r="A716" s="15" t="s">
        <v>519</v>
      </c>
      <c r="B716" s="16" t="s">
        <v>520</v>
      </c>
      <c r="C716" s="15" t="s">
        <v>72</v>
      </c>
      <c r="D716" s="16"/>
      <c r="E716" s="2">
        <v>72055843.319999993</v>
      </c>
      <c r="F716" s="23">
        <v>0.64486571288386674</v>
      </c>
      <c r="G716" s="26">
        <v>46466342.770000003</v>
      </c>
      <c r="H716" t="s">
        <v>68</v>
      </c>
    </row>
    <row r="717" spans="1:8">
      <c r="A717" s="17" t="s">
        <v>521</v>
      </c>
      <c r="B717" s="21" t="s">
        <v>522</v>
      </c>
      <c r="C717" s="19" t="s">
        <v>72</v>
      </c>
      <c r="D717" s="20"/>
      <c r="E717" s="3">
        <v>45020045.18</v>
      </c>
      <c r="F717" s="24">
        <v>0.62914928198657138</v>
      </c>
      <c r="G717" s="26">
        <v>28324329.100000005</v>
      </c>
      <c r="H717" t="s">
        <v>68</v>
      </c>
    </row>
    <row r="718" spans="1:8">
      <c r="A718" s="13" t="s">
        <v>523</v>
      </c>
      <c r="B718" s="14" t="s">
        <v>524</v>
      </c>
      <c r="C718" s="15" t="s">
        <v>72</v>
      </c>
      <c r="D718" s="16"/>
      <c r="E718" s="2">
        <v>73804848.060000002</v>
      </c>
      <c r="F718" s="23">
        <v>0.51343506268306238</v>
      </c>
      <c r="G718" s="26">
        <v>37893996.789999999</v>
      </c>
      <c r="H718" t="s">
        <v>68</v>
      </c>
    </row>
    <row r="719" spans="1:8">
      <c r="A719" s="19" t="s">
        <v>525</v>
      </c>
      <c r="B719" s="20" t="s">
        <v>526</v>
      </c>
      <c r="C719" s="19" t="s">
        <v>72</v>
      </c>
      <c r="D719" s="20"/>
      <c r="E719" s="3">
        <v>36891760.259999998</v>
      </c>
      <c r="F719" s="24">
        <v>0.37352473243031969</v>
      </c>
      <c r="G719" s="26">
        <v>13779984.880000001</v>
      </c>
      <c r="H719" t="s">
        <v>68</v>
      </c>
    </row>
    <row r="720" spans="1:8">
      <c r="A720" s="13" t="s">
        <v>527</v>
      </c>
      <c r="B720" s="14" t="s">
        <v>528</v>
      </c>
      <c r="C720" s="15" t="s">
        <v>72</v>
      </c>
      <c r="D720" s="16"/>
      <c r="E720" s="2">
        <v>32994182.260000002</v>
      </c>
      <c r="F720" s="23">
        <v>0.49111334635635245</v>
      </c>
      <c r="G720" s="26">
        <v>16203883.26</v>
      </c>
      <c r="H720" t="s">
        <v>68</v>
      </c>
    </row>
    <row r="721" spans="1:8">
      <c r="A721" s="17" t="s">
        <v>529</v>
      </c>
      <c r="B721" s="21" t="s">
        <v>530</v>
      </c>
      <c r="C721" s="19" t="s">
        <v>72</v>
      </c>
      <c r="D721" s="20"/>
      <c r="E721" s="3">
        <v>22351853.690000001</v>
      </c>
      <c r="F721" s="24">
        <v>0.50591501299326902</v>
      </c>
      <c r="G721" s="26">
        <v>11308138.35</v>
      </c>
      <c r="H721" t="s">
        <v>68</v>
      </c>
    </row>
    <row r="722" spans="1:8">
      <c r="A722" s="15" t="s">
        <v>531</v>
      </c>
      <c r="B722" s="16" t="s">
        <v>532</v>
      </c>
      <c r="C722" s="15" t="s">
        <v>72</v>
      </c>
      <c r="D722" s="16"/>
      <c r="E722" s="2">
        <v>12780852.82</v>
      </c>
      <c r="F722" s="23">
        <v>0.22199708031689858</v>
      </c>
      <c r="G722" s="26">
        <v>2837312.01</v>
      </c>
      <c r="H722" t="s">
        <v>68</v>
      </c>
    </row>
    <row r="723" spans="1:8">
      <c r="A723" s="17" t="s">
        <v>533</v>
      </c>
      <c r="B723" s="21" t="s">
        <v>534</v>
      </c>
      <c r="C723" s="19" t="s">
        <v>72</v>
      </c>
      <c r="D723" s="20"/>
      <c r="E723" s="3">
        <v>57361223.560000002</v>
      </c>
      <c r="F723" s="24">
        <v>0.42861321715502121</v>
      </c>
      <c r="G723" s="26">
        <v>24585778.57</v>
      </c>
      <c r="H723" t="s">
        <v>68</v>
      </c>
    </row>
    <row r="724" spans="1:8">
      <c r="A724" s="13" t="s">
        <v>535</v>
      </c>
      <c r="B724" s="14" t="s">
        <v>536</v>
      </c>
      <c r="C724" s="15" t="s">
        <v>72</v>
      </c>
      <c r="D724" s="16"/>
      <c r="E724" s="2">
        <v>5129057.97</v>
      </c>
      <c r="F724" s="23">
        <v>0.54730670747322441</v>
      </c>
      <c r="G724" s="26">
        <v>2807167.83</v>
      </c>
      <c r="H724" t="s">
        <v>68</v>
      </c>
    </row>
    <row r="725" spans="1:8">
      <c r="A725" s="19" t="s">
        <v>537</v>
      </c>
      <c r="B725" s="20" t="s">
        <v>538</v>
      </c>
      <c r="C725" s="19" t="s">
        <v>72</v>
      </c>
      <c r="D725" s="20"/>
      <c r="E725" s="3">
        <v>17066835.41</v>
      </c>
      <c r="F725" s="24">
        <v>0.1573774507971305</v>
      </c>
      <c r="G725" s="26">
        <v>2685935.05</v>
      </c>
      <c r="H725" t="s">
        <v>68</v>
      </c>
    </row>
    <row r="726" spans="1:8">
      <c r="A726" s="13" t="s">
        <v>539</v>
      </c>
      <c r="B726" s="14" t="s">
        <v>540</v>
      </c>
      <c r="C726" s="15" t="s">
        <v>72</v>
      </c>
      <c r="D726" s="16"/>
      <c r="E726" s="2">
        <v>21884074.739999998</v>
      </c>
      <c r="F726" s="23">
        <v>0.45878018784357344</v>
      </c>
      <c r="G726" s="26">
        <v>10039979.92</v>
      </c>
      <c r="H726" t="s">
        <v>68</v>
      </c>
    </row>
    <row r="727" spans="1:8">
      <c r="A727" s="17" t="s">
        <v>541</v>
      </c>
      <c r="B727" s="21" t="s">
        <v>542</v>
      </c>
      <c r="C727" s="19" t="s">
        <v>72</v>
      </c>
      <c r="D727" s="20"/>
      <c r="E727" s="3">
        <v>24556246.600000001</v>
      </c>
      <c r="F727" s="24">
        <v>0.3643234267732105</v>
      </c>
      <c r="G727" s="26">
        <v>8946415.9100000001</v>
      </c>
      <c r="H727" t="s">
        <v>68</v>
      </c>
    </row>
    <row r="728" spans="1:8">
      <c r="A728" s="15" t="s">
        <v>543</v>
      </c>
      <c r="B728" s="16" t="s">
        <v>544</v>
      </c>
      <c r="C728" s="15" t="s">
        <v>72</v>
      </c>
      <c r="D728" s="16"/>
      <c r="E728" s="2">
        <v>39180647.719999999</v>
      </c>
      <c r="F728" s="23">
        <v>0.53508613205744116</v>
      </c>
      <c r="G728" s="26">
        <v>20965021.239999998</v>
      </c>
      <c r="H728" t="s">
        <v>68</v>
      </c>
    </row>
    <row r="729" spans="1:8">
      <c r="A729" s="17" t="s">
        <v>545</v>
      </c>
      <c r="B729" s="21" t="s">
        <v>546</v>
      </c>
      <c r="C729" s="19" t="s">
        <v>72</v>
      </c>
      <c r="D729" s="20"/>
      <c r="E729" s="3">
        <v>13193535.550000001</v>
      </c>
      <c r="F729" s="24">
        <v>0.35710882213069872</v>
      </c>
      <c r="G729" s="26">
        <v>4711527.9400000004</v>
      </c>
      <c r="H729" t="s">
        <v>68</v>
      </c>
    </row>
    <row r="730" spans="1:8">
      <c r="A730" s="13" t="s">
        <v>547</v>
      </c>
      <c r="B730" s="14" t="s">
        <v>548</v>
      </c>
      <c r="C730" s="15" t="s">
        <v>72</v>
      </c>
      <c r="D730" s="16"/>
      <c r="E730" s="2">
        <v>47012029.640000001</v>
      </c>
      <c r="F730" s="23">
        <v>0.72608069511971818</v>
      </c>
      <c r="G730" s="26">
        <v>34134527.159999996</v>
      </c>
      <c r="H730" t="s">
        <v>68</v>
      </c>
    </row>
    <row r="731" spans="1:8">
      <c r="A731" s="19" t="s">
        <v>549</v>
      </c>
      <c r="B731" s="20" t="s">
        <v>550</v>
      </c>
      <c r="C731" s="19" t="s">
        <v>72</v>
      </c>
      <c r="D731" s="20"/>
      <c r="E731" s="3">
        <v>28915368.539999999</v>
      </c>
      <c r="F731" s="24">
        <v>0.58171930738946764</v>
      </c>
      <c r="G731" s="26">
        <v>16820628.16</v>
      </c>
      <c r="H731" t="s">
        <v>68</v>
      </c>
    </row>
    <row r="732" spans="1:8">
      <c r="A732" s="13" t="s">
        <v>551</v>
      </c>
      <c r="B732" s="14" t="s">
        <v>552</v>
      </c>
      <c r="C732" s="15" t="s">
        <v>72</v>
      </c>
      <c r="D732" s="16"/>
      <c r="E732" s="2">
        <v>40362051.030000001</v>
      </c>
      <c r="F732" s="23">
        <v>0.75096610718496482</v>
      </c>
      <c r="G732" s="26">
        <v>30310532.34</v>
      </c>
      <c r="H732" t="s">
        <v>68</v>
      </c>
    </row>
    <row r="733" spans="1:8">
      <c r="A733" s="17" t="s">
        <v>553</v>
      </c>
      <c r="B733" s="21" t="s">
        <v>554</v>
      </c>
      <c r="C733" s="19" t="s">
        <v>72</v>
      </c>
      <c r="D733" s="20"/>
      <c r="E733" s="3">
        <v>21012866.27</v>
      </c>
      <c r="F733" s="24">
        <v>0.55189849785304901</v>
      </c>
      <c r="G733" s="26">
        <v>11596969.33</v>
      </c>
      <c r="H733" t="s">
        <v>68</v>
      </c>
    </row>
    <row r="734" spans="1:8">
      <c r="A734" s="15" t="s">
        <v>555</v>
      </c>
      <c r="B734" s="16" t="s">
        <v>556</v>
      </c>
      <c r="C734" s="15" t="s">
        <v>72</v>
      </c>
      <c r="D734" s="16"/>
      <c r="E734" s="2">
        <v>24246755.640000001</v>
      </c>
      <c r="F734" s="23">
        <v>0.39767800909796275</v>
      </c>
      <c r="G734" s="26">
        <v>9642401.5099999998</v>
      </c>
      <c r="H734" t="s">
        <v>68</v>
      </c>
    </row>
    <row r="735" spans="1:8">
      <c r="A735" s="17" t="s">
        <v>557</v>
      </c>
      <c r="B735" s="21" t="s">
        <v>558</v>
      </c>
      <c r="C735" s="19" t="s">
        <v>72</v>
      </c>
      <c r="D735" s="20"/>
      <c r="E735" s="3">
        <v>25937598.300000001</v>
      </c>
      <c r="F735" s="24">
        <v>0.53282318664022177</v>
      </c>
      <c r="G735" s="26">
        <v>13820153.779999999</v>
      </c>
      <c r="H735" t="s">
        <v>68</v>
      </c>
    </row>
    <row r="736" spans="1:8">
      <c r="A736" s="13" t="s">
        <v>559</v>
      </c>
      <c r="B736" s="14" t="s">
        <v>560</v>
      </c>
      <c r="C736" s="15" t="s">
        <v>72</v>
      </c>
      <c r="D736" s="16"/>
      <c r="E736" s="2">
        <v>20491756.620000001</v>
      </c>
      <c r="F736" s="23">
        <v>0.62972299248398944</v>
      </c>
      <c r="G736" s="26">
        <v>12904130.300000001</v>
      </c>
      <c r="H736" t="s">
        <v>68</v>
      </c>
    </row>
    <row r="737" spans="1:8">
      <c r="A737" s="19" t="s">
        <v>561</v>
      </c>
      <c r="B737" s="20" t="s">
        <v>562</v>
      </c>
      <c r="C737" s="19" t="s">
        <v>72</v>
      </c>
      <c r="D737" s="20"/>
      <c r="E737" s="3">
        <v>12459999.630000001</v>
      </c>
      <c r="F737" s="24">
        <v>0.60901848999493102</v>
      </c>
      <c r="G737" s="26">
        <v>7588370.1600000001</v>
      </c>
      <c r="H737" t="s">
        <v>68</v>
      </c>
    </row>
    <row r="738" spans="1:8">
      <c r="A738" s="13" t="s">
        <v>563</v>
      </c>
      <c r="B738" s="14" t="s">
        <v>564</v>
      </c>
      <c r="C738" s="15" t="s">
        <v>72</v>
      </c>
      <c r="D738" s="16"/>
      <c r="E738" s="2">
        <v>40828774.039999999</v>
      </c>
      <c r="F738" s="23">
        <v>0.64477543396745107</v>
      </c>
      <c r="G738" s="26">
        <v>26325390.5</v>
      </c>
      <c r="H738" t="s">
        <v>68</v>
      </c>
    </row>
    <row r="739" spans="1:8">
      <c r="A739" s="17" t="s">
        <v>565</v>
      </c>
      <c r="B739" s="21" t="s">
        <v>566</v>
      </c>
      <c r="C739" s="19" t="s">
        <v>72</v>
      </c>
      <c r="D739" s="20"/>
      <c r="E739" s="3">
        <v>14640334.039999999</v>
      </c>
      <c r="F739" s="24">
        <v>0.49058560278587743</v>
      </c>
      <c r="G739" s="26">
        <v>7182337.0999999996</v>
      </c>
      <c r="H739" t="s">
        <v>68</v>
      </c>
    </row>
    <row r="740" spans="1:8">
      <c r="A740" s="15" t="s">
        <v>567</v>
      </c>
      <c r="B740" s="16" t="s">
        <v>568</v>
      </c>
      <c r="C740" s="15" t="s">
        <v>72</v>
      </c>
      <c r="D740" s="16"/>
      <c r="E740" s="2">
        <v>34479909.659999996</v>
      </c>
      <c r="F740" s="23">
        <v>0.37521159676959553</v>
      </c>
      <c r="G740" s="26">
        <v>12937261.960000001</v>
      </c>
      <c r="H740" t="s">
        <v>68</v>
      </c>
    </row>
    <row r="741" spans="1:8">
      <c r="A741" s="17" t="s">
        <v>569</v>
      </c>
      <c r="B741" s="21" t="s">
        <v>570</v>
      </c>
      <c r="C741" s="19" t="s">
        <v>72</v>
      </c>
      <c r="D741" s="20"/>
      <c r="E741" s="3">
        <v>131863712.38</v>
      </c>
      <c r="F741" s="24">
        <v>0.68475829210535089</v>
      </c>
      <c r="G741" s="26">
        <v>90294770.480000004</v>
      </c>
      <c r="H741" t="s">
        <v>68</v>
      </c>
    </row>
    <row r="742" spans="1:8">
      <c r="A742" s="13" t="s">
        <v>571</v>
      </c>
      <c r="B742" s="14" t="s">
        <v>572</v>
      </c>
      <c r="C742" s="15" t="s">
        <v>72</v>
      </c>
      <c r="D742" s="16"/>
      <c r="E742" s="2">
        <v>30273810.760000002</v>
      </c>
      <c r="F742" s="23">
        <v>0.42818247569702389</v>
      </c>
      <c r="G742" s="26">
        <v>12962715.24</v>
      </c>
      <c r="H742" t="s">
        <v>68</v>
      </c>
    </row>
    <row r="743" spans="1:8">
      <c r="A743" s="19" t="s">
        <v>573</v>
      </c>
      <c r="B743" s="20" t="s">
        <v>574</v>
      </c>
      <c r="C743" s="19" t="s">
        <v>72</v>
      </c>
      <c r="D743" s="20"/>
      <c r="E743" s="3">
        <v>20651056.600000001</v>
      </c>
      <c r="F743" s="24">
        <v>0.68927522914251271</v>
      </c>
      <c r="G743" s="26">
        <v>14234261.770000001</v>
      </c>
      <c r="H743" t="s">
        <v>68</v>
      </c>
    </row>
    <row r="744" spans="1:8">
      <c r="A744" s="13" t="s">
        <v>575</v>
      </c>
      <c r="B744" s="14" t="s">
        <v>576</v>
      </c>
      <c r="C744" s="15" t="s">
        <v>72</v>
      </c>
      <c r="D744" s="16"/>
      <c r="E744" s="2">
        <v>24194654.350000001</v>
      </c>
      <c r="F744" s="23">
        <v>0.23696122775980058</v>
      </c>
      <c r="G744" s="26">
        <v>5733195</v>
      </c>
      <c r="H744" t="s">
        <v>68</v>
      </c>
    </row>
    <row r="745" spans="1:8">
      <c r="A745" s="17" t="s">
        <v>577</v>
      </c>
      <c r="B745" s="21" t="s">
        <v>578</v>
      </c>
      <c r="C745" s="19" t="s">
        <v>72</v>
      </c>
      <c r="D745" s="20"/>
      <c r="E745" s="3">
        <v>84352399.329999998</v>
      </c>
      <c r="F745" s="24">
        <v>0.80171953053086908</v>
      </c>
      <c r="G745" s="26">
        <v>67626965.989999995</v>
      </c>
      <c r="H745" t="s">
        <v>68</v>
      </c>
    </row>
    <row r="746" spans="1:8">
      <c r="A746" s="15" t="s">
        <v>579</v>
      </c>
      <c r="B746" s="16" t="s">
        <v>580</v>
      </c>
      <c r="C746" s="15" t="s">
        <v>72</v>
      </c>
      <c r="D746" s="16"/>
      <c r="E746" s="2">
        <v>31303731.359999999</v>
      </c>
      <c r="F746" s="23">
        <v>0.46943324298959871</v>
      </c>
      <c r="G746" s="26">
        <v>14695012.130000001</v>
      </c>
      <c r="H746" t="s">
        <v>68</v>
      </c>
    </row>
    <row r="747" spans="1:8">
      <c r="A747" s="17" t="s">
        <v>581</v>
      </c>
      <c r="B747" s="21" t="s">
        <v>582</v>
      </c>
      <c r="C747" s="19" t="s">
        <v>72</v>
      </c>
      <c r="D747" s="20"/>
      <c r="E747" s="3">
        <v>13825564.310000001</v>
      </c>
      <c r="F747" s="24">
        <v>0.61485917459813255</v>
      </c>
      <c r="G747" s="26">
        <v>8500775.0600000005</v>
      </c>
      <c r="H747" t="s">
        <v>68</v>
      </c>
    </row>
    <row r="748" spans="1:8">
      <c r="A748" s="13" t="s">
        <v>583</v>
      </c>
      <c r="B748" s="14" t="s">
        <v>584</v>
      </c>
      <c r="C748" s="15" t="s">
        <v>72</v>
      </c>
      <c r="D748" s="16"/>
      <c r="E748" s="2">
        <v>28094671.059999999</v>
      </c>
      <c r="F748" s="23">
        <v>0.82141567063430143</v>
      </c>
      <c r="G748" s="26">
        <v>23077403.07</v>
      </c>
      <c r="H748" t="s">
        <v>68</v>
      </c>
    </row>
    <row r="749" spans="1:8">
      <c r="A749" s="19" t="s">
        <v>585</v>
      </c>
      <c r="B749" s="20" t="s">
        <v>586</v>
      </c>
      <c r="C749" s="19" t="s">
        <v>72</v>
      </c>
      <c r="D749" s="20"/>
      <c r="E749" s="3">
        <v>13418512.42</v>
      </c>
      <c r="F749" s="24">
        <v>0.55479552032191659</v>
      </c>
      <c r="G749" s="26">
        <v>7444530.5800000001</v>
      </c>
      <c r="H749" t="s">
        <v>68</v>
      </c>
    </row>
    <row r="750" spans="1:8">
      <c r="A750" s="13" t="s">
        <v>794</v>
      </c>
      <c r="B750" s="14" t="s">
        <v>795</v>
      </c>
      <c r="C750" s="15" t="s">
        <v>72</v>
      </c>
      <c r="D750" s="16"/>
      <c r="E750" s="2">
        <v>21120455.260000002</v>
      </c>
      <c r="F750" s="23">
        <v>0.41225538525631189</v>
      </c>
      <c r="G750" s="26">
        <v>8707021.4199999999</v>
      </c>
      <c r="H750" t="s">
        <v>68</v>
      </c>
    </row>
    <row r="751" spans="1:8">
      <c r="A751" s="17" t="s">
        <v>796</v>
      </c>
      <c r="B751" s="21" t="s">
        <v>797</v>
      </c>
      <c r="C751" s="19" t="s">
        <v>72</v>
      </c>
      <c r="D751" s="20"/>
      <c r="E751" s="3">
        <v>19408406.780000001</v>
      </c>
      <c r="F751" s="24">
        <v>0.49185713480805349</v>
      </c>
      <c r="G751" s="26">
        <v>9546163.3499999996</v>
      </c>
      <c r="H751" t="s">
        <v>68</v>
      </c>
    </row>
    <row r="752" spans="1:8">
      <c r="A752" s="15" t="s">
        <v>798</v>
      </c>
      <c r="B752" s="16" t="s">
        <v>799</v>
      </c>
      <c r="C752" s="15" t="s">
        <v>72</v>
      </c>
      <c r="D752" s="16"/>
      <c r="E752" s="2">
        <v>46150474.909999996</v>
      </c>
      <c r="F752" s="23">
        <v>0.43453858945348828</v>
      </c>
      <c r="G752" s="26">
        <v>20054162.27</v>
      </c>
      <c r="H752" t="s">
        <v>68</v>
      </c>
    </row>
    <row r="753" spans="1:8">
      <c r="A753" s="17" t="s">
        <v>800</v>
      </c>
      <c r="B753" s="21" t="s">
        <v>801</v>
      </c>
      <c r="C753" s="19" t="s">
        <v>72</v>
      </c>
      <c r="D753" s="20"/>
      <c r="E753" s="3">
        <v>85527257.239999995</v>
      </c>
      <c r="F753" s="24">
        <v>0.69855093438046045</v>
      </c>
      <c r="G753" s="26">
        <v>59745145.460000001</v>
      </c>
      <c r="H753" t="s">
        <v>68</v>
      </c>
    </row>
    <row r="754" spans="1:8">
      <c r="A754" s="13" t="s">
        <v>802</v>
      </c>
      <c r="B754" s="14" t="s">
        <v>803</v>
      </c>
      <c r="C754" s="15" t="s">
        <v>72</v>
      </c>
      <c r="D754" s="16"/>
      <c r="E754" s="2">
        <v>20263659.73</v>
      </c>
      <c r="F754" s="23">
        <v>0.64721410617567643</v>
      </c>
      <c r="G754" s="26">
        <v>13114926.42</v>
      </c>
      <c r="H754" t="s">
        <v>68</v>
      </c>
    </row>
    <row r="755" spans="1:8">
      <c r="A755" s="19" t="s">
        <v>804</v>
      </c>
      <c r="B755" s="20" t="s">
        <v>805</v>
      </c>
      <c r="C755" s="19" t="s">
        <v>72</v>
      </c>
      <c r="D755" s="20"/>
      <c r="E755" s="3">
        <v>16900481.82</v>
      </c>
      <c r="F755" s="24">
        <v>0.48910911405009871</v>
      </c>
      <c r="G755" s="26">
        <v>8266179.6900000004</v>
      </c>
      <c r="H755" t="s">
        <v>68</v>
      </c>
    </row>
    <row r="756" spans="1:8">
      <c r="A756" s="13" t="s">
        <v>806</v>
      </c>
      <c r="B756" s="14" t="s">
        <v>807</v>
      </c>
      <c r="C756" s="15" t="s">
        <v>72</v>
      </c>
      <c r="D756" s="16"/>
      <c r="E756" s="2">
        <v>32586362.199999999</v>
      </c>
      <c r="F756" s="23">
        <v>0.48438835587483897</v>
      </c>
      <c r="G756" s="26">
        <v>15784454.41</v>
      </c>
      <c r="H756" t="s">
        <v>68</v>
      </c>
    </row>
    <row r="757" spans="1:8">
      <c r="A757" s="17" t="s">
        <v>808</v>
      </c>
      <c r="B757" s="21" t="s">
        <v>809</v>
      </c>
      <c r="C757" s="19" t="s">
        <v>72</v>
      </c>
      <c r="D757" s="20"/>
      <c r="E757" s="3">
        <v>55166502.920000002</v>
      </c>
      <c r="F757" s="24">
        <v>0.74110924303628123</v>
      </c>
      <c r="G757" s="26">
        <v>40884405.219999999</v>
      </c>
      <c r="H757" t="s">
        <v>68</v>
      </c>
    </row>
    <row r="758" spans="1:8">
      <c r="A758" s="15" t="s">
        <v>810</v>
      </c>
      <c r="B758" s="16" t="s">
        <v>811</v>
      </c>
      <c r="C758" s="15" t="s">
        <v>72</v>
      </c>
      <c r="D758" s="16"/>
      <c r="E758" s="2">
        <v>202297280.97999999</v>
      </c>
      <c r="F758" s="23">
        <v>0.4591923090611576</v>
      </c>
      <c r="G758" s="26">
        <v>92893355.569999993</v>
      </c>
      <c r="H758" t="s">
        <v>68</v>
      </c>
    </row>
    <row r="759" spans="1:8">
      <c r="A759" s="17" t="s">
        <v>812</v>
      </c>
      <c r="B759" s="21" t="s">
        <v>813</v>
      </c>
      <c r="C759" s="19" t="s">
        <v>72</v>
      </c>
      <c r="D759" s="20"/>
      <c r="E759" s="3">
        <v>85308539.040000007</v>
      </c>
      <c r="F759" s="24">
        <v>0.2707115854975729</v>
      </c>
      <c r="G759" s="26">
        <v>23094009.859999999</v>
      </c>
      <c r="H759" t="s">
        <v>68</v>
      </c>
    </row>
    <row r="760" spans="1:8">
      <c r="A760" s="13" t="s">
        <v>814</v>
      </c>
      <c r="B760" s="14" t="s">
        <v>815</v>
      </c>
      <c r="C760" s="15" t="s">
        <v>72</v>
      </c>
      <c r="D760" s="16"/>
      <c r="E760" s="2">
        <v>20436271.66</v>
      </c>
      <c r="F760" s="23">
        <v>0.31827829646300565</v>
      </c>
      <c r="G760" s="26">
        <v>6504421.7300000004</v>
      </c>
      <c r="H760" t="s">
        <v>68</v>
      </c>
    </row>
    <row r="761" spans="1:8">
      <c r="A761" s="19" t="s">
        <v>816</v>
      </c>
      <c r="B761" s="20" t="s">
        <v>817</v>
      </c>
      <c r="C761" s="19" t="s">
        <v>72</v>
      </c>
      <c r="D761" s="20"/>
      <c r="E761" s="3">
        <v>51093954</v>
      </c>
      <c r="F761" s="24">
        <v>0.60053651807804898</v>
      </c>
      <c r="G761" s="26">
        <v>30683785.230000004</v>
      </c>
      <c r="H761" t="s">
        <v>68</v>
      </c>
    </row>
    <row r="762" spans="1:8">
      <c r="A762" s="13" t="s">
        <v>818</v>
      </c>
      <c r="B762" s="14" t="s">
        <v>819</v>
      </c>
      <c r="C762" s="15" t="s">
        <v>72</v>
      </c>
      <c r="D762" s="16"/>
      <c r="E762" s="2">
        <v>68330395.480000004</v>
      </c>
      <c r="F762" s="23">
        <v>0.73139149640408319</v>
      </c>
      <c r="G762" s="26">
        <v>49976270.200000003</v>
      </c>
      <c r="H762" t="s">
        <v>68</v>
      </c>
    </row>
    <row r="763" spans="1:8">
      <c r="A763" s="17" t="s">
        <v>615</v>
      </c>
      <c r="B763" s="21" t="s">
        <v>616</v>
      </c>
      <c r="C763" s="19" t="s">
        <v>72</v>
      </c>
      <c r="D763" s="20"/>
      <c r="E763" s="3">
        <v>16790640.850000001</v>
      </c>
      <c r="F763" s="24">
        <v>0.33064415048815715</v>
      </c>
      <c r="G763" s="26">
        <v>5551727.1799999997</v>
      </c>
      <c r="H763" t="s">
        <v>68</v>
      </c>
    </row>
    <row r="764" spans="1:8">
      <c r="A764" s="15" t="s">
        <v>617</v>
      </c>
      <c r="B764" s="16" t="s">
        <v>618</v>
      </c>
      <c r="C764" s="15" t="s">
        <v>72</v>
      </c>
      <c r="D764" s="16"/>
      <c r="E764" s="2">
        <v>77458918.129999995</v>
      </c>
      <c r="F764" s="23">
        <v>0.83164425963045663</v>
      </c>
      <c r="G764" s="26">
        <v>64418264.619999997</v>
      </c>
      <c r="H764" t="s">
        <v>68</v>
      </c>
    </row>
    <row r="765" spans="1:8">
      <c r="A765" s="17" t="s">
        <v>619</v>
      </c>
      <c r="B765" s="21" t="s">
        <v>620</v>
      </c>
      <c r="C765" s="19" t="s">
        <v>72</v>
      </c>
      <c r="D765" s="20"/>
      <c r="E765" s="3">
        <v>77115712.599999994</v>
      </c>
      <c r="F765" s="24">
        <v>0.70347285813708482</v>
      </c>
      <c r="G765" s="26">
        <v>54248810.75</v>
      </c>
      <c r="H765" t="s">
        <v>68</v>
      </c>
    </row>
    <row r="766" spans="1:8">
      <c r="A766" s="13" t="s">
        <v>621</v>
      </c>
      <c r="B766" s="14" t="s">
        <v>622</v>
      </c>
      <c r="C766" s="15" t="s">
        <v>72</v>
      </c>
      <c r="D766" s="16"/>
      <c r="E766" s="2">
        <v>24037651.84</v>
      </c>
      <c r="F766" s="23">
        <v>0.58717617901899022</v>
      </c>
      <c r="G766" s="26">
        <v>14114336.559999999</v>
      </c>
      <c r="H766" t="s">
        <v>68</v>
      </c>
    </row>
    <row r="767" spans="1:8">
      <c r="A767" s="19" t="s">
        <v>623</v>
      </c>
      <c r="B767" s="20" t="s">
        <v>624</v>
      </c>
      <c r="C767" s="19" t="s">
        <v>72</v>
      </c>
      <c r="D767" s="20"/>
      <c r="E767" s="3">
        <v>24575565.170000002</v>
      </c>
      <c r="F767" s="24">
        <v>0.49368579058399736</v>
      </c>
      <c r="G767" s="26">
        <v>12132607.32</v>
      </c>
      <c r="H767" t="s">
        <v>68</v>
      </c>
    </row>
    <row r="768" spans="1:8">
      <c r="A768" s="13" t="s">
        <v>625</v>
      </c>
      <c r="B768" s="14" t="s">
        <v>626</v>
      </c>
      <c r="C768" s="15" t="s">
        <v>72</v>
      </c>
      <c r="D768" s="16"/>
      <c r="E768" s="2">
        <v>338500277</v>
      </c>
      <c r="F768" s="23">
        <v>0.34867616075835589</v>
      </c>
      <c r="G768" s="26">
        <v>118026977</v>
      </c>
      <c r="H768" t="s">
        <v>68</v>
      </c>
    </row>
    <row r="769" spans="1:8">
      <c r="A769" s="17" t="s">
        <v>627</v>
      </c>
      <c r="B769" s="21" t="s">
        <v>628</v>
      </c>
      <c r="C769" s="19" t="s">
        <v>72</v>
      </c>
      <c r="D769" s="20"/>
      <c r="E769" s="3">
        <v>7265312.5</v>
      </c>
      <c r="F769" s="24">
        <v>0.33812982304615252</v>
      </c>
      <c r="G769" s="26">
        <v>2456618.83</v>
      </c>
      <c r="H769" t="s">
        <v>68</v>
      </c>
    </row>
    <row r="770" spans="1:8">
      <c r="A770" s="15" t="s">
        <v>629</v>
      </c>
      <c r="B770" s="16" t="s">
        <v>630</v>
      </c>
      <c r="C770" s="15" t="s">
        <v>72</v>
      </c>
      <c r="D770" s="16"/>
      <c r="E770" s="2">
        <v>37318535.93</v>
      </c>
      <c r="F770" s="23">
        <v>0.58860773962843937</v>
      </c>
      <c r="G770" s="26">
        <v>21965979.079999998</v>
      </c>
      <c r="H770" t="s">
        <v>68</v>
      </c>
    </row>
    <row r="771" spans="1:8">
      <c r="A771" s="17" t="s">
        <v>631</v>
      </c>
      <c r="B771" s="21" t="s">
        <v>632</v>
      </c>
      <c r="C771" s="19" t="s">
        <v>72</v>
      </c>
      <c r="D771" s="20"/>
      <c r="E771" s="3">
        <v>71551821.780000001</v>
      </c>
      <c r="F771" s="24">
        <v>0.81385541767263714</v>
      </c>
      <c r="G771" s="26">
        <v>58232837.799999997</v>
      </c>
      <c r="H771" t="s">
        <v>68</v>
      </c>
    </row>
    <row r="772" spans="1:8">
      <c r="A772" s="13" t="s">
        <v>633</v>
      </c>
      <c r="B772" s="14" t="s">
        <v>634</v>
      </c>
      <c r="C772" s="15" t="s">
        <v>72</v>
      </c>
      <c r="D772" s="16"/>
      <c r="E772" s="2">
        <v>21097366.870000001</v>
      </c>
      <c r="F772" s="23">
        <v>0.43655647772313683</v>
      </c>
      <c r="G772" s="26">
        <v>9210192.1699999999</v>
      </c>
      <c r="H772" t="s">
        <v>68</v>
      </c>
    </row>
    <row r="773" spans="1:8">
      <c r="A773" s="19" t="s">
        <v>635</v>
      </c>
      <c r="B773" s="20" t="s">
        <v>636</v>
      </c>
      <c r="C773" s="19" t="s">
        <v>72</v>
      </c>
      <c r="D773" s="20"/>
      <c r="E773" s="3">
        <v>34313731.310000002</v>
      </c>
      <c r="F773" s="24">
        <v>0.72852414108385688</v>
      </c>
      <c r="G773" s="26">
        <v>24998381.629999999</v>
      </c>
      <c r="H773" t="s">
        <v>68</v>
      </c>
    </row>
    <row r="774" spans="1:8">
      <c r="A774" s="13" t="s">
        <v>637</v>
      </c>
      <c r="B774" s="14" t="s">
        <v>638</v>
      </c>
      <c r="C774" s="15" t="s">
        <v>72</v>
      </c>
      <c r="D774" s="16"/>
      <c r="E774" s="2">
        <v>20563769.02</v>
      </c>
      <c r="F774" s="23">
        <v>0.48307278691656891</v>
      </c>
      <c r="G774" s="26">
        <v>9933797.2100000009</v>
      </c>
      <c r="H774" t="s">
        <v>68</v>
      </c>
    </row>
    <row r="775" spans="1:8">
      <c r="A775" s="17" t="s">
        <v>639</v>
      </c>
      <c r="B775" s="21" t="s">
        <v>640</v>
      </c>
      <c r="C775" s="19" t="s">
        <v>72</v>
      </c>
      <c r="D775" s="20"/>
      <c r="E775" s="3">
        <v>37338497.359999999</v>
      </c>
      <c r="F775" s="24">
        <v>0.49612214657156739</v>
      </c>
      <c r="G775" s="26">
        <v>18524455.460000001</v>
      </c>
      <c r="H775" t="s">
        <v>68</v>
      </c>
    </row>
    <row r="776" spans="1:8">
      <c r="A776" s="15" t="s">
        <v>641</v>
      </c>
      <c r="B776" s="16" t="s">
        <v>642</v>
      </c>
      <c r="C776" s="15" t="s">
        <v>72</v>
      </c>
      <c r="D776" s="16"/>
      <c r="E776" s="2">
        <v>23111061.09</v>
      </c>
      <c r="F776" s="23">
        <v>0.37693911915491368</v>
      </c>
      <c r="G776" s="26">
        <v>8711463.0099999998</v>
      </c>
      <c r="H776" t="s">
        <v>68</v>
      </c>
    </row>
    <row r="777" spans="1:8">
      <c r="A777" s="17" t="s">
        <v>643</v>
      </c>
      <c r="B777" s="21" t="s">
        <v>644</v>
      </c>
      <c r="C777" s="19" t="s">
        <v>72</v>
      </c>
      <c r="D777" s="20"/>
      <c r="E777" s="3">
        <v>66082089.369999997</v>
      </c>
      <c r="F777" s="24">
        <v>0.28722180080790022</v>
      </c>
      <c r="G777" s="26">
        <v>18980216.710000001</v>
      </c>
      <c r="H777" t="s">
        <v>68</v>
      </c>
    </row>
    <row r="778" spans="1:8">
      <c r="A778" s="13" t="s">
        <v>645</v>
      </c>
      <c r="B778" s="14" t="s">
        <v>646</v>
      </c>
      <c r="C778" s="15" t="s">
        <v>72</v>
      </c>
      <c r="D778" s="16"/>
      <c r="E778" s="2">
        <v>34612757.700000003</v>
      </c>
      <c r="F778" s="23">
        <v>0.56624223847959954</v>
      </c>
      <c r="G778" s="26">
        <v>19599205.399999999</v>
      </c>
      <c r="H778" t="s">
        <v>68</v>
      </c>
    </row>
    <row r="779" spans="1:8">
      <c r="A779" s="19" t="s">
        <v>647</v>
      </c>
      <c r="B779" s="20" t="s">
        <v>648</v>
      </c>
      <c r="C779" s="19" t="s">
        <v>72</v>
      </c>
      <c r="D779" s="20"/>
      <c r="E779" s="3">
        <v>18633515.129999999</v>
      </c>
      <c r="F779" s="24">
        <v>0.28529861182450983</v>
      </c>
      <c r="G779" s="26">
        <v>5316116.0000000009</v>
      </c>
      <c r="H779" t="s">
        <v>68</v>
      </c>
    </row>
    <row r="780" spans="1:8">
      <c r="A780" s="13" t="s">
        <v>649</v>
      </c>
      <c r="B780" s="14" t="s">
        <v>650</v>
      </c>
      <c r="C780" s="15" t="s">
        <v>72</v>
      </c>
      <c r="D780" s="16"/>
      <c r="E780" s="2">
        <v>15576986.710000001</v>
      </c>
      <c r="F780" s="23">
        <v>0.20222836859568713</v>
      </c>
      <c r="G780" s="26">
        <v>3150108.61</v>
      </c>
      <c r="H780" t="s">
        <v>68</v>
      </c>
    </row>
    <row r="781" spans="1:8">
      <c r="A781" s="17" t="s">
        <v>651</v>
      </c>
      <c r="B781" s="21" t="s">
        <v>652</v>
      </c>
      <c r="C781" s="19" t="s">
        <v>72</v>
      </c>
      <c r="D781" s="20"/>
      <c r="E781" s="3">
        <v>8415045.6899999995</v>
      </c>
      <c r="F781" s="24">
        <v>0.20064015362464421</v>
      </c>
      <c r="G781" s="26">
        <v>1688396.06</v>
      </c>
      <c r="H781" t="s">
        <v>68</v>
      </c>
    </row>
    <row r="782" spans="1:8">
      <c r="A782" s="15" t="s">
        <v>653</v>
      </c>
      <c r="B782" s="16" t="s">
        <v>654</v>
      </c>
      <c r="C782" s="15" t="s">
        <v>72</v>
      </c>
      <c r="D782" s="16"/>
      <c r="E782" s="2">
        <v>124714545.84999999</v>
      </c>
      <c r="F782" s="23">
        <v>0.63485787828814033</v>
      </c>
      <c r="G782" s="26">
        <v>79176011.969999999</v>
      </c>
      <c r="H782" t="s">
        <v>68</v>
      </c>
    </row>
    <row r="783" spans="1:8">
      <c r="A783" s="17" t="s">
        <v>655</v>
      </c>
      <c r="B783" s="21" t="s">
        <v>656</v>
      </c>
      <c r="C783" s="19" t="s">
        <v>72</v>
      </c>
      <c r="D783" s="20"/>
      <c r="E783" s="3">
        <v>35129934.140000001</v>
      </c>
      <c r="F783" s="24">
        <v>0.51993493774309707</v>
      </c>
      <c r="G783" s="26">
        <v>18265280.120000001</v>
      </c>
      <c r="H783" t="s">
        <v>68</v>
      </c>
    </row>
    <row r="784" spans="1:8">
      <c r="A784" s="13" t="s">
        <v>657</v>
      </c>
      <c r="B784" s="14" t="s">
        <v>658</v>
      </c>
      <c r="C784" s="15" t="s">
        <v>72</v>
      </c>
      <c r="D784" s="16"/>
      <c r="E784" s="2">
        <v>46274133.109999999</v>
      </c>
      <c r="F784" s="23">
        <v>0.82806037206387773</v>
      </c>
      <c r="G784" s="26">
        <v>38317775.880000003</v>
      </c>
      <c r="H784" t="s">
        <v>68</v>
      </c>
    </row>
    <row r="785" spans="1:8">
      <c r="A785" s="19" t="s">
        <v>659</v>
      </c>
      <c r="B785" s="20" t="s">
        <v>660</v>
      </c>
      <c r="C785" s="19" t="s">
        <v>72</v>
      </c>
      <c r="D785" s="20"/>
      <c r="E785" s="3">
        <v>27779796.359999999</v>
      </c>
      <c r="F785" s="24">
        <v>0.3945565225878423</v>
      </c>
      <c r="G785" s="26">
        <v>10960699.85</v>
      </c>
      <c r="H785" t="s">
        <v>68</v>
      </c>
    </row>
    <row r="786" spans="1:8">
      <c r="A786" s="13" t="s">
        <v>661</v>
      </c>
      <c r="B786" s="14" t="s">
        <v>662</v>
      </c>
      <c r="C786" s="15" t="s">
        <v>72</v>
      </c>
      <c r="D786" s="16"/>
      <c r="E786" s="2">
        <v>18506766.800000001</v>
      </c>
      <c r="F786" s="23">
        <v>0.72433007909301583</v>
      </c>
      <c r="G786" s="26">
        <v>13405007.859999999</v>
      </c>
      <c r="H786" t="s">
        <v>68</v>
      </c>
    </row>
    <row r="787" spans="1:8">
      <c r="A787" s="17" t="s">
        <v>663</v>
      </c>
      <c r="B787" s="21" t="s">
        <v>664</v>
      </c>
      <c r="C787" s="19" t="s">
        <v>72</v>
      </c>
      <c r="D787" s="20"/>
      <c r="E787" s="3">
        <v>18763524.219999999</v>
      </c>
      <c r="F787" s="24">
        <v>0.37587183608517227</v>
      </c>
      <c r="G787" s="26">
        <v>7052680.2999999998</v>
      </c>
      <c r="H787" t="s">
        <v>68</v>
      </c>
    </row>
    <row r="788" spans="1:8">
      <c r="A788" s="15" t="s">
        <v>665</v>
      </c>
      <c r="B788" s="16" t="s">
        <v>666</v>
      </c>
      <c r="C788" s="15" t="s">
        <v>72</v>
      </c>
      <c r="D788" s="16"/>
      <c r="E788" s="2">
        <v>84521732.920000002</v>
      </c>
      <c r="F788" s="23">
        <v>0.68701143793349473</v>
      </c>
      <c r="G788" s="26">
        <v>58067397.269999996</v>
      </c>
      <c r="H788" t="s">
        <v>68</v>
      </c>
    </row>
    <row r="789" spans="1:8">
      <c r="A789" s="17" t="s">
        <v>667</v>
      </c>
      <c r="B789" s="21" t="s">
        <v>668</v>
      </c>
      <c r="C789" s="19" t="s">
        <v>72</v>
      </c>
      <c r="D789" s="20"/>
      <c r="E789" s="3">
        <v>26650110.190000001</v>
      </c>
      <c r="F789" s="24">
        <v>0.5820804431728317</v>
      </c>
      <c r="G789" s="26">
        <v>15512507.949999999</v>
      </c>
      <c r="H789" t="s">
        <v>68</v>
      </c>
    </row>
    <row r="790" spans="1:8">
      <c r="A790" s="13" t="s">
        <v>669</v>
      </c>
      <c r="B790" s="14" t="s">
        <v>670</v>
      </c>
      <c r="C790" s="15" t="s">
        <v>72</v>
      </c>
      <c r="D790" s="16"/>
      <c r="E790" s="2">
        <v>42480929.549999997</v>
      </c>
      <c r="F790" s="23">
        <v>0.66028329010517151</v>
      </c>
      <c r="G790" s="26">
        <v>28049447.93</v>
      </c>
      <c r="H790" t="s">
        <v>68</v>
      </c>
    </row>
    <row r="791" spans="1:8">
      <c r="A791" s="19" t="s">
        <v>671</v>
      </c>
      <c r="B791" s="20" t="s">
        <v>672</v>
      </c>
      <c r="C791" s="19" t="s">
        <v>72</v>
      </c>
      <c r="D791" s="20"/>
      <c r="E791" s="3">
        <v>98655374.400000006</v>
      </c>
      <c r="F791" s="24">
        <v>0.69844259189188174</v>
      </c>
      <c r="G791" s="26">
        <v>68905115.400000006</v>
      </c>
      <c r="H791" t="s">
        <v>68</v>
      </c>
    </row>
    <row r="792" spans="1:8">
      <c r="A792" s="13" t="s">
        <v>673</v>
      </c>
      <c r="B792" s="14" t="s">
        <v>674</v>
      </c>
      <c r="C792" s="15" t="s">
        <v>72</v>
      </c>
      <c r="D792" s="16"/>
      <c r="E792" s="2">
        <v>22355659.460000001</v>
      </c>
      <c r="F792" s="23">
        <v>0.68035834895473934</v>
      </c>
      <c r="G792" s="26">
        <v>15209859.560000001</v>
      </c>
      <c r="H792" t="s">
        <v>68</v>
      </c>
    </row>
    <row r="793" spans="1:8">
      <c r="A793" s="17" t="s">
        <v>675</v>
      </c>
      <c r="B793" s="21" t="s">
        <v>676</v>
      </c>
      <c r="C793" s="19" t="s">
        <v>72</v>
      </c>
      <c r="D793" s="20"/>
      <c r="E793" s="3">
        <v>47566667.240000002</v>
      </c>
      <c r="F793" s="24">
        <v>0.45867123231314277</v>
      </c>
      <c r="G793" s="26">
        <v>21817461.879999999</v>
      </c>
      <c r="H793" t="s">
        <v>68</v>
      </c>
    </row>
    <row r="794" spans="1:8">
      <c r="A794" s="15" t="s">
        <v>677</v>
      </c>
      <c r="B794" s="16" t="s">
        <v>678</v>
      </c>
      <c r="C794" s="15" t="s">
        <v>72</v>
      </c>
      <c r="D794" s="16"/>
      <c r="E794" s="2">
        <v>110331526.36</v>
      </c>
      <c r="F794" s="23">
        <v>0.23240311337971414</v>
      </c>
      <c r="G794" s="26">
        <v>25641390.23</v>
      </c>
      <c r="H794" t="s">
        <v>68</v>
      </c>
    </row>
    <row r="795" spans="1:8">
      <c r="A795" s="17" t="s">
        <v>679</v>
      </c>
      <c r="B795" s="21" t="s">
        <v>680</v>
      </c>
      <c r="C795" s="19" t="s">
        <v>72</v>
      </c>
      <c r="D795" s="20"/>
      <c r="E795" s="3">
        <v>36369036.479999997</v>
      </c>
      <c r="F795" s="24">
        <v>0.26189420457255957</v>
      </c>
      <c r="G795" s="26">
        <v>9524839.8800000008</v>
      </c>
      <c r="H795" t="s">
        <v>68</v>
      </c>
    </row>
    <row r="796" spans="1:8">
      <c r="A796" s="13" t="s">
        <v>681</v>
      </c>
      <c r="B796" s="14" t="s">
        <v>682</v>
      </c>
      <c r="C796" s="15" t="s">
        <v>72</v>
      </c>
      <c r="D796" s="16"/>
      <c r="E796" s="2">
        <v>6767167.5999999996</v>
      </c>
      <c r="F796" s="23">
        <v>0.39576687889332013</v>
      </c>
      <c r="G796" s="26">
        <v>2678220.7999999998</v>
      </c>
      <c r="H796" t="s">
        <v>68</v>
      </c>
    </row>
    <row r="797" spans="1:8">
      <c r="A797" s="19" t="s">
        <v>683</v>
      </c>
      <c r="B797" s="20" t="s">
        <v>684</v>
      </c>
      <c r="C797" s="19" t="s">
        <v>72</v>
      </c>
      <c r="D797" s="20"/>
      <c r="E797" s="3">
        <v>31651655.960000001</v>
      </c>
      <c r="F797" s="24">
        <v>0.4163761607498529</v>
      </c>
      <c r="G797" s="26">
        <v>13178994.99</v>
      </c>
      <c r="H797" t="s">
        <v>68</v>
      </c>
    </row>
    <row r="798" spans="1:8">
      <c r="A798" s="13" t="s">
        <v>685</v>
      </c>
      <c r="B798" s="14" t="s">
        <v>686</v>
      </c>
      <c r="C798" s="15" t="s">
        <v>72</v>
      </c>
      <c r="D798" s="16"/>
      <c r="E798" s="2">
        <v>10141965.359999999</v>
      </c>
      <c r="F798" s="23">
        <v>0.26540227899181074</v>
      </c>
      <c r="G798" s="26">
        <v>2691700.72</v>
      </c>
      <c r="H798" t="s">
        <v>68</v>
      </c>
    </row>
    <row r="799" spans="1:8">
      <c r="A799" s="17" t="s">
        <v>687</v>
      </c>
      <c r="B799" s="21" t="s">
        <v>688</v>
      </c>
      <c r="C799" s="19" t="s">
        <v>72</v>
      </c>
      <c r="D799" s="20"/>
      <c r="E799" s="3">
        <v>8467641.5099999998</v>
      </c>
      <c r="F799" s="24">
        <v>0.43976296181201935</v>
      </c>
      <c r="G799" s="26">
        <v>3723755.11</v>
      </c>
      <c r="H799" t="s">
        <v>68</v>
      </c>
    </row>
    <row r="800" spans="1:8">
      <c r="A800" s="15" t="s">
        <v>689</v>
      </c>
      <c r="B800" s="16" t="s">
        <v>690</v>
      </c>
      <c r="C800" s="15" t="s">
        <v>72</v>
      </c>
      <c r="D800" s="16"/>
      <c r="E800" s="2">
        <v>5942926.5800000001</v>
      </c>
      <c r="F800" s="23">
        <v>0.35525809238585609</v>
      </c>
      <c r="G800" s="26">
        <v>2111272.7599999998</v>
      </c>
      <c r="H800" t="s">
        <v>68</v>
      </c>
    </row>
    <row r="801" spans="1:8">
      <c r="A801" s="17" t="s">
        <v>691</v>
      </c>
      <c r="B801" s="21" t="s">
        <v>692</v>
      </c>
      <c r="C801" s="19" t="s">
        <v>72</v>
      </c>
      <c r="D801" s="20"/>
      <c r="E801" s="3">
        <v>7192294.0499999998</v>
      </c>
      <c r="F801" s="24">
        <v>0.24788501243215993</v>
      </c>
      <c r="G801" s="26">
        <v>1782861.9</v>
      </c>
      <c r="H801" t="s">
        <v>68</v>
      </c>
    </row>
    <row r="802" spans="1:8">
      <c r="A802" s="13" t="s">
        <v>693</v>
      </c>
      <c r="B802" s="14" t="s">
        <v>694</v>
      </c>
      <c r="C802" s="15" t="s">
        <v>72</v>
      </c>
      <c r="D802" s="16"/>
      <c r="E802" s="2">
        <v>17117750.629999999</v>
      </c>
      <c r="F802" s="23">
        <v>0.28929449476388358</v>
      </c>
      <c r="G802" s="26">
        <v>4952071.0199999996</v>
      </c>
      <c r="H802" t="s">
        <v>68</v>
      </c>
    </row>
    <row r="803" spans="1:8">
      <c r="A803" s="19" t="s">
        <v>695</v>
      </c>
      <c r="B803" s="20" t="s">
        <v>696</v>
      </c>
      <c r="C803" s="19" t="s">
        <v>72</v>
      </c>
      <c r="D803" s="20"/>
      <c r="E803" s="3">
        <v>7490004.71</v>
      </c>
      <c r="F803" s="24">
        <v>0.31024410797733665</v>
      </c>
      <c r="G803" s="26">
        <v>2323729.83</v>
      </c>
      <c r="H803" t="s">
        <v>68</v>
      </c>
    </row>
    <row r="804" spans="1:8">
      <c r="A804" s="13" t="s">
        <v>697</v>
      </c>
      <c r="B804" s="14" t="s">
        <v>904</v>
      </c>
      <c r="C804" s="15" t="s">
        <v>72</v>
      </c>
      <c r="D804" s="16"/>
      <c r="E804" s="2">
        <v>8201064.1500000004</v>
      </c>
      <c r="F804" s="23">
        <v>0.46562704914337238</v>
      </c>
      <c r="G804" s="26">
        <v>3818637.3</v>
      </c>
      <c r="H804" t="s">
        <v>68</v>
      </c>
    </row>
    <row r="805" spans="1:8">
      <c r="A805" s="17" t="s">
        <v>905</v>
      </c>
      <c r="B805" s="21" t="s">
        <v>906</v>
      </c>
      <c r="C805" s="19" t="s">
        <v>72</v>
      </c>
      <c r="D805" s="20"/>
      <c r="E805" s="3">
        <v>20910889.09</v>
      </c>
      <c r="F805" s="24">
        <v>0.30570230287611361</v>
      </c>
      <c r="G805" s="26">
        <v>6392506.9499999993</v>
      </c>
      <c r="H805" t="s">
        <v>68</v>
      </c>
    </row>
    <row r="806" spans="1:8">
      <c r="A806" s="15" t="s">
        <v>907</v>
      </c>
      <c r="B806" s="16" t="s">
        <v>908</v>
      </c>
      <c r="C806" s="15" t="s">
        <v>72</v>
      </c>
      <c r="D806" s="16"/>
      <c r="E806" s="2">
        <v>20887714.239999998</v>
      </c>
      <c r="F806" s="23">
        <v>0.78663177220869529</v>
      </c>
      <c r="G806" s="26">
        <v>16430939.67</v>
      </c>
      <c r="H806" t="s">
        <v>68</v>
      </c>
    </row>
    <row r="807" spans="1:8">
      <c r="A807" s="17" t="s">
        <v>909</v>
      </c>
      <c r="B807" s="21" t="s">
        <v>910</v>
      </c>
      <c r="C807" s="19" t="s">
        <v>72</v>
      </c>
      <c r="D807" s="20"/>
      <c r="E807" s="3">
        <v>11820390.279999999</v>
      </c>
      <c r="F807" s="24">
        <v>0.23417786337254512</v>
      </c>
      <c r="G807" s="26">
        <v>2768073.74</v>
      </c>
      <c r="H807" t="s">
        <v>68</v>
      </c>
    </row>
    <row r="808" spans="1:8">
      <c r="A808" s="13" t="s">
        <v>911</v>
      </c>
      <c r="B808" s="14" t="s">
        <v>912</v>
      </c>
      <c r="C808" s="15" t="s">
        <v>72</v>
      </c>
      <c r="D808" s="16"/>
      <c r="E808" s="2">
        <v>19855832.559999999</v>
      </c>
      <c r="F808" s="23">
        <v>0.40578201924563373</v>
      </c>
      <c r="G808" s="26">
        <v>8057139.8300000001</v>
      </c>
      <c r="H808" t="s">
        <v>68</v>
      </c>
    </row>
    <row r="809" spans="1:8">
      <c r="A809" s="19" t="s">
        <v>913</v>
      </c>
      <c r="B809" s="20" t="s">
        <v>914</v>
      </c>
      <c r="C809" s="19" t="s">
        <v>72</v>
      </c>
      <c r="D809" s="20"/>
      <c r="E809" s="3">
        <v>12483184.029999999</v>
      </c>
      <c r="F809" s="24">
        <v>0.33413908021990446</v>
      </c>
      <c r="G809" s="26">
        <v>4171119.63</v>
      </c>
      <c r="H809" t="s">
        <v>68</v>
      </c>
    </row>
    <row r="810" spans="1:8">
      <c r="A810" s="13" t="s">
        <v>915</v>
      </c>
      <c r="B810" s="14" t="s">
        <v>916</v>
      </c>
      <c r="C810" s="15" t="s">
        <v>72</v>
      </c>
      <c r="D810" s="16"/>
      <c r="E810" s="2">
        <v>8466364.6999999993</v>
      </c>
      <c r="F810" s="23">
        <v>0.63373520632769342</v>
      </c>
      <c r="G810" s="26">
        <v>5365433.38</v>
      </c>
      <c r="H810" t="s">
        <v>68</v>
      </c>
    </row>
    <row r="811" spans="1:8">
      <c r="A811" s="17" t="s">
        <v>917</v>
      </c>
      <c r="B811" s="21" t="s">
        <v>918</v>
      </c>
      <c r="C811" s="19" t="s">
        <v>72</v>
      </c>
      <c r="D811" s="20"/>
      <c r="E811" s="3">
        <v>7345793.79</v>
      </c>
      <c r="F811" s="24">
        <v>0.50716305364733083</v>
      </c>
      <c r="G811" s="26">
        <v>3725515.2099999995</v>
      </c>
      <c r="H811" t="s">
        <v>68</v>
      </c>
    </row>
    <row r="812" spans="1:8">
      <c r="A812" s="15" t="s">
        <v>919</v>
      </c>
      <c r="B812" s="16" t="s">
        <v>920</v>
      </c>
      <c r="C812" s="15" t="s">
        <v>72</v>
      </c>
      <c r="D812" s="16"/>
      <c r="E812" s="2">
        <v>7764306.0199999996</v>
      </c>
      <c r="F812" s="23">
        <v>0.38919973945076419</v>
      </c>
      <c r="G812" s="26">
        <v>3021865.88</v>
      </c>
      <c r="H812" t="s">
        <v>68</v>
      </c>
    </row>
    <row r="813" spans="1:8">
      <c r="A813" s="17" t="s">
        <v>921</v>
      </c>
      <c r="B813" s="21" t="s">
        <v>922</v>
      </c>
      <c r="C813" s="19" t="s">
        <v>72</v>
      </c>
      <c r="D813" s="20"/>
      <c r="E813" s="3">
        <v>9482963.4600000009</v>
      </c>
      <c r="F813" s="24">
        <v>0.16787221280719772</v>
      </c>
      <c r="G813" s="26">
        <v>1591926.06</v>
      </c>
      <c r="H813" t="s">
        <v>68</v>
      </c>
    </row>
    <row r="814" spans="1:8">
      <c r="A814" s="13" t="s">
        <v>923</v>
      </c>
      <c r="B814" s="14" t="s">
        <v>728</v>
      </c>
      <c r="C814" s="15" t="s">
        <v>72</v>
      </c>
      <c r="D814" s="16"/>
      <c r="E814" s="2">
        <v>5306242.29</v>
      </c>
      <c r="F814" s="23">
        <v>0.65444974243722287</v>
      </c>
      <c r="G814" s="26">
        <v>3472668.9</v>
      </c>
      <c r="H814" t="s">
        <v>68</v>
      </c>
    </row>
    <row r="815" spans="1:8">
      <c r="A815" s="19" t="s">
        <v>729</v>
      </c>
      <c r="B815" s="20" t="s">
        <v>730</v>
      </c>
      <c r="C815" s="19" t="s">
        <v>72</v>
      </c>
      <c r="D815" s="20"/>
      <c r="E815" s="3">
        <v>8675374.1099999994</v>
      </c>
      <c r="F815" s="24">
        <v>0.30237874318021779</v>
      </c>
      <c r="G815" s="26">
        <v>2623248.7200000002</v>
      </c>
      <c r="H815" t="s">
        <v>68</v>
      </c>
    </row>
    <row r="816" spans="1:8">
      <c r="A816" s="13" t="s">
        <v>731</v>
      </c>
      <c r="B816" s="14" t="s">
        <v>732</v>
      </c>
      <c r="C816" s="15" t="s">
        <v>72</v>
      </c>
      <c r="D816" s="16"/>
      <c r="E816" s="2">
        <v>8621998.0899999999</v>
      </c>
      <c r="F816" s="23">
        <v>0.27372316200547897</v>
      </c>
      <c r="G816" s="26">
        <v>2360040.58</v>
      </c>
      <c r="H816" t="s">
        <v>68</v>
      </c>
    </row>
    <row r="817" spans="1:8">
      <c r="A817" s="17" t="s">
        <v>733</v>
      </c>
      <c r="B817" s="21" t="s">
        <v>734</v>
      </c>
      <c r="C817" s="19" t="s">
        <v>72</v>
      </c>
      <c r="D817" s="20"/>
      <c r="E817" s="3">
        <v>20937075.800000001</v>
      </c>
      <c r="F817" s="24">
        <v>0.62780233904488225</v>
      </c>
      <c r="G817" s="26">
        <v>13144345.16</v>
      </c>
      <c r="H817" t="s">
        <v>68</v>
      </c>
    </row>
    <row r="818" spans="1:8">
      <c r="A818" s="15" t="s">
        <v>735</v>
      </c>
      <c r="B818" s="16" t="s">
        <v>736</v>
      </c>
      <c r="C818" s="15" t="s">
        <v>72</v>
      </c>
      <c r="D818" s="16"/>
      <c r="E818" s="2">
        <v>18915163.329999998</v>
      </c>
      <c r="F818" s="23">
        <v>0.30003169314425376</v>
      </c>
      <c r="G818" s="26">
        <v>5675148.4800000004</v>
      </c>
      <c r="H818" t="s">
        <v>68</v>
      </c>
    </row>
    <row r="819" spans="1:8">
      <c r="A819" s="17" t="s">
        <v>737</v>
      </c>
      <c r="B819" s="21" t="s">
        <v>738</v>
      </c>
      <c r="C819" s="19" t="s">
        <v>72</v>
      </c>
      <c r="D819" s="20"/>
      <c r="E819" s="3">
        <v>8661488.2899999991</v>
      </c>
      <c r="F819" s="24">
        <v>0.43105820096883146</v>
      </c>
      <c r="G819" s="26">
        <v>3733605.56</v>
      </c>
      <c r="H819" t="s">
        <v>68</v>
      </c>
    </row>
    <row r="820" spans="1:8">
      <c r="A820" s="13" t="s">
        <v>739</v>
      </c>
      <c r="B820" s="14" t="s">
        <v>740</v>
      </c>
      <c r="C820" s="15" t="s">
        <v>72</v>
      </c>
      <c r="D820" s="16"/>
      <c r="E820" s="2">
        <v>19522158.219999999</v>
      </c>
      <c r="F820" s="23">
        <v>0.40512520136720831</v>
      </c>
      <c r="G820" s="26">
        <v>7908918.2800000003</v>
      </c>
      <c r="H820" t="s">
        <v>68</v>
      </c>
    </row>
    <row r="821" spans="1:8">
      <c r="A821" s="19" t="s">
        <v>741</v>
      </c>
      <c r="B821" s="20" t="s">
        <v>742</v>
      </c>
      <c r="C821" s="19" t="s">
        <v>72</v>
      </c>
      <c r="D821" s="20"/>
      <c r="E821" s="3">
        <v>33031800.510000002</v>
      </c>
      <c r="F821" s="24">
        <v>0.84795858316958572</v>
      </c>
      <c r="G821" s="26">
        <v>28009598.760000002</v>
      </c>
      <c r="H821" t="s">
        <v>68</v>
      </c>
    </row>
    <row r="822" spans="1:8">
      <c r="A822" s="13" t="s">
        <v>743</v>
      </c>
      <c r="B822" s="14" t="s">
        <v>744</v>
      </c>
      <c r="C822" s="15" t="s">
        <v>72</v>
      </c>
      <c r="D822" s="16"/>
      <c r="E822" s="2">
        <v>7066328.1699999999</v>
      </c>
      <c r="F822" s="23">
        <v>0.28709971589106087</v>
      </c>
      <c r="G822" s="26">
        <v>2028740.81</v>
      </c>
      <c r="H822" t="s">
        <v>68</v>
      </c>
    </row>
    <row r="823" spans="1:8">
      <c r="A823" s="17" t="s">
        <v>745</v>
      </c>
      <c r="B823" s="21" t="s">
        <v>746</v>
      </c>
      <c r="C823" s="19" t="s">
        <v>72</v>
      </c>
      <c r="D823" s="20"/>
      <c r="E823" s="3">
        <v>8920036.3900000006</v>
      </c>
      <c r="F823" s="24">
        <v>0.32192016539519963</v>
      </c>
      <c r="G823" s="26">
        <v>2871539.59</v>
      </c>
      <c r="H823" t="s">
        <v>68</v>
      </c>
    </row>
    <row r="824" spans="1:8">
      <c r="A824" s="15" t="s">
        <v>747</v>
      </c>
      <c r="B824" s="16" t="s">
        <v>748</v>
      </c>
      <c r="C824" s="15" t="s">
        <v>72</v>
      </c>
      <c r="D824" s="16"/>
      <c r="E824" s="2">
        <v>12850004.18</v>
      </c>
      <c r="F824" s="23">
        <v>0.55250562883474486</v>
      </c>
      <c r="G824" s="26">
        <v>7099699.6399999997</v>
      </c>
      <c r="H824" t="s">
        <v>68</v>
      </c>
    </row>
    <row r="825" spans="1:8">
      <c r="A825" s="17" t="s">
        <v>749</v>
      </c>
      <c r="B825" s="21" t="s">
        <v>750</v>
      </c>
      <c r="C825" s="19" t="s">
        <v>72</v>
      </c>
      <c r="D825" s="20"/>
      <c r="E825" s="3">
        <v>46219149.960000001</v>
      </c>
      <c r="F825" s="24">
        <v>0.54890535529009543</v>
      </c>
      <c r="G825" s="26">
        <v>25369938.93</v>
      </c>
      <c r="H825" t="s">
        <v>68</v>
      </c>
    </row>
    <row r="826" spans="1:8">
      <c r="A826" s="13" t="s">
        <v>751</v>
      </c>
      <c r="B826" s="14" t="s">
        <v>752</v>
      </c>
      <c r="C826" s="15" t="s">
        <v>72</v>
      </c>
      <c r="D826" s="16"/>
      <c r="E826" s="2">
        <v>6432850.25</v>
      </c>
      <c r="F826" s="23">
        <v>0.30608292801468523</v>
      </c>
      <c r="G826" s="26">
        <v>1968985.64</v>
      </c>
      <c r="H826" t="s">
        <v>68</v>
      </c>
    </row>
    <row r="827" spans="1:8">
      <c r="A827" s="19" t="s">
        <v>753</v>
      </c>
      <c r="B827" s="20" t="s">
        <v>754</v>
      </c>
      <c r="C827" s="19" t="s">
        <v>72</v>
      </c>
      <c r="D827" s="20"/>
      <c r="E827" s="3">
        <v>101279238.12</v>
      </c>
      <c r="F827" s="24">
        <v>0.71642658522005076</v>
      </c>
      <c r="G827" s="26">
        <v>72559138.719999999</v>
      </c>
      <c r="H827" t="s">
        <v>68</v>
      </c>
    </row>
    <row r="828" spans="1:8">
      <c r="A828" s="13" t="s">
        <v>755</v>
      </c>
      <c r="B828" s="14" t="s">
        <v>756</v>
      </c>
      <c r="C828" s="15" t="s">
        <v>72</v>
      </c>
      <c r="D828" s="16"/>
      <c r="E828" s="2">
        <v>53491132.020000003</v>
      </c>
      <c r="F828" s="23">
        <v>0.58141822906966401</v>
      </c>
      <c r="G828" s="26">
        <v>31100719.25</v>
      </c>
      <c r="H828" t="s">
        <v>68</v>
      </c>
    </row>
    <row r="829" spans="1:8">
      <c r="A829" s="17" t="s">
        <v>757</v>
      </c>
      <c r="B829" s="21" t="s">
        <v>758</v>
      </c>
      <c r="C829" s="19" t="s">
        <v>72</v>
      </c>
      <c r="D829" s="20"/>
      <c r="E829" s="3">
        <v>13916160.23</v>
      </c>
      <c r="F829" s="24">
        <v>0.43330736139418535</v>
      </c>
      <c r="G829" s="26">
        <v>6029974.6699999999</v>
      </c>
      <c r="H829" t="s">
        <v>68</v>
      </c>
    </row>
    <row r="830" spans="1:8">
      <c r="A830" s="15" t="s">
        <v>759</v>
      </c>
      <c r="B830" s="16" t="s">
        <v>760</v>
      </c>
      <c r="C830" s="15" t="s">
        <v>72</v>
      </c>
      <c r="D830" s="16"/>
      <c r="E830" s="2">
        <v>9743968.8499999996</v>
      </c>
      <c r="F830" s="23">
        <v>0.40861923732442967</v>
      </c>
      <c r="G830" s="26">
        <v>3981573.12</v>
      </c>
      <c r="H830" t="s">
        <v>68</v>
      </c>
    </row>
    <row r="831" spans="1:8">
      <c r="A831" s="17" t="s">
        <v>762</v>
      </c>
      <c r="B831" s="21" t="s">
        <v>763</v>
      </c>
      <c r="C831" s="19" t="s">
        <v>72</v>
      </c>
      <c r="D831" s="20"/>
      <c r="E831" s="3">
        <v>14031403.789999999</v>
      </c>
      <c r="F831" s="24">
        <v>0.38502941408116942</v>
      </c>
      <c r="G831" s="26">
        <v>5402503.1799999997</v>
      </c>
      <c r="H831" t="s">
        <v>68</v>
      </c>
    </row>
    <row r="832" spans="1:8">
      <c r="A832" s="13" t="s">
        <v>764</v>
      </c>
      <c r="B832" s="14" t="s">
        <v>765</v>
      </c>
      <c r="C832" s="15" t="s">
        <v>72</v>
      </c>
      <c r="D832" s="16"/>
      <c r="E832" s="2">
        <v>10450182.859999999</v>
      </c>
      <c r="F832" s="23">
        <v>0.30437917140906379</v>
      </c>
      <c r="G832" s="26">
        <v>3180818.0000000005</v>
      </c>
      <c r="H832" t="s">
        <v>68</v>
      </c>
    </row>
    <row r="833" spans="1:8">
      <c r="A833" s="19" t="s">
        <v>766</v>
      </c>
      <c r="B833" s="20" t="s">
        <v>767</v>
      </c>
      <c r="C833" s="19" t="s">
        <v>72</v>
      </c>
      <c r="D833" s="20"/>
      <c r="E833" s="3">
        <v>27670914.18</v>
      </c>
      <c r="F833" s="24">
        <v>0.47420000599344131</v>
      </c>
      <c r="G833" s="26">
        <v>13121547.67</v>
      </c>
      <c r="H833" t="s">
        <v>68</v>
      </c>
    </row>
    <row r="834" spans="1:8">
      <c r="A834" s="13" t="s">
        <v>768</v>
      </c>
      <c r="B834" s="14" t="s">
        <v>769</v>
      </c>
      <c r="C834" s="15" t="s">
        <v>72</v>
      </c>
      <c r="D834" s="16"/>
      <c r="E834" s="2">
        <v>11167731.67</v>
      </c>
      <c r="F834" s="23">
        <v>0.31664794825787573</v>
      </c>
      <c r="G834" s="26">
        <v>3536239.3200000003</v>
      </c>
      <c r="H834" t="s">
        <v>68</v>
      </c>
    </row>
    <row r="835" spans="1:8">
      <c r="A835" s="17" t="s">
        <v>770</v>
      </c>
      <c r="B835" s="21" t="s">
        <v>771</v>
      </c>
      <c r="C835" s="19" t="s">
        <v>72</v>
      </c>
      <c r="D835" s="20"/>
      <c r="E835" s="3">
        <v>15347984.77</v>
      </c>
      <c r="F835" s="24">
        <v>0.33223572973352644</v>
      </c>
      <c r="G835" s="26">
        <v>5099148.92</v>
      </c>
      <c r="H835" t="s">
        <v>68</v>
      </c>
    </row>
    <row r="836" spans="1:8">
      <c r="A836" s="15" t="s">
        <v>772</v>
      </c>
      <c r="B836" s="16" t="s">
        <v>773</v>
      </c>
      <c r="C836" s="15" t="s">
        <v>72</v>
      </c>
      <c r="D836" s="16"/>
      <c r="E836" s="2">
        <v>38857278.240000002</v>
      </c>
      <c r="F836" s="23">
        <v>0.6726582983646463</v>
      </c>
      <c r="G836" s="26">
        <v>26137670.66</v>
      </c>
      <c r="H836" t="s">
        <v>68</v>
      </c>
    </row>
    <row r="837" spans="1:8">
      <c r="A837" s="17" t="s">
        <v>774</v>
      </c>
      <c r="B837" s="21" t="s">
        <v>775</v>
      </c>
      <c r="C837" s="19" t="s">
        <v>72</v>
      </c>
      <c r="D837" s="20"/>
      <c r="E837" s="3">
        <v>9061250.9100000001</v>
      </c>
      <c r="F837" s="24">
        <v>0.40099034185115617</v>
      </c>
      <c r="G837" s="26">
        <v>3633474.1</v>
      </c>
      <c r="H837" t="s">
        <v>68</v>
      </c>
    </row>
    <row r="838" spans="1:8">
      <c r="A838" s="13" t="s">
        <v>776</v>
      </c>
      <c r="B838" s="14" t="s">
        <v>777</v>
      </c>
      <c r="C838" s="15" t="s">
        <v>72</v>
      </c>
      <c r="D838" s="16"/>
      <c r="E838" s="2">
        <v>23311031.41</v>
      </c>
      <c r="F838" s="23">
        <v>0.76541929767834327</v>
      </c>
      <c r="G838" s="26">
        <v>17842713.289999999</v>
      </c>
      <c r="H838" t="s">
        <v>68</v>
      </c>
    </row>
    <row r="839" spans="1:8">
      <c r="A839" s="19" t="s">
        <v>778</v>
      </c>
      <c r="B839" s="20" t="s">
        <v>779</v>
      </c>
      <c r="C839" s="19" t="s">
        <v>72</v>
      </c>
      <c r="D839" s="20"/>
      <c r="E839" s="3">
        <v>19264099.41</v>
      </c>
      <c r="F839" s="24">
        <v>0.49747594092175629</v>
      </c>
      <c r="G839" s="26">
        <v>9583425.9800000004</v>
      </c>
      <c r="H839" t="s">
        <v>68</v>
      </c>
    </row>
    <row r="840" spans="1:8">
      <c r="A840" s="13" t="s">
        <v>780</v>
      </c>
      <c r="B840" s="14" t="s">
        <v>781</v>
      </c>
      <c r="C840" s="15" t="s">
        <v>72</v>
      </c>
      <c r="D840" s="16"/>
      <c r="E840" s="2">
        <v>14394648.390000001</v>
      </c>
      <c r="F840" s="23">
        <v>0.53601868840090505</v>
      </c>
      <c r="G840" s="26">
        <v>7715800.5499999998</v>
      </c>
      <c r="H840" t="s">
        <v>68</v>
      </c>
    </row>
    <row r="841" spans="1:8">
      <c r="A841" s="17" t="s">
        <v>782</v>
      </c>
      <c r="B841" s="21" t="s">
        <v>783</v>
      </c>
      <c r="C841" s="19" t="s">
        <v>72</v>
      </c>
      <c r="D841" s="20"/>
      <c r="E841" s="3">
        <v>11105015.6</v>
      </c>
      <c r="F841" s="24">
        <v>0.36198488726121197</v>
      </c>
      <c r="G841" s="26">
        <v>4019847.8200000003</v>
      </c>
      <c r="H841" t="s">
        <v>68</v>
      </c>
    </row>
    <row r="842" spans="1:8">
      <c r="A842" s="15" t="s">
        <v>784</v>
      </c>
      <c r="B842" s="16" t="s">
        <v>785</v>
      </c>
      <c r="C842" s="15" t="s">
        <v>72</v>
      </c>
      <c r="D842" s="16"/>
      <c r="E842" s="2">
        <v>15895713.51</v>
      </c>
      <c r="F842" s="23">
        <v>0.39042229882262136</v>
      </c>
      <c r="G842" s="26">
        <v>6206041.0099999998</v>
      </c>
      <c r="H842" t="s">
        <v>68</v>
      </c>
    </row>
    <row r="843" spans="1:8">
      <c r="A843" s="17" t="s">
        <v>786</v>
      </c>
      <c r="B843" s="21" t="s">
        <v>787</v>
      </c>
      <c r="C843" s="19" t="s">
        <v>72</v>
      </c>
      <c r="D843" s="20"/>
      <c r="E843" s="3">
        <v>12765815.470000001</v>
      </c>
      <c r="F843" s="24">
        <v>0.46619086919952163</v>
      </c>
      <c r="G843" s="26">
        <v>5951306.6100000003</v>
      </c>
      <c r="H843" t="s">
        <v>68</v>
      </c>
    </row>
    <row r="844" spans="1:8">
      <c r="A844" s="13" t="s">
        <v>788</v>
      </c>
      <c r="B844" s="14" t="s">
        <v>789</v>
      </c>
      <c r="C844" s="15" t="s">
        <v>72</v>
      </c>
      <c r="D844" s="16"/>
      <c r="E844" s="2">
        <v>9234233.5899999999</v>
      </c>
      <c r="F844" s="23">
        <v>0.21758910692663125</v>
      </c>
      <c r="G844" s="26">
        <v>2009268.64</v>
      </c>
      <c r="H844" t="s">
        <v>68</v>
      </c>
    </row>
    <row r="845" spans="1:8">
      <c r="A845" s="19" t="s">
        <v>790</v>
      </c>
      <c r="B845" s="20" t="s">
        <v>791</v>
      </c>
      <c r="C845" s="19" t="s">
        <v>72</v>
      </c>
      <c r="D845" s="20"/>
      <c r="E845" s="3">
        <v>7167728.6200000001</v>
      </c>
      <c r="F845" s="24">
        <v>0.73426676831969673</v>
      </c>
      <c r="G845" s="26">
        <v>5263024.93</v>
      </c>
      <c r="H845" t="s">
        <v>68</v>
      </c>
    </row>
    <row r="846" spans="1:8">
      <c r="A846" s="17" t="s">
        <v>1006</v>
      </c>
      <c r="B846" s="21" t="s">
        <v>1007</v>
      </c>
      <c r="C846" s="19" t="s">
        <v>72</v>
      </c>
      <c r="D846" s="20"/>
      <c r="E846" s="3">
        <v>7785263.0499999998</v>
      </c>
      <c r="F846" s="24">
        <v>0.31638535193746603</v>
      </c>
      <c r="G846" s="26">
        <v>2463143.19</v>
      </c>
      <c r="H846" t="s">
        <v>68</v>
      </c>
    </row>
    <row r="847" spans="1:8">
      <c r="A847" s="13" t="s">
        <v>1008</v>
      </c>
      <c r="B847" s="14" t="s">
        <v>1009</v>
      </c>
      <c r="C847" s="15" t="s">
        <v>72</v>
      </c>
      <c r="D847" s="16"/>
      <c r="E847" s="2">
        <v>18582854.649999999</v>
      </c>
      <c r="F847" s="23">
        <v>0.63478905056172308</v>
      </c>
      <c r="G847" s="26">
        <v>11796192.66</v>
      </c>
      <c r="H847" t="s">
        <v>68</v>
      </c>
    </row>
    <row r="848" spans="1:8">
      <c r="A848" s="19" t="s">
        <v>1010</v>
      </c>
      <c r="B848" s="20" t="s">
        <v>1011</v>
      </c>
      <c r="C848" s="19" t="s">
        <v>72</v>
      </c>
      <c r="D848" s="20"/>
      <c r="E848" s="3">
        <v>20236793.59</v>
      </c>
      <c r="F848" s="24">
        <v>0.52115343584922136</v>
      </c>
      <c r="G848" s="26">
        <v>10546474.51</v>
      </c>
      <c r="H848" t="s">
        <v>68</v>
      </c>
    </row>
    <row r="849" spans="1:8">
      <c r="A849" s="13" t="s">
        <v>1012</v>
      </c>
      <c r="B849" s="14" t="s">
        <v>1013</v>
      </c>
      <c r="C849" s="15" t="s">
        <v>72</v>
      </c>
      <c r="D849" s="16"/>
      <c r="E849" s="2">
        <v>7379719.0999999996</v>
      </c>
      <c r="F849" s="23">
        <v>0.64935791661772058</v>
      </c>
      <c r="G849" s="26">
        <v>4792079.0199999996</v>
      </c>
      <c r="H849" t="s">
        <v>68</v>
      </c>
    </row>
    <row r="850" spans="1:8">
      <c r="A850" s="17" t="s">
        <v>1014</v>
      </c>
      <c r="B850" s="21" t="s">
        <v>1015</v>
      </c>
      <c r="C850" s="19" t="s">
        <v>72</v>
      </c>
      <c r="D850" s="20"/>
      <c r="E850" s="3">
        <v>22328832.859999999</v>
      </c>
      <c r="F850" s="24">
        <v>0.66292650595800107</v>
      </c>
      <c r="G850" s="26">
        <v>14802375.15</v>
      </c>
      <c r="H850" t="s">
        <v>68</v>
      </c>
    </row>
    <row r="851" spans="1:8">
      <c r="A851" s="15" t="s">
        <v>1016</v>
      </c>
      <c r="B851" s="16" t="s">
        <v>1017</v>
      </c>
      <c r="C851" s="15" t="s">
        <v>72</v>
      </c>
      <c r="D851" s="16"/>
      <c r="E851" s="2">
        <v>8032036.0099999998</v>
      </c>
      <c r="F851" s="23">
        <v>0.40091913258242479</v>
      </c>
      <c r="G851" s="26">
        <v>3220196.91</v>
      </c>
      <c r="H851" t="s">
        <v>68</v>
      </c>
    </row>
    <row r="852" spans="1:8">
      <c r="A852" s="17" t="s">
        <v>1018</v>
      </c>
      <c r="B852" s="21" t="s">
        <v>1019</v>
      </c>
      <c r="C852" s="19" t="s">
        <v>72</v>
      </c>
      <c r="D852" s="20"/>
      <c r="E852" s="3">
        <v>9586059.5800000001</v>
      </c>
      <c r="F852" s="24">
        <v>0.47715324757036404</v>
      </c>
      <c r="G852" s="26">
        <v>4574019.46</v>
      </c>
      <c r="H852" t="s">
        <v>68</v>
      </c>
    </row>
    <row r="853" spans="1:8">
      <c r="A853" s="13" t="s">
        <v>1020</v>
      </c>
      <c r="B853" s="14" t="s">
        <v>1021</v>
      </c>
      <c r="C853" s="15" t="s">
        <v>72</v>
      </c>
      <c r="D853" s="16"/>
      <c r="E853" s="2">
        <v>7950810.2699999996</v>
      </c>
      <c r="F853" s="23">
        <v>0.36755344810913215</v>
      </c>
      <c r="G853" s="26">
        <v>2922347.73</v>
      </c>
      <c r="H853" t="s">
        <v>68</v>
      </c>
    </row>
    <row r="854" spans="1:8">
      <c r="A854" s="15" t="s">
        <v>1024</v>
      </c>
      <c r="B854" s="16" t="s">
        <v>1025</v>
      </c>
      <c r="C854" s="15" t="s">
        <v>72</v>
      </c>
      <c r="D854" s="16"/>
      <c r="E854" s="2">
        <v>19175170.420000002</v>
      </c>
      <c r="F854" s="23">
        <v>0.54515123052554326</v>
      </c>
      <c r="G854" s="26">
        <v>10453367.75</v>
      </c>
      <c r="H854" t="s">
        <v>68</v>
      </c>
    </row>
    <row r="855" spans="1:8">
      <c r="A855" s="17" t="s">
        <v>1026</v>
      </c>
      <c r="B855" s="21" t="s">
        <v>1027</v>
      </c>
      <c r="C855" s="19" t="s">
        <v>72</v>
      </c>
      <c r="D855" s="20"/>
      <c r="E855" s="3">
        <v>11176468.720000001</v>
      </c>
      <c r="F855" s="24">
        <v>0.38521059091730719</v>
      </c>
      <c r="G855" s="26">
        <v>4305294.12</v>
      </c>
      <c r="H855" t="s">
        <v>68</v>
      </c>
    </row>
    <row r="856" spans="1:8">
      <c r="A856" s="13" t="s">
        <v>1028</v>
      </c>
      <c r="B856" s="14" t="s">
        <v>1029</v>
      </c>
      <c r="C856" s="15" t="s">
        <v>72</v>
      </c>
      <c r="D856" s="16"/>
      <c r="E856" s="2">
        <v>16366777.91</v>
      </c>
      <c r="F856" s="23">
        <v>0.39772034091223274</v>
      </c>
      <c r="G856" s="26">
        <v>6509400.4900000002</v>
      </c>
      <c r="H856" t="s">
        <v>68</v>
      </c>
    </row>
    <row r="857" spans="1:8">
      <c r="A857" s="19" t="s">
        <v>1030</v>
      </c>
      <c r="B857" s="20" t="s">
        <v>1031</v>
      </c>
      <c r="C857" s="19" t="s">
        <v>72</v>
      </c>
      <c r="D857" s="20"/>
      <c r="E857" s="3">
        <v>11834655.970000001</v>
      </c>
      <c r="F857" s="24">
        <v>0.31975489017954106</v>
      </c>
      <c r="G857" s="26">
        <v>3784189.12</v>
      </c>
      <c r="H857" t="s">
        <v>68</v>
      </c>
    </row>
    <row r="858" spans="1:8">
      <c r="A858" s="13" t="s">
        <v>1032</v>
      </c>
      <c r="B858" s="14" t="s">
        <v>820</v>
      </c>
      <c r="C858" s="15" t="s">
        <v>72</v>
      </c>
      <c r="D858" s="16"/>
      <c r="E858" s="2">
        <v>16441677.23</v>
      </c>
      <c r="F858" s="23">
        <v>0.28472009178348284</v>
      </c>
      <c r="G858" s="26">
        <v>4681275.8499999996</v>
      </c>
      <c r="H858" t="s">
        <v>68</v>
      </c>
    </row>
    <row r="859" spans="1:8">
      <c r="A859" s="17" t="s">
        <v>821</v>
      </c>
      <c r="B859" s="21" t="s">
        <v>822</v>
      </c>
      <c r="C859" s="19" t="s">
        <v>72</v>
      </c>
      <c r="D859" s="20"/>
      <c r="E859" s="3">
        <v>13014122.949999999</v>
      </c>
      <c r="F859" s="24">
        <v>0.2433174469125482</v>
      </c>
      <c r="G859" s="26">
        <v>3166563.17</v>
      </c>
      <c r="H859" t="s">
        <v>68</v>
      </c>
    </row>
    <row r="860" spans="1:8">
      <c r="A860" s="15" t="s">
        <v>823</v>
      </c>
      <c r="B860" s="16" t="s">
        <v>824</v>
      </c>
      <c r="C860" s="15" t="s">
        <v>72</v>
      </c>
      <c r="D860" s="16"/>
      <c r="E860" s="2">
        <v>9893099.1099999994</v>
      </c>
      <c r="F860" s="23">
        <v>0.13904451827532535</v>
      </c>
      <c r="G860" s="26">
        <v>1375581.2</v>
      </c>
      <c r="H860" t="s">
        <v>68</v>
      </c>
    </row>
    <row r="861" spans="1:8">
      <c r="A861" s="13" t="s">
        <v>827</v>
      </c>
      <c r="B861" s="14" t="s">
        <v>828</v>
      </c>
      <c r="C861" s="15" t="s">
        <v>72</v>
      </c>
      <c r="D861" s="16"/>
      <c r="E861" s="2">
        <v>7522382.6900000004</v>
      </c>
      <c r="F861" s="23">
        <v>0.59011822755324339</v>
      </c>
      <c r="G861" s="26">
        <v>4439095.1399999997</v>
      </c>
      <c r="H861" t="s">
        <v>68</v>
      </c>
    </row>
    <row r="862" spans="1:8">
      <c r="A862" s="17" t="s">
        <v>829</v>
      </c>
      <c r="B862" s="21" t="s">
        <v>830</v>
      </c>
      <c r="C862" s="19" t="s">
        <v>72</v>
      </c>
      <c r="D862" s="20"/>
      <c r="E862" s="3">
        <v>8470837.2400000002</v>
      </c>
      <c r="F862" s="24">
        <v>0.50294785737141612</v>
      </c>
      <c r="G862" s="26">
        <v>4260389.4400000004</v>
      </c>
      <c r="H862" t="s">
        <v>68</v>
      </c>
    </row>
    <row r="863" spans="1:8">
      <c r="A863" s="15" t="s">
        <v>831</v>
      </c>
      <c r="B863" s="16" t="s">
        <v>832</v>
      </c>
      <c r="C863" s="15" t="s">
        <v>72</v>
      </c>
      <c r="D863" s="16"/>
      <c r="E863" s="2">
        <v>4167295.73</v>
      </c>
      <c r="F863" s="23">
        <v>0.46846407034328713</v>
      </c>
      <c r="G863" s="26">
        <v>1952228.32</v>
      </c>
      <c r="H863" t="s">
        <v>68</v>
      </c>
    </row>
    <row r="864" spans="1:8">
      <c r="A864" s="17" t="s">
        <v>833</v>
      </c>
      <c r="B864" s="21" t="s">
        <v>834</v>
      </c>
      <c r="C864" s="19" t="s">
        <v>72</v>
      </c>
      <c r="D864" s="20"/>
      <c r="E864" s="3">
        <v>5232522.08</v>
      </c>
      <c r="F864" s="24">
        <v>0.29984595306284884</v>
      </c>
      <c r="G864" s="26">
        <v>1568950.5700000003</v>
      </c>
      <c r="H864" t="s">
        <v>68</v>
      </c>
    </row>
    <row r="865" spans="1:8">
      <c r="A865" s="17" t="s">
        <v>837</v>
      </c>
      <c r="B865" s="21" t="s">
        <v>838</v>
      </c>
      <c r="C865" s="19" t="s">
        <v>72</v>
      </c>
      <c r="D865" s="20"/>
      <c r="E865" s="3">
        <v>13313127.460000001</v>
      </c>
      <c r="F865" s="24">
        <v>0.58741360837237866</v>
      </c>
      <c r="G865" s="26">
        <v>7820312.2400000012</v>
      </c>
      <c r="H865" t="s">
        <v>68</v>
      </c>
    </row>
    <row r="866" spans="1:8">
      <c r="A866" s="15" t="s">
        <v>839</v>
      </c>
      <c r="B866" s="16" t="s">
        <v>840</v>
      </c>
      <c r="C866" s="15" t="s">
        <v>72</v>
      </c>
      <c r="D866" s="16"/>
      <c r="E866" s="2">
        <v>6194700.6900000004</v>
      </c>
      <c r="F866" s="23">
        <v>0.49950277581530733</v>
      </c>
      <c r="G866" s="26">
        <v>3094270.19</v>
      </c>
      <c r="H866" t="s">
        <v>68</v>
      </c>
    </row>
    <row r="867" spans="1:8">
      <c r="A867" s="17" t="s">
        <v>841</v>
      </c>
      <c r="B867" s="21" t="s">
        <v>842</v>
      </c>
      <c r="C867" s="19" t="s">
        <v>72</v>
      </c>
      <c r="D867" s="20"/>
      <c r="E867" s="3">
        <v>12540698.060000001</v>
      </c>
      <c r="F867" s="24">
        <v>0.24198545531364143</v>
      </c>
      <c r="G867" s="26">
        <v>3034666.53</v>
      </c>
      <c r="H867" t="s">
        <v>68</v>
      </c>
    </row>
    <row r="868" spans="1:8">
      <c r="A868" s="17" t="s">
        <v>845</v>
      </c>
      <c r="B868" s="21" t="s">
        <v>846</v>
      </c>
      <c r="C868" s="19" t="s">
        <v>72</v>
      </c>
      <c r="D868" s="20"/>
      <c r="E868" s="3">
        <v>11955559.699999999</v>
      </c>
      <c r="F868" s="24">
        <v>0.27587418512911616</v>
      </c>
      <c r="G868" s="26">
        <v>3298230.29</v>
      </c>
      <c r="H868" t="s">
        <v>68</v>
      </c>
    </row>
    <row r="869" spans="1:8">
      <c r="A869" s="15" t="s">
        <v>847</v>
      </c>
      <c r="B869" s="16" t="s">
        <v>848</v>
      </c>
      <c r="C869" s="15" t="s">
        <v>72</v>
      </c>
      <c r="D869" s="16"/>
      <c r="E869" s="2">
        <v>8024603.8399999999</v>
      </c>
      <c r="F869" s="23">
        <v>0.32177961946592498</v>
      </c>
      <c r="G869" s="26">
        <v>2582153.9700000002</v>
      </c>
      <c r="H869" t="s">
        <v>68</v>
      </c>
    </row>
    <row r="870" spans="1:8">
      <c r="A870" s="17" t="s">
        <v>849</v>
      </c>
      <c r="B870" s="21" t="s">
        <v>850</v>
      </c>
      <c r="C870" s="19" t="s">
        <v>72</v>
      </c>
      <c r="D870" s="20"/>
      <c r="E870" s="3">
        <v>26175041.5</v>
      </c>
      <c r="F870" s="24">
        <v>0.21530448003301161</v>
      </c>
      <c r="G870" s="26">
        <v>5635603.7000000002</v>
      </c>
      <c r="H870" t="s">
        <v>68</v>
      </c>
    </row>
    <row r="871" spans="1:8">
      <c r="A871" s="13" t="s">
        <v>851</v>
      </c>
      <c r="B871" s="14" t="s">
        <v>852</v>
      </c>
      <c r="C871" s="15" t="s">
        <v>72</v>
      </c>
      <c r="D871" s="16"/>
      <c r="E871" s="2">
        <v>10879101.84</v>
      </c>
      <c r="F871" s="23">
        <v>0.22661176411967479</v>
      </c>
      <c r="G871" s="26">
        <v>2465332.46</v>
      </c>
      <c r="H871" t="s">
        <v>68</v>
      </c>
    </row>
    <row r="872" spans="1:8">
      <c r="A872" s="15" t="s">
        <v>855</v>
      </c>
      <c r="B872" s="16" t="s">
        <v>856</v>
      </c>
      <c r="C872" s="15" t="s">
        <v>72</v>
      </c>
      <c r="D872" s="16"/>
      <c r="E872" s="2">
        <v>30137880.09</v>
      </c>
      <c r="F872" s="23">
        <v>0.43598509784899736</v>
      </c>
      <c r="G872" s="26">
        <v>13139666.6</v>
      </c>
      <c r="H872" t="s">
        <v>68</v>
      </c>
    </row>
    <row r="873" spans="1:8">
      <c r="A873" s="17" t="s">
        <v>857</v>
      </c>
      <c r="B873" s="21" t="s">
        <v>858</v>
      </c>
      <c r="C873" s="19" t="s">
        <v>72</v>
      </c>
      <c r="D873" s="20"/>
      <c r="E873" s="3">
        <v>76316088.239999995</v>
      </c>
      <c r="F873" s="24">
        <v>0.57584106357493259</v>
      </c>
      <c r="G873" s="26">
        <v>43945937.420000002</v>
      </c>
      <c r="H873" t="s">
        <v>68</v>
      </c>
    </row>
    <row r="874" spans="1:8">
      <c r="A874" s="13" t="s">
        <v>859</v>
      </c>
      <c r="B874" s="14" t="s">
        <v>860</v>
      </c>
      <c r="C874" s="15" t="s">
        <v>72</v>
      </c>
      <c r="D874" s="16"/>
      <c r="E874" s="2">
        <v>154118900.83000001</v>
      </c>
      <c r="F874" s="23">
        <v>0.60949088394818907</v>
      </c>
      <c r="G874" s="26">
        <v>93934065.099999994</v>
      </c>
      <c r="H874" t="s">
        <v>68</v>
      </c>
    </row>
    <row r="875" spans="1:8">
      <c r="A875" s="19" t="s">
        <v>861</v>
      </c>
      <c r="B875" s="20" t="s">
        <v>862</v>
      </c>
      <c r="C875" s="19" t="s">
        <v>72</v>
      </c>
      <c r="D875" s="20"/>
      <c r="E875" s="3">
        <v>12439868.220000001</v>
      </c>
      <c r="F875" s="24">
        <v>0.42709796245735471</v>
      </c>
      <c r="G875" s="26">
        <v>5313042.37</v>
      </c>
      <c r="H875" t="s">
        <v>68</v>
      </c>
    </row>
    <row r="876" spans="1:8">
      <c r="A876" s="13" t="s">
        <v>863</v>
      </c>
      <c r="B876" s="14" t="s">
        <v>864</v>
      </c>
      <c r="C876" s="15" t="s">
        <v>72</v>
      </c>
      <c r="D876" s="16"/>
      <c r="E876" s="2">
        <v>6967139.7800000003</v>
      </c>
      <c r="F876" s="23">
        <v>0.22811774992118788</v>
      </c>
      <c r="G876" s="26">
        <v>1589328.25</v>
      </c>
      <c r="H876" t="s">
        <v>68</v>
      </c>
    </row>
    <row r="877" spans="1:8">
      <c r="A877" s="17" t="s">
        <v>865</v>
      </c>
      <c r="B877" s="21" t="s">
        <v>866</v>
      </c>
      <c r="C877" s="19" t="s">
        <v>72</v>
      </c>
      <c r="D877" s="20"/>
      <c r="E877" s="3">
        <v>21334785.75</v>
      </c>
      <c r="F877" s="24">
        <v>0.39464719161756756</v>
      </c>
      <c r="G877" s="26">
        <v>8419713.2799999993</v>
      </c>
      <c r="H877" t="s">
        <v>68</v>
      </c>
    </row>
    <row r="878" spans="1:8">
      <c r="A878" s="15" t="s">
        <v>867</v>
      </c>
      <c r="B878" s="16" t="s">
        <v>868</v>
      </c>
      <c r="C878" s="15" t="s">
        <v>72</v>
      </c>
      <c r="D878" s="16"/>
      <c r="E878" s="2">
        <v>29836682.84</v>
      </c>
      <c r="F878" s="23">
        <v>0.61983988901093268</v>
      </c>
      <c r="G878" s="26">
        <v>18493966.18</v>
      </c>
      <c r="H878" t="s">
        <v>68</v>
      </c>
    </row>
    <row r="879" spans="1:8">
      <c r="A879" s="17" t="s">
        <v>869</v>
      </c>
      <c r="B879" s="21" t="s">
        <v>870</v>
      </c>
      <c r="C879" s="19" t="s">
        <v>72</v>
      </c>
      <c r="D879" s="20"/>
      <c r="E879" s="3">
        <v>7516951.9800000004</v>
      </c>
      <c r="F879" s="24">
        <v>0.49033690780608125</v>
      </c>
      <c r="G879" s="26">
        <v>3685838.99</v>
      </c>
      <c r="H879" t="s">
        <v>68</v>
      </c>
    </row>
    <row r="880" spans="1:8">
      <c r="A880" s="13" t="s">
        <v>871</v>
      </c>
      <c r="B880" s="14" t="s">
        <v>872</v>
      </c>
      <c r="C880" s="15" t="s">
        <v>72</v>
      </c>
      <c r="D880" s="16"/>
      <c r="E880" s="2">
        <v>17011666.93</v>
      </c>
      <c r="F880" s="23">
        <v>0.28818610899055497</v>
      </c>
      <c r="G880" s="26">
        <v>4902526.0999999996</v>
      </c>
      <c r="H880" t="s">
        <v>68</v>
      </c>
    </row>
    <row r="881" spans="1:8">
      <c r="A881" s="19" t="s">
        <v>873</v>
      </c>
      <c r="B881" s="20" t="s">
        <v>874</v>
      </c>
      <c r="C881" s="19" t="s">
        <v>72</v>
      </c>
      <c r="D881" s="20"/>
      <c r="E881" s="3">
        <v>9702939.4499999993</v>
      </c>
      <c r="F881" s="24">
        <v>0.38678945894071309</v>
      </c>
      <c r="G881" s="26">
        <v>3752994.7</v>
      </c>
      <c r="H881" t="s">
        <v>68</v>
      </c>
    </row>
    <row r="882" spans="1:8">
      <c r="A882" s="13" t="s">
        <v>875</v>
      </c>
      <c r="B882" s="14" t="s">
        <v>876</v>
      </c>
      <c r="C882" s="15" t="s">
        <v>72</v>
      </c>
      <c r="D882" s="16"/>
      <c r="E882" s="2">
        <v>11072588.66</v>
      </c>
      <c r="F882" s="23">
        <v>0.40133041571870331</v>
      </c>
      <c r="G882" s="26">
        <v>4443766.6100000003</v>
      </c>
      <c r="H882" t="s">
        <v>68</v>
      </c>
    </row>
    <row r="883" spans="1:8">
      <c r="A883" s="13" t="s">
        <v>879</v>
      </c>
      <c r="B883" s="14" t="s">
        <v>880</v>
      </c>
      <c r="C883" s="15" t="s">
        <v>72</v>
      </c>
      <c r="D883" s="16"/>
      <c r="E883" s="2">
        <v>14514300.470000001</v>
      </c>
      <c r="F883" s="23">
        <v>0.43445794876809518</v>
      </c>
      <c r="G883" s="26">
        <v>6305853.21</v>
      </c>
      <c r="H883" t="s">
        <v>68</v>
      </c>
    </row>
    <row r="884" spans="1:8">
      <c r="A884" s="19" t="s">
        <v>881</v>
      </c>
      <c r="B884" s="20" t="s">
        <v>882</v>
      </c>
      <c r="C884" s="19" t="s">
        <v>72</v>
      </c>
      <c r="D884" s="20"/>
      <c r="E884" s="3">
        <v>28100013.550000001</v>
      </c>
      <c r="F884" s="24">
        <v>0.32356093935050784</v>
      </c>
      <c r="G884" s="26">
        <v>9092066.7799999993</v>
      </c>
      <c r="H884" t="s">
        <v>68</v>
      </c>
    </row>
    <row r="885" spans="1:8">
      <c r="A885" s="13" t="s">
        <v>883</v>
      </c>
      <c r="B885" s="14" t="s">
        <v>884</v>
      </c>
      <c r="C885" s="15" t="s">
        <v>72</v>
      </c>
      <c r="D885" s="16"/>
      <c r="E885" s="2">
        <v>29080579.670000002</v>
      </c>
      <c r="F885" s="23">
        <v>0.45414210823397932</v>
      </c>
      <c r="G885" s="26">
        <v>13206715.76</v>
      </c>
      <c r="H885" t="s">
        <v>68</v>
      </c>
    </row>
    <row r="886" spans="1:8">
      <c r="A886" s="17" t="s">
        <v>885</v>
      </c>
      <c r="B886" s="21" t="s">
        <v>886</v>
      </c>
      <c r="C886" s="19" t="s">
        <v>72</v>
      </c>
      <c r="D886" s="20"/>
      <c r="E886" s="3">
        <v>14702138.109999999</v>
      </c>
      <c r="F886" s="24">
        <v>0.46150849143397144</v>
      </c>
      <c r="G886" s="26">
        <v>6785161.5800000001</v>
      </c>
      <c r="H886" t="s">
        <v>68</v>
      </c>
    </row>
    <row r="887" spans="1:8">
      <c r="A887" s="15" t="s">
        <v>887</v>
      </c>
      <c r="B887" s="16" t="s">
        <v>888</v>
      </c>
      <c r="C887" s="15" t="s">
        <v>72</v>
      </c>
      <c r="D887" s="16"/>
      <c r="E887" s="2">
        <v>7152626.5099999998</v>
      </c>
      <c r="F887" s="23">
        <v>0.47578034240180117</v>
      </c>
      <c r="G887" s="26">
        <v>3403079.09</v>
      </c>
      <c r="H887" t="s">
        <v>68</v>
      </c>
    </row>
    <row r="888" spans="1:8">
      <c r="A888" s="17" t="s">
        <v>889</v>
      </c>
      <c r="B888" s="21" t="s">
        <v>890</v>
      </c>
      <c r="C888" s="19" t="s">
        <v>72</v>
      </c>
      <c r="D888" s="20"/>
      <c r="E888" s="3">
        <v>18823914.449999999</v>
      </c>
      <c r="F888" s="24">
        <v>0.58610662937856695</v>
      </c>
      <c r="G888" s="26">
        <v>11032821.050000001</v>
      </c>
      <c r="H888" t="s">
        <v>68</v>
      </c>
    </row>
    <row r="889" spans="1:8">
      <c r="A889" s="17" t="s">
        <v>893</v>
      </c>
      <c r="B889" s="21" t="s">
        <v>894</v>
      </c>
      <c r="C889" s="19" t="s">
        <v>72</v>
      </c>
      <c r="D889" s="20"/>
      <c r="E889" s="3">
        <v>17187194.91</v>
      </c>
      <c r="F889" s="24">
        <v>0.45810808577139711</v>
      </c>
      <c r="G889" s="26">
        <v>7873592.96</v>
      </c>
      <c r="H889" t="s">
        <v>68</v>
      </c>
    </row>
    <row r="890" spans="1:8">
      <c r="A890" s="15" t="s">
        <v>895</v>
      </c>
      <c r="B890" s="16" t="s">
        <v>896</v>
      </c>
      <c r="C890" s="15" t="s">
        <v>72</v>
      </c>
      <c r="D890" s="16"/>
      <c r="E890" s="2">
        <v>14803223.470000001</v>
      </c>
      <c r="F890" s="23">
        <v>0.25658272522180603</v>
      </c>
      <c r="G890" s="26">
        <v>3798251.42</v>
      </c>
      <c r="H890" t="s">
        <v>68</v>
      </c>
    </row>
    <row r="891" spans="1:8">
      <c r="A891" s="17" t="s">
        <v>897</v>
      </c>
      <c r="B891" s="21" t="s">
        <v>898</v>
      </c>
      <c r="C891" s="19" t="s">
        <v>72</v>
      </c>
      <c r="D891" s="20"/>
      <c r="E891" s="3">
        <v>16110634.1</v>
      </c>
      <c r="F891" s="24">
        <v>0.55619205143514505</v>
      </c>
      <c r="G891" s="26">
        <v>8960606.6300000008</v>
      </c>
      <c r="H891" t="s">
        <v>68</v>
      </c>
    </row>
    <row r="892" spans="1:8">
      <c r="A892" s="13" t="s">
        <v>899</v>
      </c>
      <c r="B892" s="14" t="s">
        <v>900</v>
      </c>
      <c r="C892" s="15" t="s">
        <v>72</v>
      </c>
      <c r="D892" s="16"/>
      <c r="E892" s="2">
        <v>10281627.060000001</v>
      </c>
      <c r="F892" s="23">
        <v>0.21497054669477578</v>
      </c>
      <c r="G892" s="26">
        <v>2210246.9900000002</v>
      </c>
      <c r="H892" t="s">
        <v>68</v>
      </c>
    </row>
    <row r="893" spans="1:8">
      <c r="A893" s="19" t="s">
        <v>901</v>
      </c>
      <c r="B893" s="20" t="s">
        <v>902</v>
      </c>
      <c r="C893" s="19" t="s">
        <v>72</v>
      </c>
      <c r="D893" s="20"/>
      <c r="E893" s="3">
        <v>21876285.079999998</v>
      </c>
      <c r="F893" s="24">
        <v>0.37992798821215584</v>
      </c>
      <c r="G893" s="26">
        <v>8311412.9800000004</v>
      </c>
      <c r="H893" t="s">
        <v>68</v>
      </c>
    </row>
    <row r="894" spans="1:8">
      <c r="A894" s="13" t="s">
        <v>903</v>
      </c>
      <c r="B894" s="14" t="s">
        <v>1119</v>
      </c>
      <c r="C894" s="15" t="s">
        <v>72</v>
      </c>
      <c r="D894" s="16"/>
      <c r="E894" s="2">
        <v>73220052.640000001</v>
      </c>
      <c r="F894" s="23">
        <v>0.54626318484984904</v>
      </c>
      <c r="G894" s="26">
        <v>39997419.149999999</v>
      </c>
      <c r="H894" t="s">
        <v>68</v>
      </c>
    </row>
    <row r="895" spans="1:8">
      <c r="A895" s="17" t="s">
        <v>1120</v>
      </c>
      <c r="B895" s="21" t="s">
        <v>1121</v>
      </c>
      <c r="C895" s="19" t="s">
        <v>72</v>
      </c>
      <c r="D895" s="20"/>
      <c r="E895" s="3">
        <v>8819057.2400000002</v>
      </c>
      <c r="F895" s="24">
        <v>0.45012863529163349</v>
      </c>
      <c r="G895" s="26">
        <v>3969710.2</v>
      </c>
      <c r="H895" t="s">
        <v>68</v>
      </c>
    </row>
    <row r="896" spans="1:8">
      <c r="A896" s="19" t="s">
        <v>1124</v>
      </c>
      <c r="B896" s="20" t="s">
        <v>1125</v>
      </c>
      <c r="C896" s="19" t="s">
        <v>72</v>
      </c>
      <c r="D896" s="20"/>
      <c r="E896" s="3">
        <v>13844356.529999999</v>
      </c>
      <c r="F896" s="24">
        <v>0.28950893176687065</v>
      </c>
      <c r="G896" s="26">
        <v>4008064.87</v>
      </c>
      <c r="H896" t="s">
        <v>68</v>
      </c>
    </row>
    <row r="897" spans="1:8">
      <c r="A897" s="13" t="s">
        <v>1126</v>
      </c>
      <c r="B897" s="14" t="s">
        <v>1127</v>
      </c>
      <c r="C897" s="15" t="s">
        <v>72</v>
      </c>
      <c r="D897" s="16"/>
      <c r="E897" s="2">
        <v>14267718.93</v>
      </c>
      <c r="F897" s="23">
        <v>0.29850156432819497</v>
      </c>
      <c r="G897" s="26">
        <v>4258936.42</v>
      </c>
      <c r="H897" t="s">
        <v>68</v>
      </c>
    </row>
    <row r="898" spans="1:8">
      <c r="A898" s="17" t="s">
        <v>1128</v>
      </c>
      <c r="B898" s="21" t="s">
        <v>1129</v>
      </c>
      <c r="C898" s="19" t="s">
        <v>72</v>
      </c>
      <c r="D898" s="20"/>
      <c r="E898" s="3">
        <v>11320561.779999999</v>
      </c>
      <c r="F898" s="24">
        <v>0.28431993151491819</v>
      </c>
      <c r="G898" s="26">
        <v>3218661.35</v>
      </c>
      <c r="H898" t="s">
        <v>68</v>
      </c>
    </row>
    <row r="899" spans="1:8">
      <c r="A899" s="19" t="s">
        <v>1132</v>
      </c>
      <c r="B899" s="20" t="s">
        <v>1133</v>
      </c>
      <c r="C899" s="19" t="s">
        <v>72</v>
      </c>
      <c r="D899" s="20"/>
      <c r="E899" s="3">
        <v>18522275.789999999</v>
      </c>
      <c r="F899" s="24">
        <v>0.37953303145369055</v>
      </c>
      <c r="G899" s="26">
        <v>7029815.4800000004</v>
      </c>
      <c r="H899" t="s">
        <v>68</v>
      </c>
    </row>
    <row r="900" spans="1:8">
      <c r="A900" s="13" t="s">
        <v>1134</v>
      </c>
      <c r="B900" s="14" t="s">
        <v>1135</v>
      </c>
      <c r="C900" s="15" t="s">
        <v>72</v>
      </c>
      <c r="D900" s="16"/>
      <c r="E900" s="2">
        <v>9340223.9399999995</v>
      </c>
      <c r="F900" s="23">
        <v>0.45141598928301496</v>
      </c>
      <c r="G900" s="26">
        <v>4216326.43</v>
      </c>
      <c r="H900" t="s">
        <v>68</v>
      </c>
    </row>
    <row r="901" spans="1:8">
      <c r="A901" s="17" t="s">
        <v>1136</v>
      </c>
      <c r="B901" s="21" t="s">
        <v>1137</v>
      </c>
      <c r="C901" s="19" t="s">
        <v>72</v>
      </c>
      <c r="D901" s="20"/>
      <c r="E901" s="3">
        <v>8699332.7899999991</v>
      </c>
      <c r="F901" s="24">
        <v>0.24594184308702602</v>
      </c>
      <c r="G901" s="26">
        <v>2139529.94</v>
      </c>
      <c r="H901" t="s">
        <v>68</v>
      </c>
    </row>
    <row r="902" spans="1:8">
      <c r="A902" s="15" t="s">
        <v>1138</v>
      </c>
      <c r="B902" s="16" t="s">
        <v>1139</v>
      </c>
      <c r="C902" s="15" t="s">
        <v>72</v>
      </c>
      <c r="D902" s="16"/>
      <c r="E902" s="2">
        <v>11021074.58</v>
      </c>
      <c r="F902" s="23">
        <v>0.32111549507362103</v>
      </c>
      <c r="G902" s="26">
        <v>3539037.82</v>
      </c>
      <c r="H902" t="s">
        <v>68</v>
      </c>
    </row>
    <row r="903" spans="1:8">
      <c r="A903" s="17" t="s">
        <v>1140</v>
      </c>
      <c r="B903" s="21" t="s">
        <v>1141</v>
      </c>
      <c r="C903" s="19" t="s">
        <v>72</v>
      </c>
      <c r="D903" s="20"/>
      <c r="E903" s="3">
        <v>11273454.18</v>
      </c>
      <c r="F903" s="24">
        <v>0.26446270436697694</v>
      </c>
      <c r="G903" s="26">
        <v>2981408.18</v>
      </c>
      <c r="H903" t="s">
        <v>68</v>
      </c>
    </row>
    <row r="904" spans="1:8">
      <c r="A904" s="13" t="s">
        <v>1142</v>
      </c>
      <c r="B904" s="14" t="s">
        <v>1143</v>
      </c>
      <c r="C904" s="15" t="s">
        <v>72</v>
      </c>
      <c r="D904" s="16"/>
      <c r="E904" s="2">
        <v>20287238.309999999</v>
      </c>
      <c r="F904" s="23">
        <v>0.42037916889832216</v>
      </c>
      <c r="G904" s="26">
        <v>8528332.3800000008</v>
      </c>
      <c r="H904" t="s">
        <v>68</v>
      </c>
    </row>
    <row r="905" spans="1:8">
      <c r="A905" s="19" t="s">
        <v>924</v>
      </c>
      <c r="B905" s="20" t="s">
        <v>925</v>
      </c>
      <c r="C905" s="19" t="s">
        <v>72</v>
      </c>
      <c r="D905" s="20"/>
      <c r="E905" s="3">
        <v>8256386.1399999997</v>
      </c>
      <c r="F905" s="24">
        <v>0.41438060090537387</v>
      </c>
      <c r="G905" s="26">
        <v>3421286.25</v>
      </c>
      <c r="H905" t="s">
        <v>68</v>
      </c>
    </row>
    <row r="906" spans="1:8">
      <c r="A906" s="13" t="s">
        <v>926</v>
      </c>
      <c r="B906" s="14" t="s">
        <v>927</v>
      </c>
      <c r="C906" s="15" t="s">
        <v>72</v>
      </c>
      <c r="D906" s="16"/>
      <c r="E906" s="2">
        <v>8231415.4100000001</v>
      </c>
      <c r="F906" s="23">
        <v>0.55326995457759309</v>
      </c>
      <c r="G906" s="26">
        <v>4554194.83</v>
      </c>
      <c r="H906" t="s">
        <v>68</v>
      </c>
    </row>
    <row r="907" spans="1:8">
      <c r="A907" s="17" t="s">
        <v>928</v>
      </c>
      <c r="B907" s="21" t="s">
        <v>929</v>
      </c>
      <c r="C907" s="19" t="s">
        <v>72</v>
      </c>
      <c r="D907" s="20"/>
      <c r="E907" s="3">
        <v>10312220.609999999</v>
      </c>
      <c r="F907" s="24">
        <v>0.42910556972655767</v>
      </c>
      <c r="G907" s="26">
        <v>4425031.3</v>
      </c>
      <c r="H907" t="s">
        <v>68</v>
      </c>
    </row>
    <row r="908" spans="1:8">
      <c r="A908" s="19" t="s">
        <v>932</v>
      </c>
      <c r="B908" s="20" t="s">
        <v>933</v>
      </c>
      <c r="C908" s="19" t="s">
        <v>72</v>
      </c>
      <c r="D908" s="20"/>
      <c r="E908" s="3">
        <v>15202239.710000001</v>
      </c>
      <c r="F908" s="24">
        <v>0.82071272509884663</v>
      </c>
      <c r="G908" s="26">
        <v>12476671.58</v>
      </c>
      <c r="H908" t="s">
        <v>68</v>
      </c>
    </row>
    <row r="909" spans="1:8">
      <c r="A909" s="13" t="s">
        <v>934</v>
      </c>
      <c r="B909" s="14" t="s">
        <v>935</v>
      </c>
      <c r="C909" s="15" t="s">
        <v>72</v>
      </c>
      <c r="D909" s="16"/>
      <c r="E909" s="2">
        <v>14125742.01</v>
      </c>
      <c r="F909" s="23">
        <v>0.86742715188524111</v>
      </c>
      <c r="G909" s="26">
        <v>12253052.16</v>
      </c>
      <c r="H909" t="s">
        <v>68</v>
      </c>
    </row>
    <row r="910" spans="1:8">
      <c r="A910" s="17" t="s">
        <v>936</v>
      </c>
      <c r="B910" s="21" t="s">
        <v>937</v>
      </c>
      <c r="C910" s="19" t="s">
        <v>72</v>
      </c>
      <c r="D910" s="20"/>
      <c r="E910" s="3">
        <v>34782536.130000003</v>
      </c>
      <c r="F910" s="24">
        <v>0.57487785005860059</v>
      </c>
      <c r="G910" s="26">
        <v>19995709.59</v>
      </c>
      <c r="H910" t="s">
        <v>68</v>
      </c>
    </row>
    <row r="911" spans="1:8">
      <c r="A911" s="15" t="s">
        <v>938</v>
      </c>
      <c r="B911" s="16" t="s">
        <v>939</v>
      </c>
      <c r="C911" s="15" t="s">
        <v>72</v>
      </c>
      <c r="D911" s="16"/>
      <c r="E911" s="2">
        <v>45685827.439999998</v>
      </c>
      <c r="F911" s="23">
        <v>0.84158394986924645</v>
      </c>
      <c r="G911" s="26">
        <v>38448459.109999999</v>
      </c>
      <c r="H911" t="s">
        <v>68</v>
      </c>
    </row>
    <row r="912" spans="1:8">
      <c r="A912" s="17" t="s">
        <v>940</v>
      </c>
      <c r="B912" s="21" t="s">
        <v>941</v>
      </c>
      <c r="C912" s="19" t="s">
        <v>72</v>
      </c>
      <c r="D912" s="20"/>
      <c r="E912" s="3">
        <v>11535893.949999999</v>
      </c>
      <c r="F912" s="24">
        <v>0.77976842964996229</v>
      </c>
      <c r="G912" s="26">
        <v>8995325.9100000001</v>
      </c>
      <c r="H912" t="s">
        <v>68</v>
      </c>
    </row>
    <row r="913" spans="1:8">
      <c r="A913" s="13" t="s">
        <v>942</v>
      </c>
      <c r="B913" s="14" t="s">
        <v>943</v>
      </c>
      <c r="C913" s="15" t="s">
        <v>72</v>
      </c>
      <c r="D913" s="16"/>
      <c r="E913" s="2">
        <v>64697076.57</v>
      </c>
      <c r="F913" s="23">
        <v>0.81081060507028091</v>
      </c>
      <c r="G913" s="26">
        <v>52457075.799999997</v>
      </c>
      <c r="H913" t="s">
        <v>68</v>
      </c>
    </row>
    <row r="914" spans="1:8">
      <c r="A914" s="15" t="s">
        <v>946</v>
      </c>
      <c r="B914" s="16" t="s">
        <v>947</v>
      </c>
      <c r="C914" s="15" t="s">
        <v>72</v>
      </c>
      <c r="D914" s="16"/>
      <c r="E914" s="2">
        <v>6354132.4000000004</v>
      </c>
      <c r="F914" s="23">
        <v>0.34139180039748623</v>
      </c>
      <c r="G914" s="26">
        <v>2169248.7000000002</v>
      </c>
      <c r="H914" t="s">
        <v>68</v>
      </c>
    </row>
    <row r="915" spans="1:8">
      <c r="A915" s="17" t="s">
        <v>948</v>
      </c>
      <c r="B915" s="21" t="s">
        <v>949</v>
      </c>
      <c r="C915" s="19" t="s">
        <v>72</v>
      </c>
      <c r="D915" s="20"/>
      <c r="E915" s="3">
        <v>8367992.0099999998</v>
      </c>
      <c r="F915" s="24">
        <v>0.39635680292672748</v>
      </c>
      <c r="G915" s="26">
        <v>3316710.56</v>
      </c>
      <c r="H915" t="s">
        <v>68</v>
      </c>
    </row>
    <row r="916" spans="1:8">
      <c r="A916" s="13" t="s">
        <v>950</v>
      </c>
      <c r="B916" s="14" t="s">
        <v>951</v>
      </c>
      <c r="C916" s="15" t="s">
        <v>72</v>
      </c>
      <c r="D916" s="16"/>
      <c r="E916" s="2">
        <v>6136361.29</v>
      </c>
      <c r="F916" s="23">
        <v>0.47001303438572473</v>
      </c>
      <c r="G916" s="26">
        <v>2884169.79</v>
      </c>
      <c r="H916" t="s">
        <v>68</v>
      </c>
    </row>
    <row r="917" spans="1:8">
      <c r="A917" s="19" t="s">
        <v>952</v>
      </c>
      <c r="B917" s="20" t="s">
        <v>953</v>
      </c>
      <c r="C917" s="19" t="s">
        <v>72</v>
      </c>
      <c r="D917" s="20"/>
      <c r="E917" s="3">
        <v>6474712.0499999998</v>
      </c>
      <c r="F917" s="24">
        <v>0.31129682438927925</v>
      </c>
      <c r="G917" s="26">
        <v>2015557.3000000003</v>
      </c>
      <c r="H917" t="s">
        <v>68</v>
      </c>
    </row>
    <row r="918" spans="1:8">
      <c r="A918" s="13" t="s">
        <v>954</v>
      </c>
      <c r="B918" s="14" t="s">
        <v>955</v>
      </c>
      <c r="C918" s="15" t="s">
        <v>72</v>
      </c>
      <c r="D918" s="16"/>
      <c r="E918" s="2">
        <v>6696499.3399999999</v>
      </c>
      <c r="F918" s="23">
        <v>0.47887690973773772</v>
      </c>
      <c r="G918" s="26">
        <v>3206798.91</v>
      </c>
      <c r="H918" t="s">
        <v>68</v>
      </c>
    </row>
    <row r="919" spans="1:8">
      <c r="A919" s="17" t="s">
        <v>956</v>
      </c>
      <c r="B919" s="21" t="s">
        <v>957</v>
      </c>
      <c r="C919" s="19" t="s">
        <v>72</v>
      </c>
      <c r="D919" s="20"/>
      <c r="E919" s="3">
        <v>7978581.2000000002</v>
      </c>
      <c r="F919" s="24">
        <v>0.64331892868371132</v>
      </c>
      <c r="G919" s="26">
        <v>5132772.3099999996</v>
      </c>
      <c r="H919" t="s">
        <v>68</v>
      </c>
    </row>
    <row r="920" spans="1:8">
      <c r="A920" s="15" t="s">
        <v>958</v>
      </c>
      <c r="B920" s="16" t="s">
        <v>959</v>
      </c>
      <c r="C920" s="15" t="s">
        <v>72</v>
      </c>
      <c r="D920" s="16"/>
      <c r="E920" s="2">
        <v>10122756.34</v>
      </c>
      <c r="F920" s="23">
        <v>0.32495991798218071</v>
      </c>
      <c r="G920" s="26">
        <v>3289490.07</v>
      </c>
      <c r="H920" t="s">
        <v>68</v>
      </c>
    </row>
    <row r="921" spans="1:8">
      <c r="A921" s="17" t="s">
        <v>960</v>
      </c>
      <c r="B921" s="21" t="s">
        <v>884</v>
      </c>
      <c r="C921" s="19" t="s">
        <v>72</v>
      </c>
      <c r="D921" s="20"/>
      <c r="E921" s="3">
        <v>9653243.8100000005</v>
      </c>
      <c r="F921" s="24">
        <v>0.64550298351989921</v>
      </c>
      <c r="G921" s="26">
        <v>6231197.6799999997</v>
      </c>
      <c r="H921" t="s">
        <v>68</v>
      </c>
    </row>
    <row r="922" spans="1:8">
      <c r="A922" s="17" t="s">
        <v>963</v>
      </c>
      <c r="B922" s="21" t="s">
        <v>964</v>
      </c>
      <c r="C922" s="19" t="s">
        <v>72</v>
      </c>
      <c r="D922" s="20"/>
      <c r="E922" s="3">
        <v>23594771.609999999</v>
      </c>
      <c r="F922" s="24">
        <v>0.68383748852061887</v>
      </c>
      <c r="G922" s="26">
        <v>16134989.359999999</v>
      </c>
      <c r="H922" t="s">
        <v>68</v>
      </c>
    </row>
    <row r="923" spans="1:8">
      <c r="A923" s="15" t="s">
        <v>965</v>
      </c>
      <c r="B923" s="16" t="s">
        <v>966</v>
      </c>
      <c r="C923" s="15" t="s">
        <v>72</v>
      </c>
      <c r="D923" s="16"/>
      <c r="E923" s="2">
        <v>20549606.27</v>
      </c>
      <c r="F923" s="23">
        <v>0.66929227350106302</v>
      </c>
      <c r="G923" s="26">
        <v>13753692.699999999</v>
      </c>
      <c r="H923" t="s">
        <v>68</v>
      </c>
    </row>
    <row r="924" spans="1:8">
      <c r="A924" s="17" t="s">
        <v>967</v>
      </c>
      <c r="B924" s="21" t="s">
        <v>968</v>
      </c>
      <c r="C924" s="19" t="s">
        <v>72</v>
      </c>
      <c r="D924" s="20"/>
      <c r="E924" s="3">
        <v>107130035.59</v>
      </c>
      <c r="F924" s="24">
        <v>0.82432626054539704</v>
      </c>
      <c r="G924" s="26">
        <v>88310101.629999995</v>
      </c>
      <c r="H924" t="s">
        <v>68</v>
      </c>
    </row>
    <row r="925" spans="1:8">
      <c r="A925" s="13" t="s">
        <v>969</v>
      </c>
      <c r="B925" s="14" t="s">
        <v>970</v>
      </c>
      <c r="C925" s="15" t="s">
        <v>72</v>
      </c>
      <c r="D925" s="16"/>
      <c r="E925" s="2">
        <v>15032213.439999999</v>
      </c>
      <c r="F925" s="23">
        <v>0.47637346080684712</v>
      </c>
      <c r="G925" s="26">
        <v>7160947.54</v>
      </c>
      <c r="H925" t="s">
        <v>68</v>
      </c>
    </row>
    <row r="926" spans="1:8">
      <c r="A926" s="19" t="s">
        <v>971</v>
      </c>
      <c r="B926" s="20" t="s">
        <v>972</v>
      </c>
      <c r="C926" s="19" t="s">
        <v>72</v>
      </c>
      <c r="D926" s="20"/>
      <c r="E926" s="3">
        <v>1030447.52</v>
      </c>
      <c r="F926" s="24">
        <v>0.86548988928616177</v>
      </c>
      <c r="G926" s="26">
        <v>891841.91</v>
      </c>
      <c r="H926" t="s">
        <v>68</v>
      </c>
    </row>
    <row r="927" spans="1:8">
      <c r="A927" s="13" t="s">
        <v>973</v>
      </c>
      <c r="B927" s="14" t="s">
        <v>974</v>
      </c>
      <c r="C927" s="15" t="s">
        <v>72</v>
      </c>
      <c r="D927" s="16"/>
      <c r="E927" s="2">
        <v>11736559.310000001</v>
      </c>
      <c r="F927" s="23">
        <v>0.48160475576380823</v>
      </c>
      <c r="G927" s="26">
        <v>5652382.7800000003</v>
      </c>
      <c r="H927" t="s">
        <v>68</v>
      </c>
    </row>
    <row r="928" spans="1:8">
      <c r="A928" s="17" t="s">
        <v>975</v>
      </c>
      <c r="B928" s="21" t="s">
        <v>976</v>
      </c>
      <c r="C928" s="19" t="s">
        <v>72</v>
      </c>
      <c r="D928" s="20"/>
      <c r="E928" s="3">
        <v>20539749.489999998</v>
      </c>
      <c r="F928" s="24">
        <v>0.66770288784081966</v>
      </c>
      <c r="G928" s="26">
        <v>13714450.050000003</v>
      </c>
      <c r="H928" t="s">
        <v>68</v>
      </c>
    </row>
    <row r="929" spans="1:8">
      <c r="A929" s="15" t="s">
        <v>977</v>
      </c>
      <c r="B929" s="16" t="s">
        <v>978</v>
      </c>
      <c r="C929" s="15" t="s">
        <v>72</v>
      </c>
      <c r="D929" s="16"/>
      <c r="E929" s="2">
        <v>24822914.199999999</v>
      </c>
      <c r="F929" s="23">
        <v>0.67197410648907618</v>
      </c>
      <c r="G929" s="26">
        <v>16680355.590000002</v>
      </c>
      <c r="H929" t="s">
        <v>68</v>
      </c>
    </row>
    <row r="930" spans="1:8">
      <c r="A930" s="13" t="s">
        <v>981</v>
      </c>
      <c r="B930" s="14" t="s">
        <v>982</v>
      </c>
      <c r="C930" s="15" t="s">
        <v>72</v>
      </c>
      <c r="D930" s="16"/>
      <c r="E930" s="2">
        <v>13539723.18</v>
      </c>
      <c r="F930" s="23">
        <v>0.23526263333841663</v>
      </c>
      <c r="G930" s="26">
        <v>3185390.93</v>
      </c>
      <c r="H930" t="s">
        <v>68</v>
      </c>
    </row>
    <row r="931" spans="1:8">
      <c r="A931" s="17" t="s">
        <v>983</v>
      </c>
      <c r="B931" s="21" t="s">
        <v>984</v>
      </c>
      <c r="C931" s="19" t="s">
        <v>72</v>
      </c>
      <c r="D931" s="20"/>
      <c r="E931" s="3">
        <v>8450602.2300000004</v>
      </c>
      <c r="F931" s="24">
        <v>0.47814900287881607</v>
      </c>
      <c r="G931" s="26">
        <v>4040647.03</v>
      </c>
      <c r="H931" t="s">
        <v>68</v>
      </c>
    </row>
    <row r="932" spans="1:8">
      <c r="A932" s="15" t="s">
        <v>985</v>
      </c>
      <c r="B932" s="16" t="s">
        <v>986</v>
      </c>
      <c r="C932" s="15" t="s">
        <v>72</v>
      </c>
      <c r="D932" s="16"/>
      <c r="E932" s="2">
        <v>12598762.699999999</v>
      </c>
      <c r="F932" s="23">
        <v>0.65387904956730403</v>
      </c>
      <c r="G932" s="26">
        <v>8238066.9800000004</v>
      </c>
      <c r="H932" t="s">
        <v>68</v>
      </c>
    </row>
    <row r="933" spans="1:8">
      <c r="A933" s="17" t="s">
        <v>987</v>
      </c>
      <c r="B933" s="21" t="s">
        <v>988</v>
      </c>
      <c r="C933" s="19" t="s">
        <v>72</v>
      </c>
      <c r="D933" s="20"/>
      <c r="E933" s="3">
        <v>16777740.350000001</v>
      </c>
      <c r="F933" s="24">
        <v>0.4308387946890595</v>
      </c>
      <c r="G933" s="26">
        <v>7228501.4299999997</v>
      </c>
      <c r="H933" t="s">
        <v>68</v>
      </c>
    </row>
    <row r="934" spans="1:8">
      <c r="A934" s="13" t="s">
        <v>989</v>
      </c>
      <c r="B934" s="14" t="s">
        <v>990</v>
      </c>
      <c r="C934" s="15" t="s">
        <v>72</v>
      </c>
      <c r="D934" s="16"/>
      <c r="E934" s="2">
        <v>12283381.609999999</v>
      </c>
      <c r="F934" s="23">
        <v>0.47489617804034023</v>
      </c>
      <c r="G934" s="26">
        <v>5833330.9800000004</v>
      </c>
      <c r="H934" t="s">
        <v>68</v>
      </c>
    </row>
    <row r="935" spans="1:8">
      <c r="A935" s="19" t="s">
        <v>991</v>
      </c>
      <c r="B935" s="20" t="s">
        <v>992</v>
      </c>
      <c r="C935" s="19" t="s">
        <v>72</v>
      </c>
      <c r="D935" s="20"/>
      <c r="E935" s="3">
        <v>86067234.769999996</v>
      </c>
      <c r="F935" s="24">
        <v>0.46521362301227798</v>
      </c>
      <c r="G935" s="26">
        <v>40039650.109999999</v>
      </c>
      <c r="H935" t="s">
        <v>68</v>
      </c>
    </row>
    <row r="936" spans="1:8">
      <c r="A936" s="13" t="s">
        <v>993</v>
      </c>
      <c r="B936" s="14" t="s">
        <v>994</v>
      </c>
      <c r="C936" s="15" t="s">
        <v>72</v>
      </c>
      <c r="D936" s="16"/>
      <c r="E936" s="2">
        <v>6410207.5199999996</v>
      </c>
      <c r="F936" s="23">
        <v>0.66006919538854492</v>
      </c>
      <c r="G936" s="26">
        <v>4231180.5199999996</v>
      </c>
      <c r="H936" t="s">
        <v>68</v>
      </c>
    </row>
    <row r="937" spans="1:8">
      <c r="A937" s="17" t="s">
        <v>995</v>
      </c>
      <c r="B937" s="21" t="s">
        <v>996</v>
      </c>
      <c r="C937" s="19" t="s">
        <v>72</v>
      </c>
      <c r="D937" s="20"/>
      <c r="E937" s="3">
        <v>24081787.489999998</v>
      </c>
      <c r="F937" s="24">
        <v>0.47003021867460226</v>
      </c>
      <c r="G937" s="26">
        <v>11319167.84</v>
      </c>
      <c r="H937" t="s">
        <v>68</v>
      </c>
    </row>
    <row r="938" spans="1:8">
      <c r="A938" s="15" t="s">
        <v>997</v>
      </c>
      <c r="B938" s="16" t="s">
        <v>998</v>
      </c>
      <c r="C938" s="15" t="s">
        <v>72</v>
      </c>
      <c r="D938" s="16"/>
      <c r="E938" s="2">
        <v>39804850.399999999</v>
      </c>
      <c r="F938" s="23">
        <v>0.54276824263607837</v>
      </c>
      <c r="G938" s="26">
        <v>21604808.699999999</v>
      </c>
      <c r="H938" t="s">
        <v>68</v>
      </c>
    </row>
    <row r="939" spans="1:8">
      <c r="A939" s="17" t="s">
        <v>999</v>
      </c>
      <c r="B939" s="21" t="s">
        <v>1000</v>
      </c>
      <c r="C939" s="19" t="s">
        <v>72</v>
      </c>
      <c r="D939" s="20"/>
      <c r="E939" s="3">
        <v>27123735.449999999</v>
      </c>
      <c r="F939" s="24">
        <v>0.50377038904499416</v>
      </c>
      <c r="G939" s="26">
        <v>13664134.76</v>
      </c>
      <c r="H939" t="s">
        <v>68</v>
      </c>
    </row>
    <row r="940" spans="1:8">
      <c r="A940" s="13" t="s">
        <v>1001</v>
      </c>
      <c r="B940" s="14" t="s">
        <v>1002</v>
      </c>
      <c r="C940" s="15" t="s">
        <v>72</v>
      </c>
      <c r="D940" s="16"/>
      <c r="E940" s="2">
        <v>23564123.59</v>
      </c>
      <c r="F940" s="23">
        <v>0.31884609123287999</v>
      </c>
      <c r="G940" s="26">
        <v>7513328.6999999993</v>
      </c>
      <c r="H940" t="s">
        <v>68</v>
      </c>
    </row>
    <row r="941" spans="1:8">
      <c r="A941" s="19" t="s">
        <v>1003</v>
      </c>
      <c r="B941" s="20" t="s">
        <v>1004</v>
      </c>
      <c r="C941" s="19" t="s">
        <v>72</v>
      </c>
      <c r="D941" s="20"/>
      <c r="E941" s="3">
        <v>70171234.180000007</v>
      </c>
      <c r="F941" s="24">
        <v>0.71445082997113674</v>
      </c>
      <c r="G941" s="26">
        <v>50133896.5</v>
      </c>
      <c r="H941" t="s">
        <v>68</v>
      </c>
    </row>
    <row r="942" spans="1:8">
      <c r="A942" s="13" t="s">
        <v>1005</v>
      </c>
      <c r="B942" s="14" t="s">
        <v>1231</v>
      </c>
      <c r="C942" s="15" t="s">
        <v>72</v>
      </c>
      <c r="D942" s="16"/>
      <c r="E942" s="2">
        <v>53132811.259999998</v>
      </c>
      <c r="F942" s="23">
        <v>0.47116008425562839</v>
      </c>
      <c r="G942" s="26">
        <v>25034059.829999998</v>
      </c>
      <c r="H942" t="s">
        <v>68</v>
      </c>
    </row>
    <row r="943" spans="1:8">
      <c r="A943" s="17" t="s">
        <v>1232</v>
      </c>
      <c r="B943" s="21" t="s">
        <v>1233</v>
      </c>
      <c r="C943" s="19" t="s">
        <v>72</v>
      </c>
      <c r="D943" s="20"/>
      <c r="E943" s="3">
        <v>39800276.240000002</v>
      </c>
      <c r="F943" s="24">
        <v>0.84053908315285597</v>
      </c>
      <c r="G943" s="26">
        <v>33453687.699999999</v>
      </c>
      <c r="H943" t="s">
        <v>68</v>
      </c>
    </row>
    <row r="944" spans="1:8">
      <c r="A944" s="15" t="s">
        <v>1234</v>
      </c>
      <c r="B944" s="16" t="s">
        <v>1235</v>
      </c>
      <c r="C944" s="15" t="s">
        <v>72</v>
      </c>
      <c r="D944" s="16"/>
      <c r="E944" s="2">
        <v>55392180.079999998</v>
      </c>
      <c r="F944" s="23">
        <v>0.42405480224962466</v>
      </c>
      <c r="G944" s="26">
        <v>23489319.969999999</v>
      </c>
      <c r="H944" t="s">
        <v>68</v>
      </c>
    </row>
    <row r="945" spans="1:8">
      <c r="A945" s="17" t="s">
        <v>1236</v>
      </c>
      <c r="B945" s="21" t="s">
        <v>1237</v>
      </c>
      <c r="C945" s="19" t="s">
        <v>72</v>
      </c>
      <c r="D945" s="20"/>
      <c r="E945" s="3">
        <v>146358873.93000001</v>
      </c>
      <c r="F945" s="24">
        <v>0.63690565755912687</v>
      </c>
      <c r="G945" s="26">
        <v>93216794.840000004</v>
      </c>
      <c r="H945" t="s">
        <v>68</v>
      </c>
    </row>
    <row r="946" spans="1:8">
      <c r="A946" s="13" t="s">
        <v>1238</v>
      </c>
      <c r="B946" s="14" t="s">
        <v>1239</v>
      </c>
      <c r="C946" s="15" t="s">
        <v>72</v>
      </c>
      <c r="D946" s="16"/>
      <c r="E946" s="2">
        <v>139847960.08000001</v>
      </c>
      <c r="F946" s="23">
        <v>0.78229397716932358</v>
      </c>
      <c r="G946" s="26">
        <v>109402216.89</v>
      </c>
      <c r="H946" t="s">
        <v>68</v>
      </c>
    </row>
    <row r="947" spans="1:8">
      <c r="A947" s="19" t="s">
        <v>1240</v>
      </c>
      <c r="B947" s="20" t="s">
        <v>1241</v>
      </c>
      <c r="C947" s="19" t="s">
        <v>72</v>
      </c>
      <c r="D947" s="20"/>
      <c r="E947" s="3">
        <v>12695760.550000001</v>
      </c>
      <c r="F947" s="24">
        <v>0.62052039174604623</v>
      </c>
      <c r="G947" s="26">
        <v>7877978.3099999996</v>
      </c>
      <c r="H947" t="s">
        <v>68</v>
      </c>
    </row>
    <row r="948" spans="1:8">
      <c r="A948" s="13" t="s">
        <v>1242</v>
      </c>
      <c r="B948" s="14" t="s">
        <v>1243</v>
      </c>
      <c r="C948" s="15" t="s">
        <v>72</v>
      </c>
      <c r="D948" s="16"/>
      <c r="E948" s="2">
        <v>12619113.380000001</v>
      </c>
      <c r="F948" s="23">
        <v>0.52197873746340806</v>
      </c>
      <c r="G948" s="26">
        <v>6586908.8700000001</v>
      </c>
      <c r="H948" t="s">
        <v>68</v>
      </c>
    </row>
    <row r="949" spans="1:8">
      <c r="A949" s="17" t="s">
        <v>1244</v>
      </c>
      <c r="B949" s="21" t="s">
        <v>1245</v>
      </c>
      <c r="C949" s="19" t="s">
        <v>72</v>
      </c>
      <c r="D949" s="20"/>
      <c r="E949" s="3">
        <v>8701431.3800000008</v>
      </c>
      <c r="F949" s="24">
        <v>0.68406905140703411</v>
      </c>
      <c r="G949" s="26">
        <v>5952379.9100000001</v>
      </c>
      <c r="H949" t="s">
        <v>68</v>
      </c>
    </row>
    <row r="950" spans="1:8">
      <c r="A950" s="15" t="s">
        <v>1246</v>
      </c>
      <c r="B950" s="16" t="s">
        <v>1247</v>
      </c>
      <c r="C950" s="15" t="s">
        <v>72</v>
      </c>
      <c r="D950" s="16"/>
      <c r="E950" s="2">
        <v>4620962.82</v>
      </c>
      <c r="F950" s="23">
        <v>0.51681503250008831</v>
      </c>
      <c r="G950" s="26">
        <v>2388183.0499999998</v>
      </c>
      <c r="H950" t="s">
        <v>68</v>
      </c>
    </row>
    <row r="951" spans="1:8">
      <c r="A951" s="17" t="s">
        <v>1248</v>
      </c>
      <c r="B951" s="21" t="s">
        <v>1249</v>
      </c>
      <c r="C951" s="19" t="s">
        <v>72</v>
      </c>
      <c r="D951" s="20"/>
      <c r="E951" s="3">
        <v>14879821.970000001</v>
      </c>
      <c r="F951" s="24">
        <v>0.46728813113615497</v>
      </c>
      <c r="G951" s="26">
        <v>6953164.2000000002</v>
      </c>
      <c r="H951" t="s">
        <v>68</v>
      </c>
    </row>
    <row r="952" spans="1:8">
      <c r="A952" s="13" t="s">
        <v>1250</v>
      </c>
      <c r="B952" s="14" t="s">
        <v>1251</v>
      </c>
      <c r="C952" s="15" t="s">
        <v>72</v>
      </c>
      <c r="D952" s="16"/>
      <c r="E952" s="2">
        <v>14114404.92</v>
      </c>
      <c r="F952" s="23">
        <v>0.59691975947647669</v>
      </c>
      <c r="G952" s="26">
        <v>8425167.1899999995</v>
      </c>
      <c r="H952" t="s">
        <v>68</v>
      </c>
    </row>
    <row r="953" spans="1:8">
      <c r="A953" s="15" t="s">
        <v>1254</v>
      </c>
      <c r="B953" s="16" t="s">
        <v>1033</v>
      </c>
      <c r="C953" s="15" t="s">
        <v>72</v>
      </c>
      <c r="D953" s="16"/>
      <c r="E953" s="2">
        <v>11265760.279999999</v>
      </c>
      <c r="F953" s="23">
        <v>0.58933861585771297</v>
      </c>
      <c r="G953" s="26">
        <v>6639347.5700000003</v>
      </c>
      <c r="H953" t="s">
        <v>68</v>
      </c>
    </row>
    <row r="954" spans="1:8">
      <c r="A954" s="17" t="s">
        <v>1034</v>
      </c>
      <c r="B954" s="21" t="s">
        <v>1035</v>
      </c>
      <c r="C954" s="19" t="s">
        <v>72</v>
      </c>
      <c r="D954" s="20"/>
      <c r="E954" s="3">
        <v>14189664.75</v>
      </c>
      <c r="F954" s="24">
        <v>0.61341521898887719</v>
      </c>
      <c r="G954" s="26">
        <v>8704156.3100000005</v>
      </c>
      <c r="H954" t="s">
        <v>68</v>
      </c>
    </row>
    <row r="955" spans="1:8">
      <c r="A955" s="13" t="s">
        <v>1036</v>
      </c>
      <c r="B955" s="14" t="s">
        <v>1037</v>
      </c>
      <c r="C955" s="15" t="s">
        <v>72</v>
      </c>
      <c r="D955" s="16"/>
      <c r="E955" s="2">
        <v>28357977.079999998</v>
      </c>
      <c r="F955" s="23">
        <v>0.66650692631140251</v>
      </c>
      <c r="G955" s="26">
        <v>18900788.140000001</v>
      </c>
      <c r="H955" t="s">
        <v>68</v>
      </c>
    </row>
    <row r="956" spans="1:8">
      <c r="A956" s="19" t="s">
        <v>1038</v>
      </c>
      <c r="B956" s="20" t="s">
        <v>1039</v>
      </c>
      <c r="C956" s="19" t="s">
        <v>72</v>
      </c>
      <c r="D956" s="20"/>
      <c r="E956" s="3">
        <v>34661834.030000001</v>
      </c>
      <c r="F956" s="24">
        <v>0.74427229781528093</v>
      </c>
      <c r="G956" s="26">
        <v>25797842.859999999</v>
      </c>
      <c r="H956" t="s">
        <v>68</v>
      </c>
    </row>
    <row r="957" spans="1:8">
      <c r="A957" s="13" t="s">
        <v>1040</v>
      </c>
      <c r="B957" s="14" t="s">
        <v>1041</v>
      </c>
      <c r="C957" s="15" t="s">
        <v>72</v>
      </c>
      <c r="D957" s="16"/>
      <c r="E957" s="2">
        <v>5854862.1900000004</v>
      </c>
      <c r="F957" s="23">
        <v>0.50440618654424718</v>
      </c>
      <c r="G957" s="26">
        <v>2953228.71</v>
      </c>
      <c r="H957" t="s">
        <v>68</v>
      </c>
    </row>
    <row r="958" spans="1:8">
      <c r="A958" s="17" t="s">
        <v>1042</v>
      </c>
      <c r="B958" s="21" t="s">
        <v>1043</v>
      </c>
      <c r="C958" s="19" t="s">
        <v>72</v>
      </c>
      <c r="D958" s="20"/>
      <c r="E958" s="3">
        <v>7320926.21</v>
      </c>
      <c r="F958" s="24">
        <v>0.6966622055325975</v>
      </c>
      <c r="G958" s="26">
        <v>5100212.5999999996</v>
      </c>
      <c r="H958" t="s">
        <v>68</v>
      </c>
    </row>
    <row r="959" spans="1:8">
      <c r="A959" s="15" t="s">
        <v>1044</v>
      </c>
      <c r="B959" s="16" t="s">
        <v>1045</v>
      </c>
      <c r="C959" s="15" t="s">
        <v>72</v>
      </c>
      <c r="D959" s="16"/>
      <c r="E959" s="2">
        <v>24491326.100000001</v>
      </c>
      <c r="F959" s="23">
        <v>0.71906905767752605</v>
      </c>
      <c r="G959" s="26">
        <v>17610954.780000001</v>
      </c>
      <c r="H959" t="s">
        <v>68</v>
      </c>
    </row>
    <row r="960" spans="1:8">
      <c r="A960" s="13" t="s">
        <v>1048</v>
      </c>
      <c r="B960" s="14" t="s">
        <v>1049</v>
      </c>
      <c r="C960" s="15" t="s">
        <v>72</v>
      </c>
      <c r="D960" s="16"/>
      <c r="E960" s="2">
        <v>68621518.370000005</v>
      </c>
      <c r="F960" s="23">
        <v>0.68981716733179299</v>
      </c>
      <c r="G960" s="26">
        <v>47336301.420000002</v>
      </c>
      <c r="H960" t="s">
        <v>68</v>
      </c>
    </row>
    <row r="961" spans="1:8">
      <c r="A961" s="17" t="s">
        <v>1050</v>
      </c>
      <c r="B961" s="21" t="s">
        <v>1051</v>
      </c>
      <c r="C961" s="19" t="s">
        <v>72</v>
      </c>
      <c r="D961" s="20"/>
      <c r="E961" s="3">
        <v>5773643.1500000004</v>
      </c>
      <c r="F961" s="24">
        <v>0.44575174168843462</v>
      </c>
      <c r="G961" s="26">
        <v>2573611.4900000002</v>
      </c>
      <c r="H961" t="s">
        <v>68</v>
      </c>
    </row>
    <row r="962" spans="1:8">
      <c r="A962" s="15" t="s">
        <v>1052</v>
      </c>
      <c r="B962" s="16" t="s">
        <v>1053</v>
      </c>
      <c r="C962" s="15" t="s">
        <v>72</v>
      </c>
      <c r="D962" s="16"/>
      <c r="E962" s="2">
        <v>11770376.550000001</v>
      </c>
      <c r="F962" s="23">
        <v>0.4373760871736937</v>
      </c>
      <c r="G962" s="26">
        <v>5148081.24</v>
      </c>
      <c r="H962" t="s">
        <v>68</v>
      </c>
    </row>
    <row r="963" spans="1:8">
      <c r="A963" s="17" t="s">
        <v>1054</v>
      </c>
      <c r="B963" s="21" t="s">
        <v>1055</v>
      </c>
      <c r="C963" s="19" t="s">
        <v>72</v>
      </c>
      <c r="D963" s="20"/>
      <c r="E963" s="3">
        <v>22366890.149999999</v>
      </c>
      <c r="F963" s="24">
        <v>0.61323492617948949</v>
      </c>
      <c r="G963" s="26">
        <v>13716158.23</v>
      </c>
      <c r="H963" t="s">
        <v>68</v>
      </c>
    </row>
    <row r="964" spans="1:8">
      <c r="A964" s="13" t="s">
        <v>1056</v>
      </c>
      <c r="B964" s="14" t="s">
        <v>1057</v>
      </c>
      <c r="C964" s="15" t="s">
        <v>72</v>
      </c>
      <c r="D964" s="16"/>
      <c r="E964" s="2">
        <v>16868919.969999999</v>
      </c>
      <c r="F964" s="23">
        <v>0.33044901154984851</v>
      </c>
      <c r="G964" s="26">
        <v>5574317.9299999997</v>
      </c>
      <c r="H964" t="s">
        <v>68</v>
      </c>
    </row>
    <row r="965" spans="1:8">
      <c r="A965" s="15" t="s">
        <v>1060</v>
      </c>
      <c r="B965" s="16" t="s">
        <v>1061</v>
      </c>
      <c r="C965" s="15" t="s">
        <v>72</v>
      </c>
      <c r="D965" s="16"/>
      <c r="E965" s="2">
        <v>18856936.359999999</v>
      </c>
      <c r="F965" s="23">
        <v>0.54917324968900727</v>
      </c>
      <c r="G965" s="26">
        <v>10355725.02</v>
      </c>
      <c r="H965" t="s">
        <v>68</v>
      </c>
    </row>
    <row r="966" spans="1:8">
      <c r="A966" s="17" t="s">
        <v>1062</v>
      </c>
      <c r="B966" s="21" t="s">
        <v>1063</v>
      </c>
      <c r="C966" s="19" t="s">
        <v>72</v>
      </c>
      <c r="D966" s="20"/>
      <c r="E966" s="3">
        <v>67771437.480000004</v>
      </c>
      <c r="F966" s="24">
        <v>0.63180635326845658</v>
      </c>
      <c r="G966" s="26">
        <v>42818424.770000003</v>
      </c>
      <c r="H966" t="s">
        <v>68</v>
      </c>
    </row>
    <row r="967" spans="1:8">
      <c r="A967" s="13" t="s">
        <v>1064</v>
      </c>
      <c r="B967" s="14" t="s">
        <v>1065</v>
      </c>
      <c r="C967" s="15" t="s">
        <v>72</v>
      </c>
      <c r="D967" s="16"/>
      <c r="E967" s="2">
        <v>81667590.340000004</v>
      </c>
      <c r="F967" s="23">
        <v>0.54637969326915248</v>
      </c>
      <c r="G967" s="26">
        <v>44621512.960000001</v>
      </c>
      <c r="H967" t="s">
        <v>68</v>
      </c>
    </row>
    <row r="968" spans="1:8">
      <c r="A968" s="19" t="s">
        <v>1066</v>
      </c>
      <c r="B968" s="20" t="s">
        <v>1067</v>
      </c>
      <c r="C968" s="19" t="s">
        <v>72</v>
      </c>
      <c r="D968" s="20"/>
      <c r="E968" s="3">
        <v>62160247.119999997</v>
      </c>
      <c r="F968" s="24">
        <v>0.55674819218768901</v>
      </c>
      <c r="G968" s="26">
        <v>34607605.210000001</v>
      </c>
      <c r="H968" t="s">
        <v>68</v>
      </c>
    </row>
    <row r="969" spans="1:8">
      <c r="A969" s="13" t="s">
        <v>1068</v>
      </c>
      <c r="B969" s="14" t="s">
        <v>1069</v>
      </c>
      <c r="C969" s="15" t="s">
        <v>72</v>
      </c>
      <c r="D969" s="16"/>
      <c r="E969" s="2">
        <v>29010636.989999998</v>
      </c>
      <c r="F969" s="23">
        <v>0.43173296244123593</v>
      </c>
      <c r="G969" s="26">
        <v>12524848.25</v>
      </c>
      <c r="H969" t="s">
        <v>68</v>
      </c>
    </row>
    <row r="970" spans="1:8">
      <c r="A970" s="17" t="s">
        <v>1070</v>
      </c>
      <c r="B970" s="21" t="s">
        <v>1071</v>
      </c>
      <c r="C970" s="19" t="s">
        <v>72</v>
      </c>
      <c r="D970" s="20"/>
      <c r="E970" s="3">
        <v>20519652.670000002</v>
      </c>
      <c r="F970" s="24">
        <v>0.66319040574676535</v>
      </c>
      <c r="G970" s="26">
        <v>13608436.779999997</v>
      </c>
      <c r="H970" t="s">
        <v>68</v>
      </c>
    </row>
    <row r="971" spans="1:8">
      <c r="A971" s="19" t="s">
        <v>1074</v>
      </c>
      <c r="B971" s="20" t="s">
        <v>1075</v>
      </c>
      <c r="C971" s="19" t="s">
        <v>72</v>
      </c>
      <c r="D971" s="20"/>
      <c r="E971" s="3">
        <v>6113293.5099999998</v>
      </c>
      <c r="F971" s="24">
        <v>0.58760529068724532</v>
      </c>
      <c r="G971" s="26">
        <v>3592203.6100000003</v>
      </c>
      <c r="H971" t="s">
        <v>68</v>
      </c>
    </row>
    <row r="972" spans="1:8">
      <c r="A972" s="13" t="s">
        <v>1076</v>
      </c>
      <c r="B972" s="14" t="s">
        <v>1077</v>
      </c>
      <c r="C972" s="15" t="s">
        <v>72</v>
      </c>
      <c r="D972" s="16"/>
      <c r="E972" s="2">
        <v>5585255.3899999997</v>
      </c>
      <c r="F972" s="23">
        <v>0.41312954357132808</v>
      </c>
      <c r="G972" s="26">
        <v>2307434.0099999998</v>
      </c>
      <c r="H972" t="s">
        <v>68</v>
      </c>
    </row>
    <row r="973" spans="1:8">
      <c r="A973" s="17" t="s">
        <v>1078</v>
      </c>
      <c r="B973" s="21" t="s">
        <v>1079</v>
      </c>
      <c r="C973" s="19" t="s">
        <v>72</v>
      </c>
      <c r="D973" s="20"/>
      <c r="E973" s="3">
        <v>6539228.5300000003</v>
      </c>
      <c r="F973" s="24">
        <v>0.47518698203379656</v>
      </c>
      <c r="G973" s="26">
        <v>3107356.27</v>
      </c>
      <c r="H973" t="s">
        <v>68</v>
      </c>
    </row>
    <row r="974" spans="1:8">
      <c r="A974" s="15" t="s">
        <v>1080</v>
      </c>
      <c r="B974" s="16" t="s">
        <v>1081</v>
      </c>
      <c r="C974" s="15" t="s">
        <v>72</v>
      </c>
      <c r="D974" s="16"/>
      <c r="E974" s="2">
        <v>11765234.449999999</v>
      </c>
      <c r="F974" s="23">
        <v>0.476405779572034</v>
      </c>
      <c r="G974" s="26">
        <v>5605025.6900000004</v>
      </c>
      <c r="H974" t="s">
        <v>68</v>
      </c>
    </row>
    <row r="975" spans="1:8">
      <c r="A975" s="17" t="s">
        <v>1082</v>
      </c>
      <c r="B975" s="21" t="s">
        <v>1083</v>
      </c>
      <c r="C975" s="19" t="s">
        <v>72</v>
      </c>
      <c r="D975" s="20"/>
      <c r="E975" s="3">
        <v>6848252.0300000003</v>
      </c>
      <c r="F975" s="24">
        <v>0.43566744870515522</v>
      </c>
      <c r="G975" s="26">
        <v>2983560.49</v>
      </c>
      <c r="H975" t="s">
        <v>68</v>
      </c>
    </row>
    <row r="976" spans="1:8">
      <c r="A976" s="13" t="s">
        <v>1084</v>
      </c>
      <c r="B976" s="14" t="s">
        <v>1085</v>
      </c>
      <c r="C976" s="15" t="s">
        <v>72</v>
      </c>
      <c r="D976" s="16"/>
      <c r="E976" s="2">
        <v>10065105.710000001</v>
      </c>
      <c r="F976" s="23">
        <v>0.74900250501194177</v>
      </c>
      <c r="G976" s="26">
        <v>7538789.3899999997</v>
      </c>
      <c r="H976" t="s">
        <v>68</v>
      </c>
    </row>
    <row r="977" spans="1:8">
      <c r="A977" s="19" t="s">
        <v>1086</v>
      </c>
      <c r="B977" s="20" t="s">
        <v>1087</v>
      </c>
      <c r="C977" s="19" t="s">
        <v>72</v>
      </c>
      <c r="D977" s="20"/>
      <c r="E977" s="3">
        <v>3344569.65</v>
      </c>
      <c r="F977" s="24">
        <v>0.46204363242966107</v>
      </c>
      <c r="G977" s="26">
        <v>1545337.11</v>
      </c>
      <c r="H977" t="s">
        <v>68</v>
      </c>
    </row>
    <row r="978" spans="1:8">
      <c r="A978" s="17" t="s">
        <v>1090</v>
      </c>
      <c r="B978" s="21" t="s">
        <v>1091</v>
      </c>
      <c r="C978" s="19" t="s">
        <v>72</v>
      </c>
      <c r="D978" s="20"/>
      <c r="E978" s="3">
        <v>4485376.05</v>
      </c>
      <c r="F978" s="24">
        <v>0.45881541637963669</v>
      </c>
      <c r="G978" s="26">
        <v>2057959.68</v>
      </c>
      <c r="H978" t="s">
        <v>68</v>
      </c>
    </row>
    <row r="979" spans="1:8">
      <c r="A979" s="13" t="s">
        <v>1092</v>
      </c>
      <c r="B979" s="14" t="s">
        <v>1093</v>
      </c>
      <c r="C979" s="15" t="s">
        <v>72</v>
      </c>
      <c r="D979" s="16"/>
      <c r="E979" s="2">
        <v>4955184.96</v>
      </c>
      <c r="F979" s="23">
        <v>0.42186781056100076</v>
      </c>
      <c r="G979" s="26">
        <v>2090433.03</v>
      </c>
      <c r="H979" t="s">
        <v>68</v>
      </c>
    </row>
    <row r="980" spans="1:8">
      <c r="A980" s="19" t="s">
        <v>1094</v>
      </c>
      <c r="B980" s="20" t="s">
        <v>1095</v>
      </c>
      <c r="C980" s="19" t="s">
        <v>72</v>
      </c>
      <c r="D980" s="20"/>
      <c r="E980" s="3">
        <v>9506982.3000000007</v>
      </c>
      <c r="F980" s="24">
        <v>0.36227350502167227</v>
      </c>
      <c r="G980" s="26">
        <v>3444127.8</v>
      </c>
      <c r="H980" t="s">
        <v>68</v>
      </c>
    </row>
    <row r="981" spans="1:8">
      <c r="A981" s="13" t="s">
        <v>1096</v>
      </c>
      <c r="B981" s="14" t="s">
        <v>1097</v>
      </c>
      <c r="C981" s="15" t="s">
        <v>72</v>
      </c>
      <c r="D981" s="16"/>
      <c r="E981" s="2">
        <v>6534618.9000000004</v>
      </c>
      <c r="F981" s="23">
        <v>0.28893944373710911</v>
      </c>
      <c r="G981" s="26">
        <v>1888109.15</v>
      </c>
      <c r="H981" t="s">
        <v>68</v>
      </c>
    </row>
    <row r="982" spans="1:8">
      <c r="A982" s="17" t="s">
        <v>1098</v>
      </c>
      <c r="B982" s="21" t="s">
        <v>1099</v>
      </c>
      <c r="C982" s="19" t="s">
        <v>72</v>
      </c>
      <c r="D982" s="20"/>
      <c r="E982" s="3">
        <v>5316278.4000000004</v>
      </c>
      <c r="F982" s="24">
        <v>0.42247084727541734</v>
      </c>
      <c r="G982" s="26">
        <v>2245972.64</v>
      </c>
      <c r="H982" t="s">
        <v>68</v>
      </c>
    </row>
    <row r="983" spans="1:8">
      <c r="A983" s="15" t="s">
        <v>1100</v>
      </c>
      <c r="B983" s="16" t="s">
        <v>1101</v>
      </c>
      <c r="C983" s="15" t="s">
        <v>72</v>
      </c>
      <c r="D983" s="16"/>
      <c r="E983" s="2">
        <v>4753798.2300000004</v>
      </c>
      <c r="F983" s="23">
        <v>0.39858939490580775</v>
      </c>
      <c r="G983" s="26">
        <v>1894813.56</v>
      </c>
      <c r="H983" t="s">
        <v>68</v>
      </c>
    </row>
    <row r="984" spans="1:8">
      <c r="A984" s="17" t="s">
        <v>1102</v>
      </c>
      <c r="B984" s="21" t="s">
        <v>1103</v>
      </c>
      <c r="C984" s="19" t="s">
        <v>72</v>
      </c>
      <c r="D984" s="20"/>
      <c r="E984" s="3">
        <v>10906527.880000001</v>
      </c>
      <c r="F984" s="24">
        <v>0.42460722339436219</v>
      </c>
      <c r="G984" s="26">
        <v>4630990.5199999996</v>
      </c>
      <c r="H984" t="s">
        <v>68</v>
      </c>
    </row>
    <row r="985" spans="1:8">
      <c r="A985" s="13" t="s">
        <v>1104</v>
      </c>
      <c r="B985" s="14" t="s">
        <v>1105</v>
      </c>
      <c r="C985" s="15" t="s">
        <v>72</v>
      </c>
      <c r="D985" s="16"/>
      <c r="E985" s="2">
        <v>9789530.1600000001</v>
      </c>
      <c r="F985" s="23">
        <v>0.46639524628626305</v>
      </c>
      <c r="G985" s="26">
        <v>4565790.33</v>
      </c>
      <c r="H985" t="s">
        <v>68</v>
      </c>
    </row>
    <row r="986" spans="1:8">
      <c r="A986" s="19" t="s">
        <v>1106</v>
      </c>
      <c r="B986" s="20" t="s">
        <v>1107</v>
      </c>
      <c r="C986" s="19" t="s">
        <v>72</v>
      </c>
      <c r="D986" s="20"/>
      <c r="E986" s="3">
        <v>7269538.1900000004</v>
      </c>
      <c r="F986" s="24">
        <v>0.2497637349918097</v>
      </c>
      <c r="G986" s="26">
        <v>1815667.01</v>
      </c>
      <c r="H986" t="s">
        <v>68</v>
      </c>
    </row>
    <row r="987" spans="1:8">
      <c r="A987" s="13" t="s">
        <v>1108</v>
      </c>
      <c r="B987" s="14" t="s">
        <v>1109</v>
      </c>
      <c r="C987" s="15" t="s">
        <v>72</v>
      </c>
      <c r="D987" s="16"/>
      <c r="E987" s="2">
        <v>7036665.0199999996</v>
      </c>
      <c r="F987" s="23">
        <v>0.24034367490752034</v>
      </c>
      <c r="G987" s="26">
        <v>1691217.93</v>
      </c>
      <c r="H987" t="s">
        <v>68</v>
      </c>
    </row>
    <row r="988" spans="1:8">
      <c r="A988" s="17" t="s">
        <v>1110</v>
      </c>
      <c r="B988" s="21" t="s">
        <v>1111</v>
      </c>
      <c r="C988" s="19" t="s">
        <v>72</v>
      </c>
      <c r="D988" s="20"/>
      <c r="E988" s="3">
        <v>11326336.52</v>
      </c>
      <c r="F988" s="24">
        <v>0.23749137995769176</v>
      </c>
      <c r="G988" s="26">
        <v>2689907.29</v>
      </c>
      <c r="H988" t="s">
        <v>68</v>
      </c>
    </row>
    <row r="989" spans="1:8">
      <c r="A989" s="15" t="s">
        <v>1112</v>
      </c>
      <c r="B989" s="16" t="s">
        <v>1113</v>
      </c>
      <c r="C989" s="15" t="s">
        <v>72</v>
      </c>
      <c r="D989" s="16"/>
      <c r="E989" s="2">
        <v>16677248.359999999</v>
      </c>
      <c r="F989" s="23">
        <v>0.52493576044579582</v>
      </c>
      <c r="G989" s="26">
        <v>8754484.0500000007</v>
      </c>
      <c r="H989" t="s">
        <v>68</v>
      </c>
    </row>
    <row r="990" spans="1:8">
      <c r="A990" s="17" t="s">
        <v>1114</v>
      </c>
      <c r="B990" s="21" t="s">
        <v>1115</v>
      </c>
      <c r="C990" s="19" t="s">
        <v>72</v>
      </c>
      <c r="D990" s="20"/>
      <c r="E990" s="3">
        <v>21909111.600000001</v>
      </c>
      <c r="F990" s="24">
        <v>0.35053777306059275</v>
      </c>
      <c r="G990" s="26">
        <v>7679971.1900000004</v>
      </c>
      <c r="H990" t="s">
        <v>68</v>
      </c>
    </row>
    <row r="991" spans="1:8">
      <c r="A991" s="13" t="s">
        <v>1116</v>
      </c>
      <c r="B991" s="14" t="s">
        <v>1117</v>
      </c>
      <c r="C991" s="15" t="s">
        <v>72</v>
      </c>
      <c r="D991" s="16"/>
      <c r="E991" s="2">
        <v>5844057.46</v>
      </c>
      <c r="F991" s="23">
        <v>0.48656637780560086</v>
      </c>
      <c r="G991" s="26">
        <v>2843521.87</v>
      </c>
      <c r="H991" t="s">
        <v>68</v>
      </c>
    </row>
    <row r="992" spans="1:8">
      <c r="A992" s="19" t="s">
        <v>1118</v>
      </c>
      <c r="B992" s="20" t="s">
        <v>1341</v>
      </c>
      <c r="C992" s="19" t="s">
        <v>72</v>
      </c>
      <c r="D992" s="20"/>
      <c r="E992" s="3">
        <v>9418684.6899999995</v>
      </c>
      <c r="F992" s="24">
        <v>0.36501654776172365</v>
      </c>
      <c r="G992" s="26">
        <v>3437975.77</v>
      </c>
      <c r="H992" t="s">
        <v>68</v>
      </c>
    </row>
    <row r="993" spans="1:8">
      <c r="A993" s="13" t="s">
        <v>1342</v>
      </c>
      <c r="B993" s="14" t="s">
        <v>1343</v>
      </c>
      <c r="C993" s="15" t="s">
        <v>72</v>
      </c>
      <c r="D993" s="16"/>
      <c r="E993" s="2">
        <v>8020030.0700000003</v>
      </c>
      <c r="F993" s="23">
        <v>0.34153927929100641</v>
      </c>
      <c r="G993" s="26">
        <v>2739155.29</v>
      </c>
      <c r="H993" t="s">
        <v>68</v>
      </c>
    </row>
    <row r="994" spans="1:8">
      <c r="A994" s="17" t="s">
        <v>1344</v>
      </c>
      <c r="B994" s="21" t="s">
        <v>1345</v>
      </c>
      <c r="C994" s="19" t="s">
        <v>72</v>
      </c>
      <c r="D994" s="20"/>
      <c r="E994" s="3">
        <v>11517126.49</v>
      </c>
      <c r="F994" s="24">
        <v>0.37616254746890426</v>
      </c>
      <c r="G994" s="26">
        <v>4332311.6399999997</v>
      </c>
      <c r="H994" t="s">
        <v>68</v>
      </c>
    </row>
    <row r="995" spans="1:8">
      <c r="A995" s="15" t="s">
        <v>1346</v>
      </c>
      <c r="B995" s="16" t="s">
        <v>1347</v>
      </c>
      <c r="C995" s="15" t="s">
        <v>72</v>
      </c>
      <c r="D995" s="16"/>
      <c r="E995" s="2">
        <v>11463955.83</v>
      </c>
      <c r="F995" s="23">
        <v>0.23481675347662256</v>
      </c>
      <c r="G995" s="26">
        <v>2691928.89</v>
      </c>
      <c r="H995" t="s">
        <v>68</v>
      </c>
    </row>
    <row r="996" spans="1:8">
      <c r="A996" s="13" t="s">
        <v>1350</v>
      </c>
      <c r="B996" s="14" t="s">
        <v>1025</v>
      </c>
      <c r="C996" s="15" t="s">
        <v>72</v>
      </c>
      <c r="D996" s="16"/>
      <c r="E996" s="2">
        <v>19428839.039999999</v>
      </c>
      <c r="F996" s="23">
        <v>0.34617311081496305</v>
      </c>
      <c r="G996" s="26">
        <v>6725741.6500000004</v>
      </c>
      <c r="H996" t="s">
        <v>68</v>
      </c>
    </row>
    <row r="997" spans="1:8">
      <c r="A997" s="17" t="s">
        <v>1351</v>
      </c>
      <c r="B997" s="21" t="s">
        <v>1352</v>
      </c>
      <c r="C997" s="19" t="s">
        <v>72</v>
      </c>
      <c r="D997" s="20"/>
      <c r="E997" s="3">
        <v>20556857.420000002</v>
      </c>
      <c r="F997" s="24">
        <v>0.4535975635521044</v>
      </c>
      <c r="G997" s="26">
        <v>9324540.4399999995</v>
      </c>
      <c r="H997" t="s">
        <v>68</v>
      </c>
    </row>
    <row r="998" spans="1:8">
      <c r="A998" s="15" t="s">
        <v>1353</v>
      </c>
      <c r="B998" s="16" t="s">
        <v>1354</v>
      </c>
      <c r="C998" s="15" t="s">
        <v>72</v>
      </c>
      <c r="D998" s="16"/>
      <c r="E998" s="2">
        <v>19037960.460000001</v>
      </c>
      <c r="F998" s="23">
        <v>0.47499264319829348</v>
      </c>
      <c r="G998" s="26">
        <v>9042891.1600000001</v>
      </c>
      <c r="H998" t="s">
        <v>68</v>
      </c>
    </row>
    <row r="999" spans="1:8">
      <c r="A999" s="13" t="s">
        <v>1357</v>
      </c>
      <c r="B999" s="14" t="s">
        <v>1358</v>
      </c>
      <c r="C999" s="15" t="s">
        <v>72</v>
      </c>
      <c r="D999" s="16"/>
      <c r="E999" s="2">
        <v>9544435.4600000009</v>
      </c>
      <c r="F999" s="23">
        <v>0.34342202990809473</v>
      </c>
      <c r="G999" s="26">
        <v>3277769.4000000004</v>
      </c>
      <c r="H999" t="s">
        <v>68</v>
      </c>
    </row>
    <row r="1000" spans="1:8">
      <c r="A1000" s="17" t="s">
        <v>1359</v>
      </c>
      <c r="B1000" s="21" t="s">
        <v>1360</v>
      </c>
      <c r="C1000" s="19" t="s">
        <v>72</v>
      </c>
      <c r="D1000" s="20"/>
      <c r="E1000" s="3">
        <v>6318044.5800000001</v>
      </c>
      <c r="F1000" s="24">
        <v>0.44098428472943763</v>
      </c>
      <c r="G1000" s="26">
        <v>2786158.37</v>
      </c>
      <c r="H1000" t="s">
        <v>68</v>
      </c>
    </row>
    <row r="1001" spans="1:8">
      <c r="A1001" s="15" t="s">
        <v>1361</v>
      </c>
      <c r="B1001" s="16" t="s">
        <v>1362</v>
      </c>
      <c r="C1001" s="15" t="s">
        <v>72</v>
      </c>
      <c r="D1001" s="16"/>
      <c r="E1001" s="2">
        <v>10923012.73</v>
      </c>
      <c r="F1001" s="23">
        <v>0.46537970573252274</v>
      </c>
      <c r="G1001" s="26">
        <v>5083348.45</v>
      </c>
      <c r="H1001" t="s">
        <v>68</v>
      </c>
    </row>
    <row r="1002" spans="1:8">
      <c r="A1002" s="17" t="s">
        <v>1363</v>
      </c>
      <c r="B1002" s="21" t="s">
        <v>1364</v>
      </c>
      <c r="C1002" s="19" t="s">
        <v>72</v>
      </c>
      <c r="D1002" s="20"/>
      <c r="E1002" s="3">
        <v>9650874.7200000007</v>
      </c>
      <c r="F1002" s="24">
        <v>0.44616111854366702</v>
      </c>
      <c r="G1002" s="26">
        <v>4305845.0599999996</v>
      </c>
      <c r="H1002" t="s">
        <v>68</v>
      </c>
    </row>
    <row r="1003" spans="1:8">
      <c r="A1003" s="17" t="s">
        <v>1145</v>
      </c>
      <c r="B1003" s="21" t="s">
        <v>1146</v>
      </c>
      <c r="C1003" s="19" t="s">
        <v>72</v>
      </c>
      <c r="D1003" s="20"/>
      <c r="E1003" s="3">
        <v>13060811.08</v>
      </c>
      <c r="F1003" s="24">
        <v>0.78774704549206298</v>
      </c>
      <c r="G1003" s="26">
        <v>10288615.34</v>
      </c>
      <c r="H1003" t="s">
        <v>68</v>
      </c>
    </row>
    <row r="1004" spans="1:8">
      <c r="A1004" s="15" t="s">
        <v>1147</v>
      </c>
      <c r="B1004" s="16" t="s">
        <v>862</v>
      </c>
      <c r="C1004" s="15" t="s">
        <v>72</v>
      </c>
      <c r="D1004" s="16"/>
      <c r="E1004" s="2">
        <v>29256917.890000001</v>
      </c>
      <c r="F1004" s="23">
        <v>0.4115612264857062</v>
      </c>
      <c r="G1004" s="26">
        <v>12041013.01</v>
      </c>
      <c r="H1004" t="s">
        <v>68</v>
      </c>
    </row>
    <row r="1005" spans="1:8">
      <c r="A1005" s="17" t="s">
        <v>1148</v>
      </c>
      <c r="B1005" s="21" t="s">
        <v>1149</v>
      </c>
      <c r="C1005" s="19" t="s">
        <v>72</v>
      </c>
      <c r="D1005" s="20"/>
      <c r="E1005" s="3">
        <v>39876061.18</v>
      </c>
      <c r="F1005" s="24">
        <v>0.6964236353396025</v>
      </c>
      <c r="G1005" s="26">
        <v>27770631.489999998</v>
      </c>
      <c r="H1005" t="s">
        <v>68</v>
      </c>
    </row>
    <row r="1006" spans="1:8">
      <c r="A1006" s="13" t="s">
        <v>1150</v>
      </c>
      <c r="B1006" s="14" t="s">
        <v>1013</v>
      </c>
      <c r="C1006" s="15" t="s">
        <v>72</v>
      </c>
      <c r="D1006" s="16"/>
      <c r="E1006" s="2">
        <v>30492028.600000001</v>
      </c>
      <c r="F1006" s="23">
        <v>0.60030175099599636</v>
      </c>
      <c r="G1006" s="26">
        <v>18304418.16</v>
      </c>
      <c r="H1006" t="s">
        <v>68</v>
      </c>
    </row>
    <row r="1007" spans="1:8">
      <c r="A1007" s="19" t="s">
        <v>1151</v>
      </c>
      <c r="B1007" s="20" t="s">
        <v>1152</v>
      </c>
      <c r="C1007" s="19" t="s">
        <v>72</v>
      </c>
      <c r="D1007" s="20"/>
      <c r="E1007" s="3">
        <v>11521393.949999999</v>
      </c>
      <c r="F1007" s="24">
        <v>0.19713222721630833</v>
      </c>
      <c r="G1007" s="26">
        <v>2271238.0499999998</v>
      </c>
      <c r="H1007" t="s">
        <v>68</v>
      </c>
    </row>
    <row r="1008" spans="1:8">
      <c r="A1008" s="13" t="s">
        <v>1153</v>
      </c>
      <c r="B1008" s="14" t="s">
        <v>1154</v>
      </c>
      <c r="C1008" s="15" t="s">
        <v>72</v>
      </c>
      <c r="D1008" s="16"/>
      <c r="E1008" s="2">
        <v>13990418.050000001</v>
      </c>
      <c r="F1008" s="23">
        <v>0.26615514180435801</v>
      </c>
      <c r="G1008" s="26">
        <v>3723621.7</v>
      </c>
      <c r="H1008" t="s">
        <v>68</v>
      </c>
    </row>
    <row r="1009" spans="1:8">
      <c r="A1009" s="17" t="s">
        <v>1155</v>
      </c>
      <c r="B1009" s="21" t="s">
        <v>1156</v>
      </c>
      <c r="C1009" s="19" t="s">
        <v>72</v>
      </c>
      <c r="D1009" s="20"/>
      <c r="E1009" s="3">
        <v>17901191.079999998</v>
      </c>
      <c r="F1009" s="24">
        <v>0.14737847320939274</v>
      </c>
      <c r="G1009" s="26">
        <v>2638250.21</v>
      </c>
      <c r="H1009" t="s">
        <v>68</v>
      </c>
    </row>
    <row r="1010" spans="1:8">
      <c r="A1010" s="15" t="s">
        <v>1157</v>
      </c>
      <c r="B1010" s="16" t="s">
        <v>1158</v>
      </c>
      <c r="C1010" s="15" t="s">
        <v>72</v>
      </c>
      <c r="D1010" s="16"/>
      <c r="E1010" s="2">
        <v>16853911.940000001</v>
      </c>
      <c r="F1010" s="23">
        <v>0.22468685095075913</v>
      </c>
      <c r="G1010" s="26">
        <v>3786852.4</v>
      </c>
      <c r="H1010" t="s">
        <v>68</v>
      </c>
    </row>
    <row r="1011" spans="1:8">
      <c r="A1011" s="17" t="s">
        <v>1159</v>
      </c>
      <c r="B1011" s="21" t="s">
        <v>1160</v>
      </c>
      <c r="C1011" s="19" t="s">
        <v>72</v>
      </c>
      <c r="D1011" s="20"/>
      <c r="E1011" s="3">
        <v>8425008.5500000007</v>
      </c>
      <c r="F1011" s="24">
        <v>0.20245285211016192</v>
      </c>
      <c r="G1011" s="26">
        <v>1705667.01</v>
      </c>
      <c r="H1011" t="s">
        <v>68</v>
      </c>
    </row>
    <row r="1012" spans="1:8">
      <c r="A1012" s="17" t="s">
        <v>1163</v>
      </c>
      <c r="B1012" s="21" t="s">
        <v>1164</v>
      </c>
      <c r="C1012" s="19" t="s">
        <v>72</v>
      </c>
      <c r="D1012" s="20"/>
      <c r="E1012" s="3">
        <v>12812446.98</v>
      </c>
      <c r="F1012" s="24">
        <v>0.53521277947173207</v>
      </c>
      <c r="G1012" s="26">
        <v>6857385.3599999994</v>
      </c>
      <c r="H1012" t="s">
        <v>68</v>
      </c>
    </row>
    <row r="1013" spans="1:8">
      <c r="A1013" s="15" t="s">
        <v>1165</v>
      </c>
      <c r="B1013" s="16" t="s">
        <v>1166</v>
      </c>
      <c r="C1013" s="15" t="s">
        <v>72</v>
      </c>
      <c r="D1013" s="16"/>
      <c r="E1013" s="2">
        <v>20434468.960000001</v>
      </c>
      <c r="F1013" s="23">
        <v>0.60353469298083484</v>
      </c>
      <c r="G1013" s="26">
        <v>12332910.949999999</v>
      </c>
      <c r="H1013" t="s">
        <v>68</v>
      </c>
    </row>
    <row r="1014" spans="1:8">
      <c r="A1014" s="17" t="s">
        <v>1167</v>
      </c>
      <c r="B1014" s="21" t="s">
        <v>1168</v>
      </c>
      <c r="C1014" s="19" t="s">
        <v>72</v>
      </c>
      <c r="D1014" s="20"/>
      <c r="E1014" s="3">
        <v>19445224.649999999</v>
      </c>
      <c r="F1014" s="24">
        <v>0.50477795071398168</v>
      </c>
      <c r="G1014" s="26">
        <v>9815520.6500000004</v>
      </c>
      <c r="H1014" t="s">
        <v>68</v>
      </c>
    </row>
    <row r="1015" spans="1:8">
      <c r="A1015" s="13" t="s">
        <v>1169</v>
      </c>
      <c r="B1015" s="14" t="s">
        <v>1170</v>
      </c>
      <c r="C1015" s="15" t="s">
        <v>72</v>
      </c>
      <c r="D1015" s="16"/>
      <c r="E1015" s="2">
        <v>17080374.030000001</v>
      </c>
      <c r="F1015" s="23">
        <v>0.36926408923610671</v>
      </c>
      <c r="G1015" s="26">
        <v>6307168.7599999998</v>
      </c>
      <c r="H1015" t="s">
        <v>68</v>
      </c>
    </row>
    <row r="1016" spans="1:8">
      <c r="A1016" s="19" t="s">
        <v>1171</v>
      </c>
      <c r="B1016" s="20" t="s">
        <v>1172</v>
      </c>
      <c r="C1016" s="19" t="s">
        <v>72</v>
      </c>
      <c r="D1016" s="20"/>
      <c r="E1016" s="3">
        <v>14534876.24</v>
      </c>
      <c r="F1016" s="24">
        <v>0.31451626862974924</v>
      </c>
      <c r="G1016" s="26">
        <v>4571455.04</v>
      </c>
      <c r="H1016" t="s">
        <v>68</v>
      </c>
    </row>
    <row r="1017" spans="1:8">
      <c r="A1017" s="13" t="s">
        <v>1173</v>
      </c>
      <c r="B1017" s="14" t="s">
        <v>1174</v>
      </c>
      <c r="C1017" s="15" t="s">
        <v>72</v>
      </c>
      <c r="D1017" s="16"/>
      <c r="E1017" s="2">
        <v>11908354.83</v>
      </c>
      <c r="F1017" s="23">
        <v>0.53285218240343624</v>
      </c>
      <c r="G1017" s="26">
        <v>6345392.8600000013</v>
      </c>
      <c r="H1017" t="s">
        <v>68</v>
      </c>
    </row>
    <row r="1018" spans="1:8">
      <c r="A1018" s="17" t="s">
        <v>1175</v>
      </c>
      <c r="B1018" s="21" t="s">
        <v>1176</v>
      </c>
      <c r="C1018" s="19" t="s">
        <v>72</v>
      </c>
      <c r="D1018" s="20"/>
      <c r="E1018" s="3">
        <v>31681171.879999999</v>
      </c>
      <c r="F1018" s="24">
        <v>0.55519594687417229</v>
      </c>
      <c r="G1018" s="26">
        <v>17589258.219999999</v>
      </c>
      <c r="H1018" t="s">
        <v>68</v>
      </c>
    </row>
    <row r="1019" spans="1:8">
      <c r="A1019" s="19" t="s">
        <v>1179</v>
      </c>
      <c r="B1019" s="20" t="s">
        <v>1180</v>
      </c>
      <c r="C1019" s="19" t="s">
        <v>72</v>
      </c>
      <c r="D1019" s="20"/>
      <c r="E1019" s="3">
        <v>16972129.460000001</v>
      </c>
      <c r="F1019" s="24">
        <v>0.53102828264662549</v>
      </c>
      <c r="G1019" s="26">
        <v>9012680.7599999998</v>
      </c>
      <c r="H1019" t="s">
        <v>68</v>
      </c>
    </row>
    <row r="1020" spans="1:8">
      <c r="A1020" s="13" t="s">
        <v>1181</v>
      </c>
      <c r="B1020" s="14" t="s">
        <v>1182</v>
      </c>
      <c r="C1020" s="15" t="s">
        <v>72</v>
      </c>
      <c r="D1020" s="16"/>
      <c r="E1020" s="2">
        <v>16768943.859999999</v>
      </c>
      <c r="F1020" s="23">
        <v>0.55803967489697359</v>
      </c>
      <c r="G1020" s="26">
        <v>9357735.9800000004</v>
      </c>
      <c r="H1020" t="s">
        <v>68</v>
      </c>
    </row>
    <row r="1021" spans="1:8">
      <c r="A1021" s="17" t="s">
        <v>1183</v>
      </c>
      <c r="B1021" s="21" t="s">
        <v>1149</v>
      </c>
      <c r="C1021" s="19" t="s">
        <v>72</v>
      </c>
      <c r="D1021" s="20"/>
      <c r="E1021" s="3">
        <v>6646869.0599999996</v>
      </c>
      <c r="F1021" s="24">
        <v>0.35052492067596108</v>
      </c>
      <c r="G1021" s="26">
        <v>2329893.25</v>
      </c>
      <c r="H1021" t="s">
        <v>68</v>
      </c>
    </row>
    <row r="1022" spans="1:8">
      <c r="A1022" s="19" t="s">
        <v>1186</v>
      </c>
      <c r="B1022" s="20" t="s">
        <v>1187</v>
      </c>
      <c r="C1022" s="19" t="s">
        <v>72</v>
      </c>
      <c r="D1022" s="20"/>
      <c r="E1022" s="3">
        <v>24793691.5</v>
      </c>
      <c r="F1022" s="24">
        <v>0.74444768662222005</v>
      </c>
      <c r="G1022" s="26">
        <v>18457606.280000001</v>
      </c>
      <c r="H1022" t="s">
        <v>68</v>
      </c>
    </row>
    <row r="1023" spans="1:8">
      <c r="A1023" s="13" t="s">
        <v>1188</v>
      </c>
      <c r="B1023" s="14" t="s">
        <v>1189</v>
      </c>
      <c r="C1023" s="15" t="s">
        <v>72</v>
      </c>
      <c r="D1023" s="16"/>
      <c r="E1023" s="2">
        <v>36360032.649999999</v>
      </c>
      <c r="F1023" s="23">
        <v>0.77252012203569898</v>
      </c>
      <c r="G1023" s="26">
        <v>28088856.859999999</v>
      </c>
      <c r="H1023" t="s">
        <v>68</v>
      </c>
    </row>
    <row r="1024" spans="1:8">
      <c r="A1024" s="17" t="s">
        <v>1190</v>
      </c>
      <c r="B1024" s="21" t="s">
        <v>1191</v>
      </c>
      <c r="C1024" s="19" t="s">
        <v>72</v>
      </c>
      <c r="D1024" s="20"/>
      <c r="E1024" s="3">
        <v>12771086.09</v>
      </c>
      <c r="F1024" s="24">
        <v>0.35831915999557717</v>
      </c>
      <c r="G1024" s="26">
        <v>4576124.84</v>
      </c>
      <c r="H1024" t="s">
        <v>68</v>
      </c>
    </row>
    <row r="1025" spans="1:8">
      <c r="A1025" s="15" t="s">
        <v>1192</v>
      </c>
      <c r="B1025" s="16" t="s">
        <v>1193</v>
      </c>
      <c r="C1025" s="15" t="s">
        <v>72</v>
      </c>
      <c r="D1025" s="16"/>
      <c r="E1025" s="2">
        <v>10045347.390000001</v>
      </c>
      <c r="F1025" s="23">
        <v>0.60168163283400389</v>
      </c>
      <c r="G1025" s="26">
        <v>6044101.0199999996</v>
      </c>
      <c r="H1025" t="s">
        <v>68</v>
      </c>
    </row>
    <row r="1026" spans="1:8">
      <c r="A1026" s="17" t="s">
        <v>1194</v>
      </c>
      <c r="B1026" s="21" t="s">
        <v>1195</v>
      </c>
      <c r="C1026" s="19" t="s">
        <v>72</v>
      </c>
      <c r="D1026" s="20"/>
      <c r="E1026" s="3">
        <v>16505943.74</v>
      </c>
      <c r="F1026" s="24">
        <v>0.44614440688745499</v>
      </c>
      <c r="G1026" s="26">
        <v>7364034.4800000004</v>
      </c>
      <c r="H1026" t="s">
        <v>68</v>
      </c>
    </row>
    <row r="1027" spans="1:8">
      <c r="A1027" s="13" t="s">
        <v>1196</v>
      </c>
      <c r="B1027" s="14" t="s">
        <v>1197</v>
      </c>
      <c r="C1027" s="15" t="s">
        <v>72</v>
      </c>
      <c r="D1027" s="16"/>
      <c r="E1027" s="2">
        <v>13739270</v>
      </c>
      <c r="F1027" s="23">
        <v>0.41630267765317952</v>
      </c>
      <c r="G1027" s="26">
        <v>5719694.8899999997</v>
      </c>
      <c r="H1027" t="s">
        <v>68</v>
      </c>
    </row>
    <row r="1028" spans="1:8">
      <c r="A1028" s="19" t="s">
        <v>1198</v>
      </c>
      <c r="B1028" s="20" t="s">
        <v>1199</v>
      </c>
      <c r="C1028" s="19" t="s">
        <v>72</v>
      </c>
      <c r="D1028" s="20"/>
      <c r="E1028" s="3">
        <v>25769869.5</v>
      </c>
      <c r="F1028" s="24">
        <v>0.42581064486958309</v>
      </c>
      <c r="G1028" s="26">
        <v>10973084.75</v>
      </c>
      <c r="H1028" t="s">
        <v>68</v>
      </c>
    </row>
    <row r="1029" spans="1:8">
      <c r="A1029" s="17" t="s">
        <v>1202</v>
      </c>
      <c r="B1029" s="21" t="s">
        <v>1203</v>
      </c>
      <c r="C1029" s="19" t="s">
        <v>72</v>
      </c>
      <c r="D1029" s="20"/>
      <c r="E1029" s="3">
        <v>32232003.739999998</v>
      </c>
      <c r="F1029" s="24">
        <v>0.6805492049747448</v>
      </c>
      <c r="G1029" s="26">
        <v>21935464.52</v>
      </c>
      <c r="H1029" t="s">
        <v>68</v>
      </c>
    </row>
    <row r="1030" spans="1:8">
      <c r="A1030" s="13" t="s">
        <v>1204</v>
      </c>
      <c r="B1030" s="14" t="s">
        <v>1205</v>
      </c>
      <c r="C1030" s="15" t="s">
        <v>72</v>
      </c>
      <c r="D1030" s="16"/>
      <c r="E1030" s="2">
        <v>11977808.18</v>
      </c>
      <c r="F1030" s="23">
        <v>0.73624189730512124</v>
      </c>
      <c r="G1030" s="26">
        <v>8818564.2200000007</v>
      </c>
      <c r="H1030" t="s">
        <v>68</v>
      </c>
    </row>
    <row r="1031" spans="1:8">
      <c r="A1031" s="19" t="s">
        <v>1206</v>
      </c>
      <c r="B1031" s="20" t="s">
        <v>1207</v>
      </c>
      <c r="C1031" s="19" t="s">
        <v>72</v>
      </c>
      <c r="D1031" s="20"/>
      <c r="E1031" s="3">
        <v>34289142.93</v>
      </c>
      <c r="F1031" s="24">
        <v>0.70638807681624372</v>
      </c>
      <c r="G1031" s="26">
        <v>24221441.73</v>
      </c>
      <c r="H1031" t="s">
        <v>68</v>
      </c>
    </row>
    <row r="1032" spans="1:8">
      <c r="A1032" s="13" t="s">
        <v>1208</v>
      </c>
      <c r="B1032" s="14" t="s">
        <v>1209</v>
      </c>
      <c r="C1032" s="15" t="s">
        <v>72</v>
      </c>
      <c r="D1032" s="16"/>
      <c r="E1032" s="2">
        <v>73835540.200000003</v>
      </c>
      <c r="F1032" s="23">
        <v>0.61830116345515673</v>
      </c>
      <c r="G1032" s="26">
        <v>45652600.409999996</v>
      </c>
      <c r="H1032" t="s">
        <v>68</v>
      </c>
    </row>
    <row r="1033" spans="1:8">
      <c r="A1033" s="17" t="s">
        <v>1210</v>
      </c>
      <c r="B1033" s="21" t="s">
        <v>1211</v>
      </c>
      <c r="C1033" s="19" t="s">
        <v>72</v>
      </c>
      <c r="D1033" s="20"/>
      <c r="E1033" s="3">
        <v>11789867.859999999</v>
      </c>
      <c r="F1033" s="24">
        <v>0.57159478969766842</v>
      </c>
      <c r="G1033" s="26">
        <v>6739027.04</v>
      </c>
      <c r="H1033" t="s">
        <v>68</v>
      </c>
    </row>
    <row r="1034" spans="1:8">
      <c r="A1034" s="15" t="s">
        <v>1212</v>
      </c>
      <c r="B1034" s="16" t="s">
        <v>1213</v>
      </c>
      <c r="C1034" s="15" t="s">
        <v>72</v>
      </c>
      <c r="D1034" s="16"/>
      <c r="E1034" s="2">
        <v>13634098.720000001</v>
      </c>
      <c r="F1034" s="23">
        <v>0.39045100004967548</v>
      </c>
      <c r="G1034" s="26">
        <v>5323447.4800000004</v>
      </c>
      <c r="H1034" t="s">
        <v>68</v>
      </c>
    </row>
    <row r="1035" spans="1:8">
      <c r="A1035" s="17" t="s">
        <v>1214</v>
      </c>
      <c r="B1035" s="21" t="s">
        <v>1215</v>
      </c>
      <c r="C1035" s="19" t="s">
        <v>72</v>
      </c>
      <c r="D1035" s="20"/>
      <c r="E1035" s="3">
        <v>15684082.49</v>
      </c>
      <c r="F1035" s="24">
        <v>0.57727741076169248</v>
      </c>
      <c r="G1035" s="26">
        <v>9054066.5299999993</v>
      </c>
      <c r="H1035" t="s">
        <v>68</v>
      </c>
    </row>
    <row r="1036" spans="1:8">
      <c r="A1036" s="17" t="s">
        <v>1218</v>
      </c>
      <c r="B1036" s="21" t="s">
        <v>1219</v>
      </c>
      <c r="C1036" s="19" t="s">
        <v>72</v>
      </c>
      <c r="D1036" s="20"/>
      <c r="E1036" s="3">
        <v>41886616.590000004</v>
      </c>
      <c r="F1036" s="24">
        <v>0.43851792542215451</v>
      </c>
      <c r="G1036" s="26">
        <v>18368032.210000001</v>
      </c>
      <c r="H1036" t="s">
        <v>68</v>
      </c>
    </row>
    <row r="1037" spans="1:8">
      <c r="A1037" s="15" t="s">
        <v>1220</v>
      </c>
      <c r="B1037" s="16" t="s">
        <v>1221</v>
      </c>
      <c r="C1037" s="15" t="s">
        <v>72</v>
      </c>
      <c r="D1037" s="16"/>
      <c r="E1037" s="2">
        <v>42677018.090000004</v>
      </c>
      <c r="F1037" s="23">
        <v>0.71350328169097244</v>
      </c>
      <c r="G1037" s="26">
        <v>30450192.459999997</v>
      </c>
      <c r="H1037" t="s">
        <v>68</v>
      </c>
    </row>
    <row r="1038" spans="1:8">
      <c r="A1038" s="17" t="s">
        <v>1222</v>
      </c>
      <c r="B1038" s="21" t="s">
        <v>1223</v>
      </c>
      <c r="C1038" s="19" t="s">
        <v>72</v>
      </c>
      <c r="D1038" s="20"/>
      <c r="E1038" s="3">
        <v>24286362.109999999</v>
      </c>
      <c r="F1038" s="24">
        <v>0.61706011761347324</v>
      </c>
      <c r="G1038" s="26">
        <v>14986145.459999999</v>
      </c>
      <c r="H1038" t="s">
        <v>68</v>
      </c>
    </row>
    <row r="1039" spans="1:8">
      <c r="A1039" s="13" t="s">
        <v>1224</v>
      </c>
      <c r="B1039" s="14" t="s">
        <v>1225</v>
      </c>
      <c r="C1039" s="15" t="s">
        <v>72</v>
      </c>
      <c r="D1039" s="16"/>
      <c r="E1039" s="2">
        <v>9307829.1400000006</v>
      </c>
      <c r="F1039" s="23">
        <v>0.59454313210566723</v>
      </c>
      <c r="G1039" s="26">
        <v>5533905.8899999997</v>
      </c>
      <c r="H1039" t="s">
        <v>68</v>
      </c>
    </row>
    <row r="1040" spans="1:8">
      <c r="A1040" s="19" t="s">
        <v>1226</v>
      </c>
      <c r="B1040" s="20" t="s">
        <v>1227</v>
      </c>
      <c r="C1040" s="19" t="s">
        <v>72</v>
      </c>
      <c r="D1040" s="20"/>
      <c r="E1040" s="3">
        <v>5122505.47</v>
      </c>
      <c r="F1040" s="24">
        <v>0.44693246955185784</v>
      </c>
      <c r="G1040" s="26">
        <v>2289414.02</v>
      </c>
      <c r="H1040" t="s">
        <v>68</v>
      </c>
    </row>
    <row r="1041" spans="1:8">
      <c r="A1041" s="13" t="s">
        <v>1228</v>
      </c>
      <c r="B1041" s="14" t="s">
        <v>1229</v>
      </c>
      <c r="C1041" s="15" t="s">
        <v>72</v>
      </c>
      <c r="D1041" s="16"/>
      <c r="E1041" s="2">
        <v>19891559.57</v>
      </c>
      <c r="F1041" s="23">
        <v>0.58835595966294563</v>
      </c>
      <c r="G1041" s="26">
        <v>11703317.620000001</v>
      </c>
      <c r="H1041" t="s">
        <v>68</v>
      </c>
    </row>
    <row r="1042" spans="1:8">
      <c r="A1042" s="17" t="s">
        <v>1230</v>
      </c>
      <c r="B1042" s="21" t="s">
        <v>1452</v>
      </c>
      <c r="C1042" s="19" t="s">
        <v>72</v>
      </c>
      <c r="D1042" s="20"/>
      <c r="E1042" s="3">
        <v>6143270.0800000001</v>
      </c>
      <c r="F1042" s="24">
        <v>0.23788703426172661</v>
      </c>
      <c r="G1042" s="26">
        <v>1461404.3</v>
      </c>
      <c r="H1042" t="s">
        <v>68</v>
      </c>
    </row>
    <row r="1043" spans="1:8">
      <c r="A1043" s="15" t="s">
        <v>1453</v>
      </c>
      <c r="B1043" s="16" t="s">
        <v>1454</v>
      </c>
      <c r="C1043" s="15" t="s">
        <v>72</v>
      </c>
      <c r="D1043" s="16"/>
      <c r="E1043" s="2">
        <v>12977788.609999999</v>
      </c>
      <c r="F1043" s="23">
        <v>0.51012633037486343</v>
      </c>
      <c r="G1043" s="26">
        <v>6620311.6799999997</v>
      </c>
      <c r="H1043" t="s">
        <v>68</v>
      </c>
    </row>
    <row r="1044" spans="1:8">
      <c r="A1044" s="17" t="s">
        <v>1455</v>
      </c>
      <c r="B1044" s="21" t="s">
        <v>1207</v>
      </c>
      <c r="C1044" s="19" t="s">
        <v>72</v>
      </c>
      <c r="D1044" s="20"/>
      <c r="E1044" s="3">
        <v>9756389.7300000004</v>
      </c>
      <c r="F1044" s="24">
        <v>0.41470575407200339</v>
      </c>
      <c r="G1044" s="26">
        <v>4046030.9599999995</v>
      </c>
      <c r="H1044" t="s">
        <v>68</v>
      </c>
    </row>
    <row r="1045" spans="1:8">
      <c r="A1045" s="13" t="s">
        <v>1456</v>
      </c>
      <c r="B1045" s="14" t="s">
        <v>1457</v>
      </c>
      <c r="C1045" s="15" t="s">
        <v>72</v>
      </c>
      <c r="D1045" s="16"/>
      <c r="E1045" s="2">
        <v>19033325.890000001</v>
      </c>
      <c r="F1045" s="23">
        <v>0.30509383665053191</v>
      </c>
      <c r="G1045" s="26">
        <v>5806950.4199999999</v>
      </c>
      <c r="H1045" t="s">
        <v>68</v>
      </c>
    </row>
    <row r="1046" spans="1:8">
      <c r="A1046" s="19" t="s">
        <v>1458</v>
      </c>
      <c r="B1046" s="20" t="s">
        <v>1345</v>
      </c>
      <c r="C1046" s="19" t="s">
        <v>72</v>
      </c>
      <c r="D1046" s="20"/>
      <c r="E1046" s="3">
        <v>6578553.0899999999</v>
      </c>
      <c r="F1046" s="24">
        <v>0.5230027002791886</v>
      </c>
      <c r="G1046" s="26">
        <v>3440601.03</v>
      </c>
      <c r="H1046" t="s">
        <v>68</v>
      </c>
    </row>
    <row r="1047" spans="1:8">
      <c r="A1047" s="13" t="s">
        <v>1459</v>
      </c>
      <c r="B1047" s="14" t="s">
        <v>1460</v>
      </c>
      <c r="C1047" s="15" t="s">
        <v>72</v>
      </c>
      <c r="D1047" s="16"/>
      <c r="E1047" s="2">
        <v>12941097.390000001</v>
      </c>
      <c r="F1047" s="23">
        <v>0.42462861412713621</v>
      </c>
      <c r="G1047" s="26">
        <v>5495160.25</v>
      </c>
      <c r="H1047" t="s">
        <v>68</v>
      </c>
    </row>
    <row r="1048" spans="1:8">
      <c r="A1048" s="17" t="s">
        <v>1461</v>
      </c>
      <c r="B1048" s="21" t="s">
        <v>1462</v>
      </c>
      <c r="C1048" s="19" t="s">
        <v>72</v>
      </c>
      <c r="D1048" s="20"/>
      <c r="E1048" s="3">
        <v>11298582.15</v>
      </c>
      <c r="F1048" s="24">
        <v>0.57015296649411884</v>
      </c>
      <c r="G1048" s="26">
        <v>6441920.129999999</v>
      </c>
      <c r="H1048" t="s">
        <v>68</v>
      </c>
    </row>
    <row r="1049" spans="1:8">
      <c r="A1049" s="15" t="s">
        <v>1463</v>
      </c>
      <c r="B1049" s="16" t="s">
        <v>1464</v>
      </c>
      <c r="C1049" s="15" t="s">
        <v>72</v>
      </c>
      <c r="D1049" s="16"/>
      <c r="E1049" s="2">
        <v>7924210.2699999996</v>
      </c>
      <c r="F1049" s="23">
        <v>0.50270545382688347</v>
      </c>
      <c r="G1049" s="26">
        <v>3983543.7200000007</v>
      </c>
      <c r="H1049" t="s">
        <v>68</v>
      </c>
    </row>
    <row r="1050" spans="1:8">
      <c r="A1050" s="17" t="s">
        <v>1465</v>
      </c>
      <c r="B1050" s="21" t="s">
        <v>1466</v>
      </c>
      <c r="C1050" s="19" t="s">
        <v>72</v>
      </c>
      <c r="D1050" s="20"/>
      <c r="E1050" s="3">
        <v>15645265.630000001</v>
      </c>
      <c r="F1050" s="24">
        <v>0.57330404750692621</v>
      </c>
      <c r="G1050" s="26">
        <v>8969494.1099999994</v>
      </c>
      <c r="H1050" t="s">
        <v>68</v>
      </c>
    </row>
    <row r="1051" spans="1:8">
      <c r="A1051" s="13" t="s">
        <v>1467</v>
      </c>
      <c r="B1051" s="14" t="s">
        <v>1468</v>
      </c>
      <c r="C1051" s="15" t="s">
        <v>72</v>
      </c>
      <c r="D1051" s="16"/>
      <c r="E1051" s="2">
        <v>13033759.67</v>
      </c>
      <c r="F1051" s="23">
        <v>0.33205016661167269</v>
      </c>
      <c r="G1051" s="26">
        <v>4327862.07</v>
      </c>
      <c r="H1051" t="s">
        <v>68</v>
      </c>
    </row>
    <row r="1052" spans="1:8">
      <c r="A1052" s="19" t="s">
        <v>1469</v>
      </c>
      <c r="B1052" s="20" t="s">
        <v>1025</v>
      </c>
      <c r="C1052" s="19" t="s">
        <v>72</v>
      </c>
      <c r="D1052" s="20"/>
      <c r="E1052" s="3">
        <v>17914157.23</v>
      </c>
      <c r="F1052" s="24">
        <v>0.58170145746789337</v>
      </c>
      <c r="G1052" s="26">
        <v>10420691.369999999</v>
      </c>
      <c r="H1052" t="s">
        <v>68</v>
      </c>
    </row>
    <row r="1053" spans="1:8">
      <c r="A1053" s="13" t="s">
        <v>1470</v>
      </c>
      <c r="B1053" s="14" t="s">
        <v>1471</v>
      </c>
      <c r="C1053" s="15" t="s">
        <v>72</v>
      </c>
      <c r="D1053" s="16"/>
      <c r="E1053" s="2">
        <v>25838279.390000001</v>
      </c>
      <c r="F1053" s="23">
        <v>0.49355734480274926</v>
      </c>
      <c r="G1053" s="26">
        <v>12752672.57</v>
      </c>
      <c r="H1053" t="s">
        <v>68</v>
      </c>
    </row>
    <row r="1054" spans="1:8">
      <c r="A1054" s="17" t="s">
        <v>1472</v>
      </c>
      <c r="B1054" s="21" t="s">
        <v>1473</v>
      </c>
      <c r="C1054" s="19" t="s">
        <v>72</v>
      </c>
      <c r="D1054" s="20"/>
      <c r="E1054" s="3">
        <v>23829695.469999999</v>
      </c>
      <c r="F1054" s="24">
        <v>0.6849927465732738</v>
      </c>
      <c r="G1054" s="26">
        <v>16323168.550000001</v>
      </c>
      <c r="H1054" t="s">
        <v>68</v>
      </c>
    </row>
    <row r="1055" spans="1:8">
      <c r="A1055" s="15" t="s">
        <v>1474</v>
      </c>
      <c r="B1055" s="16" t="s">
        <v>846</v>
      </c>
      <c r="C1055" s="15" t="s">
        <v>72</v>
      </c>
      <c r="D1055" s="16"/>
      <c r="E1055" s="2">
        <v>7147042.0099999998</v>
      </c>
      <c r="F1055" s="23">
        <v>0.24905867315588931</v>
      </c>
      <c r="G1055" s="26">
        <v>1780032.8</v>
      </c>
      <c r="H1055" t="s">
        <v>68</v>
      </c>
    </row>
    <row r="1056" spans="1:8">
      <c r="A1056" s="17" t="s">
        <v>1475</v>
      </c>
      <c r="B1056" s="21" t="s">
        <v>1476</v>
      </c>
      <c r="C1056" s="19" t="s">
        <v>72</v>
      </c>
      <c r="D1056" s="20"/>
      <c r="E1056" s="3">
        <v>19652713.960000001</v>
      </c>
      <c r="F1056" s="24">
        <v>0.15973390476192531</v>
      </c>
      <c r="G1056" s="26">
        <v>3139204.74</v>
      </c>
      <c r="H1056" t="s">
        <v>68</v>
      </c>
    </row>
    <row r="1057" spans="1:8">
      <c r="A1057" s="13" t="s">
        <v>1477</v>
      </c>
      <c r="B1057" s="14" t="s">
        <v>1137</v>
      </c>
      <c r="C1057" s="15" t="s">
        <v>72</v>
      </c>
      <c r="D1057" s="16"/>
      <c r="E1057" s="2">
        <v>6657574.9900000002</v>
      </c>
      <c r="F1057" s="23">
        <v>0.28427998075016803</v>
      </c>
      <c r="G1057" s="26">
        <v>1892615.2900000003</v>
      </c>
      <c r="H1057" t="s">
        <v>68</v>
      </c>
    </row>
    <row r="1058" spans="1:8">
      <c r="A1058" s="15" t="s">
        <v>1255</v>
      </c>
      <c r="B1058" s="16" t="s">
        <v>1256</v>
      </c>
      <c r="C1058" s="15" t="s">
        <v>72</v>
      </c>
      <c r="D1058" s="16"/>
      <c r="E1058" s="2">
        <v>7247766.5099999998</v>
      </c>
      <c r="F1058" s="23">
        <v>0.32089350654316262</v>
      </c>
      <c r="G1058" s="26">
        <v>2325761.21</v>
      </c>
      <c r="H1058" t="s">
        <v>68</v>
      </c>
    </row>
    <row r="1059" spans="1:8">
      <c r="A1059" s="17" t="s">
        <v>1257</v>
      </c>
      <c r="B1059" s="21" t="s">
        <v>1258</v>
      </c>
      <c r="C1059" s="19" t="s">
        <v>72</v>
      </c>
      <c r="D1059" s="20"/>
      <c r="E1059" s="3">
        <v>9759289</v>
      </c>
      <c r="F1059" s="24">
        <v>0.36805767407851125</v>
      </c>
      <c r="G1059" s="26">
        <v>3591981.21</v>
      </c>
      <c r="H1059" t="s">
        <v>68</v>
      </c>
    </row>
    <row r="1060" spans="1:8">
      <c r="A1060" s="13" t="s">
        <v>1259</v>
      </c>
      <c r="B1060" s="14" t="s">
        <v>1260</v>
      </c>
      <c r="C1060" s="15" t="s">
        <v>72</v>
      </c>
      <c r="D1060" s="16"/>
      <c r="E1060" s="2">
        <v>8762625.2699999996</v>
      </c>
      <c r="F1060" s="23">
        <v>0.28903044715045773</v>
      </c>
      <c r="G1060" s="26">
        <v>2532665.5</v>
      </c>
      <c r="H1060" t="s">
        <v>68</v>
      </c>
    </row>
    <row r="1061" spans="1:8">
      <c r="A1061" s="19" t="s">
        <v>1261</v>
      </c>
      <c r="B1061" s="20" t="s">
        <v>1262</v>
      </c>
      <c r="C1061" s="19" t="s">
        <v>72</v>
      </c>
      <c r="D1061" s="20"/>
      <c r="E1061" s="3">
        <v>8163698.3399999999</v>
      </c>
      <c r="F1061" s="24">
        <v>0.37551715562287669</v>
      </c>
      <c r="G1061" s="26">
        <v>3065608.78</v>
      </c>
      <c r="H1061" t="s">
        <v>68</v>
      </c>
    </row>
    <row r="1062" spans="1:8">
      <c r="A1062" s="17" t="s">
        <v>1265</v>
      </c>
      <c r="B1062" s="21" t="s">
        <v>1266</v>
      </c>
      <c r="C1062" s="19" t="s">
        <v>72</v>
      </c>
      <c r="D1062" s="20"/>
      <c r="E1062" s="3">
        <v>7052335.3899999997</v>
      </c>
      <c r="F1062" s="24">
        <v>0.51902917651793645</v>
      </c>
      <c r="G1062" s="26">
        <v>3660367.83</v>
      </c>
      <c r="H1062" t="s">
        <v>68</v>
      </c>
    </row>
    <row r="1063" spans="1:8">
      <c r="A1063" s="13" t="s">
        <v>1267</v>
      </c>
      <c r="B1063" s="14" t="s">
        <v>1268</v>
      </c>
      <c r="C1063" s="15" t="s">
        <v>72</v>
      </c>
      <c r="D1063" s="16"/>
      <c r="E1063" s="2">
        <v>9968547.3800000008</v>
      </c>
      <c r="F1063" s="23">
        <v>0.43141409937302211</v>
      </c>
      <c r="G1063" s="26">
        <v>4300571.8899999997</v>
      </c>
      <c r="H1063" t="s">
        <v>68</v>
      </c>
    </row>
    <row r="1064" spans="1:8">
      <c r="A1064" s="19" t="s">
        <v>1269</v>
      </c>
      <c r="B1064" s="20" t="s">
        <v>1270</v>
      </c>
      <c r="C1064" s="19" t="s">
        <v>72</v>
      </c>
      <c r="D1064" s="20"/>
      <c r="E1064" s="3">
        <v>5174502.62</v>
      </c>
      <c r="F1064" s="24">
        <v>0.48023831902127823</v>
      </c>
      <c r="G1064" s="26">
        <v>2484994.44</v>
      </c>
      <c r="H1064" t="s">
        <v>68</v>
      </c>
    </row>
    <row r="1065" spans="1:8">
      <c r="A1065" s="13" t="s">
        <v>1271</v>
      </c>
      <c r="B1065" s="14" t="s">
        <v>1272</v>
      </c>
      <c r="C1065" s="15" t="s">
        <v>72</v>
      </c>
      <c r="D1065" s="16"/>
      <c r="E1065" s="2">
        <v>24217676.260000002</v>
      </c>
      <c r="F1065" s="23">
        <v>0.34477408197048875</v>
      </c>
      <c r="G1065" s="26">
        <v>8349627.1000000006</v>
      </c>
      <c r="H1065" t="s">
        <v>68</v>
      </c>
    </row>
    <row r="1066" spans="1:8">
      <c r="A1066" s="17" t="s">
        <v>1273</v>
      </c>
      <c r="B1066" s="21" t="s">
        <v>1274</v>
      </c>
      <c r="C1066" s="19" t="s">
        <v>72</v>
      </c>
      <c r="D1066" s="20"/>
      <c r="E1066" s="3">
        <v>27806138.300000001</v>
      </c>
      <c r="F1066" s="24">
        <v>0.26552790755557737</v>
      </c>
      <c r="G1066" s="26">
        <v>7383305.7199999997</v>
      </c>
      <c r="H1066" t="s">
        <v>68</v>
      </c>
    </row>
    <row r="1067" spans="1:8">
      <c r="A1067" s="15" t="s">
        <v>1275</v>
      </c>
      <c r="B1067" s="16" t="s">
        <v>1276</v>
      </c>
      <c r="C1067" s="15" t="s">
        <v>72</v>
      </c>
      <c r="D1067" s="16"/>
      <c r="E1067" s="2">
        <v>11922420.73</v>
      </c>
      <c r="F1067" s="23">
        <v>0.45051712161813634</v>
      </c>
      <c r="G1067" s="26">
        <v>5371254.6699999999</v>
      </c>
      <c r="H1067" t="s">
        <v>68</v>
      </c>
    </row>
    <row r="1068" spans="1:8">
      <c r="A1068" s="17" t="s">
        <v>1277</v>
      </c>
      <c r="B1068" s="21" t="s">
        <v>1278</v>
      </c>
      <c r="C1068" s="19" t="s">
        <v>72</v>
      </c>
      <c r="D1068" s="20"/>
      <c r="E1068" s="3">
        <v>8409506.3900000006</v>
      </c>
      <c r="F1068" s="24">
        <v>0.46633628397778049</v>
      </c>
      <c r="G1068" s="26">
        <v>3921657.96</v>
      </c>
      <c r="H1068" t="s">
        <v>68</v>
      </c>
    </row>
    <row r="1069" spans="1:8">
      <c r="A1069" s="13" t="s">
        <v>1279</v>
      </c>
      <c r="B1069" s="14" t="s">
        <v>1280</v>
      </c>
      <c r="C1069" s="15" t="s">
        <v>72</v>
      </c>
      <c r="D1069" s="16"/>
      <c r="E1069" s="2">
        <v>34944083.149999999</v>
      </c>
      <c r="F1069" s="23">
        <v>0.33250454705376925</v>
      </c>
      <c r="G1069" s="26">
        <v>11619066.539999999</v>
      </c>
      <c r="H1069" t="s">
        <v>68</v>
      </c>
    </row>
    <row r="1070" spans="1:8">
      <c r="A1070" s="19" t="s">
        <v>1281</v>
      </c>
      <c r="B1070" s="20" t="s">
        <v>1282</v>
      </c>
      <c r="C1070" s="19" t="s">
        <v>72</v>
      </c>
      <c r="D1070" s="20"/>
      <c r="E1070" s="3">
        <v>35933156.039999999</v>
      </c>
      <c r="F1070" s="24">
        <v>0.30939721736727249</v>
      </c>
      <c r="G1070" s="26">
        <v>11117618.49</v>
      </c>
      <c r="H1070" t="s">
        <v>68</v>
      </c>
    </row>
    <row r="1071" spans="1:8">
      <c r="A1071" s="13" t="s">
        <v>1283</v>
      </c>
      <c r="B1071" s="14" t="s">
        <v>1284</v>
      </c>
      <c r="C1071" s="15" t="s">
        <v>72</v>
      </c>
      <c r="D1071" s="16"/>
      <c r="E1071" s="2">
        <v>10117515.84</v>
      </c>
      <c r="F1071" s="23">
        <v>0.35764169063065193</v>
      </c>
      <c r="G1071" s="26">
        <v>3618445.4700000007</v>
      </c>
      <c r="H1071" t="s">
        <v>68</v>
      </c>
    </row>
    <row r="1072" spans="1:8">
      <c r="A1072" s="17" t="s">
        <v>1285</v>
      </c>
      <c r="B1072" s="21" t="s">
        <v>1286</v>
      </c>
      <c r="C1072" s="19" t="s">
        <v>72</v>
      </c>
      <c r="D1072" s="20"/>
      <c r="E1072" s="3">
        <v>48385730.399999999</v>
      </c>
      <c r="F1072" s="24">
        <v>0.45114523867970796</v>
      </c>
      <c r="G1072" s="26">
        <v>21828991.890000001</v>
      </c>
      <c r="H1072" t="s">
        <v>68</v>
      </c>
    </row>
    <row r="1073" spans="1:8">
      <c r="A1073" s="15" t="s">
        <v>1287</v>
      </c>
      <c r="B1073" s="16" t="s">
        <v>1174</v>
      </c>
      <c r="C1073" s="15" t="s">
        <v>72</v>
      </c>
      <c r="D1073" s="16"/>
      <c r="E1073" s="2">
        <v>20682988.780000001</v>
      </c>
      <c r="F1073" s="23">
        <v>0.51384840136242627</v>
      </c>
      <c r="G1073" s="26">
        <v>10627920.720000001</v>
      </c>
      <c r="H1073" t="s">
        <v>68</v>
      </c>
    </row>
    <row r="1074" spans="1:8">
      <c r="A1074" s="17" t="s">
        <v>1288</v>
      </c>
      <c r="B1074" s="21" t="s">
        <v>1289</v>
      </c>
      <c r="C1074" s="19" t="s">
        <v>72</v>
      </c>
      <c r="D1074" s="20"/>
      <c r="E1074" s="3">
        <v>18092282.18</v>
      </c>
      <c r="F1074" s="24">
        <v>0.48893357078957528</v>
      </c>
      <c r="G1074" s="26">
        <v>8845924.1300000008</v>
      </c>
      <c r="H1074" t="s">
        <v>68</v>
      </c>
    </row>
    <row r="1075" spans="1:8">
      <c r="A1075" s="13" t="s">
        <v>1290</v>
      </c>
      <c r="B1075" s="14" t="s">
        <v>1291</v>
      </c>
      <c r="C1075" s="15" t="s">
        <v>72</v>
      </c>
      <c r="D1075" s="16"/>
      <c r="E1075" s="2">
        <v>62992473.82</v>
      </c>
      <c r="F1075" s="23">
        <v>0.49278066057066622</v>
      </c>
      <c r="G1075" s="26">
        <v>31041472.859999999</v>
      </c>
      <c r="H1075" t="s">
        <v>68</v>
      </c>
    </row>
    <row r="1076" spans="1:8">
      <c r="A1076" s="19" t="s">
        <v>1292</v>
      </c>
      <c r="B1076" s="20" t="s">
        <v>1293</v>
      </c>
      <c r="C1076" s="19" t="s">
        <v>72</v>
      </c>
      <c r="D1076" s="20"/>
      <c r="E1076" s="3">
        <v>21353164.57</v>
      </c>
      <c r="F1076" s="24">
        <v>0.20289247787125539</v>
      </c>
      <c r="G1076" s="26">
        <v>4332396.47</v>
      </c>
      <c r="H1076" t="s">
        <v>68</v>
      </c>
    </row>
    <row r="1077" spans="1:8">
      <c r="A1077" s="13" t="s">
        <v>1294</v>
      </c>
      <c r="B1077" s="14" t="s">
        <v>1295</v>
      </c>
      <c r="C1077" s="15" t="s">
        <v>72</v>
      </c>
      <c r="D1077" s="16"/>
      <c r="E1077" s="2">
        <v>11251998.560000001</v>
      </c>
      <c r="F1077" s="23">
        <v>0.30257324881847475</v>
      </c>
      <c r="G1077" s="26">
        <v>3404553.76</v>
      </c>
      <c r="H1077" t="s">
        <v>68</v>
      </c>
    </row>
    <row r="1078" spans="1:8">
      <c r="A1078" s="17" t="s">
        <v>1296</v>
      </c>
      <c r="B1078" s="21" t="s">
        <v>1473</v>
      </c>
      <c r="C1078" s="19" t="s">
        <v>72</v>
      </c>
      <c r="D1078" s="20"/>
      <c r="E1078" s="3">
        <v>15058086.01</v>
      </c>
      <c r="F1078" s="24">
        <v>0.30951253080271118</v>
      </c>
      <c r="G1078" s="26">
        <v>4660666.3099999996</v>
      </c>
      <c r="H1078" t="s">
        <v>68</v>
      </c>
    </row>
    <row r="1079" spans="1:8">
      <c r="A1079" s="15" t="s">
        <v>1297</v>
      </c>
      <c r="B1079" s="16" t="s">
        <v>1298</v>
      </c>
      <c r="C1079" s="15" t="s">
        <v>72</v>
      </c>
      <c r="D1079" s="16"/>
      <c r="E1079" s="2">
        <v>11007336.050000001</v>
      </c>
      <c r="F1079" s="23">
        <v>0.42482045508186328</v>
      </c>
      <c r="G1079" s="26">
        <v>4676141.51</v>
      </c>
      <c r="H1079" t="s">
        <v>68</v>
      </c>
    </row>
    <row r="1080" spans="1:8">
      <c r="A1080" s="17" t="s">
        <v>1299</v>
      </c>
      <c r="B1080" s="21" t="s">
        <v>1300</v>
      </c>
      <c r="C1080" s="19" t="s">
        <v>72</v>
      </c>
      <c r="D1080" s="20"/>
      <c r="E1080" s="3">
        <v>17154055.640000001</v>
      </c>
      <c r="F1080" s="24">
        <v>0.34880932157219002</v>
      </c>
      <c r="G1080" s="26">
        <v>5983494.5099999998</v>
      </c>
      <c r="H1080" t="s">
        <v>68</v>
      </c>
    </row>
    <row r="1081" spans="1:8">
      <c r="A1081" s="13" t="s">
        <v>1301</v>
      </c>
      <c r="B1081" s="14" t="s">
        <v>1302</v>
      </c>
      <c r="C1081" s="15" t="s">
        <v>72</v>
      </c>
      <c r="D1081" s="16"/>
      <c r="E1081" s="2">
        <v>20062755.899999999</v>
      </c>
      <c r="F1081" s="23">
        <v>0.22846374958885887</v>
      </c>
      <c r="G1081" s="26">
        <v>4583612.4400000004</v>
      </c>
      <c r="H1081" t="s">
        <v>68</v>
      </c>
    </row>
    <row r="1082" spans="1:8">
      <c r="A1082" s="19" t="s">
        <v>1303</v>
      </c>
      <c r="B1082" s="20" t="s">
        <v>1304</v>
      </c>
      <c r="C1082" s="19" t="s">
        <v>72</v>
      </c>
      <c r="D1082" s="20"/>
      <c r="E1082" s="3">
        <v>17450402.960000001</v>
      </c>
      <c r="F1082" s="24">
        <v>0.26922966482603217</v>
      </c>
      <c r="G1082" s="26">
        <v>4698166.1399999997</v>
      </c>
      <c r="H1082" t="s">
        <v>68</v>
      </c>
    </row>
    <row r="1083" spans="1:8">
      <c r="A1083" s="13" t="s">
        <v>1305</v>
      </c>
      <c r="B1083" s="14" t="s">
        <v>1306</v>
      </c>
      <c r="C1083" s="15" t="s">
        <v>72</v>
      </c>
      <c r="D1083" s="16"/>
      <c r="E1083" s="2">
        <v>24269485.530000001</v>
      </c>
      <c r="F1083" s="23">
        <v>0.29664452264967317</v>
      </c>
      <c r="G1083" s="26">
        <v>7199409.9500000002</v>
      </c>
      <c r="H1083" t="s">
        <v>68</v>
      </c>
    </row>
    <row r="1084" spans="1:8">
      <c r="A1084" s="17" t="s">
        <v>1307</v>
      </c>
      <c r="B1084" s="21" t="s">
        <v>1308</v>
      </c>
      <c r="C1084" s="19" t="s">
        <v>72</v>
      </c>
      <c r="D1084" s="20"/>
      <c r="E1084" s="3">
        <v>14552960.99</v>
      </c>
      <c r="F1084" s="24">
        <v>0.47074432926106541</v>
      </c>
      <c r="G1084" s="26">
        <v>6850723.8600000003</v>
      </c>
      <c r="H1084" t="s">
        <v>68</v>
      </c>
    </row>
    <row r="1085" spans="1:8">
      <c r="A1085" s="15" t="s">
        <v>1309</v>
      </c>
      <c r="B1085" s="16" t="s">
        <v>1310</v>
      </c>
      <c r="C1085" s="15" t="s">
        <v>72</v>
      </c>
      <c r="D1085" s="16"/>
      <c r="E1085" s="2">
        <v>9454691.0600000005</v>
      </c>
      <c r="F1085" s="23">
        <v>0.30176787923517828</v>
      </c>
      <c r="G1085" s="26">
        <v>2853122.07</v>
      </c>
      <c r="H1085" t="s">
        <v>68</v>
      </c>
    </row>
    <row r="1086" spans="1:8">
      <c r="A1086" s="17" t="s">
        <v>1311</v>
      </c>
      <c r="B1086" s="21" t="s">
        <v>1312</v>
      </c>
      <c r="C1086" s="19" t="s">
        <v>72</v>
      </c>
      <c r="D1086" s="20"/>
      <c r="E1086" s="3">
        <v>18920026.07</v>
      </c>
      <c r="F1086" s="24">
        <v>0.48076639251692105</v>
      </c>
      <c r="G1086" s="26">
        <v>9096112.6799999997</v>
      </c>
      <c r="H1086" t="s">
        <v>68</v>
      </c>
    </row>
    <row r="1087" spans="1:8">
      <c r="A1087" s="13" t="s">
        <v>1313</v>
      </c>
      <c r="B1087" s="14" t="s">
        <v>1314</v>
      </c>
      <c r="C1087" s="15" t="s">
        <v>72</v>
      </c>
      <c r="D1087" s="16"/>
      <c r="E1087" s="2">
        <v>8808986.4399999995</v>
      </c>
      <c r="F1087" s="23">
        <v>0.79759216770913777</v>
      </c>
      <c r="G1087" s="26">
        <v>7025978.5899999999</v>
      </c>
      <c r="H1087" t="s">
        <v>68</v>
      </c>
    </row>
    <row r="1088" spans="1:8">
      <c r="A1088" s="19" t="s">
        <v>1315</v>
      </c>
      <c r="B1088" s="20" t="s">
        <v>1316</v>
      </c>
      <c r="C1088" s="19" t="s">
        <v>72</v>
      </c>
      <c r="D1088" s="20"/>
      <c r="E1088" s="3">
        <v>11638254.17</v>
      </c>
      <c r="F1088" s="24">
        <v>0.39288433498784808</v>
      </c>
      <c r="G1088" s="26">
        <v>4572487.75</v>
      </c>
      <c r="H1088" t="s">
        <v>68</v>
      </c>
    </row>
    <row r="1089" spans="1:8">
      <c r="A1089" s="13" t="s">
        <v>1317</v>
      </c>
      <c r="B1089" s="14" t="s">
        <v>1318</v>
      </c>
      <c r="C1089" s="15" t="s">
        <v>72</v>
      </c>
      <c r="D1089" s="16"/>
      <c r="E1089" s="2">
        <v>153698.9</v>
      </c>
      <c r="F1089" s="23">
        <v>0.90665138136967804</v>
      </c>
      <c r="G1089" s="26">
        <v>139351.32</v>
      </c>
      <c r="H1089" t="s">
        <v>68</v>
      </c>
    </row>
    <row r="1090" spans="1:8">
      <c r="A1090" s="17" t="s">
        <v>1319</v>
      </c>
      <c r="B1090" s="21" t="s">
        <v>1320</v>
      </c>
      <c r="C1090" s="19" t="s">
        <v>72</v>
      </c>
      <c r="D1090" s="20"/>
      <c r="E1090" s="3">
        <v>165538.65</v>
      </c>
      <c r="F1090" s="24">
        <v>5.832202932668594E-2</v>
      </c>
      <c r="G1090" s="26">
        <v>9654.5499999999993</v>
      </c>
      <c r="H1090" t="s">
        <v>68</v>
      </c>
    </row>
    <row r="1091" spans="1:8">
      <c r="A1091" s="15" t="s">
        <v>1321</v>
      </c>
      <c r="B1091" s="16" t="s">
        <v>1322</v>
      </c>
      <c r="C1091" s="15" t="s">
        <v>72</v>
      </c>
      <c r="D1091" s="16"/>
      <c r="E1091" s="2">
        <v>2344321.52</v>
      </c>
      <c r="F1091" s="23">
        <v>0.85622473832002366</v>
      </c>
      <c r="G1091" s="26">
        <v>2007266.08</v>
      </c>
      <c r="H1091" t="s">
        <v>68</v>
      </c>
    </row>
    <row r="1092" spans="1:8">
      <c r="A1092" s="17" t="s">
        <v>1323</v>
      </c>
      <c r="B1092" s="21" t="s">
        <v>1324</v>
      </c>
      <c r="C1092" s="19" t="s">
        <v>72</v>
      </c>
      <c r="D1092" s="20"/>
      <c r="E1092" s="3">
        <v>5483477.9500000002</v>
      </c>
      <c r="F1092" s="24">
        <v>0.40249596152748274</v>
      </c>
      <c r="G1092" s="26">
        <v>2207077.73</v>
      </c>
      <c r="H1092" t="s">
        <v>68</v>
      </c>
    </row>
    <row r="1093" spans="1:8">
      <c r="A1093" s="13" t="s">
        <v>1325</v>
      </c>
      <c r="B1093" s="14" t="s">
        <v>1326</v>
      </c>
      <c r="C1093" s="15" t="s">
        <v>72</v>
      </c>
      <c r="D1093" s="16"/>
      <c r="E1093" s="2">
        <v>9275419.9199999999</v>
      </c>
      <c r="F1093" s="23">
        <v>0.40532057226795615</v>
      </c>
      <c r="G1093" s="26">
        <v>3759518.51</v>
      </c>
      <c r="H1093" t="s">
        <v>68</v>
      </c>
    </row>
    <row r="1094" spans="1:8">
      <c r="A1094" s="19" t="s">
        <v>1327</v>
      </c>
      <c r="B1094" s="20" t="s">
        <v>1328</v>
      </c>
      <c r="C1094" s="19" t="s">
        <v>72</v>
      </c>
      <c r="D1094" s="20"/>
      <c r="E1094" s="3">
        <v>18438974.43</v>
      </c>
      <c r="F1094" s="24">
        <v>0.25279437626510121</v>
      </c>
      <c r="G1094" s="26">
        <v>4661269.04</v>
      </c>
      <c r="H1094" t="s">
        <v>68</v>
      </c>
    </row>
    <row r="1095" spans="1:8">
      <c r="A1095" s="13" t="s">
        <v>1329</v>
      </c>
      <c r="B1095" s="14" t="s">
        <v>1137</v>
      </c>
      <c r="C1095" s="15" t="s">
        <v>72</v>
      </c>
      <c r="D1095" s="16"/>
      <c r="E1095" s="2">
        <v>9408431.1300000008</v>
      </c>
      <c r="F1095" s="23">
        <v>9.8995041482543109E-2</v>
      </c>
      <c r="G1095" s="26">
        <v>931388.03</v>
      </c>
      <c r="H1095" t="s">
        <v>68</v>
      </c>
    </row>
    <row r="1096" spans="1:8">
      <c r="A1096" s="17" t="s">
        <v>1330</v>
      </c>
      <c r="B1096" s="21" t="s">
        <v>1331</v>
      </c>
      <c r="C1096" s="19" t="s">
        <v>72</v>
      </c>
      <c r="D1096" s="20"/>
      <c r="E1096" s="3">
        <v>19517130.77</v>
      </c>
      <c r="F1096" s="24">
        <v>0.46727668054662524</v>
      </c>
      <c r="G1096" s="26">
        <v>9119900.0800000001</v>
      </c>
      <c r="H1096" t="s">
        <v>68</v>
      </c>
    </row>
    <row r="1097" spans="1:8">
      <c r="A1097" s="15" t="s">
        <v>1332</v>
      </c>
      <c r="B1097" s="16" t="s">
        <v>1333</v>
      </c>
      <c r="C1097" s="15" t="s">
        <v>72</v>
      </c>
      <c r="D1097" s="16"/>
      <c r="E1097" s="2">
        <v>28343337.66</v>
      </c>
      <c r="F1097" s="23">
        <v>0.35879051726330807</v>
      </c>
      <c r="G1097" s="26">
        <v>10169320.779999999</v>
      </c>
      <c r="H1097" t="s">
        <v>68</v>
      </c>
    </row>
    <row r="1098" spans="1:8">
      <c r="A1098" s="17" t="s">
        <v>1334</v>
      </c>
      <c r="B1098" s="21" t="s">
        <v>1335</v>
      </c>
      <c r="C1098" s="19" t="s">
        <v>72</v>
      </c>
      <c r="D1098" s="20"/>
      <c r="E1098" s="3">
        <v>13536338.75</v>
      </c>
      <c r="F1098" s="24">
        <v>0.36211317702137147</v>
      </c>
      <c r="G1098" s="26">
        <v>4901686.63</v>
      </c>
      <c r="H1098" t="s">
        <v>68</v>
      </c>
    </row>
    <row r="1099" spans="1:8">
      <c r="A1099" s="13" t="s">
        <v>1336</v>
      </c>
      <c r="B1099" s="14" t="s">
        <v>846</v>
      </c>
      <c r="C1099" s="15" t="s">
        <v>72</v>
      </c>
      <c r="D1099" s="16"/>
      <c r="E1099" s="2">
        <v>7915974.1299999999</v>
      </c>
      <c r="F1099" s="23">
        <v>0.15895181178415499</v>
      </c>
      <c r="G1099" s="26">
        <v>1258258.43</v>
      </c>
      <c r="H1099" t="s">
        <v>68</v>
      </c>
    </row>
    <row r="1100" spans="1:8">
      <c r="A1100" s="19" t="s">
        <v>1337</v>
      </c>
      <c r="B1100" s="20" t="s">
        <v>1338</v>
      </c>
      <c r="C1100" s="19" t="s">
        <v>72</v>
      </c>
      <c r="D1100" s="20"/>
      <c r="E1100" s="3">
        <v>15605255.689999999</v>
      </c>
      <c r="F1100" s="24">
        <v>0.18330197382366634</v>
      </c>
      <c r="G1100" s="26">
        <v>2860474.17</v>
      </c>
      <c r="H1100" t="s">
        <v>68</v>
      </c>
    </row>
    <row r="1101" spans="1:8">
      <c r="A1101" s="13" t="s">
        <v>1339</v>
      </c>
      <c r="B1101" s="14" t="s">
        <v>1340</v>
      </c>
      <c r="C1101" s="15" t="s">
        <v>72</v>
      </c>
      <c r="D1101" s="16"/>
      <c r="E1101" s="2">
        <v>16844500.23</v>
      </c>
      <c r="F1101" s="23">
        <v>0.25526001432456863</v>
      </c>
      <c r="G1101" s="26">
        <v>4299727.37</v>
      </c>
      <c r="H1101" t="s">
        <v>68</v>
      </c>
    </row>
    <row r="1102" spans="1:8">
      <c r="A1102" s="17" t="s">
        <v>1565</v>
      </c>
      <c r="B1102" s="21" t="s">
        <v>1566</v>
      </c>
      <c r="C1102" s="19" t="s">
        <v>72</v>
      </c>
      <c r="D1102" s="20"/>
      <c r="E1102" s="3">
        <v>8660255.2400000002</v>
      </c>
      <c r="F1102" s="24">
        <v>0.151347733256878</v>
      </c>
      <c r="G1102" s="26">
        <v>1310710</v>
      </c>
      <c r="H1102" t="s">
        <v>68</v>
      </c>
    </row>
    <row r="1103" spans="1:8">
      <c r="A1103" s="19" t="s">
        <v>1569</v>
      </c>
      <c r="B1103" s="20" t="s">
        <v>1570</v>
      </c>
      <c r="C1103" s="19" t="s">
        <v>72</v>
      </c>
      <c r="D1103" s="20"/>
      <c r="E1103" s="3">
        <v>27059686.879999999</v>
      </c>
      <c r="F1103" s="24">
        <v>0.72784212608745469</v>
      </c>
      <c r="G1103" s="26">
        <v>19695180.030000001</v>
      </c>
      <c r="H1103" t="s">
        <v>68</v>
      </c>
    </row>
    <row r="1104" spans="1:8">
      <c r="A1104" s="13" t="s">
        <v>1571</v>
      </c>
      <c r="B1104" s="14" t="s">
        <v>1572</v>
      </c>
      <c r="C1104" s="15" t="s">
        <v>72</v>
      </c>
      <c r="D1104" s="16"/>
      <c r="E1104" s="2">
        <v>21366883.82</v>
      </c>
      <c r="F1104" s="23">
        <v>0.37037345345569439</v>
      </c>
      <c r="G1104" s="26">
        <v>7913726.5499999998</v>
      </c>
      <c r="H1104" t="s">
        <v>68</v>
      </c>
    </row>
    <row r="1105" spans="1:8">
      <c r="A1105" s="17" t="s">
        <v>1573</v>
      </c>
      <c r="B1105" s="21" t="s">
        <v>1574</v>
      </c>
      <c r="C1105" s="19" t="s">
        <v>72</v>
      </c>
      <c r="D1105" s="20"/>
      <c r="E1105" s="3">
        <v>18768443.84</v>
      </c>
      <c r="F1105" s="24">
        <v>0.53685813144112005</v>
      </c>
      <c r="G1105" s="26">
        <v>10075991.689999999</v>
      </c>
      <c r="H1105" t="s">
        <v>68</v>
      </c>
    </row>
    <row r="1106" spans="1:8">
      <c r="A1106" s="15" t="s">
        <v>1575</v>
      </c>
      <c r="B1106" s="16" t="s">
        <v>1576</v>
      </c>
      <c r="C1106" s="15" t="s">
        <v>72</v>
      </c>
      <c r="D1106" s="16"/>
      <c r="E1106" s="2">
        <v>12466894.550000001</v>
      </c>
      <c r="F1106" s="23">
        <v>0.4268652629294919</v>
      </c>
      <c r="G1106" s="26">
        <v>5321684.22</v>
      </c>
      <c r="H1106" t="s">
        <v>68</v>
      </c>
    </row>
    <row r="1107" spans="1:8">
      <c r="A1107" s="17" t="s">
        <v>1577</v>
      </c>
      <c r="B1107" s="21" t="s">
        <v>1578</v>
      </c>
      <c r="C1107" s="19" t="s">
        <v>72</v>
      </c>
      <c r="D1107" s="20"/>
      <c r="E1107" s="3">
        <v>10295153.74</v>
      </c>
      <c r="F1107" s="24">
        <v>0.45716401802854473</v>
      </c>
      <c r="G1107" s="26">
        <v>4706573.8499999996</v>
      </c>
      <c r="H1107" t="s">
        <v>68</v>
      </c>
    </row>
    <row r="1108" spans="1:8">
      <c r="A1108" s="13" t="s">
        <v>1579</v>
      </c>
      <c r="B1108" s="14" t="s">
        <v>1580</v>
      </c>
      <c r="C1108" s="15" t="s">
        <v>72</v>
      </c>
      <c r="D1108" s="16"/>
      <c r="E1108" s="2">
        <v>18507947.789999999</v>
      </c>
      <c r="F1108" s="23">
        <v>0.29217022499499928</v>
      </c>
      <c r="G1108" s="26">
        <v>5407471.2699999996</v>
      </c>
      <c r="H1108" t="s">
        <v>68</v>
      </c>
    </row>
    <row r="1109" spans="1:8">
      <c r="A1109" s="19" t="s">
        <v>1581</v>
      </c>
      <c r="B1109" s="20" t="s">
        <v>1582</v>
      </c>
      <c r="C1109" s="19" t="s">
        <v>72</v>
      </c>
      <c r="D1109" s="20"/>
      <c r="E1109" s="3">
        <v>19522441.969999999</v>
      </c>
      <c r="F1109" s="24">
        <v>0.64195462787179192</v>
      </c>
      <c r="G1109" s="26">
        <v>12532521.970000001</v>
      </c>
      <c r="H1109" t="s">
        <v>68</v>
      </c>
    </row>
    <row r="1110" spans="1:8">
      <c r="A1110" s="13" t="s">
        <v>1583</v>
      </c>
      <c r="B1110" s="14" t="s">
        <v>1584</v>
      </c>
      <c r="C1110" s="15" t="s">
        <v>72</v>
      </c>
      <c r="D1110" s="16"/>
      <c r="E1110" s="2">
        <v>10920158.369999999</v>
      </c>
      <c r="F1110" s="23">
        <v>0.34414828454543744</v>
      </c>
      <c r="G1110" s="26">
        <v>3758153.77</v>
      </c>
      <c r="H1110" t="s">
        <v>68</v>
      </c>
    </row>
    <row r="1111" spans="1:8">
      <c r="A1111" s="13" t="s">
        <v>1587</v>
      </c>
      <c r="B1111" s="14" t="s">
        <v>1588</v>
      </c>
      <c r="C1111" s="15" t="s">
        <v>72</v>
      </c>
      <c r="D1111" s="16"/>
      <c r="E1111" s="2">
        <v>9821853.0999999996</v>
      </c>
      <c r="F1111" s="23">
        <v>0.39535523495052072</v>
      </c>
      <c r="G1111" s="26">
        <v>3883121.04</v>
      </c>
      <c r="H1111" t="s">
        <v>68</v>
      </c>
    </row>
    <row r="1112" spans="1:8">
      <c r="A1112" s="19" t="s">
        <v>1589</v>
      </c>
      <c r="B1112" s="20" t="s">
        <v>1590</v>
      </c>
      <c r="C1112" s="19" t="s">
        <v>72</v>
      </c>
      <c r="D1112" s="20"/>
      <c r="E1112" s="3">
        <v>13128621.92</v>
      </c>
      <c r="F1112" s="24">
        <v>0.38453976135219525</v>
      </c>
      <c r="G1112" s="26">
        <v>5048477.1399999997</v>
      </c>
      <c r="H1112" t="s">
        <v>68</v>
      </c>
    </row>
    <row r="1113" spans="1:8">
      <c r="A1113" s="13" t="s">
        <v>1591</v>
      </c>
      <c r="B1113" s="14" t="s">
        <v>1366</v>
      </c>
      <c r="C1113" s="15" t="s">
        <v>72</v>
      </c>
      <c r="D1113" s="16"/>
      <c r="E1113" s="2">
        <v>8681437.5299999993</v>
      </c>
      <c r="F1113" s="23">
        <v>0.39651439500711361</v>
      </c>
      <c r="G1113" s="26">
        <v>3442314.95</v>
      </c>
      <c r="H1113" t="s">
        <v>68</v>
      </c>
    </row>
    <row r="1114" spans="1:8">
      <c r="A1114" s="13" t="s">
        <v>1369</v>
      </c>
      <c r="B1114" s="14" t="s">
        <v>1370</v>
      </c>
      <c r="C1114" s="15" t="s">
        <v>72</v>
      </c>
      <c r="D1114" s="16"/>
      <c r="E1114" s="2">
        <v>7134497.7699999996</v>
      </c>
      <c r="F1114" s="23">
        <v>0.36456951054593995</v>
      </c>
      <c r="G1114" s="26">
        <v>2601020.36</v>
      </c>
      <c r="H1114" t="s">
        <v>68</v>
      </c>
    </row>
    <row r="1115" spans="1:8">
      <c r="A1115" s="19" t="s">
        <v>1371</v>
      </c>
      <c r="B1115" s="20" t="s">
        <v>1372</v>
      </c>
      <c r="C1115" s="19" t="s">
        <v>72</v>
      </c>
      <c r="D1115" s="20"/>
      <c r="E1115" s="3">
        <v>6006446.7300000004</v>
      </c>
      <c r="F1115" s="24">
        <v>0.34360964190220994</v>
      </c>
      <c r="G1115" s="26">
        <v>2063873.01</v>
      </c>
      <c r="H1115" t="s">
        <v>68</v>
      </c>
    </row>
    <row r="1116" spans="1:8">
      <c r="A1116" s="13" t="s">
        <v>1373</v>
      </c>
      <c r="B1116" s="14" t="s">
        <v>1374</v>
      </c>
      <c r="C1116" s="15" t="s">
        <v>72</v>
      </c>
      <c r="D1116" s="16"/>
      <c r="E1116" s="2">
        <v>3391382.06</v>
      </c>
      <c r="F1116" s="23">
        <v>0.36811718288089312</v>
      </c>
      <c r="G1116" s="26">
        <v>1248426.01</v>
      </c>
      <c r="H1116" t="s">
        <v>68</v>
      </c>
    </row>
    <row r="1117" spans="1:8">
      <c r="A1117" s="17" t="s">
        <v>1375</v>
      </c>
      <c r="B1117" s="21" t="s">
        <v>1376</v>
      </c>
      <c r="C1117" s="19" t="s">
        <v>72</v>
      </c>
      <c r="D1117" s="20"/>
      <c r="E1117" s="3">
        <v>5571077.4000000004</v>
      </c>
      <c r="F1117" s="24">
        <v>0.45806653844012291</v>
      </c>
      <c r="G1117" s="26">
        <v>2551924.14</v>
      </c>
      <c r="H1117" t="s">
        <v>68</v>
      </c>
    </row>
    <row r="1118" spans="1:8">
      <c r="A1118" s="15" t="s">
        <v>1377</v>
      </c>
      <c r="B1118" s="16" t="s">
        <v>1378</v>
      </c>
      <c r="C1118" s="15" t="s">
        <v>72</v>
      </c>
      <c r="D1118" s="16"/>
      <c r="E1118" s="2">
        <v>5605557.6100000003</v>
      </c>
      <c r="F1118" s="23">
        <v>0.40976009164590493</v>
      </c>
      <c r="G1118" s="26">
        <v>2296933.7999999998</v>
      </c>
      <c r="H1118" t="s">
        <v>68</v>
      </c>
    </row>
    <row r="1119" spans="1:8">
      <c r="A1119" s="17" t="s">
        <v>1379</v>
      </c>
      <c r="B1119" s="21" t="s">
        <v>1380</v>
      </c>
      <c r="C1119" s="19" t="s">
        <v>72</v>
      </c>
      <c r="D1119" s="20"/>
      <c r="E1119" s="3">
        <v>4096035.06</v>
      </c>
      <c r="F1119" s="24">
        <v>0.4346757788738263</v>
      </c>
      <c r="G1119" s="26">
        <v>1780447.23</v>
      </c>
      <c r="H1119" t="s">
        <v>68</v>
      </c>
    </row>
    <row r="1120" spans="1:8">
      <c r="A1120" s="13" t="s">
        <v>1381</v>
      </c>
      <c r="B1120" s="14" t="s">
        <v>1382</v>
      </c>
      <c r="C1120" s="15" t="s">
        <v>72</v>
      </c>
      <c r="D1120" s="16"/>
      <c r="E1120" s="2">
        <v>11848561.560000001</v>
      </c>
      <c r="F1120" s="23">
        <v>0.43519878542961288</v>
      </c>
      <c r="G1120" s="26">
        <v>5156479.5999999996</v>
      </c>
      <c r="H1120" t="s">
        <v>68</v>
      </c>
    </row>
    <row r="1121" spans="1:8">
      <c r="A1121" s="19" t="s">
        <v>1383</v>
      </c>
      <c r="B1121" s="20" t="s">
        <v>1384</v>
      </c>
      <c r="C1121" s="19" t="s">
        <v>72</v>
      </c>
      <c r="D1121" s="20"/>
      <c r="E1121" s="3">
        <v>4376408.2699999996</v>
      </c>
      <c r="F1121" s="24">
        <v>0.32397958840343755</v>
      </c>
      <c r="G1121" s="26">
        <v>1417866.95</v>
      </c>
      <c r="H1121" t="s">
        <v>68</v>
      </c>
    </row>
    <row r="1122" spans="1:8">
      <c r="A1122" s="13" t="s">
        <v>1385</v>
      </c>
      <c r="B1122" s="14" t="s">
        <v>1386</v>
      </c>
      <c r="C1122" s="15" t="s">
        <v>72</v>
      </c>
      <c r="D1122" s="16"/>
      <c r="E1122" s="2">
        <v>5335062.71</v>
      </c>
      <c r="F1122" s="23">
        <v>0.3996000545605583</v>
      </c>
      <c r="G1122" s="26">
        <v>2131891.35</v>
      </c>
      <c r="H1122" t="s">
        <v>68</v>
      </c>
    </row>
    <row r="1123" spans="1:8">
      <c r="A1123" s="17" t="s">
        <v>1387</v>
      </c>
      <c r="B1123" s="21" t="s">
        <v>1388</v>
      </c>
      <c r="C1123" s="19" t="s">
        <v>72</v>
      </c>
      <c r="D1123" s="20"/>
      <c r="E1123" s="3">
        <v>13930307.73</v>
      </c>
      <c r="F1123" s="24">
        <v>0.31736152751881813</v>
      </c>
      <c r="G1123" s="26">
        <v>4420943.74</v>
      </c>
      <c r="H1123" t="s">
        <v>68</v>
      </c>
    </row>
    <row r="1124" spans="1:8">
      <c r="A1124" s="15" t="s">
        <v>1389</v>
      </c>
      <c r="B1124" s="16" t="s">
        <v>1135</v>
      </c>
      <c r="C1124" s="15" t="s">
        <v>72</v>
      </c>
      <c r="D1124" s="16"/>
      <c r="E1124" s="2">
        <v>9948314.6999999993</v>
      </c>
      <c r="F1124" s="23">
        <v>0.25837895337187117</v>
      </c>
      <c r="G1124" s="26">
        <v>2570435.14</v>
      </c>
      <c r="H1124" t="s">
        <v>68</v>
      </c>
    </row>
    <row r="1125" spans="1:8">
      <c r="A1125" s="17" t="s">
        <v>1390</v>
      </c>
      <c r="B1125" s="21" t="s">
        <v>1391</v>
      </c>
      <c r="C1125" s="19" t="s">
        <v>72</v>
      </c>
      <c r="D1125" s="20"/>
      <c r="E1125" s="3">
        <v>19920929.609999999</v>
      </c>
      <c r="F1125" s="24">
        <v>0.44363274922489926</v>
      </c>
      <c r="G1125" s="26">
        <v>8837576.7699999996</v>
      </c>
      <c r="H1125" t="s">
        <v>68</v>
      </c>
    </row>
    <row r="1126" spans="1:8">
      <c r="A1126" s="13" t="s">
        <v>1392</v>
      </c>
      <c r="B1126" s="14" t="s">
        <v>1393</v>
      </c>
      <c r="C1126" s="15" t="s">
        <v>72</v>
      </c>
      <c r="D1126" s="16"/>
      <c r="E1126" s="2">
        <v>4700693.6500000004</v>
      </c>
      <c r="F1126" s="23">
        <v>0.43399044521865399</v>
      </c>
      <c r="G1126" s="26">
        <v>2040056.13</v>
      </c>
      <c r="H1126" t="s">
        <v>68</v>
      </c>
    </row>
    <row r="1127" spans="1:8">
      <c r="A1127" s="19" t="s">
        <v>1394</v>
      </c>
      <c r="B1127" s="20" t="s">
        <v>862</v>
      </c>
      <c r="C1127" s="19" t="s">
        <v>72</v>
      </c>
      <c r="D1127" s="20"/>
      <c r="E1127" s="3">
        <v>31670840.050000001</v>
      </c>
      <c r="F1127" s="24">
        <v>0.48026771680153141</v>
      </c>
      <c r="G1127" s="26">
        <v>15210482.039999999</v>
      </c>
      <c r="H1127" t="s">
        <v>68</v>
      </c>
    </row>
    <row r="1128" spans="1:8">
      <c r="A1128" s="13" t="s">
        <v>1395</v>
      </c>
      <c r="B1128" s="14" t="s">
        <v>1396</v>
      </c>
      <c r="C1128" s="15" t="s">
        <v>72</v>
      </c>
      <c r="D1128" s="16"/>
      <c r="E1128" s="2">
        <v>8754378.9100000001</v>
      </c>
      <c r="F1128" s="23">
        <v>0.32042085553274274</v>
      </c>
      <c r="G1128" s="26">
        <v>2805085.58</v>
      </c>
      <c r="H1128" t="s">
        <v>68</v>
      </c>
    </row>
    <row r="1129" spans="1:8">
      <c r="A1129" s="17" t="s">
        <v>1397</v>
      </c>
      <c r="B1129" s="21" t="s">
        <v>1398</v>
      </c>
      <c r="C1129" s="19" t="s">
        <v>72</v>
      </c>
      <c r="D1129" s="20"/>
      <c r="E1129" s="3">
        <v>14261154.1</v>
      </c>
      <c r="F1129" s="24">
        <v>0.72424728164181329</v>
      </c>
      <c r="G1129" s="26">
        <v>10328602.09</v>
      </c>
      <c r="H1129" t="s">
        <v>68</v>
      </c>
    </row>
    <row r="1130" spans="1:8">
      <c r="A1130" s="15" t="s">
        <v>1399</v>
      </c>
      <c r="B1130" s="16" t="s">
        <v>1400</v>
      </c>
      <c r="C1130" s="15" t="s">
        <v>72</v>
      </c>
      <c r="D1130" s="16"/>
      <c r="E1130" s="2">
        <v>10182998.789999999</v>
      </c>
      <c r="F1130" s="23">
        <v>0.21102821617835035</v>
      </c>
      <c r="G1130" s="26">
        <v>2148900.0699999998</v>
      </c>
      <c r="H1130" t="s">
        <v>68</v>
      </c>
    </row>
    <row r="1131" spans="1:8">
      <c r="A1131" s="17" t="s">
        <v>1401</v>
      </c>
      <c r="B1131" s="21" t="s">
        <v>1402</v>
      </c>
      <c r="C1131" s="19" t="s">
        <v>72</v>
      </c>
      <c r="D1131" s="20"/>
      <c r="E1131" s="3">
        <v>11727558.039999999</v>
      </c>
      <c r="F1131" s="24">
        <v>0.13909648320955997</v>
      </c>
      <c r="G1131" s="26">
        <v>1631262.0799999998</v>
      </c>
      <c r="H1131" t="s">
        <v>68</v>
      </c>
    </row>
    <row r="1132" spans="1:8">
      <c r="A1132" s="13" t="s">
        <v>1403</v>
      </c>
      <c r="B1132" s="14" t="s">
        <v>1404</v>
      </c>
      <c r="C1132" s="15" t="s">
        <v>72</v>
      </c>
      <c r="D1132" s="16"/>
      <c r="E1132" s="2">
        <v>10134896.15</v>
      </c>
      <c r="F1132" s="23">
        <v>0.20575303280241308</v>
      </c>
      <c r="G1132" s="26">
        <v>2085285.62</v>
      </c>
      <c r="H1132" t="s">
        <v>68</v>
      </c>
    </row>
    <row r="1133" spans="1:8">
      <c r="A1133" s="19" t="s">
        <v>1405</v>
      </c>
      <c r="B1133" s="20" t="s">
        <v>888</v>
      </c>
      <c r="C1133" s="19" t="s">
        <v>72</v>
      </c>
      <c r="D1133" s="20"/>
      <c r="E1133" s="3">
        <v>10531077.49</v>
      </c>
      <c r="F1133" s="24">
        <v>0.24738362835843117</v>
      </c>
      <c r="G1133" s="26">
        <v>2605216.16</v>
      </c>
      <c r="H1133" t="s">
        <v>68</v>
      </c>
    </row>
    <row r="1134" spans="1:8">
      <c r="A1134" s="13" t="s">
        <v>1406</v>
      </c>
      <c r="B1134" s="14" t="s">
        <v>1407</v>
      </c>
      <c r="C1134" s="15" t="s">
        <v>72</v>
      </c>
      <c r="D1134" s="16"/>
      <c r="E1134" s="2">
        <v>16419663.02</v>
      </c>
      <c r="F1134" s="23">
        <v>0.33076281306045952</v>
      </c>
      <c r="G1134" s="26">
        <v>5431013.9299999997</v>
      </c>
      <c r="H1134" t="s">
        <v>68</v>
      </c>
    </row>
    <row r="1135" spans="1:8">
      <c r="A1135" s="17" t="s">
        <v>1408</v>
      </c>
      <c r="B1135" s="21" t="s">
        <v>1409</v>
      </c>
      <c r="C1135" s="19" t="s">
        <v>72</v>
      </c>
      <c r="D1135" s="20"/>
      <c r="E1135" s="3">
        <v>11788744.710000001</v>
      </c>
      <c r="F1135" s="24">
        <v>0.3514310541041481</v>
      </c>
      <c r="G1135" s="26">
        <v>4142930.98</v>
      </c>
      <c r="H1135" t="s">
        <v>68</v>
      </c>
    </row>
    <row r="1136" spans="1:8">
      <c r="A1136" s="19" t="s">
        <v>1412</v>
      </c>
      <c r="B1136" s="20" t="s">
        <v>860</v>
      </c>
      <c r="C1136" s="19" t="s">
        <v>72</v>
      </c>
      <c r="D1136" s="20"/>
      <c r="E1136" s="3">
        <v>11080461.720000001</v>
      </c>
      <c r="F1136" s="24">
        <v>0.4061604781213034</v>
      </c>
      <c r="G1136" s="26">
        <v>4500445.63</v>
      </c>
      <c r="H1136" t="s">
        <v>68</v>
      </c>
    </row>
    <row r="1137" spans="1:8">
      <c r="A1137" s="13" t="s">
        <v>1413</v>
      </c>
      <c r="B1137" s="14" t="s">
        <v>1414</v>
      </c>
      <c r="C1137" s="15" t="s">
        <v>72</v>
      </c>
      <c r="D1137" s="16"/>
      <c r="E1137" s="2">
        <v>8850114.5</v>
      </c>
      <c r="F1137" s="23">
        <v>0.49616682021458591</v>
      </c>
      <c r="G1137" s="26">
        <v>4391133.17</v>
      </c>
      <c r="H1137" t="s">
        <v>68</v>
      </c>
    </row>
    <row r="1138" spans="1:8">
      <c r="A1138" s="17" t="s">
        <v>1415</v>
      </c>
      <c r="B1138" s="21" t="s">
        <v>1416</v>
      </c>
      <c r="C1138" s="19" t="s">
        <v>72</v>
      </c>
      <c r="D1138" s="20"/>
      <c r="E1138" s="3">
        <v>8878218.1199999992</v>
      </c>
      <c r="F1138" s="24">
        <v>0.21018399917392433</v>
      </c>
      <c r="G1138" s="26">
        <v>1866059.39</v>
      </c>
      <c r="H1138" t="s">
        <v>68</v>
      </c>
    </row>
    <row r="1139" spans="1:8">
      <c r="A1139" s="15" t="s">
        <v>1417</v>
      </c>
      <c r="B1139" s="16" t="s">
        <v>1418</v>
      </c>
      <c r="C1139" s="15" t="s">
        <v>72</v>
      </c>
      <c r="D1139" s="16"/>
      <c r="E1139" s="2">
        <v>5311041.4800000004</v>
      </c>
      <c r="F1139" s="23">
        <v>0.42518324861586282</v>
      </c>
      <c r="G1139" s="26">
        <v>2258165.87</v>
      </c>
      <c r="H1139" t="s">
        <v>68</v>
      </c>
    </row>
    <row r="1140" spans="1:8">
      <c r="A1140" s="17" t="s">
        <v>1419</v>
      </c>
      <c r="B1140" s="21" t="s">
        <v>1420</v>
      </c>
      <c r="C1140" s="19" t="s">
        <v>72</v>
      </c>
      <c r="D1140" s="20"/>
      <c r="E1140" s="3">
        <v>6339652.1299999999</v>
      </c>
      <c r="F1140" s="24">
        <v>0.40623248045630539</v>
      </c>
      <c r="G1140" s="26">
        <v>2575372.61</v>
      </c>
      <c r="H1140" t="s">
        <v>68</v>
      </c>
    </row>
    <row r="1141" spans="1:8">
      <c r="A1141" s="13" t="s">
        <v>1421</v>
      </c>
      <c r="B1141" s="14" t="s">
        <v>1422</v>
      </c>
      <c r="C1141" s="15" t="s">
        <v>72</v>
      </c>
      <c r="D1141" s="16"/>
      <c r="E1141" s="2">
        <v>13872311.93</v>
      </c>
      <c r="F1141" s="23">
        <v>0.21901045588729059</v>
      </c>
      <c r="G1141" s="26">
        <v>3038181.36</v>
      </c>
      <c r="H1141" t="s">
        <v>68</v>
      </c>
    </row>
    <row r="1142" spans="1:8">
      <c r="A1142" s="19" t="s">
        <v>1423</v>
      </c>
      <c r="B1142" s="20" t="s">
        <v>1065</v>
      </c>
      <c r="C1142" s="19" t="s">
        <v>72</v>
      </c>
      <c r="D1142" s="20"/>
      <c r="E1142" s="3">
        <v>15614454.08</v>
      </c>
      <c r="F1142" s="24">
        <v>0.12157348251012308</v>
      </c>
      <c r="G1142" s="26">
        <v>1898303.56</v>
      </c>
      <c r="H1142" t="s">
        <v>68</v>
      </c>
    </row>
    <row r="1143" spans="1:8">
      <c r="A1143" s="13" t="s">
        <v>1424</v>
      </c>
      <c r="B1143" s="14" t="s">
        <v>1425</v>
      </c>
      <c r="C1143" s="15" t="s">
        <v>72</v>
      </c>
      <c r="D1143" s="16"/>
      <c r="E1143" s="2">
        <v>11003643.66</v>
      </c>
      <c r="F1143" s="23">
        <v>0.25476466856070473</v>
      </c>
      <c r="G1143" s="26">
        <v>2803339.63</v>
      </c>
      <c r="H1143" t="s">
        <v>68</v>
      </c>
    </row>
    <row r="1144" spans="1:8">
      <c r="A1144" s="17" t="s">
        <v>1426</v>
      </c>
      <c r="B1144" s="21" t="s">
        <v>1427</v>
      </c>
      <c r="C1144" s="19" t="s">
        <v>72</v>
      </c>
      <c r="D1144" s="20"/>
      <c r="E1144" s="3">
        <v>13771929.08</v>
      </c>
      <c r="F1144" s="24">
        <v>0.19634377248768115</v>
      </c>
      <c r="G1144" s="26">
        <v>2704032.51</v>
      </c>
      <c r="H1144" t="s">
        <v>68</v>
      </c>
    </row>
    <row r="1145" spans="1:8">
      <c r="A1145" s="15" t="s">
        <v>1428</v>
      </c>
      <c r="B1145" s="16" t="s">
        <v>1429</v>
      </c>
      <c r="C1145" s="15" t="s">
        <v>72</v>
      </c>
      <c r="D1145" s="16"/>
      <c r="E1145" s="2">
        <v>11847947.57</v>
      </c>
      <c r="F1145" s="23">
        <v>0.32904389194558192</v>
      </c>
      <c r="G1145" s="26">
        <v>3898494.78</v>
      </c>
      <c r="H1145" t="s">
        <v>68</v>
      </c>
    </row>
    <row r="1146" spans="1:8">
      <c r="A1146" s="17" t="s">
        <v>1430</v>
      </c>
      <c r="B1146" s="21" t="s">
        <v>1431</v>
      </c>
      <c r="C1146" s="19" t="s">
        <v>72</v>
      </c>
      <c r="D1146" s="20"/>
      <c r="E1146" s="3">
        <v>9016858.1999999993</v>
      </c>
      <c r="F1146" s="24">
        <v>0.37385565074096433</v>
      </c>
      <c r="G1146" s="26">
        <v>3371003.39</v>
      </c>
      <c r="H1146" t="s">
        <v>68</v>
      </c>
    </row>
    <row r="1147" spans="1:8">
      <c r="A1147" s="13" t="s">
        <v>1432</v>
      </c>
      <c r="B1147" s="14" t="s">
        <v>1433</v>
      </c>
      <c r="C1147" s="15" t="s">
        <v>72</v>
      </c>
      <c r="D1147" s="16"/>
      <c r="E1147" s="2">
        <v>2382345.71</v>
      </c>
      <c r="F1147" s="23">
        <v>0.4220601467618233</v>
      </c>
      <c r="G1147" s="26">
        <v>1005493.18</v>
      </c>
      <c r="H1147" t="s">
        <v>68</v>
      </c>
    </row>
    <row r="1148" spans="1:8">
      <c r="A1148" s="19" t="s">
        <v>1434</v>
      </c>
      <c r="B1148" s="20" t="s">
        <v>1435</v>
      </c>
      <c r="C1148" s="19" t="s">
        <v>72</v>
      </c>
      <c r="D1148" s="20"/>
      <c r="E1148" s="3">
        <v>6829855.2300000004</v>
      </c>
      <c r="F1148" s="24">
        <v>0.59221968164616567</v>
      </c>
      <c r="G1148" s="26">
        <v>4044774.69</v>
      </c>
      <c r="H1148" t="s">
        <v>68</v>
      </c>
    </row>
    <row r="1149" spans="1:8">
      <c r="A1149" s="13" t="s">
        <v>1436</v>
      </c>
      <c r="B1149" s="14" t="s">
        <v>1437</v>
      </c>
      <c r="C1149" s="15" t="s">
        <v>72</v>
      </c>
      <c r="D1149" s="16"/>
      <c r="E1149" s="2">
        <v>3573575.75</v>
      </c>
      <c r="F1149" s="23">
        <v>0.30343424789582257</v>
      </c>
      <c r="G1149" s="26">
        <v>1084345.27</v>
      </c>
      <c r="H1149" t="s">
        <v>68</v>
      </c>
    </row>
    <row r="1150" spans="1:8">
      <c r="A1150" s="17" t="s">
        <v>1438</v>
      </c>
      <c r="B1150" s="21" t="s">
        <v>1439</v>
      </c>
      <c r="C1150" s="19" t="s">
        <v>72</v>
      </c>
      <c r="D1150" s="20"/>
      <c r="E1150" s="3">
        <v>4601090.83</v>
      </c>
      <c r="F1150" s="24">
        <v>0.54452572065394322</v>
      </c>
      <c r="G1150" s="26">
        <v>2505412.2999999998</v>
      </c>
      <c r="H1150" t="s">
        <v>68</v>
      </c>
    </row>
    <row r="1151" spans="1:8">
      <c r="A1151" s="19" t="s">
        <v>1442</v>
      </c>
      <c r="B1151" s="20" t="s">
        <v>1443</v>
      </c>
      <c r="C1151" s="19" t="s">
        <v>72</v>
      </c>
      <c r="D1151" s="20"/>
      <c r="E1151" s="3">
        <v>9195929.7599999998</v>
      </c>
      <c r="F1151" s="24">
        <v>0.59455103319536451</v>
      </c>
      <c r="G1151" s="26">
        <v>5467449.54</v>
      </c>
      <c r="H1151" t="s">
        <v>68</v>
      </c>
    </row>
    <row r="1152" spans="1:8">
      <c r="A1152" s="13" t="s">
        <v>1444</v>
      </c>
      <c r="B1152" s="14" t="s">
        <v>1445</v>
      </c>
      <c r="C1152" s="15" t="s">
        <v>72</v>
      </c>
      <c r="D1152" s="16"/>
      <c r="E1152" s="2">
        <v>4272199.41</v>
      </c>
      <c r="F1152" s="23">
        <v>0.3740250481425913</v>
      </c>
      <c r="G1152" s="26">
        <v>1597909.59</v>
      </c>
      <c r="H1152" t="s">
        <v>68</v>
      </c>
    </row>
    <row r="1153" spans="1:8">
      <c r="A1153" s="17" t="s">
        <v>1446</v>
      </c>
      <c r="B1153" s="21" t="s">
        <v>1447</v>
      </c>
      <c r="C1153" s="19" t="s">
        <v>72</v>
      </c>
      <c r="D1153" s="20"/>
      <c r="E1153" s="3">
        <v>4393710.62</v>
      </c>
      <c r="F1153" s="24">
        <v>0.46379225584956707</v>
      </c>
      <c r="G1153" s="26">
        <v>2037768.96</v>
      </c>
      <c r="H1153" t="s">
        <v>68</v>
      </c>
    </row>
    <row r="1154" spans="1:8">
      <c r="A1154" s="15" t="s">
        <v>1448</v>
      </c>
      <c r="B1154" s="16" t="s">
        <v>1449</v>
      </c>
      <c r="C1154" s="15" t="s">
        <v>72</v>
      </c>
      <c r="D1154" s="16"/>
      <c r="E1154" s="2">
        <v>6986178.9900000002</v>
      </c>
      <c r="F1154" s="23">
        <v>0.44802293134490678</v>
      </c>
      <c r="G1154" s="26">
        <v>3129968.39</v>
      </c>
      <c r="H1154" t="s">
        <v>68</v>
      </c>
    </row>
    <row r="1155" spans="1:8">
      <c r="A1155" s="17" t="s">
        <v>1450</v>
      </c>
      <c r="B1155" s="21" t="s">
        <v>1451</v>
      </c>
      <c r="C1155" s="19" t="s">
        <v>72</v>
      </c>
      <c r="D1155" s="20"/>
      <c r="E1155" s="3">
        <v>7807906.5899999999</v>
      </c>
      <c r="F1155" s="24">
        <v>0.39830293487156077</v>
      </c>
      <c r="G1155" s="26">
        <v>3109912.11</v>
      </c>
      <c r="H1155" t="s">
        <v>68</v>
      </c>
    </row>
    <row r="1156" spans="1:8">
      <c r="A1156" s="13" t="s">
        <v>1666</v>
      </c>
      <c r="B1156" s="14" t="s">
        <v>1667</v>
      </c>
      <c r="C1156" s="15" t="s">
        <v>72</v>
      </c>
      <c r="D1156" s="16"/>
      <c r="E1156" s="2">
        <v>4813558.74</v>
      </c>
      <c r="F1156" s="23">
        <v>0.51014928094551515</v>
      </c>
      <c r="G1156" s="26">
        <v>2455633.5299999998</v>
      </c>
      <c r="H1156" t="s">
        <v>68</v>
      </c>
    </row>
    <row r="1157" spans="1:8">
      <c r="A1157" s="19" t="s">
        <v>1668</v>
      </c>
      <c r="B1157" s="20" t="s">
        <v>1669</v>
      </c>
      <c r="C1157" s="19" t="s">
        <v>72</v>
      </c>
      <c r="D1157" s="20"/>
      <c r="E1157" s="3">
        <v>3963933.19</v>
      </c>
      <c r="F1157" s="24">
        <v>0.46302819498327624</v>
      </c>
      <c r="G1157" s="26">
        <v>1835412.83</v>
      </c>
      <c r="H1157" t="s">
        <v>68</v>
      </c>
    </row>
    <row r="1158" spans="1:8">
      <c r="A1158" s="17" t="s">
        <v>1672</v>
      </c>
      <c r="B1158" s="21" t="s">
        <v>1673</v>
      </c>
      <c r="C1158" s="19" t="s">
        <v>72</v>
      </c>
      <c r="D1158" s="20"/>
      <c r="E1158" s="3">
        <v>21134521.239999998</v>
      </c>
      <c r="F1158" s="24">
        <v>0.46032104628834264</v>
      </c>
      <c r="G1158" s="26">
        <v>9728664.9299999997</v>
      </c>
      <c r="H1158" t="s">
        <v>68</v>
      </c>
    </row>
    <row r="1159" spans="1:8">
      <c r="A1159" s="13" t="s">
        <v>1674</v>
      </c>
      <c r="B1159" s="14" t="s">
        <v>1675</v>
      </c>
      <c r="C1159" s="15" t="s">
        <v>72</v>
      </c>
      <c r="D1159" s="16"/>
      <c r="E1159" s="2">
        <v>16247452.609999999</v>
      </c>
      <c r="F1159" s="23">
        <v>0.40535929219737543</v>
      </c>
      <c r="G1159" s="26">
        <v>6586055.8899999997</v>
      </c>
      <c r="H1159" t="s">
        <v>68</v>
      </c>
    </row>
    <row r="1160" spans="1:8">
      <c r="A1160" s="19" t="s">
        <v>1676</v>
      </c>
      <c r="B1160" s="20" t="s">
        <v>1677</v>
      </c>
      <c r="C1160" s="19" t="s">
        <v>72</v>
      </c>
      <c r="D1160" s="20"/>
      <c r="E1160" s="3">
        <v>46253684.880000003</v>
      </c>
      <c r="F1160" s="24">
        <v>0.7499559144313519</v>
      </c>
      <c r="G1160" s="26">
        <v>34688224.539999999</v>
      </c>
      <c r="H1160" t="s">
        <v>68</v>
      </c>
    </row>
    <row r="1161" spans="1:8">
      <c r="A1161" s="13" t="s">
        <v>1678</v>
      </c>
      <c r="B1161" s="14" t="s">
        <v>1679</v>
      </c>
      <c r="C1161" s="15" t="s">
        <v>72</v>
      </c>
      <c r="D1161" s="16"/>
      <c r="E1161" s="2">
        <v>28053930.199999999</v>
      </c>
      <c r="F1161" s="23">
        <v>0.42501645527014253</v>
      </c>
      <c r="G1161" s="26">
        <v>11923381.970000001</v>
      </c>
      <c r="H1161" t="s">
        <v>68</v>
      </c>
    </row>
    <row r="1162" spans="1:8">
      <c r="A1162" s="17" t="s">
        <v>1680</v>
      </c>
      <c r="B1162" s="21" t="s">
        <v>1681</v>
      </c>
      <c r="C1162" s="19" t="s">
        <v>72</v>
      </c>
      <c r="D1162" s="20"/>
      <c r="E1162" s="3">
        <v>23555146.899999999</v>
      </c>
      <c r="F1162" s="24">
        <v>0.32423536233603367</v>
      </c>
      <c r="G1162" s="26">
        <v>7637411.5899999999</v>
      </c>
      <c r="H1162" t="s">
        <v>68</v>
      </c>
    </row>
    <row r="1163" spans="1:8">
      <c r="A1163" s="15" t="s">
        <v>1682</v>
      </c>
      <c r="B1163" s="16" t="s">
        <v>1683</v>
      </c>
      <c r="C1163" s="15" t="s">
        <v>72</v>
      </c>
      <c r="D1163" s="16"/>
      <c r="E1163" s="2">
        <v>22323626.77</v>
      </c>
      <c r="F1163" s="23">
        <v>0.43590631039743011</v>
      </c>
      <c r="G1163" s="26">
        <v>9731009.7799999993</v>
      </c>
      <c r="H1163" t="s">
        <v>68</v>
      </c>
    </row>
    <row r="1164" spans="1:8">
      <c r="A1164" s="17" t="s">
        <v>1684</v>
      </c>
      <c r="B1164" s="21" t="s">
        <v>1685</v>
      </c>
      <c r="C1164" s="19" t="s">
        <v>72</v>
      </c>
      <c r="D1164" s="20"/>
      <c r="E1164" s="3">
        <v>17161665.010000002</v>
      </c>
      <c r="F1164" s="24">
        <v>0.36271439142838735</v>
      </c>
      <c r="G1164" s="26">
        <v>6224782.8799999999</v>
      </c>
      <c r="H1164" t="s">
        <v>68</v>
      </c>
    </row>
    <row r="1165" spans="1:8">
      <c r="A1165" s="13" t="s">
        <v>1686</v>
      </c>
      <c r="B1165" s="14" t="s">
        <v>1065</v>
      </c>
      <c r="C1165" s="15" t="s">
        <v>72</v>
      </c>
      <c r="D1165" s="16"/>
      <c r="E1165" s="2">
        <v>18094493.609999999</v>
      </c>
      <c r="F1165" s="23">
        <v>0.40028159318021395</v>
      </c>
      <c r="G1165" s="26">
        <v>7242892.7300000004</v>
      </c>
      <c r="H1165" t="s">
        <v>68</v>
      </c>
    </row>
    <row r="1166" spans="1:8">
      <c r="A1166" s="19" t="s">
        <v>1687</v>
      </c>
      <c r="B1166" s="20" t="s">
        <v>1688</v>
      </c>
      <c r="C1166" s="19" t="s">
        <v>72</v>
      </c>
      <c r="D1166" s="20"/>
      <c r="E1166" s="3">
        <v>7531718.3899999997</v>
      </c>
      <c r="F1166" s="24">
        <v>0.39916324460452907</v>
      </c>
      <c r="G1166" s="26">
        <v>3006385.15</v>
      </c>
      <c r="H1166" t="s">
        <v>68</v>
      </c>
    </row>
    <row r="1167" spans="1:8">
      <c r="A1167" s="13" t="s">
        <v>1689</v>
      </c>
      <c r="B1167" s="14" t="s">
        <v>1013</v>
      </c>
      <c r="C1167" s="15" t="s">
        <v>72</v>
      </c>
      <c r="D1167" s="16"/>
      <c r="E1167" s="2">
        <v>44348397.340000004</v>
      </c>
      <c r="F1167" s="23">
        <v>0.53966734189993615</v>
      </c>
      <c r="G1167" s="26">
        <v>23933381.710000001</v>
      </c>
      <c r="H1167" t="s">
        <v>68</v>
      </c>
    </row>
    <row r="1168" spans="1:8">
      <c r="A1168" s="17" t="s">
        <v>1690</v>
      </c>
      <c r="B1168" s="21" t="s">
        <v>1691</v>
      </c>
      <c r="C1168" s="19" t="s">
        <v>72</v>
      </c>
      <c r="D1168" s="20"/>
      <c r="E1168" s="3">
        <v>46459046.810000002</v>
      </c>
      <c r="F1168" s="24">
        <v>0.5187396680470121</v>
      </c>
      <c r="G1168" s="26">
        <v>24100150.52</v>
      </c>
      <c r="H1168" t="s">
        <v>68</v>
      </c>
    </row>
    <row r="1169" spans="1:8">
      <c r="A1169" s="15" t="s">
        <v>1692</v>
      </c>
      <c r="B1169" s="16" t="s">
        <v>1693</v>
      </c>
      <c r="C1169" s="15" t="s">
        <v>72</v>
      </c>
      <c r="D1169" s="16"/>
      <c r="E1169" s="2">
        <v>13099282.08</v>
      </c>
      <c r="F1169" s="23">
        <v>0.3476074888830854</v>
      </c>
      <c r="G1169" s="26">
        <v>4553408.55</v>
      </c>
      <c r="H1169" t="s">
        <v>68</v>
      </c>
    </row>
    <row r="1170" spans="1:8">
      <c r="A1170" s="17" t="s">
        <v>1694</v>
      </c>
      <c r="B1170" s="21" t="s">
        <v>1695</v>
      </c>
      <c r="C1170" s="19" t="s">
        <v>72</v>
      </c>
      <c r="D1170" s="20"/>
      <c r="E1170" s="3">
        <v>11130198.470000001</v>
      </c>
      <c r="F1170" s="24">
        <v>0.42749304271840177</v>
      </c>
      <c r="G1170" s="26">
        <v>4758082.41</v>
      </c>
      <c r="H1170" t="s">
        <v>68</v>
      </c>
    </row>
    <row r="1171" spans="1:8">
      <c r="A1171" s="17" t="s">
        <v>1482</v>
      </c>
      <c r="B1171" s="21" t="s">
        <v>1483</v>
      </c>
      <c r="C1171" s="19" t="s">
        <v>72</v>
      </c>
      <c r="D1171" s="20"/>
      <c r="E1171" s="3">
        <v>21742459.59</v>
      </c>
      <c r="F1171" s="24">
        <v>0.77939758332557629</v>
      </c>
      <c r="G1171" s="26">
        <v>16946020.460000001</v>
      </c>
      <c r="H1171" t="s">
        <v>68</v>
      </c>
    </row>
    <row r="1172" spans="1:8">
      <c r="A1172" s="15" t="s">
        <v>1484</v>
      </c>
      <c r="B1172" s="16" t="s">
        <v>1485</v>
      </c>
      <c r="C1172" s="15" t="s">
        <v>72</v>
      </c>
      <c r="D1172" s="16"/>
      <c r="E1172" s="2">
        <v>30176126.75</v>
      </c>
      <c r="F1172" s="23">
        <v>0.81156930983529885</v>
      </c>
      <c r="G1172" s="26">
        <v>24490018.359999999</v>
      </c>
      <c r="H1172" t="s">
        <v>68</v>
      </c>
    </row>
    <row r="1173" spans="1:8">
      <c r="A1173" s="17" t="s">
        <v>1486</v>
      </c>
      <c r="B1173" s="21" t="s">
        <v>1487</v>
      </c>
      <c r="C1173" s="19" t="s">
        <v>72</v>
      </c>
      <c r="D1173" s="20"/>
      <c r="E1173" s="3">
        <v>19729348.149999999</v>
      </c>
      <c r="F1173" s="24">
        <v>0.71988573428869218</v>
      </c>
      <c r="G1173" s="26">
        <v>14202876.279999999</v>
      </c>
      <c r="H1173" t="s">
        <v>68</v>
      </c>
    </row>
    <row r="1174" spans="1:8">
      <c r="A1174" s="13" t="s">
        <v>1488</v>
      </c>
      <c r="B1174" s="14" t="s">
        <v>153</v>
      </c>
      <c r="C1174" s="15" t="s">
        <v>72</v>
      </c>
      <c r="D1174" s="16"/>
      <c r="E1174" s="2">
        <v>12653350.99</v>
      </c>
      <c r="F1174" s="23">
        <v>0.4826218260148018</v>
      </c>
      <c r="G1174" s="26">
        <v>6106783.3600000003</v>
      </c>
      <c r="H1174" t="s">
        <v>68</v>
      </c>
    </row>
    <row r="1175" spans="1:8">
      <c r="A1175" s="19" t="s">
        <v>1489</v>
      </c>
      <c r="B1175" s="20" t="s">
        <v>1420</v>
      </c>
      <c r="C1175" s="19" t="s">
        <v>72</v>
      </c>
      <c r="D1175" s="20"/>
      <c r="E1175" s="3">
        <v>32554996.710000001</v>
      </c>
      <c r="F1175" s="24">
        <v>0.54302032887534579</v>
      </c>
      <c r="G1175" s="26">
        <v>17678025.02</v>
      </c>
      <c r="H1175" t="s">
        <v>68</v>
      </c>
    </row>
    <row r="1176" spans="1:8">
      <c r="A1176" s="13" t="s">
        <v>1490</v>
      </c>
      <c r="B1176" s="14" t="s">
        <v>1491</v>
      </c>
      <c r="C1176" s="15" t="s">
        <v>72</v>
      </c>
      <c r="D1176" s="16"/>
      <c r="E1176" s="2">
        <v>57716374.939999998</v>
      </c>
      <c r="F1176" s="23">
        <v>0.66728638484376723</v>
      </c>
      <c r="G1176" s="26">
        <v>38513351.18</v>
      </c>
      <c r="H1176" t="s">
        <v>68</v>
      </c>
    </row>
    <row r="1177" spans="1:8">
      <c r="A1177" s="17" t="s">
        <v>1492</v>
      </c>
      <c r="B1177" s="21" t="s">
        <v>1493</v>
      </c>
      <c r="C1177" s="19" t="s">
        <v>72</v>
      </c>
      <c r="D1177" s="20"/>
      <c r="E1177" s="3">
        <v>8589061.1899999995</v>
      </c>
      <c r="F1177" s="24">
        <v>0.62709473024490126</v>
      </c>
      <c r="G1177" s="26">
        <v>5386155.0099999998</v>
      </c>
      <c r="H1177" t="s">
        <v>68</v>
      </c>
    </row>
    <row r="1178" spans="1:8">
      <c r="A1178" s="15" t="s">
        <v>1494</v>
      </c>
      <c r="B1178" s="16" t="s">
        <v>1495</v>
      </c>
      <c r="C1178" s="15" t="s">
        <v>72</v>
      </c>
      <c r="D1178" s="16"/>
      <c r="E1178" s="2">
        <v>37910328.469999999</v>
      </c>
      <c r="F1178" s="23">
        <v>0.7257699070524567</v>
      </c>
      <c r="G1178" s="26">
        <v>27514175.57</v>
      </c>
      <c r="H1178" t="s">
        <v>68</v>
      </c>
    </row>
    <row r="1179" spans="1:8">
      <c r="A1179" s="17" t="s">
        <v>1496</v>
      </c>
      <c r="B1179" s="21" t="s">
        <v>1497</v>
      </c>
      <c r="C1179" s="19" t="s">
        <v>72</v>
      </c>
      <c r="D1179" s="20"/>
      <c r="E1179" s="3">
        <v>29195068.460000001</v>
      </c>
      <c r="F1179" s="24">
        <v>0.78890772020474298</v>
      </c>
      <c r="G1179" s="26">
        <v>23032214.899999999</v>
      </c>
      <c r="H1179" t="s">
        <v>68</v>
      </c>
    </row>
    <row r="1180" spans="1:8">
      <c r="A1180" s="13" t="s">
        <v>1498</v>
      </c>
      <c r="B1180" s="14" t="s">
        <v>1207</v>
      </c>
      <c r="C1180" s="15" t="s">
        <v>72</v>
      </c>
      <c r="D1180" s="16"/>
      <c r="E1180" s="2">
        <v>26204737.5</v>
      </c>
      <c r="F1180" s="23">
        <v>0.52129240714584524</v>
      </c>
      <c r="G1180" s="26">
        <v>13660330.689999999</v>
      </c>
      <c r="H1180" t="s">
        <v>68</v>
      </c>
    </row>
    <row r="1181" spans="1:8">
      <c r="A1181" s="19" t="s">
        <v>1499</v>
      </c>
      <c r="B1181" s="20" t="s">
        <v>1500</v>
      </c>
      <c r="C1181" s="19" t="s">
        <v>72</v>
      </c>
      <c r="D1181" s="20"/>
      <c r="E1181" s="3">
        <v>42975084.380000003</v>
      </c>
      <c r="F1181" s="24">
        <v>0.7599690362725473</v>
      </c>
      <c r="G1181" s="26">
        <v>32659733.460000005</v>
      </c>
      <c r="H1181" t="s">
        <v>68</v>
      </c>
    </row>
    <row r="1182" spans="1:8">
      <c r="A1182" s="17" t="s">
        <v>1503</v>
      </c>
      <c r="B1182" s="21" t="s">
        <v>1504</v>
      </c>
      <c r="C1182" s="19" t="s">
        <v>72</v>
      </c>
      <c r="D1182" s="20"/>
      <c r="E1182" s="3">
        <v>3735580.48</v>
      </c>
      <c r="F1182" s="24">
        <v>0.36899966615094848</v>
      </c>
      <c r="G1182" s="26">
        <v>1378427.95</v>
      </c>
      <c r="H1182" t="s">
        <v>68</v>
      </c>
    </row>
    <row r="1183" spans="1:8">
      <c r="A1183" s="13" t="s">
        <v>1505</v>
      </c>
      <c r="B1183" s="14" t="s">
        <v>1506</v>
      </c>
      <c r="C1183" s="15" t="s">
        <v>72</v>
      </c>
      <c r="D1183" s="16"/>
      <c r="E1183" s="2">
        <v>6415258.5800000001</v>
      </c>
      <c r="F1183" s="23">
        <v>0.39312392455426165</v>
      </c>
      <c r="G1183" s="26">
        <v>2521991.63</v>
      </c>
      <c r="H1183" t="s">
        <v>68</v>
      </c>
    </row>
    <row r="1184" spans="1:8">
      <c r="A1184" s="19" t="s">
        <v>1507</v>
      </c>
      <c r="B1184" s="20" t="s">
        <v>1508</v>
      </c>
      <c r="C1184" s="19" t="s">
        <v>72</v>
      </c>
      <c r="D1184" s="20"/>
      <c r="E1184" s="3">
        <v>10675381.220000001</v>
      </c>
      <c r="F1184" s="24">
        <v>0.32555347189746536</v>
      </c>
      <c r="G1184" s="26">
        <v>3475407.42</v>
      </c>
      <c r="H1184" t="s">
        <v>68</v>
      </c>
    </row>
    <row r="1185" spans="1:8">
      <c r="A1185" s="13" t="s">
        <v>1509</v>
      </c>
      <c r="B1185" s="14" t="s">
        <v>1510</v>
      </c>
      <c r="C1185" s="15" t="s">
        <v>72</v>
      </c>
      <c r="D1185" s="16"/>
      <c r="E1185" s="2">
        <v>12306488.529999999</v>
      </c>
      <c r="F1185" s="23">
        <v>0.33477071221062604</v>
      </c>
      <c r="G1185" s="26">
        <v>4119851.93</v>
      </c>
      <c r="H1185" t="s">
        <v>68</v>
      </c>
    </row>
    <row r="1186" spans="1:8">
      <c r="A1186" s="17" t="s">
        <v>1511</v>
      </c>
      <c r="B1186" s="21" t="s">
        <v>1512</v>
      </c>
      <c r="C1186" s="19" t="s">
        <v>72</v>
      </c>
      <c r="D1186" s="20"/>
      <c r="E1186" s="3">
        <v>9120709.1999999993</v>
      </c>
      <c r="F1186" s="24">
        <v>0.6023403530944722</v>
      </c>
      <c r="G1186" s="26">
        <v>5493771.2000000002</v>
      </c>
      <c r="H1186" t="s">
        <v>68</v>
      </c>
    </row>
    <row r="1187" spans="1:8">
      <c r="A1187" s="15" t="s">
        <v>1513</v>
      </c>
      <c r="B1187" s="16" t="s">
        <v>1514</v>
      </c>
      <c r="C1187" s="15" t="s">
        <v>72</v>
      </c>
      <c r="D1187" s="16"/>
      <c r="E1187" s="2">
        <v>30403040.420000002</v>
      </c>
      <c r="F1187" s="23">
        <v>0.67292978061961872</v>
      </c>
      <c r="G1187" s="26">
        <v>20459111.32</v>
      </c>
      <c r="H1187" t="s">
        <v>68</v>
      </c>
    </row>
    <row r="1188" spans="1:8">
      <c r="A1188" s="17" t="s">
        <v>1515</v>
      </c>
      <c r="B1188" s="21" t="s">
        <v>1516</v>
      </c>
      <c r="C1188" s="19" t="s">
        <v>72</v>
      </c>
      <c r="D1188" s="20"/>
      <c r="E1188" s="3">
        <v>8405285.9600000009</v>
      </c>
      <c r="F1188" s="24">
        <v>0.38588819647963529</v>
      </c>
      <c r="G1188" s="26">
        <v>3243500.64</v>
      </c>
      <c r="H1188" t="s">
        <v>68</v>
      </c>
    </row>
    <row r="1189" spans="1:8">
      <c r="A1189" s="13" t="s">
        <v>1517</v>
      </c>
      <c r="B1189" s="14" t="s">
        <v>1518</v>
      </c>
      <c r="C1189" s="15" t="s">
        <v>72</v>
      </c>
      <c r="D1189" s="16"/>
      <c r="E1189" s="2">
        <v>16482861.16</v>
      </c>
      <c r="F1189" s="23">
        <v>0.47694665651118057</v>
      </c>
      <c r="G1189" s="26">
        <v>7861445.5199999996</v>
      </c>
      <c r="H1189" t="s">
        <v>68</v>
      </c>
    </row>
    <row r="1190" spans="1:8">
      <c r="A1190" s="19" t="s">
        <v>1519</v>
      </c>
      <c r="B1190" s="20" t="s">
        <v>1520</v>
      </c>
      <c r="C1190" s="19" t="s">
        <v>72</v>
      </c>
      <c r="D1190" s="20"/>
      <c r="E1190" s="3">
        <v>16035309.67</v>
      </c>
      <c r="F1190" s="24">
        <v>0.56096128513369703</v>
      </c>
      <c r="G1190" s="26">
        <v>8995187.9199999999</v>
      </c>
      <c r="H1190" t="s">
        <v>68</v>
      </c>
    </row>
    <row r="1191" spans="1:8">
      <c r="A1191" s="13" t="s">
        <v>1521</v>
      </c>
      <c r="B1191" s="14" t="s">
        <v>1522</v>
      </c>
      <c r="C1191" s="15" t="s">
        <v>72</v>
      </c>
      <c r="D1191" s="16"/>
      <c r="E1191" s="2">
        <v>8046763.1699999999</v>
      </c>
      <c r="F1191" s="23">
        <v>0.7722762145117289</v>
      </c>
      <c r="G1191" s="26">
        <v>6214323.7999999998</v>
      </c>
      <c r="H1191" t="s">
        <v>68</v>
      </c>
    </row>
    <row r="1192" spans="1:8">
      <c r="A1192" s="17" t="s">
        <v>1523</v>
      </c>
      <c r="B1192" s="21" t="s">
        <v>1524</v>
      </c>
      <c r="C1192" s="19" t="s">
        <v>72</v>
      </c>
      <c r="D1192" s="20"/>
      <c r="E1192" s="3">
        <v>8666347.9499999993</v>
      </c>
      <c r="F1192" s="24">
        <v>0.28843092089326977</v>
      </c>
      <c r="G1192" s="26">
        <v>2499642.7200000002</v>
      </c>
      <c r="H1192" t="s">
        <v>68</v>
      </c>
    </row>
    <row r="1193" spans="1:8">
      <c r="A1193" s="15" t="s">
        <v>1525</v>
      </c>
      <c r="B1193" s="16" t="s">
        <v>1526</v>
      </c>
      <c r="C1193" s="15" t="s">
        <v>72</v>
      </c>
      <c r="D1193" s="16"/>
      <c r="E1193" s="2">
        <v>6430449.0499999998</v>
      </c>
      <c r="F1193" s="23">
        <v>0.34318342511398947</v>
      </c>
      <c r="G1193" s="26">
        <v>2206823.5299999998</v>
      </c>
      <c r="H1193" t="s">
        <v>68</v>
      </c>
    </row>
    <row r="1194" spans="1:8">
      <c r="A1194" s="17" t="s">
        <v>1527</v>
      </c>
      <c r="B1194" s="21" t="s">
        <v>1528</v>
      </c>
      <c r="C1194" s="19" t="s">
        <v>72</v>
      </c>
      <c r="D1194" s="20"/>
      <c r="E1194" s="3">
        <v>5273255.3099999996</v>
      </c>
      <c r="F1194" s="24">
        <v>0.40695715906840857</v>
      </c>
      <c r="G1194" s="26">
        <v>2145989</v>
      </c>
      <c r="H1194" t="s">
        <v>68</v>
      </c>
    </row>
    <row r="1195" spans="1:8">
      <c r="A1195" s="13" t="s">
        <v>1529</v>
      </c>
      <c r="B1195" s="14" t="s">
        <v>1530</v>
      </c>
      <c r="C1195" s="15" t="s">
        <v>72</v>
      </c>
      <c r="D1195" s="16"/>
      <c r="E1195" s="2">
        <v>13175201.68</v>
      </c>
      <c r="F1195" s="23">
        <v>0.32957688280336067</v>
      </c>
      <c r="G1195" s="26">
        <v>4342241.9000000004</v>
      </c>
      <c r="H1195" t="s">
        <v>68</v>
      </c>
    </row>
    <row r="1196" spans="1:8">
      <c r="A1196" s="19" t="s">
        <v>1531</v>
      </c>
      <c r="B1196" s="20" t="s">
        <v>1532</v>
      </c>
      <c r="C1196" s="19" t="s">
        <v>72</v>
      </c>
      <c r="D1196" s="20"/>
      <c r="E1196" s="3">
        <v>9528323.7799999993</v>
      </c>
      <c r="F1196" s="24">
        <v>0.54376795537483302</v>
      </c>
      <c r="G1196" s="26">
        <v>5181197.1399999997</v>
      </c>
      <c r="H1196" t="s">
        <v>68</v>
      </c>
    </row>
    <row r="1197" spans="1:8">
      <c r="A1197" s="17" t="s">
        <v>1535</v>
      </c>
      <c r="B1197" s="21" t="s">
        <v>1536</v>
      </c>
      <c r="C1197" s="19" t="s">
        <v>72</v>
      </c>
      <c r="D1197" s="20"/>
      <c r="E1197" s="3">
        <v>10953662.74</v>
      </c>
      <c r="F1197" s="24">
        <v>0.56977085639209668</v>
      </c>
      <c r="G1197" s="26">
        <v>6241077.8000000007</v>
      </c>
      <c r="H1197" t="s">
        <v>68</v>
      </c>
    </row>
    <row r="1198" spans="1:8">
      <c r="A1198" s="13" t="s">
        <v>1537</v>
      </c>
      <c r="B1198" s="14" t="s">
        <v>1538</v>
      </c>
      <c r="C1198" s="15" t="s">
        <v>72</v>
      </c>
      <c r="D1198" s="16"/>
      <c r="E1198" s="2">
        <v>15139271.220000001</v>
      </c>
      <c r="F1198" s="23">
        <v>0.35882431994635999</v>
      </c>
      <c r="G1198" s="26">
        <v>5432338.7000000002</v>
      </c>
      <c r="H1198" t="s">
        <v>68</v>
      </c>
    </row>
    <row r="1199" spans="1:8">
      <c r="A1199" s="19" t="s">
        <v>1539</v>
      </c>
      <c r="B1199" s="20" t="s">
        <v>1540</v>
      </c>
      <c r="C1199" s="19" t="s">
        <v>72</v>
      </c>
      <c r="D1199" s="20"/>
      <c r="E1199" s="3">
        <v>4983756.6500000004</v>
      </c>
      <c r="F1199" s="24">
        <v>0.41210002498817833</v>
      </c>
      <c r="G1199" s="26">
        <v>2053806.24</v>
      </c>
      <c r="H1199" t="s">
        <v>68</v>
      </c>
    </row>
    <row r="1200" spans="1:8">
      <c r="A1200" s="13" t="s">
        <v>1541</v>
      </c>
      <c r="B1200" s="14" t="s">
        <v>1542</v>
      </c>
      <c r="C1200" s="15" t="s">
        <v>72</v>
      </c>
      <c r="D1200" s="16"/>
      <c r="E1200" s="2">
        <v>12576546.560000001</v>
      </c>
      <c r="F1200" s="23">
        <v>0.45672081541596099</v>
      </c>
      <c r="G1200" s="26">
        <v>5743970.5999999996</v>
      </c>
      <c r="H1200" t="s">
        <v>68</v>
      </c>
    </row>
    <row r="1201" spans="1:8">
      <c r="A1201" s="17" t="s">
        <v>1543</v>
      </c>
      <c r="B1201" s="21" t="s">
        <v>1544</v>
      </c>
      <c r="C1201" s="19" t="s">
        <v>72</v>
      </c>
      <c r="D1201" s="20"/>
      <c r="E1201" s="3">
        <v>8926734.9100000001</v>
      </c>
      <c r="F1201" s="24">
        <v>0.6656903783871857</v>
      </c>
      <c r="G1201" s="26">
        <v>5942441.54</v>
      </c>
      <c r="H1201" t="s">
        <v>68</v>
      </c>
    </row>
    <row r="1202" spans="1:8">
      <c r="A1202" s="15" t="s">
        <v>1545</v>
      </c>
      <c r="B1202" s="16" t="s">
        <v>1546</v>
      </c>
      <c r="C1202" s="15" t="s">
        <v>72</v>
      </c>
      <c r="D1202" s="16"/>
      <c r="E1202" s="2">
        <v>13803479.48</v>
      </c>
      <c r="F1202" s="23">
        <v>0.38869929554892196</v>
      </c>
      <c r="G1202" s="26">
        <v>5365402.75</v>
      </c>
      <c r="H1202" t="s">
        <v>68</v>
      </c>
    </row>
    <row r="1203" spans="1:8">
      <c r="A1203" s="17" t="s">
        <v>1547</v>
      </c>
      <c r="B1203" s="21" t="s">
        <v>1135</v>
      </c>
      <c r="C1203" s="19" t="s">
        <v>72</v>
      </c>
      <c r="D1203" s="20"/>
      <c r="E1203" s="3">
        <v>8513628.5299999993</v>
      </c>
      <c r="F1203" s="24">
        <v>0.41059006247245794</v>
      </c>
      <c r="G1203" s="26">
        <v>3495611.27</v>
      </c>
      <c r="H1203" t="s">
        <v>68</v>
      </c>
    </row>
    <row r="1204" spans="1:8">
      <c r="A1204" s="13" t="s">
        <v>1548</v>
      </c>
      <c r="B1204" s="14" t="s">
        <v>1549</v>
      </c>
      <c r="C1204" s="15" t="s">
        <v>72</v>
      </c>
      <c r="D1204" s="16"/>
      <c r="E1204" s="2">
        <v>8905939.7400000002</v>
      </c>
      <c r="F1204" s="23">
        <v>0.46382295306210997</v>
      </c>
      <c r="G1204" s="26">
        <v>4130779.27</v>
      </c>
      <c r="H1204" t="s">
        <v>68</v>
      </c>
    </row>
    <row r="1205" spans="1:8">
      <c r="A1205" s="19" t="s">
        <v>1550</v>
      </c>
      <c r="B1205" s="20" t="s">
        <v>1551</v>
      </c>
      <c r="C1205" s="19" t="s">
        <v>72</v>
      </c>
      <c r="D1205" s="20"/>
      <c r="E1205" s="3">
        <v>25255078.09</v>
      </c>
      <c r="F1205" s="24">
        <v>0.1980686922516659</v>
      </c>
      <c r="G1205" s="26">
        <v>5002240.29</v>
      </c>
      <c r="H1205" t="s">
        <v>68</v>
      </c>
    </row>
    <row r="1206" spans="1:8">
      <c r="A1206" s="17" t="s">
        <v>1554</v>
      </c>
      <c r="B1206" s="21" t="s">
        <v>1555</v>
      </c>
      <c r="C1206" s="19" t="s">
        <v>72</v>
      </c>
      <c r="D1206" s="20"/>
      <c r="E1206" s="3">
        <v>15252385.539999999</v>
      </c>
      <c r="F1206" s="24">
        <v>0.3987577368831709</v>
      </c>
      <c r="G1206" s="26">
        <v>6082006.7400000002</v>
      </c>
      <c r="H1206" t="s">
        <v>68</v>
      </c>
    </row>
    <row r="1207" spans="1:8">
      <c r="A1207" s="13" t="s">
        <v>1556</v>
      </c>
      <c r="B1207" s="14" t="s">
        <v>1557</v>
      </c>
      <c r="C1207" s="15" t="s">
        <v>72</v>
      </c>
      <c r="D1207" s="16"/>
      <c r="E1207" s="2">
        <v>39387060.969999999</v>
      </c>
      <c r="F1207" s="23">
        <v>0.60588887650633971</v>
      </c>
      <c r="G1207" s="26">
        <v>23864182.120000001</v>
      </c>
      <c r="H1207" t="s">
        <v>68</v>
      </c>
    </row>
    <row r="1208" spans="1:8">
      <c r="A1208" s="19" t="s">
        <v>1558</v>
      </c>
      <c r="B1208" s="20" t="s">
        <v>1559</v>
      </c>
      <c r="C1208" s="19" t="s">
        <v>72</v>
      </c>
      <c r="D1208" s="20"/>
      <c r="E1208" s="3">
        <v>35231344.310000002</v>
      </c>
      <c r="F1208" s="24">
        <v>0.68922309794201542</v>
      </c>
      <c r="G1208" s="26">
        <v>24282256.27</v>
      </c>
      <c r="H1208" t="s">
        <v>68</v>
      </c>
    </row>
    <row r="1209" spans="1:8">
      <c r="A1209" s="13" t="s">
        <v>1560</v>
      </c>
      <c r="B1209" s="14" t="s">
        <v>1561</v>
      </c>
      <c r="C1209" s="15" t="s">
        <v>72</v>
      </c>
      <c r="D1209" s="16"/>
      <c r="E1209" s="2">
        <v>27386198.149999999</v>
      </c>
      <c r="F1209" s="23">
        <v>0.60076655766108966</v>
      </c>
      <c r="G1209" s="26">
        <v>16452711.99</v>
      </c>
      <c r="H1209" t="s">
        <v>68</v>
      </c>
    </row>
    <row r="1210" spans="1:8">
      <c r="A1210" s="17" t="s">
        <v>1562</v>
      </c>
      <c r="B1210" s="21" t="s">
        <v>1563</v>
      </c>
      <c r="C1210" s="19" t="s">
        <v>72</v>
      </c>
      <c r="D1210" s="20"/>
      <c r="E1210" s="3">
        <v>95376203.079999998</v>
      </c>
      <c r="F1210" s="24">
        <v>0.58034566141799904</v>
      </c>
      <c r="G1210" s="26">
        <v>55351165.659999996</v>
      </c>
      <c r="H1210" t="s">
        <v>68</v>
      </c>
    </row>
    <row r="1211" spans="1:8">
      <c r="A1211" s="15" t="s">
        <v>1564</v>
      </c>
      <c r="B1211" s="16" t="s">
        <v>1760</v>
      </c>
      <c r="C1211" s="15" t="s">
        <v>72</v>
      </c>
      <c r="D1211" s="16"/>
      <c r="E1211" s="2">
        <v>11078644.51</v>
      </c>
      <c r="F1211" s="23">
        <v>0.50828950463363143</v>
      </c>
      <c r="G1211" s="26">
        <v>5631158.7300000004</v>
      </c>
      <c r="H1211" t="s">
        <v>68</v>
      </c>
    </row>
    <row r="1212" spans="1:8">
      <c r="A1212" s="13" t="s">
        <v>1763</v>
      </c>
      <c r="B1212" s="14" t="s">
        <v>1764</v>
      </c>
      <c r="C1212" s="15" t="s">
        <v>72</v>
      </c>
      <c r="D1212" s="16"/>
      <c r="E1212" s="2">
        <v>10099317.99</v>
      </c>
      <c r="F1212" s="23">
        <v>0.42358162840657315</v>
      </c>
      <c r="G1212" s="26">
        <v>4277885.5599999996</v>
      </c>
      <c r="H1212" t="s">
        <v>68</v>
      </c>
    </row>
    <row r="1213" spans="1:8">
      <c r="A1213" s="17" t="s">
        <v>1765</v>
      </c>
      <c r="B1213" s="21" t="s">
        <v>1766</v>
      </c>
      <c r="C1213" s="19" t="s">
        <v>72</v>
      </c>
      <c r="D1213" s="20"/>
      <c r="E1213" s="3">
        <v>8392570.4000000004</v>
      </c>
      <c r="F1213" s="24">
        <v>0.15807548066561347</v>
      </c>
      <c r="G1213" s="26">
        <v>1326659.6000000001</v>
      </c>
      <c r="H1213" t="s">
        <v>68</v>
      </c>
    </row>
    <row r="1214" spans="1:8">
      <c r="A1214" s="15" t="s">
        <v>1767</v>
      </c>
      <c r="B1214" s="16" t="s">
        <v>1768</v>
      </c>
      <c r="C1214" s="15" t="s">
        <v>72</v>
      </c>
      <c r="D1214" s="16"/>
      <c r="E1214" s="2">
        <v>21559248.309999999</v>
      </c>
      <c r="F1214" s="23">
        <v>0.38026894361605879</v>
      </c>
      <c r="G1214" s="26">
        <v>8198312.5800000001</v>
      </c>
      <c r="H1214" t="s">
        <v>68</v>
      </c>
    </row>
    <row r="1215" spans="1:8">
      <c r="A1215" s="17" t="s">
        <v>1769</v>
      </c>
      <c r="B1215" s="21" t="s">
        <v>1770</v>
      </c>
      <c r="C1215" s="19" t="s">
        <v>72</v>
      </c>
      <c r="D1215" s="20"/>
      <c r="E1215" s="3">
        <v>6928959.9900000002</v>
      </c>
      <c r="F1215" s="24">
        <v>0.59428494260940301</v>
      </c>
      <c r="G1215" s="26">
        <v>4117776.59</v>
      </c>
      <c r="H1215" t="s">
        <v>68</v>
      </c>
    </row>
    <row r="1216" spans="1:8">
      <c r="A1216" s="17" t="s">
        <v>1773</v>
      </c>
      <c r="B1216" s="21" t="s">
        <v>1774</v>
      </c>
      <c r="C1216" s="19" t="s">
        <v>72</v>
      </c>
      <c r="D1216" s="20"/>
      <c r="E1216" s="3">
        <v>9427561.6099999994</v>
      </c>
      <c r="F1216" s="24">
        <v>0.40361228145821687</v>
      </c>
      <c r="G1216" s="26">
        <v>3805079.65</v>
      </c>
      <c r="H1216" t="s">
        <v>68</v>
      </c>
    </row>
    <row r="1217" spans="1:10">
      <c r="A1217" s="15" t="s">
        <v>1775</v>
      </c>
      <c r="B1217" s="16" t="s">
        <v>1776</v>
      </c>
      <c r="C1217" s="15" t="s">
        <v>72</v>
      </c>
      <c r="D1217" s="16"/>
      <c r="E1217" s="2">
        <v>8061681.9900000002</v>
      </c>
      <c r="F1217" s="23">
        <v>0.48922182925253294</v>
      </c>
      <c r="G1217" s="26">
        <v>3943950.81</v>
      </c>
      <c r="H1217" t="s">
        <v>68</v>
      </c>
    </row>
    <row r="1218" spans="1:10">
      <c r="A1218" s="17" t="s">
        <v>1777</v>
      </c>
      <c r="B1218" s="21" t="s">
        <v>1420</v>
      </c>
      <c r="C1218" s="19" t="s">
        <v>72</v>
      </c>
      <c r="D1218" s="20"/>
      <c r="E1218" s="3">
        <v>10510759.880000001</v>
      </c>
      <c r="F1218" s="24">
        <v>0.39676644767951824</v>
      </c>
      <c r="G1218" s="26">
        <v>4170316.86</v>
      </c>
      <c r="H1218" t="s">
        <v>68</v>
      </c>
    </row>
    <row r="1219" spans="1:10">
      <c r="A1219" s="13" t="s">
        <v>1778</v>
      </c>
      <c r="B1219" s="14" t="s">
        <v>1779</v>
      </c>
      <c r="C1219" s="15" t="s">
        <v>72</v>
      </c>
      <c r="D1219" s="16"/>
      <c r="E1219" s="2">
        <v>10856080.48</v>
      </c>
      <c r="F1219" s="23">
        <v>0.36747082129221648</v>
      </c>
      <c r="G1219" s="26">
        <v>3989292.81</v>
      </c>
      <c r="H1219" t="s">
        <v>68</v>
      </c>
    </row>
    <row r="1220" spans="1:10">
      <c r="A1220" s="19" t="s">
        <v>1780</v>
      </c>
      <c r="B1220" s="20" t="s">
        <v>886</v>
      </c>
      <c r="C1220" s="19" t="s">
        <v>72</v>
      </c>
      <c r="D1220" s="20"/>
      <c r="E1220" s="3">
        <v>11862217.27</v>
      </c>
      <c r="F1220" s="24">
        <v>0.39160832197436224</v>
      </c>
      <c r="G1220" s="26">
        <v>4645343</v>
      </c>
      <c r="H1220" t="s">
        <v>68</v>
      </c>
    </row>
    <row r="1221" spans="1:10">
      <c r="A1221" s="13" t="s">
        <v>1781</v>
      </c>
      <c r="B1221" s="14" t="s">
        <v>1580</v>
      </c>
      <c r="C1221" s="15" t="s">
        <v>72</v>
      </c>
      <c r="D1221" s="16"/>
      <c r="E1221" s="2">
        <v>15088727.02</v>
      </c>
      <c r="F1221" s="23">
        <v>0.49871654182792685</v>
      </c>
      <c r="G1221" s="26">
        <v>7524997.7599999998</v>
      </c>
      <c r="H1221" t="s">
        <v>68</v>
      </c>
    </row>
    <row r="1222" spans="1:10">
      <c r="A1222" s="17" t="s">
        <v>1782</v>
      </c>
      <c r="B1222" s="21" t="s">
        <v>1783</v>
      </c>
      <c r="C1222" s="19" t="s">
        <v>72</v>
      </c>
      <c r="D1222" s="20"/>
      <c r="E1222" s="3">
        <v>17383859.309999999</v>
      </c>
      <c r="F1222" s="24">
        <v>0.43195731144006827</v>
      </c>
      <c r="G1222" s="26">
        <v>7509085.1299999999</v>
      </c>
      <c r="H1222" t="s">
        <v>68</v>
      </c>
    </row>
    <row r="1223" spans="1:10">
      <c r="A1223" s="15" t="s">
        <v>1784</v>
      </c>
      <c r="B1223" s="16" t="s">
        <v>1785</v>
      </c>
      <c r="C1223" s="15" t="s">
        <v>72</v>
      </c>
      <c r="D1223" s="16"/>
      <c r="E1223" s="2">
        <v>5555998.04</v>
      </c>
      <c r="F1223" s="23">
        <v>0.45406719761909781</v>
      </c>
      <c r="G1223" s="26">
        <v>2522796.46</v>
      </c>
      <c r="H1223" t="s">
        <v>68</v>
      </c>
    </row>
    <row r="1224" spans="1:10">
      <c r="A1224" s="17" t="s">
        <v>1786</v>
      </c>
      <c r="B1224" s="21" t="s">
        <v>1787</v>
      </c>
      <c r="C1224" s="19" t="s">
        <v>72</v>
      </c>
      <c r="D1224" s="20"/>
      <c r="E1224" s="3">
        <v>5608250.7800000003</v>
      </c>
      <c r="F1224" s="24">
        <v>0.35734580328449572</v>
      </c>
      <c r="G1224" s="26">
        <v>2004084.88</v>
      </c>
      <c r="H1224" t="s">
        <v>68</v>
      </c>
    </row>
    <row r="1225" spans="1:10">
      <c r="A1225" s="13" t="s">
        <v>1788</v>
      </c>
      <c r="B1225" s="14" t="s">
        <v>1592</v>
      </c>
      <c r="C1225" s="15" t="s">
        <v>72</v>
      </c>
      <c r="D1225" s="16"/>
      <c r="E1225" s="2">
        <v>6338480.1699999999</v>
      </c>
      <c r="F1225" s="23">
        <v>0.46057703924314719</v>
      </c>
      <c r="G1225" s="26">
        <v>2919358.43</v>
      </c>
      <c r="H1225" t="s">
        <v>68</v>
      </c>
    </row>
    <row r="1226" spans="1:10">
      <c r="A1226" s="19" t="s">
        <v>1593</v>
      </c>
      <c r="B1226" s="20" t="s">
        <v>1779</v>
      </c>
      <c r="C1226" s="19" t="s">
        <v>72</v>
      </c>
      <c r="D1226" s="20"/>
      <c r="E1226" s="3">
        <v>6880778.9699999997</v>
      </c>
      <c r="F1226" s="24">
        <v>0.48559557639736251</v>
      </c>
      <c r="G1226" s="26">
        <v>3341275.83</v>
      </c>
      <c r="H1226" t="s">
        <v>68</v>
      </c>
    </row>
    <row r="1227" spans="1:10">
      <c r="A1227" s="13" t="s">
        <v>1594</v>
      </c>
      <c r="B1227" s="14" t="s">
        <v>1595</v>
      </c>
      <c r="C1227" s="15" t="s">
        <v>72</v>
      </c>
      <c r="D1227" s="16"/>
      <c r="E1227" s="2">
        <v>4398320.1100000003</v>
      </c>
      <c r="F1227" s="23">
        <v>0.41991205137636062</v>
      </c>
      <c r="G1227" s="26">
        <v>1846907.62</v>
      </c>
      <c r="H1227" t="s">
        <v>68</v>
      </c>
    </row>
    <row r="1228" spans="1:10">
      <c r="A1228" s="13" t="s">
        <v>1598</v>
      </c>
      <c r="B1228" s="14" t="s">
        <v>1599</v>
      </c>
      <c r="C1228" s="15" t="s">
        <v>72</v>
      </c>
      <c r="D1228" s="16"/>
      <c r="E1228" s="2">
        <v>13983589.57</v>
      </c>
      <c r="F1228" s="23">
        <v>0.44272630850677919</v>
      </c>
      <c r="G1228" s="26">
        <v>6190902.9900000002</v>
      </c>
      <c r="H1228" t="s">
        <v>68</v>
      </c>
    </row>
    <row r="1229" spans="1:10">
      <c r="A1229" s="19" t="s">
        <v>1600</v>
      </c>
      <c r="B1229" s="20" t="s">
        <v>1601</v>
      </c>
      <c r="C1229" s="19" t="s">
        <v>72</v>
      </c>
      <c r="D1229" s="20"/>
      <c r="E1229" s="3">
        <v>10643106.800000001</v>
      </c>
      <c r="F1229" s="24">
        <v>0.38336350434818522</v>
      </c>
      <c r="G1229" s="26">
        <v>4080178.72</v>
      </c>
      <c r="H1229" t="s">
        <v>68</v>
      </c>
    </row>
    <row r="1230" spans="1:10">
      <c r="A1230" s="13" t="s">
        <v>1602</v>
      </c>
      <c r="B1230" s="14" t="s">
        <v>1679</v>
      </c>
      <c r="C1230" s="15" t="s">
        <v>72</v>
      </c>
      <c r="D1230" s="16"/>
      <c r="E1230" s="2">
        <v>13261847.18</v>
      </c>
      <c r="F1230" s="23">
        <v>0.53725054008652806</v>
      </c>
      <c r="G1230" s="26">
        <v>7124934.5599999987</v>
      </c>
      <c r="H1230" t="s">
        <v>68</v>
      </c>
    </row>
    <row r="1231" spans="1:10">
      <c r="A1231" s="17" t="s">
        <v>1603</v>
      </c>
      <c r="B1231" s="21" t="s">
        <v>1604</v>
      </c>
      <c r="C1231" s="19" t="s">
        <v>72</v>
      </c>
      <c r="D1231" s="20"/>
      <c r="E1231" s="3">
        <v>7158730.9100000001</v>
      </c>
      <c r="F1231" s="24">
        <v>0.39361576729526765</v>
      </c>
      <c r="G1231" s="26">
        <v>2817789.36</v>
      </c>
      <c r="H1231" t="s">
        <v>68</v>
      </c>
    </row>
    <row r="1232" spans="1:10">
      <c r="A1232" s="15" t="s">
        <v>1605</v>
      </c>
      <c r="B1232" s="16" t="s">
        <v>1606</v>
      </c>
      <c r="C1232" s="15" t="s">
        <v>72</v>
      </c>
      <c r="D1232" s="16"/>
      <c r="E1232" s="2">
        <v>9602713.2200000007</v>
      </c>
      <c r="F1232" s="23">
        <v>0.60164267198640753</v>
      </c>
      <c r="G1232" s="26">
        <v>5777402.04</v>
      </c>
      <c r="H1232" t="s">
        <v>68</v>
      </c>
      <c r="I1232" s="69"/>
      <c r="J1232" s="69"/>
    </row>
    <row r="1233" spans="1:10">
      <c r="A1233" s="17" t="s">
        <v>1607</v>
      </c>
      <c r="B1233" s="21" t="s">
        <v>1608</v>
      </c>
      <c r="C1233" s="19" t="s">
        <v>72</v>
      </c>
      <c r="D1233" s="20"/>
      <c r="E1233" s="3">
        <v>14076521.779999999</v>
      </c>
      <c r="F1233" s="24">
        <v>0.50496564002758926</v>
      </c>
      <c r="G1233" s="26">
        <v>7108159.8300000001</v>
      </c>
      <c r="H1233" t="s">
        <v>68</v>
      </c>
      <c r="I1233" s="69"/>
      <c r="J1233" s="69"/>
    </row>
    <row r="1234" spans="1:10">
      <c r="A1234" s="13" t="s">
        <v>1609</v>
      </c>
      <c r="B1234" s="14" t="s">
        <v>1610</v>
      </c>
      <c r="C1234" s="15" t="s">
        <v>72</v>
      </c>
      <c r="D1234" s="16"/>
      <c r="E1234" s="2">
        <v>8730587.2699999996</v>
      </c>
      <c r="F1234" s="23">
        <v>0.41878682807095979</v>
      </c>
      <c r="G1234" s="26">
        <v>3656254.95</v>
      </c>
      <c r="H1234" t="s">
        <v>68</v>
      </c>
      <c r="I1234" s="69"/>
      <c r="J1234" s="69"/>
    </row>
    <row r="1235" spans="1:10">
      <c r="A1235" s="19" t="s">
        <v>1611</v>
      </c>
      <c r="B1235" s="20" t="s">
        <v>1612</v>
      </c>
      <c r="C1235" s="19" t="s">
        <v>72</v>
      </c>
      <c r="D1235" s="20"/>
      <c r="E1235" s="3">
        <v>38036358.719999999</v>
      </c>
      <c r="F1235" s="24">
        <v>0.21428539676996716</v>
      </c>
      <c r="G1235" s="26">
        <v>8150636.2199999997</v>
      </c>
      <c r="H1235" t="s">
        <v>68</v>
      </c>
      <c r="I1235" s="69"/>
      <c r="J1235" s="69"/>
    </row>
    <row r="1236" spans="1:10">
      <c r="A1236" s="13" t="s">
        <v>1613</v>
      </c>
      <c r="B1236" s="14" t="s">
        <v>1614</v>
      </c>
      <c r="C1236" s="15" t="s">
        <v>72</v>
      </c>
      <c r="D1236" s="16"/>
      <c r="E1236" s="2">
        <v>1295633.67</v>
      </c>
      <c r="F1236" s="23">
        <v>0.36019239141878739</v>
      </c>
      <c r="G1236" s="26">
        <v>466677.39</v>
      </c>
      <c r="H1236" t="s">
        <v>68</v>
      </c>
      <c r="I1236" s="69"/>
      <c r="J1236" s="69"/>
    </row>
    <row r="1237" spans="1:10">
      <c r="A1237" s="17" t="s">
        <v>1615</v>
      </c>
      <c r="B1237" s="21" t="s">
        <v>1616</v>
      </c>
      <c r="C1237" s="19" t="s">
        <v>72</v>
      </c>
      <c r="D1237" s="20"/>
      <c r="E1237" s="3">
        <v>23334740.719999999</v>
      </c>
      <c r="F1237" s="24">
        <v>0.36978656259952652</v>
      </c>
      <c r="G1237" s="26">
        <v>8628873.5600000005</v>
      </c>
      <c r="H1237" t="s">
        <v>68</v>
      </c>
      <c r="I1237" s="69"/>
      <c r="J1237" s="69"/>
    </row>
    <row r="1238" spans="1:10">
      <c r="A1238" s="15" t="s">
        <v>1617</v>
      </c>
      <c r="B1238" s="16" t="s">
        <v>1618</v>
      </c>
      <c r="C1238" s="15" t="s">
        <v>72</v>
      </c>
      <c r="D1238" s="16"/>
      <c r="E1238" s="2">
        <v>10656779.35</v>
      </c>
      <c r="F1238" s="23">
        <v>0.28012899882364556</v>
      </c>
      <c r="G1238" s="26">
        <v>2985272.93</v>
      </c>
      <c r="H1238" t="s">
        <v>68</v>
      </c>
      <c r="I1238" s="69"/>
      <c r="J1238" s="69"/>
    </row>
    <row r="1239" spans="1:10">
      <c r="A1239" s="17" t="s">
        <v>1619</v>
      </c>
      <c r="B1239" s="21" t="s">
        <v>1620</v>
      </c>
      <c r="C1239" s="19" t="s">
        <v>72</v>
      </c>
      <c r="D1239" s="20"/>
      <c r="E1239" s="3">
        <v>9036139.3399999999</v>
      </c>
      <c r="F1239" s="24">
        <v>0.44866648990828867</v>
      </c>
      <c r="G1239" s="26">
        <v>4054212.9200000004</v>
      </c>
      <c r="H1239" t="s">
        <v>68</v>
      </c>
      <c r="I1239" s="69" t="s">
        <v>1914</v>
      </c>
      <c r="J1239" s="69"/>
    </row>
    <row r="1240" spans="1:10">
      <c r="A1240" s="17" t="s">
        <v>1802</v>
      </c>
      <c r="B1240" s="21" t="s">
        <v>1803</v>
      </c>
      <c r="C1240" s="19" t="s">
        <v>72</v>
      </c>
      <c r="D1240" s="20"/>
      <c r="E1240" s="3">
        <v>15517674.18</v>
      </c>
      <c r="F1240" s="24">
        <v>0.62199798810313722</v>
      </c>
      <c r="G1240" s="26">
        <v>9651962.1199999992</v>
      </c>
      <c r="H1240" t="s">
        <v>68</v>
      </c>
      <c r="I1240" s="66">
        <f>SUM(G622:G1240)</f>
        <v>8497940933.8600073</v>
      </c>
    </row>
    <row r="1241" spans="1:10">
      <c r="A1241" s="15" t="s">
        <v>152</v>
      </c>
      <c r="B1241" s="16" t="s">
        <v>153</v>
      </c>
      <c r="C1241" s="15" t="s">
        <v>73</v>
      </c>
      <c r="D1241" s="16"/>
      <c r="E1241" s="2">
        <v>13272749.470000001</v>
      </c>
      <c r="F1241" s="23">
        <v>0.45174676607528857</v>
      </c>
      <c r="G1241" s="26">
        <v>5995921.6500000004</v>
      </c>
      <c r="H1241" t="s">
        <v>68</v>
      </c>
    </row>
    <row r="1242" spans="1:10">
      <c r="A1242" s="13" t="s">
        <v>256</v>
      </c>
      <c r="B1242" s="22" t="s">
        <v>257</v>
      </c>
      <c r="C1242" s="15" t="s">
        <v>73</v>
      </c>
      <c r="D1242" s="16"/>
      <c r="E1242" s="2">
        <v>204904.7</v>
      </c>
      <c r="F1242" s="23">
        <v>0.2679523700530051</v>
      </c>
      <c r="G1242" s="26">
        <v>54904.7</v>
      </c>
      <c r="H1242" t="s">
        <v>68</v>
      </c>
    </row>
    <row r="1243" spans="1:10">
      <c r="A1243" s="17" t="s">
        <v>258</v>
      </c>
      <c r="B1243" s="18" t="s">
        <v>259</v>
      </c>
      <c r="C1243" s="19" t="s">
        <v>73</v>
      </c>
      <c r="D1243" s="20"/>
      <c r="E1243" s="3">
        <v>205403.19</v>
      </c>
      <c r="F1243" s="24">
        <v>0.26972896574780558</v>
      </c>
      <c r="G1243" s="26">
        <v>55403.19</v>
      </c>
      <c r="H1243" t="s">
        <v>68</v>
      </c>
    </row>
    <row r="1244" spans="1:10">
      <c r="A1244" s="15" t="s">
        <v>260</v>
      </c>
      <c r="B1244" s="16" t="s">
        <v>261</v>
      </c>
      <c r="C1244" s="15" t="s">
        <v>73</v>
      </c>
      <c r="D1244" s="16"/>
      <c r="E1244" s="2">
        <v>204907.09</v>
      </c>
      <c r="F1244" s="23">
        <v>0.26796090852688403</v>
      </c>
      <c r="G1244" s="26">
        <v>54907.09</v>
      </c>
      <c r="H1244" t="s">
        <v>68</v>
      </c>
    </row>
    <row r="1245" spans="1:10">
      <c r="A1245" s="17" t="s">
        <v>358</v>
      </c>
      <c r="B1245" s="18" t="s">
        <v>359</v>
      </c>
      <c r="C1245" s="19" t="s">
        <v>73</v>
      </c>
      <c r="D1245" s="20"/>
      <c r="E1245" s="3">
        <v>307911048.30000001</v>
      </c>
      <c r="F1245" s="24">
        <v>0.50368861122804998</v>
      </c>
      <c r="G1245" s="26">
        <v>155091288.30000001</v>
      </c>
      <c r="H1245" t="s">
        <v>68</v>
      </c>
    </row>
    <row r="1246" spans="1:10">
      <c r="A1246" s="13" t="s">
        <v>360</v>
      </c>
      <c r="B1246" s="22" t="s">
        <v>361</v>
      </c>
      <c r="C1246" s="15" t="s">
        <v>73</v>
      </c>
      <c r="D1246" s="16"/>
      <c r="E1246" s="2">
        <v>30321614.07</v>
      </c>
      <c r="F1246" s="23">
        <v>0.58523288005162588</v>
      </c>
      <c r="G1246" s="26">
        <v>17745205.530000001</v>
      </c>
      <c r="H1246" t="s">
        <v>68</v>
      </c>
    </row>
    <row r="1247" spans="1:10">
      <c r="A1247" s="19" t="s">
        <v>362</v>
      </c>
      <c r="B1247" s="20" t="s">
        <v>363</v>
      </c>
      <c r="C1247" s="19" t="s">
        <v>73</v>
      </c>
      <c r="D1247" s="20"/>
      <c r="E1247" s="3">
        <v>32742400.109999999</v>
      </c>
      <c r="F1247" s="24">
        <v>0.38466511549815641</v>
      </c>
      <c r="G1247" s="26">
        <v>12594859.119999999</v>
      </c>
      <c r="H1247" t="s">
        <v>68</v>
      </c>
    </row>
    <row r="1248" spans="1:10">
      <c r="A1248" s="13" t="s">
        <v>364</v>
      </c>
      <c r="B1248" s="22" t="s">
        <v>365</v>
      </c>
      <c r="C1248" s="15" t="s">
        <v>73</v>
      </c>
      <c r="D1248" s="16"/>
      <c r="E1248" s="2">
        <v>40237484.840000004</v>
      </c>
      <c r="F1248" s="23">
        <v>0.57877038196108077</v>
      </c>
      <c r="G1248" s="26">
        <v>23288264.469999999</v>
      </c>
      <c r="H1248" t="s">
        <v>68</v>
      </c>
    </row>
    <row r="1249" spans="1:8">
      <c r="A1249" s="17" t="s">
        <v>366</v>
      </c>
      <c r="B1249" s="18" t="s">
        <v>367</v>
      </c>
      <c r="C1249" s="19" t="s">
        <v>73</v>
      </c>
      <c r="D1249" s="20"/>
      <c r="E1249" s="3">
        <v>29275566.309999999</v>
      </c>
      <c r="F1249" s="24">
        <v>0.33669090789314948</v>
      </c>
      <c r="G1249" s="26">
        <v>9856817</v>
      </c>
      <c r="H1249" t="s">
        <v>68</v>
      </c>
    </row>
    <row r="1250" spans="1:8">
      <c r="A1250" s="15" t="s">
        <v>368</v>
      </c>
      <c r="B1250" s="16" t="s">
        <v>369</v>
      </c>
      <c r="C1250" s="15" t="s">
        <v>73</v>
      </c>
      <c r="D1250" s="16"/>
      <c r="E1250" s="2">
        <v>42958715.689999998</v>
      </c>
      <c r="F1250" s="23">
        <v>0.51743284111201504</v>
      </c>
      <c r="G1250" s="26">
        <v>22228250.309999995</v>
      </c>
      <c r="H1250" t="s">
        <v>68</v>
      </c>
    </row>
    <row r="1251" spans="1:8">
      <c r="A1251" s="17" t="s">
        <v>370</v>
      </c>
      <c r="B1251" s="18" t="s">
        <v>371</v>
      </c>
      <c r="C1251" s="19" t="s">
        <v>73</v>
      </c>
      <c r="D1251" s="20"/>
      <c r="E1251" s="3">
        <v>26540939.359999999</v>
      </c>
      <c r="F1251" s="24">
        <v>0.25473110722634196</v>
      </c>
      <c r="G1251" s="26">
        <v>6760802.8699999992</v>
      </c>
      <c r="H1251" t="s">
        <v>68</v>
      </c>
    </row>
    <row r="1252" spans="1:8">
      <c r="A1252" s="13" t="s">
        <v>372</v>
      </c>
      <c r="B1252" s="22" t="s">
        <v>373</v>
      </c>
      <c r="C1252" s="15" t="s">
        <v>73</v>
      </c>
      <c r="D1252" s="16"/>
      <c r="E1252" s="2">
        <v>32237838.699999999</v>
      </c>
      <c r="F1252" s="23">
        <v>0.12665308887472038</v>
      </c>
      <c r="G1252" s="26">
        <v>4083021.85</v>
      </c>
      <c r="H1252" t="s">
        <v>68</v>
      </c>
    </row>
    <row r="1253" spans="1:8">
      <c r="A1253" s="19" t="s">
        <v>374</v>
      </c>
      <c r="B1253" s="20" t="s">
        <v>587</v>
      </c>
      <c r="C1253" s="19" t="s">
        <v>73</v>
      </c>
      <c r="D1253" s="20"/>
      <c r="E1253" s="3">
        <v>48210983.43</v>
      </c>
      <c r="F1253" s="24">
        <v>0.20652347684333475</v>
      </c>
      <c r="G1253" s="26">
        <v>9956699.9199999999</v>
      </c>
      <c r="H1253" t="s">
        <v>68</v>
      </c>
    </row>
    <row r="1254" spans="1:8">
      <c r="A1254" s="13" t="s">
        <v>588</v>
      </c>
      <c r="B1254" s="22" t="s">
        <v>589</v>
      </c>
      <c r="C1254" s="15" t="s">
        <v>73</v>
      </c>
      <c r="D1254" s="16"/>
      <c r="E1254" s="2">
        <v>15106600.300000001</v>
      </c>
      <c r="F1254" s="23">
        <v>0.65613657627520594</v>
      </c>
      <c r="G1254" s="26">
        <v>9911993</v>
      </c>
      <c r="H1254" t="s">
        <v>68</v>
      </c>
    </row>
    <row r="1255" spans="1:8">
      <c r="A1255" s="17" t="s">
        <v>590</v>
      </c>
      <c r="B1255" s="18" t="s">
        <v>591</v>
      </c>
      <c r="C1255" s="19" t="s">
        <v>73</v>
      </c>
      <c r="D1255" s="20"/>
      <c r="E1255" s="3">
        <v>22731351.550000001</v>
      </c>
      <c r="F1255" s="24">
        <v>0.55426332667843492</v>
      </c>
      <c r="G1255" s="26">
        <v>12599154.529999997</v>
      </c>
      <c r="H1255" t="s">
        <v>68</v>
      </c>
    </row>
    <row r="1256" spans="1:8">
      <c r="A1256" s="15" t="s">
        <v>592</v>
      </c>
      <c r="B1256" s="16" t="s">
        <v>593</v>
      </c>
      <c r="C1256" s="15" t="s">
        <v>73</v>
      </c>
      <c r="D1256" s="16"/>
      <c r="E1256" s="2">
        <v>19764606.469999999</v>
      </c>
      <c r="F1256" s="23">
        <v>0.48533743814024954</v>
      </c>
      <c r="G1256" s="26">
        <v>9592503.4700000007</v>
      </c>
      <c r="H1256" t="s">
        <v>68</v>
      </c>
    </row>
    <row r="1257" spans="1:8">
      <c r="A1257" s="17" t="s">
        <v>594</v>
      </c>
      <c r="B1257" s="18" t="s">
        <v>595</v>
      </c>
      <c r="C1257" s="19" t="s">
        <v>73</v>
      </c>
      <c r="D1257" s="20"/>
      <c r="E1257" s="3">
        <v>10690220.98</v>
      </c>
      <c r="F1257" s="24">
        <v>0.37124538654765954</v>
      </c>
      <c r="G1257" s="26">
        <v>3968695.2199999997</v>
      </c>
      <c r="H1257" t="s">
        <v>68</v>
      </c>
    </row>
    <row r="1258" spans="1:8">
      <c r="A1258" s="13" t="s">
        <v>596</v>
      </c>
      <c r="B1258" s="22" t="s">
        <v>597</v>
      </c>
      <c r="C1258" s="15" t="s">
        <v>73</v>
      </c>
      <c r="D1258" s="16"/>
      <c r="E1258" s="2">
        <v>90945144.790000007</v>
      </c>
      <c r="F1258" s="23">
        <v>0.17069653070371452</v>
      </c>
      <c r="G1258" s="26">
        <v>15524020.699999999</v>
      </c>
      <c r="H1258" t="s">
        <v>68</v>
      </c>
    </row>
    <row r="1259" spans="1:8">
      <c r="A1259" s="19" t="s">
        <v>598</v>
      </c>
      <c r="B1259" s="20" t="s">
        <v>599</v>
      </c>
      <c r="C1259" s="19" t="s">
        <v>73</v>
      </c>
      <c r="D1259" s="20"/>
      <c r="E1259" s="3">
        <v>31536525.390000001</v>
      </c>
      <c r="F1259" s="24">
        <v>0.20008243178244439</v>
      </c>
      <c r="G1259" s="26">
        <v>6309904.6900000004</v>
      </c>
      <c r="H1259" t="s">
        <v>68</v>
      </c>
    </row>
    <row r="1260" spans="1:8">
      <c r="A1260" s="13" t="s">
        <v>600</v>
      </c>
      <c r="B1260" s="22" t="s">
        <v>601</v>
      </c>
      <c r="C1260" s="15" t="s">
        <v>73</v>
      </c>
      <c r="D1260" s="16"/>
      <c r="E1260" s="2">
        <v>30994229.449999999</v>
      </c>
      <c r="F1260" s="23">
        <v>0.29564111457528103</v>
      </c>
      <c r="G1260" s="26">
        <v>9163168.5399999991</v>
      </c>
      <c r="H1260" t="s">
        <v>68</v>
      </c>
    </row>
    <row r="1261" spans="1:8">
      <c r="A1261" s="17" t="s">
        <v>602</v>
      </c>
      <c r="B1261" s="18" t="s">
        <v>603</v>
      </c>
      <c r="C1261" s="19" t="s">
        <v>73</v>
      </c>
      <c r="D1261" s="20"/>
      <c r="E1261" s="3">
        <v>48468462.549999997</v>
      </c>
      <c r="F1261" s="24">
        <v>0.21414571525335088</v>
      </c>
      <c r="G1261" s="26">
        <v>10379313.58</v>
      </c>
      <c r="H1261" t="s">
        <v>68</v>
      </c>
    </row>
    <row r="1262" spans="1:8">
      <c r="A1262" s="15" t="s">
        <v>604</v>
      </c>
      <c r="B1262" s="16" t="s">
        <v>605</v>
      </c>
      <c r="C1262" s="15" t="s">
        <v>73</v>
      </c>
      <c r="D1262" s="16"/>
      <c r="E1262" s="2">
        <v>13468889.23</v>
      </c>
      <c r="F1262" s="23">
        <v>0.15284498482730485</v>
      </c>
      <c r="G1262" s="26">
        <v>2058652.17</v>
      </c>
      <c r="H1262" t="s">
        <v>68</v>
      </c>
    </row>
    <row r="1263" spans="1:8">
      <c r="A1263" s="17" t="s">
        <v>606</v>
      </c>
      <c r="B1263" s="18" t="s">
        <v>607</v>
      </c>
      <c r="C1263" s="19" t="s">
        <v>73</v>
      </c>
      <c r="D1263" s="20"/>
      <c r="E1263" s="3">
        <v>59778905.079999998</v>
      </c>
      <c r="F1263" s="24">
        <v>0.4398921066688764</v>
      </c>
      <c r="G1263" s="26">
        <v>26296268.489999998</v>
      </c>
      <c r="H1263" t="s">
        <v>68</v>
      </c>
    </row>
    <row r="1264" spans="1:8">
      <c r="A1264" s="13" t="s">
        <v>608</v>
      </c>
      <c r="B1264" s="22" t="s">
        <v>609</v>
      </c>
      <c r="C1264" s="15" t="s">
        <v>73</v>
      </c>
      <c r="D1264" s="16"/>
      <c r="E1264" s="2">
        <v>18066404.300000001</v>
      </c>
      <c r="F1264" s="23">
        <v>0.39266929944659767</v>
      </c>
      <c r="G1264" s="26">
        <v>7094122.3200000003</v>
      </c>
      <c r="H1264" t="s">
        <v>68</v>
      </c>
    </row>
    <row r="1265" spans="1:12">
      <c r="A1265" s="19" t="s">
        <v>610</v>
      </c>
      <c r="B1265" s="20" t="s">
        <v>611</v>
      </c>
      <c r="C1265" s="19" t="s">
        <v>73</v>
      </c>
      <c r="D1265" s="20"/>
      <c r="E1265" s="3">
        <v>17173797.93</v>
      </c>
      <c r="F1265" s="24">
        <v>0.49014641923180008</v>
      </c>
      <c r="G1265" s="26">
        <v>8417675.5600000005</v>
      </c>
      <c r="H1265" t="s">
        <v>68</v>
      </c>
    </row>
    <row r="1266" spans="1:12">
      <c r="A1266" s="13" t="s">
        <v>612</v>
      </c>
      <c r="B1266" s="22" t="s">
        <v>613</v>
      </c>
      <c r="C1266" s="15" t="s">
        <v>73</v>
      </c>
      <c r="D1266" s="16"/>
      <c r="E1266" s="2">
        <v>20526336.670000002</v>
      </c>
      <c r="F1266" s="23">
        <v>0.63279508997744605</v>
      </c>
      <c r="G1266" s="26">
        <v>12988965.060000001</v>
      </c>
      <c r="H1266" t="s">
        <v>68</v>
      </c>
    </row>
    <row r="1267" spans="1:12">
      <c r="A1267" s="17" t="s">
        <v>614</v>
      </c>
      <c r="B1267" s="18" t="s">
        <v>394</v>
      </c>
      <c r="C1267" s="19" t="s">
        <v>73</v>
      </c>
      <c r="D1267" s="20"/>
      <c r="E1267" s="3">
        <v>13929004.85</v>
      </c>
      <c r="F1267" s="24">
        <v>0.71862495474685695</v>
      </c>
      <c r="G1267" s="26">
        <v>10009730.48</v>
      </c>
      <c r="H1267" t="s">
        <v>68</v>
      </c>
    </row>
    <row r="1268" spans="1:12">
      <c r="A1268" s="15" t="s">
        <v>395</v>
      </c>
      <c r="B1268" s="16" t="s">
        <v>396</v>
      </c>
      <c r="C1268" s="15" t="s">
        <v>73</v>
      </c>
      <c r="D1268" s="16"/>
      <c r="E1268" s="2">
        <v>116056861.73</v>
      </c>
      <c r="F1268" s="23">
        <v>0.57581526653262538</v>
      </c>
      <c r="G1268" s="26">
        <v>66827312.770000003</v>
      </c>
      <c r="H1268" t="s">
        <v>68</v>
      </c>
    </row>
    <row r="1269" spans="1:12">
      <c r="A1269" s="17" t="s">
        <v>397</v>
      </c>
      <c r="B1269" s="18" t="s">
        <v>398</v>
      </c>
      <c r="C1269" s="19" t="s">
        <v>73</v>
      </c>
      <c r="D1269" s="20"/>
      <c r="E1269" s="3">
        <v>30424849.309999999</v>
      </c>
      <c r="F1269" s="24">
        <v>0.39810892295919809</v>
      </c>
      <c r="G1269" s="26">
        <v>12112403.99</v>
      </c>
      <c r="H1269" t="s">
        <v>68</v>
      </c>
    </row>
    <row r="1270" spans="1:12">
      <c r="A1270" s="13" t="s">
        <v>399</v>
      </c>
      <c r="B1270" s="22" t="s">
        <v>400</v>
      </c>
      <c r="C1270" s="15" t="s">
        <v>73</v>
      </c>
      <c r="D1270" s="16"/>
      <c r="E1270" s="2">
        <v>74911637.209999993</v>
      </c>
      <c r="F1270" s="23">
        <v>0.24204840496503685</v>
      </c>
      <c r="G1270" s="26">
        <v>18132242.300000001</v>
      </c>
      <c r="H1270" t="s">
        <v>68</v>
      </c>
    </row>
    <row r="1271" spans="1:12">
      <c r="A1271" s="19" t="s">
        <v>401</v>
      </c>
      <c r="B1271" s="20" t="s">
        <v>402</v>
      </c>
      <c r="C1271" s="19" t="s">
        <v>73</v>
      </c>
      <c r="D1271" s="20"/>
      <c r="E1271" s="3">
        <v>29309539.07</v>
      </c>
      <c r="F1271" s="24">
        <v>0.40305766807816268</v>
      </c>
      <c r="G1271" s="26">
        <v>11813434.470000001</v>
      </c>
      <c r="H1271" t="s">
        <v>68</v>
      </c>
    </row>
    <row r="1272" spans="1:12">
      <c r="A1272" s="13" t="s">
        <v>403</v>
      </c>
      <c r="B1272" s="22" t="s">
        <v>404</v>
      </c>
      <c r="C1272" s="15" t="s">
        <v>73</v>
      </c>
      <c r="D1272" s="16"/>
      <c r="E1272" s="2">
        <v>455397346.29000002</v>
      </c>
      <c r="F1272" s="23">
        <v>0.29509054546493496</v>
      </c>
      <c r="G1272" s="26">
        <v>134383451.31999999</v>
      </c>
      <c r="H1272" t="s">
        <v>68</v>
      </c>
    </row>
    <row r="1273" spans="1:12">
      <c r="A1273" s="17" t="s">
        <v>405</v>
      </c>
      <c r="B1273" s="18" t="s">
        <v>406</v>
      </c>
      <c r="C1273" s="19" t="s">
        <v>73</v>
      </c>
      <c r="D1273" s="20"/>
      <c r="E1273" s="3">
        <v>22744503.600000001</v>
      </c>
      <c r="F1273" s="24">
        <v>0.46315926938937457</v>
      </c>
      <c r="G1273" s="26">
        <v>10534327.67</v>
      </c>
      <c r="H1273" t="s">
        <v>68</v>
      </c>
    </row>
    <row r="1274" spans="1:12">
      <c r="A1274" s="15" t="s">
        <v>407</v>
      </c>
      <c r="B1274" s="16" t="s">
        <v>408</v>
      </c>
      <c r="C1274" s="15" t="s">
        <v>73</v>
      </c>
      <c r="D1274" s="16"/>
      <c r="E1274" s="2">
        <v>18569454.02</v>
      </c>
      <c r="F1274" s="23">
        <v>0.6544377829801159</v>
      </c>
      <c r="G1274" s="26">
        <v>12152552.32</v>
      </c>
      <c r="H1274" t="s">
        <v>68</v>
      </c>
    </row>
    <row r="1275" spans="1:12">
      <c r="A1275" s="82" t="s">
        <v>409</v>
      </c>
      <c r="B1275" s="83" t="s">
        <v>410</v>
      </c>
      <c r="C1275" s="84" t="s">
        <v>73</v>
      </c>
      <c r="D1275" s="85"/>
      <c r="E1275" s="86">
        <v>711491489.63</v>
      </c>
      <c r="F1275" s="87">
        <v>0.51412033282397307</v>
      </c>
      <c r="G1275" s="88">
        <f>365792241.45-580256</f>
        <v>365211985.44999999</v>
      </c>
      <c r="H1275" s="68" t="s">
        <v>68</v>
      </c>
      <c r="I1275" s="112" t="s">
        <v>2012</v>
      </c>
      <c r="J1275" s="68"/>
      <c r="K1275" s="68"/>
      <c r="L1275" s="68" t="s">
        <v>1814</v>
      </c>
    </row>
    <row r="1276" spans="1:12">
      <c r="A1276" s="13" t="s">
        <v>411</v>
      </c>
      <c r="B1276" s="22" t="s">
        <v>412</v>
      </c>
      <c r="C1276" s="15" t="s">
        <v>73</v>
      </c>
      <c r="D1276" s="16"/>
      <c r="E1276" s="2">
        <v>98409786.879999995</v>
      </c>
      <c r="F1276" s="23">
        <v>0.28816266846080585</v>
      </c>
      <c r="G1276" s="26">
        <v>28358026.789999999</v>
      </c>
      <c r="H1276" t="s">
        <v>68</v>
      </c>
    </row>
    <row r="1277" spans="1:12">
      <c r="A1277" s="19" t="s">
        <v>413</v>
      </c>
      <c r="B1277" s="20" t="s">
        <v>414</v>
      </c>
      <c r="C1277" s="19" t="s">
        <v>73</v>
      </c>
      <c r="D1277" s="20"/>
      <c r="E1277" s="3">
        <v>696640716.53999996</v>
      </c>
      <c r="F1277" s="24">
        <v>0.32360535891395292</v>
      </c>
      <c r="G1277" s="26">
        <v>225436669.11000001</v>
      </c>
      <c r="H1277" t="s">
        <v>68</v>
      </c>
    </row>
    <row r="1278" spans="1:12">
      <c r="A1278" s="13" t="s">
        <v>415</v>
      </c>
      <c r="B1278" s="22" t="s">
        <v>416</v>
      </c>
      <c r="C1278" s="15" t="s">
        <v>73</v>
      </c>
      <c r="D1278" s="16"/>
      <c r="E1278" s="2">
        <v>19640706.07</v>
      </c>
      <c r="F1278" s="23">
        <v>0.60849415735897727</v>
      </c>
      <c r="G1278" s="26">
        <v>11951254.890000001</v>
      </c>
      <c r="H1278" t="s">
        <v>68</v>
      </c>
    </row>
    <row r="1279" spans="1:12">
      <c r="A1279" s="17" t="s">
        <v>417</v>
      </c>
      <c r="B1279" s="18" t="s">
        <v>418</v>
      </c>
      <c r="C1279" s="19" t="s">
        <v>73</v>
      </c>
      <c r="D1279" s="20"/>
      <c r="E1279" s="3">
        <v>16690161.66</v>
      </c>
      <c r="F1279" s="24">
        <v>0.53880509387468689</v>
      </c>
      <c r="G1279" s="26">
        <v>8992744.1199999992</v>
      </c>
      <c r="H1279" t="s">
        <v>68</v>
      </c>
    </row>
    <row r="1280" spans="1:12">
      <c r="A1280" s="15" t="s">
        <v>419</v>
      </c>
      <c r="B1280" s="16" t="s">
        <v>420</v>
      </c>
      <c r="C1280" s="15" t="s">
        <v>73</v>
      </c>
      <c r="D1280" s="16"/>
      <c r="E1280" s="2">
        <v>46276611.859999999</v>
      </c>
      <c r="F1280" s="23">
        <v>0.32110555295091131</v>
      </c>
      <c r="G1280" s="26">
        <v>14859677.040000001</v>
      </c>
      <c r="H1280" t="s">
        <v>68</v>
      </c>
    </row>
    <row r="1281" spans="1:12">
      <c r="A1281" s="82" t="s">
        <v>421</v>
      </c>
      <c r="B1281" s="83" t="s">
        <v>422</v>
      </c>
      <c r="C1281" s="84" t="s">
        <v>73</v>
      </c>
      <c r="D1281" s="85"/>
      <c r="E1281" s="86">
        <v>209025743.63999999</v>
      </c>
      <c r="F1281" s="87">
        <v>0.444428325010503</v>
      </c>
      <c r="G1281" s="88">
        <f>92896961.13-575495</f>
        <v>92321466.129999995</v>
      </c>
      <c r="H1281" s="68" t="s">
        <v>68</v>
      </c>
      <c r="I1281" s="112" t="s">
        <v>2011</v>
      </c>
      <c r="J1281" s="68"/>
      <c r="K1281" s="68"/>
      <c r="L1281" s="68" t="s">
        <v>1812</v>
      </c>
    </row>
    <row r="1282" spans="1:12">
      <c r="A1282" s="13" t="s">
        <v>423</v>
      </c>
      <c r="B1282" s="22" t="s">
        <v>424</v>
      </c>
      <c r="C1282" s="15" t="s">
        <v>73</v>
      </c>
      <c r="D1282" s="16"/>
      <c r="E1282" s="2">
        <v>14444274.01</v>
      </c>
      <c r="F1282" s="23">
        <v>0.31196384788050691</v>
      </c>
      <c r="G1282" s="26">
        <v>4506091.3</v>
      </c>
      <c r="H1282" t="s">
        <v>68</v>
      </c>
    </row>
    <row r="1283" spans="1:12">
      <c r="A1283" s="19" t="s">
        <v>425</v>
      </c>
      <c r="B1283" s="20" t="s">
        <v>426</v>
      </c>
      <c r="C1283" s="19" t="s">
        <v>73</v>
      </c>
      <c r="D1283" s="20"/>
      <c r="E1283" s="3">
        <v>22578644.68</v>
      </c>
      <c r="F1283" s="24">
        <v>0.51978676870696916</v>
      </c>
      <c r="G1283" s="26">
        <v>11736080.76</v>
      </c>
      <c r="H1283" t="s">
        <v>68</v>
      </c>
    </row>
    <row r="1284" spans="1:12">
      <c r="A1284" s="13" t="s">
        <v>427</v>
      </c>
      <c r="B1284" s="22" t="s">
        <v>428</v>
      </c>
      <c r="C1284" s="15" t="s">
        <v>73</v>
      </c>
      <c r="D1284" s="16"/>
      <c r="E1284" s="2">
        <v>40689416.700000003</v>
      </c>
      <c r="F1284" s="23">
        <v>0.35427826985782274</v>
      </c>
      <c r="G1284" s="26">
        <v>14415376.15</v>
      </c>
      <c r="H1284" t="s">
        <v>68</v>
      </c>
    </row>
    <row r="1285" spans="1:12">
      <c r="A1285" s="17" t="s">
        <v>429</v>
      </c>
      <c r="B1285" s="18" t="s">
        <v>430</v>
      </c>
      <c r="C1285" s="19" t="s">
        <v>73</v>
      </c>
      <c r="D1285" s="20"/>
      <c r="E1285" s="3">
        <v>9189823.3000000007</v>
      </c>
      <c r="F1285" s="24">
        <v>0.34612567142613065</v>
      </c>
      <c r="G1285" s="26">
        <v>3180833.76</v>
      </c>
      <c r="H1285" t="s">
        <v>68</v>
      </c>
    </row>
    <row r="1286" spans="1:12">
      <c r="A1286" s="15" t="s">
        <v>431</v>
      </c>
      <c r="B1286" s="16" t="s">
        <v>432</v>
      </c>
      <c r="C1286" s="15" t="s">
        <v>73</v>
      </c>
      <c r="D1286" s="16"/>
      <c r="E1286" s="2">
        <v>20473083.920000002</v>
      </c>
      <c r="F1286" s="23">
        <v>0.37577310824601939</v>
      </c>
      <c r="G1286" s="26">
        <v>7693234.3799999999</v>
      </c>
      <c r="H1286" t="s">
        <v>68</v>
      </c>
    </row>
    <row r="1287" spans="1:12">
      <c r="A1287" s="17" t="s">
        <v>433</v>
      </c>
      <c r="B1287" s="18" t="s">
        <v>434</v>
      </c>
      <c r="C1287" s="19" t="s">
        <v>73</v>
      </c>
      <c r="D1287" s="20"/>
      <c r="E1287" s="3">
        <v>57785808.520000003</v>
      </c>
      <c r="F1287" s="24">
        <v>0.59402296686944411</v>
      </c>
      <c r="G1287" s="26">
        <v>34326097.420000002</v>
      </c>
      <c r="H1287" t="s">
        <v>68</v>
      </c>
    </row>
    <row r="1288" spans="1:12">
      <c r="A1288" s="13" t="s">
        <v>435</v>
      </c>
      <c r="B1288" s="22" t="s">
        <v>436</v>
      </c>
      <c r="C1288" s="15" t="s">
        <v>73</v>
      </c>
      <c r="D1288" s="16"/>
      <c r="E1288" s="2">
        <v>25065118.539999999</v>
      </c>
      <c r="F1288" s="23">
        <v>0.69434609464248731</v>
      </c>
      <c r="G1288" s="26">
        <v>17403867.170000002</v>
      </c>
      <c r="H1288" t="s">
        <v>68</v>
      </c>
    </row>
    <row r="1289" spans="1:12">
      <c r="A1289" s="19" t="s">
        <v>437</v>
      </c>
      <c r="B1289" s="20" t="s">
        <v>438</v>
      </c>
      <c r="C1289" s="19" t="s">
        <v>73</v>
      </c>
      <c r="D1289" s="20"/>
      <c r="E1289" s="3">
        <v>10582408.880000001</v>
      </c>
      <c r="F1289" s="24">
        <v>0.67010602788199958</v>
      </c>
      <c r="G1289" s="26">
        <v>7091335.9800000004</v>
      </c>
      <c r="H1289" t="s">
        <v>68</v>
      </c>
    </row>
    <row r="1290" spans="1:12">
      <c r="A1290" s="13" t="s">
        <v>439</v>
      </c>
      <c r="B1290" s="22" t="s">
        <v>440</v>
      </c>
      <c r="C1290" s="15" t="s">
        <v>73</v>
      </c>
      <c r="D1290" s="16"/>
      <c r="E1290" s="2">
        <v>19925240.859999999</v>
      </c>
      <c r="F1290" s="23">
        <v>0.44195620629501386</v>
      </c>
      <c r="G1290" s="26">
        <v>8806083.8599999994</v>
      </c>
      <c r="H1290" t="s">
        <v>68</v>
      </c>
    </row>
    <row r="1291" spans="1:12">
      <c r="A1291" s="17" t="s">
        <v>441</v>
      </c>
      <c r="B1291" s="18" t="s">
        <v>442</v>
      </c>
      <c r="C1291" s="19" t="s">
        <v>73</v>
      </c>
      <c r="D1291" s="20"/>
      <c r="E1291" s="3">
        <v>76055634</v>
      </c>
      <c r="F1291" s="24">
        <v>0.42645452340848278</v>
      </c>
      <c r="G1291" s="26">
        <v>32434269.149999999</v>
      </c>
      <c r="H1291" t="s">
        <v>68</v>
      </c>
    </row>
    <row r="1292" spans="1:12">
      <c r="A1292" s="15" t="s">
        <v>443</v>
      </c>
      <c r="B1292" s="16" t="s">
        <v>444</v>
      </c>
      <c r="C1292" s="15" t="s">
        <v>73</v>
      </c>
      <c r="D1292" s="16"/>
      <c r="E1292" s="2">
        <v>75583917.049999997</v>
      </c>
      <c r="F1292" s="23">
        <v>0.3834338223147169</v>
      </c>
      <c r="G1292" s="26">
        <v>28981430.219999999</v>
      </c>
      <c r="H1292" t="s">
        <v>68</v>
      </c>
    </row>
    <row r="1293" spans="1:12">
      <c r="A1293" s="17" t="s">
        <v>445</v>
      </c>
      <c r="B1293" s="18" t="s">
        <v>446</v>
      </c>
      <c r="C1293" s="19" t="s">
        <v>73</v>
      </c>
      <c r="D1293" s="20"/>
      <c r="E1293" s="3">
        <v>40189558.159999996</v>
      </c>
      <c r="F1293" s="24">
        <v>0.46227263872960189</v>
      </c>
      <c r="G1293" s="26">
        <v>18578533.100000001</v>
      </c>
      <c r="H1293" t="s">
        <v>68</v>
      </c>
    </row>
    <row r="1294" spans="1:12">
      <c r="A1294" s="13" t="s">
        <v>447</v>
      </c>
      <c r="B1294" s="22" t="s">
        <v>448</v>
      </c>
      <c r="C1294" s="15" t="s">
        <v>73</v>
      </c>
      <c r="D1294" s="16"/>
      <c r="E1294" s="2">
        <v>21089156.25</v>
      </c>
      <c r="F1294" s="23">
        <v>0.19061832262729808</v>
      </c>
      <c r="G1294" s="26">
        <v>4019979.59</v>
      </c>
      <c r="H1294" t="s">
        <v>68</v>
      </c>
    </row>
    <row r="1295" spans="1:12">
      <c r="A1295" s="19" t="s">
        <v>449</v>
      </c>
      <c r="B1295" s="20" t="s">
        <v>450</v>
      </c>
      <c r="C1295" s="19" t="s">
        <v>73</v>
      </c>
      <c r="D1295" s="20"/>
      <c r="E1295" s="3">
        <v>59118390</v>
      </c>
      <c r="F1295" s="24">
        <v>0.39237593699693113</v>
      </c>
      <c r="G1295" s="26">
        <v>23196633.670000002</v>
      </c>
      <c r="H1295" t="s">
        <v>68</v>
      </c>
    </row>
    <row r="1296" spans="1:12">
      <c r="A1296" s="13" t="s">
        <v>451</v>
      </c>
      <c r="B1296" s="22" t="s">
        <v>452</v>
      </c>
      <c r="C1296" s="15" t="s">
        <v>73</v>
      </c>
      <c r="D1296" s="16"/>
      <c r="E1296" s="2">
        <v>23926241.140000001</v>
      </c>
      <c r="F1296" s="23">
        <v>0.46806418377508668</v>
      </c>
      <c r="G1296" s="26">
        <v>11199016.529999999</v>
      </c>
      <c r="H1296" t="s">
        <v>68</v>
      </c>
    </row>
    <row r="1297" spans="1:8">
      <c r="A1297" s="17" t="s">
        <v>453</v>
      </c>
      <c r="B1297" s="18" t="s">
        <v>454</v>
      </c>
      <c r="C1297" s="19" t="s">
        <v>73</v>
      </c>
      <c r="D1297" s="20"/>
      <c r="E1297" s="3">
        <v>28030840.309999999</v>
      </c>
      <c r="F1297" s="24">
        <v>0.41543464738178593</v>
      </c>
      <c r="G1297" s="26">
        <v>11644982.26</v>
      </c>
      <c r="H1297" t="s">
        <v>68</v>
      </c>
    </row>
    <row r="1298" spans="1:8">
      <c r="A1298" s="15" t="s">
        <v>455</v>
      </c>
      <c r="B1298" s="16" t="s">
        <v>456</v>
      </c>
      <c r="C1298" s="15" t="s">
        <v>73</v>
      </c>
      <c r="D1298" s="16"/>
      <c r="E1298" s="2">
        <v>38039247.960000001</v>
      </c>
      <c r="F1298" s="23">
        <v>0.38284563157804341</v>
      </c>
      <c r="G1298" s="26">
        <v>14563159.91</v>
      </c>
      <c r="H1298" t="s">
        <v>68</v>
      </c>
    </row>
    <row r="1299" spans="1:8">
      <c r="A1299" s="17" t="s">
        <v>457</v>
      </c>
      <c r="B1299" s="18" t="s">
        <v>458</v>
      </c>
      <c r="C1299" s="19" t="s">
        <v>73</v>
      </c>
      <c r="D1299" s="20"/>
      <c r="E1299" s="3">
        <v>17359661.91</v>
      </c>
      <c r="F1299" s="24">
        <v>0.55450601168994773</v>
      </c>
      <c r="G1299" s="26">
        <v>9626036.8900000006</v>
      </c>
      <c r="H1299" t="s">
        <v>68</v>
      </c>
    </row>
    <row r="1300" spans="1:8">
      <c r="A1300" s="13" t="s">
        <v>459</v>
      </c>
      <c r="B1300" s="22" t="s">
        <v>460</v>
      </c>
      <c r="C1300" s="15" t="s">
        <v>73</v>
      </c>
      <c r="D1300" s="16"/>
      <c r="E1300" s="2">
        <v>20089693.66</v>
      </c>
      <c r="F1300" s="23">
        <v>0.60179185081710196</v>
      </c>
      <c r="G1300" s="26">
        <v>12089813.93</v>
      </c>
      <c r="H1300" t="s">
        <v>68</v>
      </c>
    </row>
    <row r="1301" spans="1:8">
      <c r="A1301" s="19" t="s">
        <v>461</v>
      </c>
      <c r="B1301" s="20" t="s">
        <v>462</v>
      </c>
      <c r="C1301" s="19" t="s">
        <v>73</v>
      </c>
      <c r="D1301" s="20"/>
      <c r="E1301" s="3">
        <v>36662718.210000001</v>
      </c>
      <c r="F1301" s="24">
        <v>0.4713645998917329</v>
      </c>
      <c r="G1301" s="26">
        <v>17281507.5</v>
      </c>
      <c r="H1301" t="s">
        <v>68</v>
      </c>
    </row>
    <row r="1302" spans="1:8">
      <c r="A1302" s="13" t="s">
        <v>463</v>
      </c>
      <c r="B1302" s="22" t="s">
        <v>464</v>
      </c>
      <c r="C1302" s="15" t="s">
        <v>73</v>
      </c>
      <c r="D1302" s="16"/>
      <c r="E1302" s="2">
        <v>23166627.800000001</v>
      </c>
      <c r="F1302" s="23">
        <v>0.58137536659521938</v>
      </c>
      <c r="G1302" s="26">
        <v>13468506.73</v>
      </c>
      <c r="H1302" t="s">
        <v>68</v>
      </c>
    </row>
    <row r="1303" spans="1:8">
      <c r="A1303" s="17" t="s">
        <v>465</v>
      </c>
      <c r="B1303" s="18" t="s">
        <v>466</v>
      </c>
      <c r="C1303" s="19" t="s">
        <v>73</v>
      </c>
      <c r="D1303" s="20"/>
      <c r="E1303" s="3">
        <v>15469545.689999999</v>
      </c>
      <c r="F1303" s="24">
        <v>0.54729559546619111</v>
      </c>
      <c r="G1303" s="26">
        <v>8466414.2200000007</v>
      </c>
      <c r="H1303" t="s">
        <v>68</v>
      </c>
    </row>
    <row r="1304" spans="1:8">
      <c r="A1304" s="15" t="s">
        <v>467</v>
      </c>
      <c r="B1304" s="16" t="s">
        <v>468</v>
      </c>
      <c r="C1304" s="15" t="s">
        <v>73</v>
      </c>
      <c r="D1304" s="16"/>
      <c r="E1304" s="2">
        <v>15099765.460000001</v>
      </c>
      <c r="F1304" s="23">
        <v>0.22472107325036556</v>
      </c>
      <c r="G1304" s="26">
        <v>3393235.5</v>
      </c>
      <c r="H1304" t="s">
        <v>68</v>
      </c>
    </row>
    <row r="1305" spans="1:8">
      <c r="A1305" s="17" t="s">
        <v>469</v>
      </c>
      <c r="B1305" s="18" t="s">
        <v>470</v>
      </c>
      <c r="C1305" s="19" t="s">
        <v>73</v>
      </c>
      <c r="D1305" s="20"/>
      <c r="E1305" s="3">
        <v>41071987.07</v>
      </c>
      <c r="F1305" s="24">
        <v>0.39185465077621334</v>
      </c>
      <c r="G1305" s="26">
        <v>16094249.15</v>
      </c>
      <c r="H1305" t="s">
        <v>68</v>
      </c>
    </row>
    <row r="1306" spans="1:8">
      <c r="A1306" s="13" t="s">
        <v>471</v>
      </c>
      <c r="B1306" s="22" t="s">
        <v>472</v>
      </c>
      <c r="C1306" s="15" t="s">
        <v>73</v>
      </c>
      <c r="D1306" s="16"/>
      <c r="E1306" s="2">
        <v>26477148.899999999</v>
      </c>
      <c r="F1306" s="23">
        <v>0.48487892440715175</v>
      </c>
      <c r="G1306" s="26">
        <v>12838211.48</v>
      </c>
      <c r="H1306" t="s">
        <v>68</v>
      </c>
    </row>
    <row r="1307" spans="1:8">
      <c r="A1307" s="19" t="s">
        <v>473</v>
      </c>
      <c r="B1307" s="20" t="s">
        <v>474</v>
      </c>
      <c r="C1307" s="19" t="s">
        <v>73</v>
      </c>
      <c r="D1307" s="20"/>
      <c r="E1307" s="3">
        <v>81616180.319999993</v>
      </c>
      <c r="F1307" s="24">
        <v>0.61685274797971579</v>
      </c>
      <c r="G1307" s="26">
        <v>50345165.109999992</v>
      </c>
      <c r="H1307" t="s">
        <v>68</v>
      </c>
    </row>
    <row r="1308" spans="1:8">
      <c r="A1308" s="13" t="s">
        <v>475</v>
      </c>
      <c r="B1308" s="22" t="s">
        <v>476</v>
      </c>
      <c r="C1308" s="15" t="s">
        <v>73</v>
      </c>
      <c r="D1308" s="16"/>
      <c r="E1308" s="2">
        <v>13853473.76</v>
      </c>
      <c r="F1308" s="23">
        <v>0.3704801177607312</v>
      </c>
      <c r="G1308" s="26">
        <v>5132436.59</v>
      </c>
      <c r="H1308" t="s">
        <v>68</v>
      </c>
    </row>
    <row r="1309" spans="1:8">
      <c r="A1309" s="17" t="s">
        <v>477</v>
      </c>
      <c r="B1309" s="18" t="s">
        <v>478</v>
      </c>
      <c r="C1309" s="19" t="s">
        <v>73</v>
      </c>
      <c r="D1309" s="20"/>
      <c r="E1309" s="3">
        <v>23627362.699999999</v>
      </c>
      <c r="F1309" s="24">
        <v>0.52334000188688001</v>
      </c>
      <c r="G1309" s="26">
        <v>12365144.039999997</v>
      </c>
      <c r="H1309" t="s">
        <v>68</v>
      </c>
    </row>
    <row r="1310" spans="1:8">
      <c r="A1310" s="15" t="s">
        <v>479</v>
      </c>
      <c r="B1310" s="16" t="s">
        <v>698</v>
      </c>
      <c r="C1310" s="15" t="s">
        <v>73</v>
      </c>
      <c r="D1310" s="16"/>
      <c r="E1310" s="2">
        <v>15874233.560000001</v>
      </c>
      <c r="F1310" s="23">
        <v>0.26051349845453575</v>
      </c>
      <c r="G1310" s="26">
        <v>4135452.1199999996</v>
      </c>
      <c r="H1310" t="s">
        <v>68</v>
      </c>
    </row>
    <row r="1311" spans="1:8">
      <c r="A1311" s="17" t="s">
        <v>699</v>
      </c>
      <c r="B1311" s="18" t="s">
        <v>700</v>
      </c>
      <c r="C1311" s="19" t="s">
        <v>73</v>
      </c>
      <c r="D1311" s="20"/>
      <c r="E1311" s="3">
        <v>14026612.189999999</v>
      </c>
      <c r="F1311" s="24">
        <v>0.63341833863020636</v>
      </c>
      <c r="G1311" s="26">
        <v>8884713.3900000006</v>
      </c>
      <c r="H1311" t="s">
        <v>68</v>
      </c>
    </row>
    <row r="1312" spans="1:8">
      <c r="A1312" s="13" t="s">
        <v>701</v>
      </c>
      <c r="B1312" s="22" t="s">
        <v>702</v>
      </c>
      <c r="C1312" s="15" t="s">
        <v>73</v>
      </c>
      <c r="D1312" s="16"/>
      <c r="E1312" s="2">
        <v>21876566.219999999</v>
      </c>
      <c r="F1312" s="23">
        <v>0.64162997743070849</v>
      </c>
      <c r="G1312" s="26">
        <v>14036660.689999999</v>
      </c>
      <c r="H1312" t="s">
        <v>68</v>
      </c>
    </row>
    <row r="1313" spans="1:8">
      <c r="A1313" s="19" t="s">
        <v>703</v>
      </c>
      <c r="B1313" s="20" t="s">
        <v>704</v>
      </c>
      <c r="C1313" s="19" t="s">
        <v>73</v>
      </c>
      <c r="D1313" s="20"/>
      <c r="E1313" s="3">
        <v>42683193.149999999</v>
      </c>
      <c r="F1313" s="24">
        <v>0.36233836736743769</v>
      </c>
      <c r="G1313" s="26">
        <v>15465758.52</v>
      </c>
      <c r="H1313" t="s">
        <v>68</v>
      </c>
    </row>
    <row r="1314" spans="1:8">
      <c r="A1314" s="13" t="s">
        <v>705</v>
      </c>
      <c r="B1314" s="22" t="s">
        <v>706</v>
      </c>
      <c r="C1314" s="15" t="s">
        <v>73</v>
      </c>
      <c r="D1314" s="16"/>
      <c r="E1314" s="2">
        <v>17829259.850000001</v>
      </c>
      <c r="F1314" s="23">
        <v>0.51389978087060073</v>
      </c>
      <c r="G1314" s="26">
        <v>9162452.7300000004</v>
      </c>
      <c r="H1314" t="s">
        <v>68</v>
      </c>
    </row>
    <row r="1315" spans="1:8">
      <c r="A1315" s="17" t="s">
        <v>707</v>
      </c>
      <c r="B1315" s="18" t="s">
        <v>708</v>
      </c>
      <c r="C1315" s="19" t="s">
        <v>73</v>
      </c>
      <c r="D1315" s="20"/>
      <c r="E1315" s="3">
        <v>76561330.579999998</v>
      </c>
      <c r="F1315" s="24">
        <v>0.250615495507236</v>
      </c>
      <c r="G1315" s="26">
        <v>19187455.800000001</v>
      </c>
      <c r="H1315" t="s">
        <v>68</v>
      </c>
    </row>
    <row r="1316" spans="1:8">
      <c r="A1316" s="15" t="s">
        <v>709</v>
      </c>
      <c r="B1316" s="16" t="s">
        <v>710</v>
      </c>
      <c r="C1316" s="15" t="s">
        <v>73</v>
      </c>
      <c r="D1316" s="16"/>
      <c r="E1316" s="2">
        <v>70620348.269999996</v>
      </c>
      <c r="F1316" s="23">
        <v>0.34460069351340228</v>
      </c>
      <c r="G1316" s="26">
        <v>24335820.989999998</v>
      </c>
      <c r="H1316" t="s">
        <v>68</v>
      </c>
    </row>
    <row r="1317" spans="1:8">
      <c r="A1317" s="17" t="s">
        <v>711</v>
      </c>
      <c r="B1317" s="18" t="s">
        <v>712</v>
      </c>
      <c r="C1317" s="19" t="s">
        <v>73</v>
      </c>
      <c r="D1317" s="20"/>
      <c r="E1317" s="3">
        <v>52975437.609999999</v>
      </c>
      <c r="F1317" s="24">
        <v>0.39424896597848036</v>
      </c>
      <c r="G1317" s="26">
        <v>20885511.5</v>
      </c>
      <c r="H1317" t="s">
        <v>68</v>
      </c>
    </row>
    <row r="1318" spans="1:8">
      <c r="A1318" s="13" t="s">
        <v>713</v>
      </c>
      <c r="B1318" s="22" t="s">
        <v>714</v>
      </c>
      <c r="C1318" s="15" t="s">
        <v>73</v>
      </c>
      <c r="D1318" s="16"/>
      <c r="E1318" s="2">
        <v>41493644.530000001</v>
      </c>
      <c r="F1318" s="23">
        <v>0.47714792142892054</v>
      </c>
      <c r="G1318" s="26">
        <v>19798606.239999998</v>
      </c>
      <c r="H1318" t="s">
        <v>68</v>
      </c>
    </row>
    <row r="1319" spans="1:8">
      <c r="A1319" s="19" t="s">
        <v>715</v>
      </c>
      <c r="B1319" s="20" t="s">
        <v>716</v>
      </c>
      <c r="C1319" s="19" t="s">
        <v>73</v>
      </c>
      <c r="D1319" s="20"/>
      <c r="E1319" s="3">
        <v>49260092.880000003</v>
      </c>
      <c r="F1319" s="24">
        <v>0.63794722041133101</v>
      </c>
      <c r="G1319" s="26">
        <v>31425339.329999998</v>
      </c>
      <c r="H1319" t="s">
        <v>68</v>
      </c>
    </row>
    <row r="1320" spans="1:8">
      <c r="A1320" s="13" t="s">
        <v>717</v>
      </c>
      <c r="B1320" s="22" t="s">
        <v>718</v>
      </c>
      <c r="C1320" s="15" t="s">
        <v>73</v>
      </c>
      <c r="D1320" s="16"/>
      <c r="E1320" s="2">
        <v>8226898.5700000003</v>
      </c>
      <c r="F1320" s="23">
        <v>0.30976216836960468</v>
      </c>
      <c r="G1320" s="26">
        <v>2548381.94</v>
      </c>
      <c r="H1320" t="s">
        <v>68</v>
      </c>
    </row>
    <row r="1321" spans="1:8">
      <c r="A1321" s="17" t="s">
        <v>719</v>
      </c>
      <c r="B1321" s="18" t="s">
        <v>720</v>
      </c>
      <c r="C1321" s="19" t="s">
        <v>73</v>
      </c>
      <c r="D1321" s="20"/>
      <c r="E1321" s="3">
        <v>34721668.590000004</v>
      </c>
      <c r="F1321" s="24">
        <v>0.60266653388963753</v>
      </c>
      <c r="G1321" s="26">
        <v>20925587.66</v>
      </c>
      <c r="H1321" t="s">
        <v>68</v>
      </c>
    </row>
    <row r="1322" spans="1:8">
      <c r="A1322" s="15" t="s">
        <v>721</v>
      </c>
      <c r="B1322" s="16" t="s">
        <v>722</v>
      </c>
      <c r="C1322" s="15" t="s">
        <v>73</v>
      </c>
      <c r="D1322" s="16"/>
      <c r="E1322" s="2">
        <v>19308312.82</v>
      </c>
      <c r="F1322" s="23">
        <v>0.47201694964045027</v>
      </c>
      <c r="G1322" s="26">
        <v>9113850.9199999999</v>
      </c>
      <c r="H1322" t="s">
        <v>68</v>
      </c>
    </row>
    <row r="1323" spans="1:8">
      <c r="A1323" s="17" t="s">
        <v>723</v>
      </c>
      <c r="B1323" s="18" t="s">
        <v>724</v>
      </c>
      <c r="C1323" s="19" t="s">
        <v>73</v>
      </c>
      <c r="D1323" s="20"/>
      <c r="E1323" s="3">
        <v>96160434.400000006</v>
      </c>
      <c r="F1323" s="24">
        <v>0.58612108120842676</v>
      </c>
      <c r="G1323" s="26">
        <v>56361657.780000001</v>
      </c>
      <c r="H1323" t="s">
        <v>68</v>
      </c>
    </row>
    <row r="1324" spans="1:8">
      <c r="A1324" s="13" t="s">
        <v>725</v>
      </c>
      <c r="B1324" s="22" t="s">
        <v>726</v>
      </c>
      <c r="C1324" s="15" t="s">
        <v>73</v>
      </c>
      <c r="D1324" s="16"/>
      <c r="E1324" s="2">
        <v>36156785.460000001</v>
      </c>
      <c r="F1324" s="23">
        <v>0.38249741159373518</v>
      </c>
      <c r="G1324" s="26">
        <v>13829876.85</v>
      </c>
      <c r="H1324" t="s">
        <v>68</v>
      </c>
    </row>
    <row r="1325" spans="1:8">
      <c r="A1325" s="19" t="s">
        <v>727</v>
      </c>
      <c r="B1325" s="20" t="s">
        <v>500</v>
      </c>
      <c r="C1325" s="19" t="s">
        <v>73</v>
      </c>
      <c r="D1325" s="20"/>
      <c r="E1325" s="3">
        <v>14710622.18</v>
      </c>
      <c r="F1325" s="24">
        <v>0.29328416345745612</v>
      </c>
      <c r="G1325" s="26">
        <v>4314392.5199999996</v>
      </c>
      <c r="H1325" t="s">
        <v>68</v>
      </c>
    </row>
    <row r="1326" spans="1:8">
      <c r="A1326" s="13" t="s">
        <v>501</v>
      </c>
      <c r="B1326" s="22" t="s">
        <v>502</v>
      </c>
      <c r="C1326" s="15" t="s">
        <v>73</v>
      </c>
      <c r="D1326" s="16"/>
      <c r="E1326" s="2">
        <v>58910923.350000001</v>
      </c>
      <c r="F1326" s="23">
        <v>0.51361113235717093</v>
      </c>
      <c r="G1326" s="26">
        <v>30257306.050000001</v>
      </c>
      <c r="H1326" t="s">
        <v>68</v>
      </c>
    </row>
    <row r="1327" spans="1:8">
      <c r="A1327" s="17" t="s">
        <v>503</v>
      </c>
      <c r="B1327" s="18" t="s">
        <v>504</v>
      </c>
      <c r="C1327" s="19" t="s">
        <v>73</v>
      </c>
      <c r="D1327" s="20"/>
      <c r="E1327" s="3">
        <v>40643249.810000002</v>
      </c>
      <c r="F1327" s="24">
        <v>0.51281119982860934</v>
      </c>
      <c r="G1327" s="26">
        <v>20842313.699999999</v>
      </c>
      <c r="H1327" t="s">
        <v>68</v>
      </c>
    </row>
    <row r="1328" spans="1:8">
      <c r="A1328" s="15" t="s">
        <v>505</v>
      </c>
      <c r="B1328" s="16" t="s">
        <v>506</v>
      </c>
      <c r="C1328" s="15" t="s">
        <v>73</v>
      </c>
      <c r="D1328" s="16"/>
      <c r="E1328" s="2">
        <v>18373364.68</v>
      </c>
      <c r="F1328" s="23">
        <v>0.26693049179710721</v>
      </c>
      <c r="G1328" s="26">
        <v>4904411.2699999996</v>
      </c>
      <c r="H1328" t="s">
        <v>68</v>
      </c>
    </row>
    <row r="1329" spans="1:8">
      <c r="A1329" s="17" t="s">
        <v>507</v>
      </c>
      <c r="B1329" s="18" t="s">
        <v>508</v>
      </c>
      <c r="C1329" s="19" t="s">
        <v>73</v>
      </c>
      <c r="D1329" s="20"/>
      <c r="E1329" s="3">
        <v>23936041.170000002</v>
      </c>
      <c r="F1329" s="24">
        <v>0.41423974873619418</v>
      </c>
      <c r="G1329" s="26">
        <v>9915259.6799999997</v>
      </c>
      <c r="H1329" t="s">
        <v>68</v>
      </c>
    </row>
    <row r="1330" spans="1:8">
      <c r="A1330" s="13" t="s">
        <v>509</v>
      </c>
      <c r="B1330" s="22" t="s">
        <v>510</v>
      </c>
      <c r="C1330" s="15" t="s">
        <v>73</v>
      </c>
      <c r="D1330" s="16"/>
      <c r="E1330" s="2">
        <v>51512424.140000001</v>
      </c>
      <c r="F1330" s="23">
        <v>0.61154215970081505</v>
      </c>
      <c r="G1330" s="26">
        <v>31502019.109999999</v>
      </c>
      <c r="H1330" t="s">
        <v>68</v>
      </c>
    </row>
    <row r="1331" spans="1:8">
      <c r="A1331" s="19" t="s">
        <v>511</v>
      </c>
      <c r="B1331" s="20" t="s">
        <v>512</v>
      </c>
      <c r="C1331" s="19" t="s">
        <v>73</v>
      </c>
      <c r="D1331" s="20"/>
      <c r="E1331" s="3">
        <v>13163817.859999999</v>
      </c>
      <c r="F1331" s="24">
        <v>0.62218383656669651</v>
      </c>
      <c r="G1331" s="26">
        <v>8190314.7000000002</v>
      </c>
      <c r="H1331" t="s">
        <v>68</v>
      </c>
    </row>
    <row r="1332" spans="1:8">
      <c r="A1332" s="13" t="s">
        <v>513</v>
      </c>
      <c r="B1332" s="22" t="s">
        <v>514</v>
      </c>
      <c r="C1332" s="15" t="s">
        <v>73</v>
      </c>
      <c r="D1332" s="16"/>
      <c r="E1332" s="2">
        <v>44372272.600000001</v>
      </c>
      <c r="F1332" s="23">
        <v>0.51781199775645481</v>
      </c>
      <c r="G1332" s="26">
        <v>22976495.120000001</v>
      </c>
      <c r="H1332" t="s">
        <v>68</v>
      </c>
    </row>
    <row r="1333" spans="1:8">
      <c r="A1333" s="17" t="s">
        <v>515</v>
      </c>
      <c r="B1333" s="18" t="s">
        <v>516</v>
      </c>
      <c r="C1333" s="19" t="s">
        <v>73</v>
      </c>
      <c r="D1333" s="20"/>
      <c r="E1333" s="3">
        <v>29412593.77</v>
      </c>
      <c r="F1333" s="24">
        <v>0.22380516221980243</v>
      </c>
      <c r="G1333" s="26">
        <v>6582690.3200000003</v>
      </c>
      <c r="H1333" t="s">
        <v>68</v>
      </c>
    </row>
    <row r="1334" spans="1:8">
      <c r="A1334" s="15" t="s">
        <v>517</v>
      </c>
      <c r="B1334" s="16" t="s">
        <v>518</v>
      </c>
      <c r="C1334" s="15" t="s">
        <v>73</v>
      </c>
      <c r="D1334" s="16"/>
      <c r="E1334" s="2">
        <v>57068526.289999999</v>
      </c>
      <c r="F1334" s="23">
        <v>0.13115468957381413</v>
      </c>
      <c r="G1334" s="26">
        <v>7484804.8500000006</v>
      </c>
      <c r="H1334" t="s">
        <v>68</v>
      </c>
    </row>
    <row r="1335" spans="1:8">
      <c r="A1335" s="17" t="s">
        <v>519</v>
      </c>
      <c r="B1335" s="18" t="s">
        <v>520</v>
      </c>
      <c r="C1335" s="19" t="s">
        <v>73</v>
      </c>
      <c r="D1335" s="20"/>
      <c r="E1335" s="3">
        <v>72055843.319999993</v>
      </c>
      <c r="F1335" s="24">
        <v>0.32116314741092955</v>
      </c>
      <c r="G1335" s="26">
        <v>23141681.43</v>
      </c>
      <c r="H1335" t="s">
        <v>68</v>
      </c>
    </row>
    <row r="1336" spans="1:8">
      <c r="A1336" s="13" t="s">
        <v>521</v>
      </c>
      <c r="B1336" s="22" t="s">
        <v>522</v>
      </c>
      <c r="C1336" s="15" t="s">
        <v>73</v>
      </c>
      <c r="D1336" s="16"/>
      <c r="E1336" s="2">
        <v>45020045.18</v>
      </c>
      <c r="F1336" s="23">
        <v>0.31909388701328711</v>
      </c>
      <c r="G1336" s="26">
        <v>14365621.210000001</v>
      </c>
      <c r="H1336" t="s">
        <v>68</v>
      </c>
    </row>
    <row r="1337" spans="1:8">
      <c r="A1337" s="19" t="s">
        <v>523</v>
      </c>
      <c r="B1337" s="20" t="s">
        <v>524</v>
      </c>
      <c r="C1337" s="19" t="s">
        <v>73</v>
      </c>
      <c r="D1337" s="20"/>
      <c r="E1337" s="3">
        <v>73804848.060000002</v>
      </c>
      <c r="F1337" s="24">
        <v>0.36175133222000427</v>
      </c>
      <c r="G1337" s="26">
        <v>26699002.109999999</v>
      </c>
      <c r="H1337" t="s">
        <v>68</v>
      </c>
    </row>
    <row r="1338" spans="1:8">
      <c r="A1338" s="13" t="s">
        <v>525</v>
      </c>
      <c r="B1338" s="22" t="s">
        <v>526</v>
      </c>
      <c r="C1338" s="15" t="s">
        <v>73</v>
      </c>
      <c r="D1338" s="16"/>
      <c r="E1338" s="2">
        <v>36891760.259999998</v>
      </c>
      <c r="F1338" s="23">
        <v>0.52959273133908191</v>
      </c>
      <c r="G1338" s="26">
        <v>19537608.079999998</v>
      </c>
      <c r="H1338" t="s">
        <v>68</v>
      </c>
    </row>
    <row r="1339" spans="1:8">
      <c r="A1339" s="17" t="s">
        <v>527</v>
      </c>
      <c r="B1339" s="18" t="s">
        <v>528</v>
      </c>
      <c r="C1339" s="19" t="s">
        <v>73</v>
      </c>
      <c r="D1339" s="20"/>
      <c r="E1339" s="3">
        <v>32994182.260000002</v>
      </c>
      <c r="F1339" s="24">
        <v>0.43225421614070941</v>
      </c>
      <c r="G1339" s="26">
        <v>14261874.390000001</v>
      </c>
      <c r="H1339" t="s">
        <v>68</v>
      </c>
    </row>
    <row r="1340" spans="1:8">
      <c r="A1340" s="15" t="s">
        <v>529</v>
      </c>
      <c r="B1340" s="16" t="s">
        <v>530</v>
      </c>
      <c r="C1340" s="15" t="s">
        <v>73</v>
      </c>
      <c r="D1340" s="16"/>
      <c r="E1340" s="2">
        <v>22351853.690000001</v>
      </c>
      <c r="F1340" s="23">
        <v>0.44094984141782823</v>
      </c>
      <c r="G1340" s="26">
        <v>9856046.3399999999</v>
      </c>
      <c r="H1340" t="s">
        <v>68</v>
      </c>
    </row>
    <row r="1341" spans="1:8">
      <c r="A1341" s="17" t="s">
        <v>531</v>
      </c>
      <c r="B1341" s="18" t="s">
        <v>532</v>
      </c>
      <c r="C1341" s="19" t="s">
        <v>73</v>
      </c>
      <c r="D1341" s="20"/>
      <c r="E1341" s="3">
        <v>12780852.82</v>
      </c>
      <c r="F1341" s="24">
        <v>0.6480388528564559</v>
      </c>
      <c r="G1341" s="26">
        <v>8282489.1999999993</v>
      </c>
      <c r="H1341" t="s">
        <v>68</v>
      </c>
    </row>
    <row r="1342" spans="1:8">
      <c r="A1342" s="13" t="s">
        <v>533</v>
      </c>
      <c r="B1342" s="22" t="s">
        <v>534</v>
      </c>
      <c r="C1342" s="15" t="s">
        <v>73</v>
      </c>
      <c r="D1342" s="16"/>
      <c r="E1342" s="2">
        <v>57361223.560000002</v>
      </c>
      <c r="F1342" s="23">
        <v>0.45308432747803817</v>
      </c>
      <c r="G1342" s="26">
        <v>25989471.399999999</v>
      </c>
      <c r="H1342" t="s">
        <v>68</v>
      </c>
    </row>
    <row r="1343" spans="1:8">
      <c r="A1343" s="19" t="s">
        <v>535</v>
      </c>
      <c r="B1343" s="20" t="s">
        <v>536</v>
      </c>
      <c r="C1343" s="19" t="s">
        <v>73</v>
      </c>
      <c r="D1343" s="20"/>
      <c r="E1343" s="3">
        <v>5129057.97</v>
      </c>
      <c r="F1343" s="24">
        <v>0.26539242838778054</v>
      </c>
      <c r="G1343" s="26">
        <v>1361213.15</v>
      </c>
      <c r="H1343" t="s">
        <v>68</v>
      </c>
    </row>
    <row r="1344" spans="1:8">
      <c r="A1344" s="13" t="s">
        <v>537</v>
      </c>
      <c r="B1344" s="22" t="s">
        <v>538</v>
      </c>
      <c r="C1344" s="15" t="s">
        <v>73</v>
      </c>
      <c r="D1344" s="16"/>
      <c r="E1344" s="2">
        <v>17066835.41</v>
      </c>
      <c r="F1344" s="23">
        <v>0.70058068896558257</v>
      </c>
      <c r="G1344" s="26">
        <v>11956695.310000001</v>
      </c>
      <c r="H1344" t="s">
        <v>68</v>
      </c>
    </row>
    <row r="1345" spans="1:8">
      <c r="A1345" s="17" t="s">
        <v>539</v>
      </c>
      <c r="B1345" s="18" t="s">
        <v>540</v>
      </c>
      <c r="C1345" s="19" t="s">
        <v>73</v>
      </c>
      <c r="D1345" s="20"/>
      <c r="E1345" s="3">
        <v>21884074.739999998</v>
      </c>
      <c r="F1345" s="24">
        <v>0.46917996543088031</v>
      </c>
      <c r="G1345" s="26">
        <v>10267569.43</v>
      </c>
      <c r="H1345" t="s">
        <v>68</v>
      </c>
    </row>
    <row r="1346" spans="1:8">
      <c r="A1346" s="15" t="s">
        <v>541</v>
      </c>
      <c r="B1346" s="16" t="s">
        <v>542</v>
      </c>
      <c r="C1346" s="15" t="s">
        <v>73</v>
      </c>
      <c r="D1346" s="16"/>
      <c r="E1346" s="2">
        <v>24556246.600000001</v>
      </c>
      <c r="F1346" s="23">
        <v>0.55056541947253457</v>
      </c>
      <c r="G1346" s="26">
        <v>13519820.210000001</v>
      </c>
      <c r="H1346" t="s">
        <v>68</v>
      </c>
    </row>
    <row r="1347" spans="1:8">
      <c r="A1347" s="17" t="s">
        <v>543</v>
      </c>
      <c r="B1347" s="18" t="s">
        <v>544</v>
      </c>
      <c r="C1347" s="19" t="s">
        <v>73</v>
      </c>
      <c r="D1347" s="20"/>
      <c r="E1347" s="3">
        <v>39180647.719999999</v>
      </c>
      <c r="F1347" s="24">
        <v>0.42454265454905044</v>
      </c>
      <c r="G1347" s="26">
        <v>16633856.189999999</v>
      </c>
      <c r="H1347" t="s">
        <v>68</v>
      </c>
    </row>
    <row r="1348" spans="1:8">
      <c r="A1348" s="13" t="s">
        <v>545</v>
      </c>
      <c r="B1348" s="22" t="s">
        <v>546</v>
      </c>
      <c r="C1348" s="15" t="s">
        <v>73</v>
      </c>
      <c r="D1348" s="16"/>
      <c r="E1348" s="2">
        <v>13193535.550000001</v>
      </c>
      <c r="F1348" s="23">
        <v>0.55149165759438912</v>
      </c>
      <c r="G1348" s="26">
        <v>7276124.790000001</v>
      </c>
      <c r="H1348" t="s">
        <v>68</v>
      </c>
    </row>
    <row r="1349" spans="1:8">
      <c r="A1349" s="19" t="s">
        <v>547</v>
      </c>
      <c r="B1349" s="20" t="s">
        <v>548</v>
      </c>
      <c r="C1349" s="19" t="s">
        <v>73</v>
      </c>
      <c r="D1349" s="20"/>
      <c r="E1349" s="3">
        <v>47012029.640000001</v>
      </c>
      <c r="F1349" s="24">
        <v>0.23896052406215576</v>
      </c>
      <c r="G1349" s="26">
        <v>11234019.24</v>
      </c>
      <c r="H1349" t="s">
        <v>68</v>
      </c>
    </row>
    <row r="1350" spans="1:8">
      <c r="A1350" s="13" t="s">
        <v>549</v>
      </c>
      <c r="B1350" s="22" t="s">
        <v>550</v>
      </c>
      <c r="C1350" s="15" t="s">
        <v>73</v>
      </c>
      <c r="D1350" s="16"/>
      <c r="E1350" s="2">
        <v>28915368.539999999</v>
      </c>
      <c r="F1350" s="23">
        <v>0.37209976262678474</v>
      </c>
      <c r="G1350" s="26">
        <v>10759401.77</v>
      </c>
      <c r="H1350" t="s">
        <v>68</v>
      </c>
    </row>
    <row r="1351" spans="1:8">
      <c r="A1351" s="17" t="s">
        <v>551</v>
      </c>
      <c r="B1351" s="18" t="s">
        <v>552</v>
      </c>
      <c r="C1351" s="19" t="s">
        <v>73</v>
      </c>
      <c r="D1351" s="20"/>
      <c r="E1351" s="3">
        <v>40362051.030000001</v>
      </c>
      <c r="F1351" s="24">
        <v>0.21787674970887128</v>
      </c>
      <c r="G1351" s="26">
        <v>8793952.4900000002</v>
      </c>
      <c r="H1351" t="s">
        <v>68</v>
      </c>
    </row>
    <row r="1352" spans="1:8">
      <c r="A1352" s="15" t="s">
        <v>553</v>
      </c>
      <c r="B1352" s="16" t="s">
        <v>554</v>
      </c>
      <c r="C1352" s="15" t="s">
        <v>73</v>
      </c>
      <c r="D1352" s="16"/>
      <c r="E1352" s="2">
        <v>21012866.27</v>
      </c>
      <c r="F1352" s="23">
        <v>0.40117452762906675</v>
      </c>
      <c r="G1352" s="26">
        <v>8429826.6999999993</v>
      </c>
      <c r="H1352" t="s">
        <v>68</v>
      </c>
    </row>
    <row r="1353" spans="1:8">
      <c r="A1353" s="17" t="s">
        <v>555</v>
      </c>
      <c r="B1353" s="18" t="s">
        <v>556</v>
      </c>
      <c r="C1353" s="19" t="s">
        <v>73</v>
      </c>
      <c r="D1353" s="20"/>
      <c r="E1353" s="3">
        <v>24246755.640000001</v>
      </c>
      <c r="F1353" s="24">
        <v>0.52603009983565785</v>
      </c>
      <c r="G1353" s="26">
        <v>12754523.290000001</v>
      </c>
      <c r="H1353" t="s">
        <v>68</v>
      </c>
    </row>
    <row r="1354" spans="1:8">
      <c r="A1354" s="13" t="s">
        <v>557</v>
      </c>
      <c r="B1354" s="22" t="s">
        <v>558</v>
      </c>
      <c r="C1354" s="15" t="s">
        <v>73</v>
      </c>
      <c r="D1354" s="16"/>
      <c r="E1354" s="2">
        <v>25937598.300000001</v>
      </c>
      <c r="F1354" s="23">
        <v>0.39106880917343839</v>
      </c>
      <c r="G1354" s="26">
        <v>10143385.68</v>
      </c>
      <c r="H1354" t="s">
        <v>68</v>
      </c>
    </row>
    <row r="1355" spans="1:8">
      <c r="A1355" s="19" t="s">
        <v>559</v>
      </c>
      <c r="B1355" s="20" t="s">
        <v>560</v>
      </c>
      <c r="C1355" s="19" t="s">
        <v>73</v>
      </c>
      <c r="D1355" s="20"/>
      <c r="E1355" s="3">
        <v>20491756.620000001</v>
      </c>
      <c r="F1355" s="24">
        <v>0.3542342105954604</v>
      </c>
      <c r="G1355" s="26">
        <v>7258881.2300000004</v>
      </c>
      <c r="H1355" t="s">
        <v>68</v>
      </c>
    </row>
    <row r="1356" spans="1:8">
      <c r="A1356" s="13" t="s">
        <v>561</v>
      </c>
      <c r="B1356" s="22" t="s">
        <v>562</v>
      </c>
      <c r="C1356" s="15" t="s">
        <v>73</v>
      </c>
      <c r="D1356" s="16"/>
      <c r="E1356" s="2">
        <v>12459999.630000001</v>
      </c>
      <c r="F1356" s="23">
        <v>0.33888308791225863</v>
      </c>
      <c r="G1356" s="26">
        <v>4222483.1500000004</v>
      </c>
      <c r="H1356" t="s">
        <v>68</v>
      </c>
    </row>
    <row r="1357" spans="1:8">
      <c r="A1357" s="17" t="s">
        <v>563</v>
      </c>
      <c r="B1357" s="18" t="s">
        <v>564</v>
      </c>
      <c r="C1357" s="19" t="s">
        <v>73</v>
      </c>
      <c r="D1357" s="20"/>
      <c r="E1357" s="3">
        <v>40828774.039999999</v>
      </c>
      <c r="F1357" s="24">
        <v>0.31787638485752584</v>
      </c>
      <c r="G1357" s="26">
        <v>12978503.09</v>
      </c>
      <c r="H1357" t="s">
        <v>68</v>
      </c>
    </row>
    <row r="1358" spans="1:8">
      <c r="A1358" s="15" t="s">
        <v>565</v>
      </c>
      <c r="B1358" s="16" t="s">
        <v>566</v>
      </c>
      <c r="C1358" s="15" t="s">
        <v>73</v>
      </c>
      <c r="D1358" s="16"/>
      <c r="E1358" s="2">
        <v>14640334.039999999</v>
      </c>
      <c r="F1358" s="23">
        <v>0.44428061082682785</v>
      </c>
      <c r="G1358" s="26">
        <v>6504416.5499999998</v>
      </c>
      <c r="H1358" t="s">
        <v>68</v>
      </c>
    </row>
    <row r="1359" spans="1:8">
      <c r="A1359" s="17" t="s">
        <v>567</v>
      </c>
      <c r="B1359" s="18" t="s">
        <v>568</v>
      </c>
      <c r="C1359" s="19" t="s">
        <v>73</v>
      </c>
      <c r="D1359" s="20"/>
      <c r="E1359" s="3">
        <v>34479909.659999996</v>
      </c>
      <c r="F1359" s="24">
        <v>0.52481558532018502</v>
      </c>
      <c r="G1359" s="26">
        <v>18095593.969999999</v>
      </c>
      <c r="H1359" t="s">
        <v>68</v>
      </c>
    </row>
    <row r="1360" spans="1:8">
      <c r="A1360" s="13" t="s">
        <v>569</v>
      </c>
      <c r="B1360" s="22" t="s">
        <v>570</v>
      </c>
      <c r="C1360" s="15" t="s">
        <v>73</v>
      </c>
      <c r="D1360" s="16"/>
      <c r="E1360" s="2">
        <v>131863712.38</v>
      </c>
      <c r="F1360" s="23">
        <v>0.26686134816675489</v>
      </c>
      <c r="G1360" s="26">
        <v>35189328.060000002</v>
      </c>
      <c r="H1360" t="s">
        <v>68</v>
      </c>
    </row>
    <row r="1361" spans="1:8">
      <c r="A1361" s="19" t="s">
        <v>571</v>
      </c>
      <c r="B1361" s="20" t="s">
        <v>572</v>
      </c>
      <c r="C1361" s="19" t="s">
        <v>73</v>
      </c>
      <c r="D1361" s="20"/>
      <c r="E1361" s="3">
        <v>30273810.760000002</v>
      </c>
      <c r="F1361" s="24">
        <v>0.46034960879170134</v>
      </c>
      <c r="G1361" s="26">
        <v>13936536.939999999</v>
      </c>
      <c r="H1361" t="s">
        <v>68</v>
      </c>
    </row>
    <row r="1362" spans="1:8">
      <c r="A1362" s="13" t="s">
        <v>573</v>
      </c>
      <c r="B1362" s="22" t="s">
        <v>574</v>
      </c>
      <c r="C1362" s="15" t="s">
        <v>73</v>
      </c>
      <c r="D1362" s="16"/>
      <c r="E1362" s="2">
        <v>20651056.600000001</v>
      </c>
      <c r="F1362" s="23">
        <v>0.25334237958555594</v>
      </c>
      <c r="G1362" s="26">
        <v>5231787.82</v>
      </c>
      <c r="H1362" t="s">
        <v>68</v>
      </c>
    </row>
    <row r="1363" spans="1:8">
      <c r="A1363" s="17" t="s">
        <v>575</v>
      </c>
      <c r="B1363" s="18" t="s">
        <v>576</v>
      </c>
      <c r="C1363" s="19" t="s">
        <v>73</v>
      </c>
      <c r="D1363" s="20"/>
      <c r="E1363" s="3">
        <v>24194654.350000001</v>
      </c>
      <c r="F1363" s="24">
        <v>0.61673068910777795</v>
      </c>
      <c r="G1363" s="26">
        <v>14921585.849999998</v>
      </c>
      <c r="H1363" t="s">
        <v>68</v>
      </c>
    </row>
    <row r="1364" spans="1:8">
      <c r="A1364" s="15" t="s">
        <v>577</v>
      </c>
      <c r="B1364" s="16" t="s">
        <v>578</v>
      </c>
      <c r="C1364" s="15" t="s">
        <v>73</v>
      </c>
      <c r="D1364" s="16"/>
      <c r="E1364" s="2">
        <v>84352399.329999998</v>
      </c>
      <c r="F1364" s="23">
        <v>0.15388687320223499</v>
      </c>
      <c r="G1364" s="26">
        <v>12980726.98</v>
      </c>
      <c r="H1364" t="s">
        <v>68</v>
      </c>
    </row>
    <row r="1365" spans="1:8">
      <c r="A1365" s="17" t="s">
        <v>579</v>
      </c>
      <c r="B1365" s="18" t="s">
        <v>580</v>
      </c>
      <c r="C1365" s="19" t="s">
        <v>73</v>
      </c>
      <c r="D1365" s="20"/>
      <c r="E1365" s="3">
        <v>31303731.359999999</v>
      </c>
      <c r="F1365" s="24">
        <v>0.45676878757881084</v>
      </c>
      <c r="G1365" s="26">
        <v>14298567.42</v>
      </c>
      <c r="H1365" t="s">
        <v>68</v>
      </c>
    </row>
    <row r="1366" spans="1:8">
      <c r="A1366" s="13" t="s">
        <v>581</v>
      </c>
      <c r="B1366" s="22" t="s">
        <v>582</v>
      </c>
      <c r="C1366" s="15" t="s">
        <v>73</v>
      </c>
      <c r="D1366" s="16"/>
      <c r="E1366" s="2">
        <v>13825564.310000001</v>
      </c>
      <c r="F1366" s="23">
        <v>0.33633020148311038</v>
      </c>
      <c r="G1366" s="26">
        <v>4649954.83</v>
      </c>
      <c r="H1366" t="s">
        <v>68</v>
      </c>
    </row>
    <row r="1367" spans="1:8">
      <c r="A1367" s="19" t="s">
        <v>583</v>
      </c>
      <c r="B1367" s="20" t="s">
        <v>584</v>
      </c>
      <c r="C1367" s="19" t="s">
        <v>73</v>
      </c>
      <c r="D1367" s="20"/>
      <c r="E1367" s="3">
        <v>28094671.059999999</v>
      </c>
      <c r="F1367" s="24">
        <v>0.14568594311920732</v>
      </c>
      <c r="G1367" s="26">
        <v>4092998.65</v>
      </c>
      <c r="H1367" t="s">
        <v>68</v>
      </c>
    </row>
    <row r="1368" spans="1:8">
      <c r="A1368" s="13" t="s">
        <v>585</v>
      </c>
      <c r="B1368" s="22" t="s">
        <v>586</v>
      </c>
      <c r="C1368" s="15" t="s">
        <v>73</v>
      </c>
      <c r="D1368" s="16"/>
      <c r="E1368" s="2">
        <v>13418512.42</v>
      </c>
      <c r="F1368" s="23">
        <v>0.32251047541974853</v>
      </c>
      <c r="G1368" s="26">
        <v>4327610.82</v>
      </c>
      <c r="H1368" t="s">
        <v>68</v>
      </c>
    </row>
    <row r="1369" spans="1:8">
      <c r="A1369" s="17" t="s">
        <v>794</v>
      </c>
      <c r="B1369" s="18" t="s">
        <v>795</v>
      </c>
      <c r="C1369" s="19" t="s">
        <v>73</v>
      </c>
      <c r="D1369" s="20"/>
      <c r="E1369" s="3">
        <v>21120455.260000002</v>
      </c>
      <c r="F1369" s="24">
        <v>0.53134862207510958</v>
      </c>
      <c r="G1369" s="26">
        <v>11222324.800000001</v>
      </c>
      <c r="H1369" t="s">
        <v>68</v>
      </c>
    </row>
    <row r="1370" spans="1:8">
      <c r="A1370" s="15" t="s">
        <v>796</v>
      </c>
      <c r="B1370" s="16" t="s">
        <v>797</v>
      </c>
      <c r="C1370" s="15" t="s">
        <v>73</v>
      </c>
      <c r="D1370" s="16"/>
      <c r="E1370" s="2">
        <v>19408406.780000001</v>
      </c>
      <c r="F1370" s="23">
        <v>0.41986699023627944</v>
      </c>
      <c r="G1370" s="26">
        <v>8148949.3399999999</v>
      </c>
      <c r="H1370" t="s">
        <v>68</v>
      </c>
    </row>
    <row r="1371" spans="1:8">
      <c r="A1371" s="17" t="s">
        <v>798</v>
      </c>
      <c r="B1371" s="18" t="s">
        <v>799</v>
      </c>
      <c r="C1371" s="19" t="s">
        <v>73</v>
      </c>
      <c r="D1371" s="20"/>
      <c r="E1371" s="3">
        <v>46150474.909999996</v>
      </c>
      <c r="F1371" s="24">
        <v>0.41476692899323409</v>
      </c>
      <c r="G1371" s="26">
        <v>19141690.75</v>
      </c>
      <c r="H1371" t="s">
        <v>68</v>
      </c>
    </row>
    <row r="1372" spans="1:8">
      <c r="A1372" s="13" t="s">
        <v>800</v>
      </c>
      <c r="B1372" s="22" t="s">
        <v>801</v>
      </c>
      <c r="C1372" s="15" t="s">
        <v>73</v>
      </c>
      <c r="D1372" s="16"/>
      <c r="E1372" s="2">
        <v>85527257.239999995</v>
      </c>
      <c r="F1372" s="23">
        <v>0.26970155707520971</v>
      </c>
      <c r="G1372" s="26">
        <v>23066834.450000003</v>
      </c>
      <c r="H1372" t="s">
        <v>68</v>
      </c>
    </row>
    <row r="1373" spans="1:8">
      <c r="A1373" s="19" t="s">
        <v>802</v>
      </c>
      <c r="B1373" s="20" t="s">
        <v>803</v>
      </c>
      <c r="C1373" s="19" t="s">
        <v>73</v>
      </c>
      <c r="D1373" s="20"/>
      <c r="E1373" s="3">
        <v>20263659.73</v>
      </c>
      <c r="F1373" s="24">
        <v>0.31697535270446431</v>
      </c>
      <c r="G1373" s="26">
        <v>6423080.6900000004</v>
      </c>
      <c r="H1373" t="s">
        <v>68</v>
      </c>
    </row>
    <row r="1374" spans="1:8">
      <c r="A1374" s="13" t="s">
        <v>804</v>
      </c>
      <c r="B1374" s="22" t="s">
        <v>805</v>
      </c>
      <c r="C1374" s="15" t="s">
        <v>73</v>
      </c>
      <c r="D1374" s="16"/>
      <c r="E1374" s="2">
        <v>16900481.82</v>
      </c>
      <c r="F1374" s="23">
        <v>0.43350135386850169</v>
      </c>
      <c r="G1374" s="26">
        <v>7326381.75</v>
      </c>
      <c r="H1374" t="s">
        <v>68</v>
      </c>
    </row>
    <row r="1375" spans="1:8">
      <c r="A1375" s="17" t="s">
        <v>806</v>
      </c>
      <c r="B1375" s="18" t="s">
        <v>807</v>
      </c>
      <c r="C1375" s="19" t="s">
        <v>73</v>
      </c>
      <c r="D1375" s="20"/>
      <c r="E1375" s="3">
        <v>32586362.199999999</v>
      </c>
      <c r="F1375" s="24">
        <v>0.43436590108238593</v>
      </c>
      <c r="G1375" s="26">
        <v>14154404.58</v>
      </c>
      <c r="H1375" t="s">
        <v>68</v>
      </c>
    </row>
    <row r="1376" spans="1:8">
      <c r="A1376" s="15" t="s">
        <v>808</v>
      </c>
      <c r="B1376" s="16" t="s">
        <v>809</v>
      </c>
      <c r="C1376" s="15" t="s">
        <v>73</v>
      </c>
      <c r="D1376" s="16"/>
      <c r="E1376" s="2">
        <v>55166502.920000002</v>
      </c>
      <c r="F1376" s="23">
        <v>0.21104066152032969</v>
      </c>
      <c r="G1376" s="26">
        <v>11642375.27</v>
      </c>
      <c r="H1376" t="s">
        <v>68</v>
      </c>
    </row>
    <row r="1377" spans="1:8">
      <c r="A1377" s="17" t="s">
        <v>810</v>
      </c>
      <c r="B1377" s="18" t="s">
        <v>811</v>
      </c>
      <c r="C1377" s="19" t="s">
        <v>73</v>
      </c>
      <c r="D1377" s="20"/>
      <c r="E1377" s="3">
        <v>202297280.97999999</v>
      </c>
      <c r="F1377" s="24">
        <v>0.45537169967750307</v>
      </c>
      <c r="G1377" s="26">
        <v>92120456.680000007</v>
      </c>
      <c r="H1377" t="s">
        <v>68</v>
      </c>
    </row>
    <row r="1378" spans="1:8">
      <c r="A1378" s="13" t="s">
        <v>812</v>
      </c>
      <c r="B1378" s="22" t="s">
        <v>813</v>
      </c>
      <c r="C1378" s="15" t="s">
        <v>73</v>
      </c>
      <c r="D1378" s="16"/>
      <c r="E1378" s="2">
        <v>85308539.040000007</v>
      </c>
      <c r="F1378" s="23">
        <v>0.58256688532313661</v>
      </c>
      <c r="G1378" s="26">
        <v>49697929.880000003</v>
      </c>
      <c r="H1378" t="s">
        <v>68</v>
      </c>
    </row>
    <row r="1379" spans="1:8">
      <c r="A1379" s="19" t="s">
        <v>814</v>
      </c>
      <c r="B1379" s="20" t="s">
        <v>815</v>
      </c>
      <c r="C1379" s="19" t="s">
        <v>73</v>
      </c>
      <c r="D1379" s="20"/>
      <c r="E1379" s="3">
        <v>20436271.66</v>
      </c>
      <c r="F1379" s="24">
        <v>0.55452512711411084</v>
      </c>
      <c r="G1379" s="26">
        <v>11332426.140000001</v>
      </c>
      <c r="H1379" t="s">
        <v>68</v>
      </c>
    </row>
    <row r="1380" spans="1:8">
      <c r="A1380" s="13" t="s">
        <v>816</v>
      </c>
      <c r="B1380" s="22" t="s">
        <v>817</v>
      </c>
      <c r="C1380" s="15" t="s">
        <v>73</v>
      </c>
      <c r="D1380" s="16"/>
      <c r="E1380" s="2">
        <v>51093954</v>
      </c>
      <c r="F1380" s="23">
        <v>0.36470076557394637</v>
      </c>
      <c r="G1380" s="26">
        <v>18634004.140000001</v>
      </c>
      <c r="H1380" t="s">
        <v>68</v>
      </c>
    </row>
    <row r="1381" spans="1:8">
      <c r="A1381" s="17" t="s">
        <v>818</v>
      </c>
      <c r="B1381" s="18" t="s">
        <v>819</v>
      </c>
      <c r="C1381" s="19" t="s">
        <v>73</v>
      </c>
      <c r="D1381" s="20"/>
      <c r="E1381" s="3">
        <v>68330395.480000004</v>
      </c>
      <c r="F1381" s="24">
        <v>0.24015391780957973</v>
      </c>
      <c r="G1381" s="26">
        <v>16409812.18</v>
      </c>
      <c r="H1381" t="s">
        <v>68</v>
      </c>
    </row>
    <row r="1382" spans="1:8">
      <c r="A1382" s="15" t="s">
        <v>615</v>
      </c>
      <c r="B1382" s="16" t="s">
        <v>616</v>
      </c>
      <c r="C1382" s="15" t="s">
        <v>73</v>
      </c>
      <c r="D1382" s="16"/>
      <c r="E1382" s="2">
        <v>16790640.850000001</v>
      </c>
      <c r="F1382" s="23">
        <v>0.57508944573726617</v>
      </c>
      <c r="G1382" s="26">
        <v>9656120.3399999999</v>
      </c>
      <c r="H1382" t="s">
        <v>68</v>
      </c>
    </row>
    <row r="1383" spans="1:8">
      <c r="A1383" s="17" t="s">
        <v>617</v>
      </c>
      <c r="B1383" s="18" t="s">
        <v>618</v>
      </c>
      <c r="C1383" s="19" t="s">
        <v>73</v>
      </c>
      <c r="D1383" s="20"/>
      <c r="E1383" s="3">
        <v>77458918.129999995</v>
      </c>
      <c r="F1383" s="24">
        <v>0.1427950883775144</v>
      </c>
      <c r="G1383" s="26">
        <v>11060753.060000001</v>
      </c>
      <c r="H1383" t="s">
        <v>68</v>
      </c>
    </row>
    <row r="1384" spans="1:8">
      <c r="A1384" s="13" t="s">
        <v>619</v>
      </c>
      <c r="B1384" s="22" t="s">
        <v>620</v>
      </c>
      <c r="C1384" s="15" t="s">
        <v>73</v>
      </c>
      <c r="D1384" s="16"/>
      <c r="E1384" s="2">
        <v>77115712.599999994</v>
      </c>
      <c r="F1384" s="23">
        <v>0.2638938860042383</v>
      </c>
      <c r="G1384" s="26">
        <v>20350365.07</v>
      </c>
      <c r="H1384" t="s">
        <v>68</v>
      </c>
    </row>
    <row r="1385" spans="1:8">
      <c r="A1385" s="19" t="s">
        <v>621</v>
      </c>
      <c r="B1385" s="20" t="s">
        <v>622</v>
      </c>
      <c r="C1385" s="19" t="s">
        <v>73</v>
      </c>
      <c r="D1385" s="20"/>
      <c r="E1385" s="3">
        <v>24037651.84</v>
      </c>
      <c r="F1385" s="24">
        <v>0.3834144899571022</v>
      </c>
      <c r="G1385" s="26">
        <v>9216384.0199999996</v>
      </c>
      <c r="H1385" t="s">
        <v>68</v>
      </c>
    </row>
    <row r="1386" spans="1:8">
      <c r="A1386" s="13" t="s">
        <v>623</v>
      </c>
      <c r="B1386" s="22" t="s">
        <v>624</v>
      </c>
      <c r="C1386" s="15" t="s">
        <v>73</v>
      </c>
      <c r="D1386" s="16"/>
      <c r="E1386" s="2">
        <v>24575565.170000002</v>
      </c>
      <c r="F1386" s="23">
        <v>0.42206624703231593</v>
      </c>
      <c r="G1386" s="26">
        <v>10372516.560000001</v>
      </c>
      <c r="H1386" t="s">
        <v>68</v>
      </c>
    </row>
    <row r="1387" spans="1:8">
      <c r="A1387" s="17" t="s">
        <v>625</v>
      </c>
      <c r="B1387" s="18" t="s">
        <v>626</v>
      </c>
      <c r="C1387" s="19" t="s">
        <v>73</v>
      </c>
      <c r="D1387" s="20"/>
      <c r="E1387" s="3">
        <v>338500277</v>
      </c>
      <c r="F1387" s="24">
        <v>0.50994046728653053</v>
      </c>
      <c r="G1387" s="26">
        <v>172614989.43000004</v>
      </c>
      <c r="H1387" t="s">
        <v>68</v>
      </c>
    </row>
    <row r="1388" spans="1:8">
      <c r="A1388" s="15" t="s">
        <v>627</v>
      </c>
      <c r="B1388" s="16" t="s">
        <v>628</v>
      </c>
      <c r="C1388" s="15" t="s">
        <v>73</v>
      </c>
      <c r="D1388" s="16"/>
      <c r="E1388" s="2">
        <v>7265312.5</v>
      </c>
      <c r="F1388" s="23">
        <v>0.58839782184179967</v>
      </c>
      <c r="G1388" s="26">
        <v>4274894.05</v>
      </c>
      <c r="H1388" t="s">
        <v>68</v>
      </c>
    </row>
    <row r="1389" spans="1:8">
      <c r="A1389" s="17" t="s">
        <v>629</v>
      </c>
      <c r="B1389" s="18" t="s">
        <v>630</v>
      </c>
      <c r="C1389" s="19" t="s">
        <v>73</v>
      </c>
      <c r="D1389" s="20"/>
      <c r="E1389" s="3">
        <v>37318535.93</v>
      </c>
      <c r="F1389" s="24">
        <v>0.34041902886622699</v>
      </c>
      <c r="G1389" s="26">
        <v>12703939.76</v>
      </c>
      <c r="H1389" t="s">
        <v>68</v>
      </c>
    </row>
    <row r="1390" spans="1:8">
      <c r="A1390" s="13" t="s">
        <v>631</v>
      </c>
      <c r="B1390" s="22" t="s">
        <v>632</v>
      </c>
      <c r="C1390" s="15" t="s">
        <v>73</v>
      </c>
      <c r="D1390" s="16"/>
      <c r="E1390" s="2">
        <v>71551821.780000001</v>
      </c>
      <c r="F1390" s="23">
        <v>0.16092179435211021</v>
      </c>
      <c r="G1390" s="26">
        <v>11514247.550000001</v>
      </c>
      <c r="H1390" t="s">
        <v>68</v>
      </c>
    </row>
    <row r="1391" spans="1:8">
      <c r="A1391" s="19" t="s">
        <v>633</v>
      </c>
      <c r="B1391" s="20" t="s">
        <v>634</v>
      </c>
      <c r="C1391" s="19" t="s">
        <v>73</v>
      </c>
      <c r="D1391" s="20"/>
      <c r="E1391" s="3">
        <v>21097366.870000001</v>
      </c>
      <c r="F1391" s="24">
        <v>0.47998052706754674</v>
      </c>
      <c r="G1391" s="26">
        <v>10126325.27</v>
      </c>
      <c r="H1391" t="s">
        <v>68</v>
      </c>
    </row>
    <row r="1392" spans="1:8">
      <c r="A1392" s="13" t="s">
        <v>635</v>
      </c>
      <c r="B1392" s="22" t="s">
        <v>636</v>
      </c>
      <c r="C1392" s="15" t="s">
        <v>73</v>
      </c>
      <c r="D1392" s="16"/>
      <c r="E1392" s="2">
        <v>34313731.310000002</v>
      </c>
      <c r="F1392" s="23">
        <v>0.23256673860106644</v>
      </c>
      <c r="G1392" s="26">
        <v>7980232.5800000001</v>
      </c>
      <c r="H1392" t="s">
        <v>68</v>
      </c>
    </row>
    <row r="1393" spans="1:8">
      <c r="A1393" s="17" t="s">
        <v>637</v>
      </c>
      <c r="B1393" s="18" t="s">
        <v>638</v>
      </c>
      <c r="C1393" s="19" t="s">
        <v>73</v>
      </c>
      <c r="D1393" s="20"/>
      <c r="E1393" s="3">
        <v>20563769.02</v>
      </c>
      <c r="F1393" s="24">
        <v>0.45195194815507617</v>
      </c>
      <c r="G1393" s="26">
        <v>9293835.4700000007</v>
      </c>
      <c r="H1393" t="s">
        <v>68</v>
      </c>
    </row>
    <row r="1394" spans="1:8">
      <c r="A1394" s="15" t="s">
        <v>639</v>
      </c>
      <c r="B1394" s="16" t="s">
        <v>640</v>
      </c>
      <c r="C1394" s="15" t="s">
        <v>73</v>
      </c>
      <c r="D1394" s="16"/>
      <c r="E1394" s="2">
        <v>37338497.359999999</v>
      </c>
      <c r="F1394" s="23">
        <v>0.46439558220079369</v>
      </c>
      <c r="G1394" s="26">
        <v>17339833.219999999</v>
      </c>
      <c r="H1394" t="s">
        <v>68</v>
      </c>
    </row>
    <row r="1395" spans="1:8">
      <c r="A1395" s="17" t="s">
        <v>641</v>
      </c>
      <c r="B1395" s="18" t="s">
        <v>642</v>
      </c>
      <c r="C1395" s="19" t="s">
        <v>73</v>
      </c>
      <c r="D1395" s="20"/>
      <c r="E1395" s="3">
        <v>23111061.09</v>
      </c>
      <c r="F1395" s="24">
        <v>0.55316489105433797</v>
      </c>
      <c r="G1395" s="26">
        <v>12784227.59</v>
      </c>
      <c r="H1395" t="s">
        <v>68</v>
      </c>
    </row>
    <row r="1396" spans="1:8">
      <c r="A1396" s="13" t="s">
        <v>643</v>
      </c>
      <c r="B1396" s="22" t="s">
        <v>644</v>
      </c>
      <c r="C1396" s="15" t="s">
        <v>73</v>
      </c>
      <c r="D1396" s="16"/>
      <c r="E1396" s="2">
        <v>66082089.369999997</v>
      </c>
      <c r="F1396" s="23">
        <v>0.60274661621220471</v>
      </c>
      <c r="G1396" s="26">
        <v>39830755.759999998</v>
      </c>
      <c r="H1396" t="s">
        <v>68</v>
      </c>
    </row>
    <row r="1397" spans="1:8">
      <c r="A1397" s="19" t="s">
        <v>645</v>
      </c>
      <c r="B1397" s="20" t="s">
        <v>646</v>
      </c>
      <c r="C1397" s="19" t="s">
        <v>73</v>
      </c>
      <c r="D1397" s="20"/>
      <c r="E1397" s="3">
        <v>34612757.700000003</v>
      </c>
      <c r="F1397" s="24">
        <v>0.38090680997659998</v>
      </c>
      <c r="G1397" s="26">
        <v>13184235.119999999</v>
      </c>
      <c r="H1397" t="s">
        <v>68</v>
      </c>
    </row>
    <row r="1398" spans="1:8">
      <c r="A1398" s="13" t="s">
        <v>647</v>
      </c>
      <c r="B1398" s="22" t="s">
        <v>648</v>
      </c>
      <c r="C1398" s="15" t="s">
        <v>73</v>
      </c>
      <c r="D1398" s="16"/>
      <c r="E1398" s="2">
        <v>18633515.129999999</v>
      </c>
      <c r="F1398" s="23">
        <v>0.62759481656642213</v>
      </c>
      <c r="G1398" s="26">
        <v>11694297.510000002</v>
      </c>
      <c r="H1398" t="s">
        <v>68</v>
      </c>
    </row>
    <row r="1399" spans="1:8">
      <c r="A1399" s="17" t="s">
        <v>649</v>
      </c>
      <c r="B1399" s="18" t="s">
        <v>650</v>
      </c>
      <c r="C1399" s="19" t="s">
        <v>73</v>
      </c>
      <c r="D1399" s="20"/>
      <c r="E1399" s="3">
        <v>15576986.710000001</v>
      </c>
      <c r="F1399" s="24">
        <v>0.68328544141128045</v>
      </c>
      <c r="G1399" s="26">
        <v>10643528.24</v>
      </c>
      <c r="H1399" t="s">
        <v>68</v>
      </c>
    </row>
    <row r="1400" spans="1:8">
      <c r="A1400" s="15" t="s">
        <v>651</v>
      </c>
      <c r="B1400" s="16" t="s">
        <v>652</v>
      </c>
      <c r="C1400" s="15" t="s">
        <v>73</v>
      </c>
      <c r="D1400" s="16"/>
      <c r="E1400" s="2">
        <v>8415045.6899999995</v>
      </c>
      <c r="F1400" s="23">
        <v>0.70608067013359255</v>
      </c>
      <c r="G1400" s="26">
        <v>5941701.0999999996</v>
      </c>
      <c r="H1400" t="s">
        <v>68</v>
      </c>
    </row>
    <row r="1401" spans="1:8">
      <c r="A1401" s="17" t="s">
        <v>653</v>
      </c>
      <c r="B1401" s="18" t="s">
        <v>654</v>
      </c>
      <c r="C1401" s="19" t="s">
        <v>73</v>
      </c>
      <c r="D1401" s="20"/>
      <c r="E1401" s="3">
        <v>124714545.84999999</v>
      </c>
      <c r="F1401" s="24">
        <v>0.32677069889678795</v>
      </c>
      <c r="G1401" s="26">
        <v>40753059.310000002</v>
      </c>
      <c r="H1401" t="s">
        <v>68</v>
      </c>
    </row>
    <row r="1402" spans="1:8">
      <c r="A1402" s="13" t="s">
        <v>655</v>
      </c>
      <c r="B1402" s="22" t="s">
        <v>656</v>
      </c>
      <c r="C1402" s="15" t="s">
        <v>73</v>
      </c>
      <c r="D1402" s="16"/>
      <c r="E1402" s="2">
        <v>35129934.140000001</v>
      </c>
      <c r="F1402" s="23">
        <v>0.42185812221963931</v>
      </c>
      <c r="G1402" s="26">
        <v>14819848.049999999</v>
      </c>
      <c r="H1402" t="s">
        <v>68</v>
      </c>
    </row>
    <row r="1403" spans="1:8">
      <c r="A1403" s="19" t="s">
        <v>657</v>
      </c>
      <c r="B1403" s="20" t="s">
        <v>658</v>
      </c>
      <c r="C1403" s="19" t="s">
        <v>73</v>
      </c>
      <c r="D1403" s="20"/>
      <c r="E1403" s="3">
        <v>46274133.109999999</v>
      </c>
      <c r="F1403" s="24">
        <v>0.14915347703204115</v>
      </c>
      <c r="G1403" s="26">
        <v>6901947.8499999996</v>
      </c>
      <c r="H1403" t="s">
        <v>68</v>
      </c>
    </row>
    <row r="1404" spans="1:8">
      <c r="A1404" s="13" t="s">
        <v>659</v>
      </c>
      <c r="B1404" s="22" t="s">
        <v>660</v>
      </c>
      <c r="C1404" s="15" t="s">
        <v>73</v>
      </c>
      <c r="D1404" s="16"/>
      <c r="E1404" s="2">
        <v>27779796.359999999</v>
      </c>
      <c r="F1404" s="23">
        <v>0.50086172553930131</v>
      </c>
      <c r="G1404" s="26">
        <v>13913836.74</v>
      </c>
      <c r="H1404" t="s">
        <v>68</v>
      </c>
    </row>
    <row r="1405" spans="1:8">
      <c r="A1405" s="17" t="s">
        <v>661</v>
      </c>
      <c r="B1405" s="18" t="s">
        <v>662</v>
      </c>
      <c r="C1405" s="19" t="s">
        <v>73</v>
      </c>
      <c r="D1405" s="20"/>
      <c r="E1405" s="3">
        <v>18506766.800000001</v>
      </c>
      <c r="F1405" s="24">
        <v>0.22738860793339657</v>
      </c>
      <c r="G1405" s="26">
        <v>4208227.9400000004</v>
      </c>
      <c r="H1405" t="s">
        <v>68</v>
      </c>
    </row>
    <row r="1406" spans="1:8">
      <c r="A1406" s="15" t="s">
        <v>663</v>
      </c>
      <c r="B1406" s="16" t="s">
        <v>664</v>
      </c>
      <c r="C1406" s="15" t="s">
        <v>73</v>
      </c>
      <c r="D1406" s="16"/>
      <c r="E1406" s="2">
        <v>18763524.219999999</v>
      </c>
      <c r="F1406" s="23">
        <v>0.5366163473313651</v>
      </c>
      <c r="G1406" s="26">
        <v>10068813.83</v>
      </c>
      <c r="H1406" t="s">
        <v>68</v>
      </c>
    </row>
    <row r="1407" spans="1:8">
      <c r="A1407" s="17" t="s">
        <v>665</v>
      </c>
      <c r="B1407" s="18" t="s">
        <v>666</v>
      </c>
      <c r="C1407" s="19" t="s">
        <v>73</v>
      </c>
      <c r="D1407" s="20"/>
      <c r="E1407" s="3">
        <v>84521732.920000002</v>
      </c>
      <c r="F1407" s="24">
        <v>0.26486330233182825</v>
      </c>
      <c r="G1407" s="26">
        <v>22386705.300000001</v>
      </c>
      <c r="H1407" t="s">
        <v>68</v>
      </c>
    </row>
    <row r="1408" spans="1:8">
      <c r="A1408" s="13" t="s">
        <v>667</v>
      </c>
      <c r="B1408" s="22" t="s">
        <v>668</v>
      </c>
      <c r="C1408" s="15" t="s">
        <v>73</v>
      </c>
      <c r="D1408" s="16"/>
      <c r="E1408" s="2">
        <v>26650110.190000001</v>
      </c>
      <c r="F1408" s="23">
        <v>0.35204202433355869</v>
      </c>
      <c r="G1408" s="26">
        <v>9381958.7400000002</v>
      </c>
      <c r="H1408" t="s">
        <v>68</v>
      </c>
    </row>
    <row r="1409" spans="1:8">
      <c r="A1409" s="19" t="s">
        <v>669</v>
      </c>
      <c r="B1409" s="20" t="s">
        <v>670</v>
      </c>
      <c r="C1409" s="19" t="s">
        <v>73</v>
      </c>
      <c r="D1409" s="20"/>
      <c r="E1409" s="3">
        <v>42480929.549999997</v>
      </c>
      <c r="F1409" s="24">
        <v>0.27156934916929099</v>
      </c>
      <c r="G1409" s="26">
        <v>11536518.390000001</v>
      </c>
      <c r="H1409" t="s">
        <v>68</v>
      </c>
    </row>
    <row r="1410" spans="1:8">
      <c r="A1410" s="13" t="s">
        <v>671</v>
      </c>
      <c r="B1410" s="22" t="s">
        <v>672</v>
      </c>
      <c r="C1410" s="15" t="s">
        <v>73</v>
      </c>
      <c r="D1410" s="16"/>
      <c r="E1410" s="2">
        <v>98655374.400000006</v>
      </c>
      <c r="F1410" s="23">
        <v>0.26914375188869588</v>
      </c>
      <c r="G1410" s="26">
        <v>26552477.609999999</v>
      </c>
      <c r="H1410" t="s">
        <v>68</v>
      </c>
    </row>
    <row r="1411" spans="1:8">
      <c r="A1411" s="17" t="s">
        <v>673</v>
      </c>
      <c r="B1411" s="18" t="s">
        <v>674</v>
      </c>
      <c r="C1411" s="19" t="s">
        <v>73</v>
      </c>
      <c r="D1411" s="20"/>
      <c r="E1411" s="3">
        <v>22355659.460000001</v>
      </c>
      <c r="F1411" s="24">
        <v>0.3031794902819655</v>
      </c>
      <c r="G1411" s="26">
        <v>6777777.4400000004</v>
      </c>
      <c r="H1411" t="s">
        <v>68</v>
      </c>
    </row>
    <row r="1412" spans="1:8">
      <c r="A1412" s="15" t="s">
        <v>675</v>
      </c>
      <c r="B1412" s="16" t="s">
        <v>676</v>
      </c>
      <c r="C1412" s="15" t="s">
        <v>73</v>
      </c>
      <c r="D1412" s="16"/>
      <c r="E1412" s="2">
        <v>47566667.240000002</v>
      </c>
      <c r="F1412" s="23">
        <v>0.4484328107827299</v>
      </c>
      <c r="G1412" s="26">
        <v>21330454.289999999</v>
      </c>
      <c r="H1412" t="s">
        <v>68</v>
      </c>
    </row>
    <row r="1413" spans="1:8">
      <c r="A1413" s="17" t="s">
        <v>677</v>
      </c>
      <c r="B1413" s="18" t="s">
        <v>678</v>
      </c>
      <c r="C1413" s="19" t="s">
        <v>73</v>
      </c>
      <c r="D1413" s="20"/>
      <c r="E1413" s="3">
        <v>110331526.36</v>
      </c>
      <c r="F1413" s="24">
        <v>0.57292262787834425</v>
      </c>
      <c r="G1413" s="26">
        <v>63211428.020000011</v>
      </c>
      <c r="H1413" t="s">
        <v>68</v>
      </c>
    </row>
    <row r="1414" spans="1:8">
      <c r="A1414" s="13" t="s">
        <v>679</v>
      </c>
      <c r="B1414" s="22" t="s">
        <v>680</v>
      </c>
      <c r="C1414" s="15" t="s">
        <v>73</v>
      </c>
      <c r="D1414" s="16"/>
      <c r="E1414" s="2">
        <v>36369036.479999997</v>
      </c>
      <c r="F1414" s="23">
        <v>0.59444383086389652</v>
      </c>
      <c r="G1414" s="26">
        <v>21619349.370000001</v>
      </c>
      <c r="H1414" t="s">
        <v>68</v>
      </c>
    </row>
    <row r="1415" spans="1:8">
      <c r="A1415" s="19" t="s">
        <v>681</v>
      </c>
      <c r="B1415" s="20" t="s">
        <v>682</v>
      </c>
      <c r="C1415" s="19" t="s">
        <v>73</v>
      </c>
      <c r="D1415" s="20"/>
      <c r="E1415" s="3">
        <v>6767167.5999999996</v>
      </c>
      <c r="F1415" s="24">
        <v>0.55479488493827167</v>
      </c>
      <c r="G1415" s="26">
        <v>3754389.9699999997</v>
      </c>
      <c r="H1415" t="s">
        <v>68</v>
      </c>
    </row>
    <row r="1416" spans="1:8">
      <c r="A1416" s="13" t="s">
        <v>683</v>
      </c>
      <c r="B1416" s="22" t="s">
        <v>684</v>
      </c>
      <c r="C1416" s="15" t="s">
        <v>73</v>
      </c>
      <c r="D1416" s="16"/>
      <c r="E1416" s="2">
        <v>31651655.960000001</v>
      </c>
      <c r="F1416" s="23">
        <v>0.54808431387992373</v>
      </c>
      <c r="G1416" s="26">
        <v>17347776.140000001</v>
      </c>
      <c r="H1416" t="s">
        <v>68</v>
      </c>
    </row>
    <row r="1417" spans="1:8">
      <c r="A1417" s="17" t="s">
        <v>685</v>
      </c>
      <c r="B1417" s="18" t="s">
        <v>686</v>
      </c>
      <c r="C1417" s="19" t="s">
        <v>73</v>
      </c>
      <c r="D1417" s="20"/>
      <c r="E1417" s="3">
        <v>10141965.359999999</v>
      </c>
      <c r="F1417" s="24">
        <v>0.61207168035525616</v>
      </c>
      <c r="G1417" s="26">
        <v>6207609.7800000003</v>
      </c>
      <c r="H1417" t="s">
        <v>68</v>
      </c>
    </row>
    <row r="1418" spans="1:8">
      <c r="A1418" s="15" t="s">
        <v>687</v>
      </c>
      <c r="B1418" s="16" t="s">
        <v>688</v>
      </c>
      <c r="C1418" s="15" t="s">
        <v>73</v>
      </c>
      <c r="D1418" s="16"/>
      <c r="E1418" s="2">
        <v>8467641.5099999998</v>
      </c>
      <c r="F1418" s="23">
        <v>0.52332118982207598</v>
      </c>
      <c r="G1418" s="26">
        <v>4431296.2300000004</v>
      </c>
      <c r="H1418" t="s">
        <v>68</v>
      </c>
    </row>
    <row r="1419" spans="1:8">
      <c r="A1419" s="17" t="s">
        <v>689</v>
      </c>
      <c r="B1419" s="18" t="s">
        <v>690</v>
      </c>
      <c r="C1419" s="19" t="s">
        <v>73</v>
      </c>
      <c r="D1419" s="20"/>
      <c r="E1419" s="3">
        <v>5942926.5800000001</v>
      </c>
      <c r="F1419" s="24">
        <v>0.57683133618655602</v>
      </c>
      <c r="G1419" s="26">
        <v>3428066.28</v>
      </c>
      <c r="H1419" t="s">
        <v>68</v>
      </c>
    </row>
    <row r="1420" spans="1:8">
      <c r="A1420" s="13" t="s">
        <v>691</v>
      </c>
      <c r="B1420" s="22" t="s">
        <v>692</v>
      </c>
      <c r="C1420" s="15" t="s">
        <v>73</v>
      </c>
      <c r="D1420" s="16"/>
      <c r="E1420" s="2">
        <v>7192294.0499999998</v>
      </c>
      <c r="F1420" s="23">
        <v>0.62799367053130983</v>
      </c>
      <c r="G1420" s="26">
        <v>4516715.1399999997</v>
      </c>
      <c r="H1420" t="s">
        <v>68</v>
      </c>
    </row>
    <row r="1421" spans="1:8">
      <c r="A1421" s="19" t="s">
        <v>693</v>
      </c>
      <c r="B1421" s="20" t="s">
        <v>694</v>
      </c>
      <c r="C1421" s="19" t="s">
        <v>73</v>
      </c>
      <c r="D1421" s="20"/>
      <c r="E1421" s="3">
        <v>17117750.629999999</v>
      </c>
      <c r="F1421" s="24">
        <v>0.61346670932312797</v>
      </c>
      <c r="G1421" s="26">
        <v>10501170.15</v>
      </c>
      <c r="H1421" t="s">
        <v>68</v>
      </c>
    </row>
    <row r="1422" spans="1:8">
      <c r="A1422" s="13" t="s">
        <v>695</v>
      </c>
      <c r="B1422" s="22" t="s">
        <v>696</v>
      </c>
      <c r="C1422" s="15" t="s">
        <v>73</v>
      </c>
      <c r="D1422" s="16"/>
      <c r="E1422" s="2">
        <v>7490004.71</v>
      </c>
      <c r="F1422" s="23">
        <v>0.59761612219333304</v>
      </c>
      <c r="G1422" s="26">
        <v>4476147.57</v>
      </c>
      <c r="H1422" t="s">
        <v>68</v>
      </c>
    </row>
    <row r="1423" spans="1:8">
      <c r="A1423" s="17" t="s">
        <v>697</v>
      </c>
      <c r="B1423" s="18" t="s">
        <v>904</v>
      </c>
      <c r="C1423" s="19" t="s">
        <v>73</v>
      </c>
      <c r="D1423" s="20"/>
      <c r="E1423" s="3">
        <v>8201064.1500000004</v>
      </c>
      <c r="F1423" s="24">
        <v>0.47516052657629798</v>
      </c>
      <c r="G1423" s="26">
        <v>3896821.96</v>
      </c>
      <c r="H1423" t="s">
        <v>68</v>
      </c>
    </row>
    <row r="1424" spans="1:8">
      <c r="A1424" s="15" t="s">
        <v>905</v>
      </c>
      <c r="B1424" s="16" t="s">
        <v>906</v>
      </c>
      <c r="C1424" s="15" t="s">
        <v>73</v>
      </c>
      <c r="D1424" s="16"/>
      <c r="E1424" s="2">
        <v>20910889.09</v>
      </c>
      <c r="F1424" s="23">
        <v>0.5970096946270016</v>
      </c>
      <c r="G1424" s="26">
        <v>12484003.51</v>
      </c>
      <c r="H1424" t="s">
        <v>68</v>
      </c>
    </row>
    <row r="1425" spans="1:8">
      <c r="A1425" s="17" t="s">
        <v>907</v>
      </c>
      <c r="B1425" s="18" t="s">
        <v>908</v>
      </c>
      <c r="C1425" s="19" t="s">
        <v>73</v>
      </c>
      <c r="D1425" s="20"/>
      <c r="E1425" s="3">
        <v>20887714.239999998</v>
      </c>
      <c r="F1425" s="24">
        <v>0.19093418476410562</v>
      </c>
      <c r="G1425" s="26">
        <v>3988178.6899999995</v>
      </c>
      <c r="H1425" t="s">
        <v>68</v>
      </c>
    </row>
    <row r="1426" spans="1:8">
      <c r="A1426" s="13" t="s">
        <v>909</v>
      </c>
      <c r="B1426" s="22" t="s">
        <v>910</v>
      </c>
      <c r="C1426" s="15" t="s">
        <v>73</v>
      </c>
      <c r="D1426" s="16"/>
      <c r="E1426" s="2">
        <v>11820390.279999999</v>
      </c>
      <c r="F1426" s="23">
        <v>0.66153507327340133</v>
      </c>
      <c r="G1426" s="26">
        <v>7819602.75</v>
      </c>
      <c r="H1426" t="s">
        <v>68</v>
      </c>
    </row>
    <row r="1427" spans="1:8">
      <c r="A1427" s="19" t="s">
        <v>911</v>
      </c>
      <c r="B1427" s="20" t="s">
        <v>912</v>
      </c>
      <c r="C1427" s="19" t="s">
        <v>73</v>
      </c>
      <c r="D1427" s="20"/>
      <c r="E1427" s="3">
        <v>19855832.559999999</v>
      </c>
      <c r="F1427" s="24">
        <v>0.52727239406172755</v>
      </c>
      <c r="G1427" s="26">
        <v>10469432.369999999</v>
      </c>
      <c r="H1427" t="s">
        <v>68</v>
      </c>
    </row>
    <row r="1428" spans="1:8">
      <c r="A1428" s="13" t="s">
        <v>913</v>
      </c>
      <c r="B1428" s="22" t="s">
        <v>914</v>
      </c>
      <c r="C1428" s="15" t="s">
        <v>73</v>
      </c>
      <c r="D1428" s="16"/>
      <c r="E1428" s="2">
        <v>12483184.029999999</v>
      </c>
      <c r="F1428" s="23">
        <v>0.61851897251890475</v>
      </c>
      <c r="G1428" s="26">
        <v>7721086.1600000001</v>
      </c>
      <c r="H1428" t="s">
        <v>68</v>
      </c>
    </row>
    <row r="1429" spans="1:8">
      <c r="A1429" s="17" t="s">
        <v>915</v>
      </c>
      <c r="B1429" s="18" t="s">
        <v>916</v>
      </c>
      <c r="C1429" s="19" t="s">
        <v>73</v>
      </c>
      <c r="D1429" s="20"/>
      <c r="E1429" s="3">
        <v>8466364.6999999993</v>
      </c>
      <c r="F1429" s="24">
        <v>0.30388755164303283</v>
      </c>
      <c r="G1429" s="26">
        <v>2572822.84</v>
      </c>
      <c r="H1429" t="s">
        <v>68</v>
      </c>
    </row>
    <row r="1430" spans="1:8">
      <c r="A1430" s="15" t="s">
        <v>917</v>
      </c>
      <c r="B1430" s="16" t="s">
        <v>918</v>
      </c>
      <c r="C1430" s="15" t="s">
        <v>73</v>
      </c>
      <c r="D1430" s="16"/>
      <c r="E1430" s="2">
        <v>7345793.79</v>
      </c>
      <c r="F1430" s="23">
        <v>0.44441572324615986</v>
      </c>
      <c r="G1430" s="26">
        <v>3264586.26</v>
      </c>
      <c r="H1430" t="s">
        <v>68</v>
      </c>
    </row>
    <row r="1431" spans="1:8">
      <c r="A1431" s="17" t="s">
        <v>919</v>
      </c>
      <c r="B1431" s="18" t="s">
        <v>920</v>
      </c>
      <c r="C1431" s="19" t="s">
        <v>73</v>
      </c>
      <c r="D1431" s="20"/>
      <c r="E1431" s="3">
        <v>7764306.0199999996</v>
      </c>
      <c r="F1431" s="24">
        <v>0.48845609256395595</v>
      </c>
      <c r="G1431" s="26">
        <v>3792522.58</v>
      </c>
      <c r="H1431" t="s">
        <v>68</v>
      </c>
    </row>
    <row r="1432" spans="1:8">
      <c r="A1432" s="13" t="s">
        <v>921</v>
      </c>
      <c r="B1432" s="22" t="s">
        <v>922</v>
      </c>
      <c r="C1432" s="15" t="s">
        <v>73</v>
      </c>
      <c r="D1432" s="16"/>
      <c r="E1432" s="2">
        <v>9482963.4600000009</v>
      </c>
      <c r="F1432" s="23">
        <v>0.71969842220608948</v>
      </c>
      <c r="G1432" s="26">
        <v>6824873.8399999999</v>
      </c>
      <c r="H1432" t="s">
        <v>68</v>
      </c>
    </row>
    <row r="1433" spans="1:8">
      <c r="A1433" s="19" t="s">
        <v>923</v>
      </c>
      <c r="B1433" s="20" t="s">
        <v>728</v>
      </c>
      <c r="C1433" s="19" t="s">
        <v>73</v>
      </c>
      <c r="D1433" s="20"/>
      <c r="E1433" s="3">
        <v>5306242.29</v>
      </c>
      <c r="F1433" s="24">
        <v>0.31310104198050104</v>
      </c>
      <c r="G1433" s="26">
        <v>1661389.99</v>
      </c>
      <c r="H1433" t="s">
        <v>68</v>
      </c>
    </row>
    <row r="1434" spans="1:8">
      <c r="A1434" s="13" t="s">
        <v>729</v>
      </c>
      <c r="B1434" s="22" t="s">
        <v>730</v>
      </c>
      <c r="C1434" s="15" t="s">
        <v>73</v>
      </c>
      <c r="D1434" s="16"/>
      <c r="E1434" s="2">
        <v>8675374.1099999994</v>
      </c>
      <c r="F1434" s="23">
        <v>0.61683321112707612</v>
      </c>
      <c r="G1434" s="26">
        <v>5351258.87</v>
      </c>
      <c r="H1434" t="s">
        <v>68</v>
      </c>
    </row>
    <row r="1435" spans="1:8">
      <c r="A1435" s="17" t="s">
        <v>731</v>
      </c>
      <c r="B1435" s="18" t="s">
        <v>732</v>
      </c>
      <c r="C1435" s="19" t="s">
        <v>73</v>
      </c>
      <c r="D1435" s="20"/>
      <c r="E1435" s="3">
        <v>8621998.0899999999</v>
      </c>
      <c r="F1435" s="24">
        <v>0.66280871328747881</v>
      </c>
      <c r="G1435" s="26">
        <v>5714735.46</v>
      </c>
      <c r="H1435" t="s">
        <v>68</v>
      </c>
    </row>
    <row r="1436" spans="1:8">
      <c r="A1436" s="15" t="s">
        <v>733</v>
      </c>
      <c r="B1436" s="16" t="s">
        <v>734</v>
      </c>
      <c r="C1436" s="15" t="s">
        <v>73</v>
      </c>
      <c r="D1436" s="16"/>
      <c r="E1436" s="2">
        <v>20937075.800000001</v>
      </c>
      <c r="F1436" s="23">
        <v>0.34517987798468014</v>
      </c>
      <c r="G1436" s="26">
        <v>7227057.2699999996</v>
      </c>
      <c r="H1436" t="s">
        <v>68</v>
      </c>
    </row>
    <row r="1437" spans="1:8">
      <c r="A1437" s="17" t="s">
        <v>735</v>
      </c>
      <c r="B1437" s="18" t="s">
        <v>736</v>
      </c>
      <c r="C1437" s="19" t="s">
        <v>73</v>
      </c>
      <c r="D1437" s="20"/>
      <c r="E1437" s="3">
        <v>18915163.329999998</v>
      </c>
      <c r="F1437" s="24">
        <v>0.63705224532153171</v>
      </c>
      <c r="G1437" s="26">
        <v>12049947.27</v>
      </c>
      <c r="H1437" t="s">
        <v>68</v>
      </c>
    </row>
    <row r="1438" spans="1:8">
      <c r="A1438" s="13" t="s">
        <v>737</v>
      </c>
      <c r="B1438" s="22" t="s">
        <v>738</v>
      </c>
      <c r="C1438" s="15" t="s">
        <v>73</v>
      </c>
      <c r="D1438" s="16"/>
      <c r="E1438" s="2">
        <v>8661488.2899999991</v>
      </c>
      <c r="F1438" s="23">
        <v>0.52156390088475202</v>
      </c>
      <c r="G1438" s="26">
        <v>4517519.62</v>
      </c>
      <c r="H1438" t="s">
        <v>68</v>
      </c>
    </row>
    <row r="1439" spans="1:8">
      <c r="A1439" s="19" t="s">
        <v>739</v>
      </c>
      <c r="B1439" s="20" t="s">
        <v>740</v>
      </c>
      <c r="C1439" s="19" t="s">
        <v>73</v>
      </c>
      <c r="D1439" s="20"/>
      <c r="E1439" s="3">
        <v>19522158.219999999</v>
      </c>
      <c r="F1439" s="24">
        <v>0.52809770537757694</v>
      </c>
      <c r="G1439" s="26">
        <v>10309606.960000001</v>
      </c>
      <c r="H1439" t="s">
        <v>68</v>
      </c>
    </row>
    <row r="1440" spans="1:8">
      <c r="A1440" s="13" t="s">
        <v>741</v>
      </c>
      <c r="B1440" s="22" t="s">
        <v>742</v>
      </c>
      <c r="C1440" s="15" t="s">
        <v>73</v>
      </c>
      <c r="D1440" s="16"/>
      <c r="E1440" s="2">
        <v>33031800.510000002</v>
      </c>
      <c r="F1440" s="23">
        <v>0.12841224530633374</v>
      </c>
      <c r="G1440" s="26">
        <v>4241687.67</v>
      </c>
      <c r="H1440" t="s">
        <v>68</v>
      </c>
    </row>
    <row r="1441" spans="1:8">
      <c r="A1441" s="17" t="s">
        <v>743</v>
      </c>
      <c r="B1441" s="18" t="s">
        <v>744</v>
      </c>
      <c r="C1441" s="19" t="s">
        <v>73</v>
      </c>
      <c r="D1441" s="20"/>
      <c r="E1441" s="3">
        <v>7066328.1699999999</v>
      </c>
      <c r="F1441" s="24">
        <v>0.64578228186082109</v>
      </c>
      <c r="G1441" s="26">
        <v>4563309.53</v>
      </c>
      <c r="H1441" t="s">
        <v>68</v>
      </c>
    </row>
    <row r="1442" spans="1:8">
      <c r="A1442" s="15" t="s">
        <v>745</v>
      </c>
      <c r="B1442" s="16" t="s">
        <v>746</v>
      </c>
      <c r="C1442" s="15" t="s">
        <v>73</v>
      </c>
      <c r="D1442" s="16"/>
      <c r="E1442" s="2">
        <v>8920036.3900000006</v>
      </c>
      <c r="F1442" s="23">
        <v>0.59489291948953582</v>
      </c>
      <c r="G1442" s="26">
        <v>5306466.49</v>
      </c>
      <c r="H1442" t="s">
        <v>68</v>
      </c>
    </row>
    <row r="1443" spans="1:8">
      <c r="A1443" s="17" t="s">
        <v>747</v>
      </c>
      <c r="B1443" s="18" t="s">
        <v>748</v>
      </c>
      <c r="C1443" s="19" t="s">
        <v>73</v>
      </c>
      <c r="D1443" s="20"/>
      <c r="E1443" s="3">
        <v>12850004.18</v>
      </c>
      <c r="F1443" s="24">
        <v>0.38811278970338825</v>
      </c>
      <c r="G1443" s="26">
        <v>4987250.97</v>
      </c>
      <c r="H1443" t="s">
        <v>68</v>
      </c>
    </row>
    <row r="1444" spans="1:8">
      <c r="A1444" s="13" t="s">
        <v>749</v>
      </c>
      <c r="B1444" s="22" t="s">
        <v>750</v>
      </c>
      <c r="C1444" s="15" t="s">
        <v>73</v>
      </c>
      <c r="D1444" s="16"/>
      <c r="E1444" s="2">
        <v>46219149.960000001</v>
      </c>
      <c r="F1444" s="23">
        <v>0.40406953581281307</v>
      </c>
      <c r="G1444" s="26">
        <v>18675750.469999999</v>
      </c>
      <c r="H1444" t="s">
        <v>68</v>
      </c>
    </row>
    <row r="1445" spans="1:8">
      <c r="A1445" s="19" t="s">
        <v>751</v>
      </c>
      <c r="B1445" s="20" t="s">
        <v>752</v>
      </c>
      <c r="C1445" s="19" t="s">
        <v>73</v>
      </c>
      <c r="D1445" s="20"/>
      <c r="E1445" s="3">
        <v>6432850.25</v>
      </c>
      <c r="F1445" s="24">
        <v>0.62303144395441201</v>
      </c>
      <c r="G1445" s="26">
        <v>4007867.9800000004</v>
      </c>
      <c r="H1445" t="s">
        <v>68</v>
      </c>
    </row>
    <row r="1446" spans="1:8">
      <c r="A1446" s="13" t="s">
        <v>753</v>
      </c>
      <c r="B1446" s="22" t="s">
        <v>754</v>
      </c>
      <c r="C1446" s="15" t="s">
        <v>73</v>
      </c>
      <c r="D1446" s="16"/>
      <c r="E1446" s="2">
        <v>101279238.12</v>
      </c>
      <c r="F1446" s="23">
        <v>0.26866735764500832</v>
      </c>
      <c r="G1446" s="26">
        <v>27210425.290000003</v>
      </c>
      <c r="H1446" t="s">
        <v>68</v>
      </c>
    </row>
    <row r="1447" spans="1:8">
      <c r="A1447" s="17" t="s">
        <v>755</v>
      </c>
      <c r="B1447" s="18" t="s">
        <v>756</v>
      </c>
      <c r="C1447" s="19" t="s">
        <v>73</v>
      </c>
      <c r="D1447" s="20"/>
      <c r="E1447" s="3">
        <v>53491132.020000003</v>
      </c>
      <c r="F1447" s="24">
        <v>0.37795640242649697</v>
      </c>
      <c r="G1447" s="26">
        <v>20217315.82</v>
      </c>
      <c r="H1447" t="s">
        <v>68</v>
      </c>
    </row>
    <row r="1448" spans="1:8">
      <c r="A1448" s="15" t="s">
        <v>757</v>
      </c>
      <c r="B1448" s="16" t="s">
        <v>758</v>
      </c>
      <c r="C1448" s="15" t="s">
        <v>73</v>
      </c>
      <c r="D1448" s="16"/>
      <c r="E1448" s="2">
        <v>13916160.23</v>
      </c>
      <c r="F1448" s="23">
        <v>0.50533982677490341</v>
      </c>
      <c r="G1448" s="26">
        <v>7032390</v>
      </c>
      <c r="H1448" t="s">
        <v>68</v>
      </c>
    </row>
    <row r="1449" spans="1:8">
      <c r="A1449" s="17" t="s">
        <v>759</v>
      </c>
      <c r="B1449" s="18" t="s">
        <v>760</v>
      </c>
      <c r="C1449" s="19" t="s">
        <v>73</v>
      </c>
      <c r="D1449" s="20"/>
      <c r="E1449" s="3">
        <v>9743968.8499999996</v>
      </c>
      <c r="F1449" s="24">
        <v>0.54297235976898672</v>
      </c>
      <c r="G1449" s="26">
        <v>5290705.76</v>
      </c>
      <c r="H1449" t="s">
        <v>68</v>
      </c>
    </row>
    <row r="1450" spans="1:8">
      <c r="A1450" s="13" t="s">
        <v>762</v>
      </c>
      <c r="B1450" s="22" t="s">
        <v>763</v>
      </c>
      <c r="C1450" s="15" t="s">
        <v>73</v>
      </c>
      <c r="D1450" s="16"/>
      <c r="E1450" s="2">
        <v>14031403.789999999</v>
      </c>
      <c r="F1450" s="23">
        <v>0.55214375524717196</v>
      </c>
      <c r="G1450" s="26">
        <v>7747351.9800000004</v>
      </c>
      <c r="H1450" t="s">
        <v>68</v>
      </c>
    </row>
    <row r="1451" spans="1:8">
      <c r="A1451" s="19" t="s">
        <v>764</v>
      </c>
      <c r="B1451" s="20" t="s">
        <v>765</v>
      </c>
      <c r="C1451" s="19" t="s">
        <v>73</v>
      </c>
      <c r="D1451" s="20"/>
      <c r="E1451" s="3">
        <v>10450182.859999999</v>
      </c>
      <c r="F1451" s="24">
        <v>0.59970452517038542</v>
      </c>
      <c r="G1451" s="26">
        <v>6267021.9500000002</v>
      </c>
      <c r="H1451" t="s">
        <v>68</v>
      </c>
    </row>
    <row r="1452" spans="1:8">
      <c r="A1452" s="13" t="s">
        <v>766</v>
      </c>
      <c r="B1452" s="22" t="s">
        <v>767</v>
      </c>
      <c r="C1452" s="15" t="s">
        <v>73</v>
      </c>
      <c r="D1452" s="16"/>
      <c r="E1452" s="2">
        <v>27670914.18</v>
      </c>
      <c r="F1452" s="23">
        <v>0.465680242661213</v>
      </c>
      <c r="G1452" s="26">
        <v>12885798.029999999</v>
      </c>
      <c r="H1452" t="s">
        <v>68</v>
      </c>
    </row>
    <row r="1453" spans="1:8">
      <c r="A1453" s="17" t="s">
        <v>768</v>
      </c>
      <c r="B1453" s="18" t="s">
        <v>769</v>
      </c>
      <c r="C1453" s="19" t="s">
        <v>73</v>
      </c>
      <c r="D1453" s="20"/>
      <c r="E1453" s="3">
        <v>11167731.67</v>
      </c>
      <c r="F1453" s="24">
        <v>0.61446975471608911</v>
      </c>
      <c r="G1453" s="26">
        <v>6862233.3399999999</v>
      </c>
      <c r="H1453" t="s">
        <v>68</v>
      </c>
    </row>
    <row r="1454" spans="1:8">
      <c r="A1454" s="15" t="s">
        <v>770</v>
      </c>
      <c r="B1454" s="16" t="s">
        <v>771</v>
      </c>
      <c r="C1454" s="15" t="s">
        <v>73</v>
      </c>
      <c r="D1454" s="16"/>
      <c r="E1454" s="2">
        <v>15347984.77</v>
      </c>
      <c r="F1454" s="23">
        <v>0.59893276203713619</v>
      </c>
      <c r="G1454" s="26">
        <v>9192410.9100000001</v>
      </c>
      <c r="H1454" t="s">
        <v>68</v>
      </c>
    </row>
    <row r="1455" spans="1:8">
      <c r="A1455" s="17" t="s">
        <v>772</v>
      </c>
      <c r="B1455" s="18" t="s">
        <v>773</v>
      </c>
      <c r="C1455" s="19" t="s">
        <v>73</v>
      </c>
      <c r="D1455" s="20"/>
      <c r="E1455" s="3">
        <v>38857278.240000002</v>
      </c>
      <c r="F1455" s="24">
        <v>0.29780646828958135</v>
      </c>
      <c r="G1455" s="26">
        <v>11571948.800000001</v>
      </c>
      <c r="H1455" t="s">
        <v>68</v>
      </c>
    </row>
    <row r="1456" spans="1:8">
      <c r="A1456" s="13" t="s">
        <v>774</v>
      </c>
      <c r="B1456" s="22" t="s">
        <v>775</v>
      </c>
      <c r="C1456" s="15" t="s">
        <v>73</v>
      </c>
      <c r="D1456" s="16"/>
      <c r="E1456" s="2">
        <v>9061250.9100000001</v>
      </c>
      <c r="F1456" s="23">
        <v>0.51084701394721665</v>
      </c>
      <c r="G1456" s="26">
        <v>4628912.97</v>
      </c>
      <c r="H1456" t="s">
        <v>68</v>
      </c>
    </row>
    <row r="1457" spans="1:8">
      <c r="A1457" s="19" t="s">
        <v>776</v>
      </c>
      <c r="B1457" s="20" t="s">
        <v>777</v>
      </c>
      <c r="C1457" s="19" t="s">
        <v>73</v>
      </c>
      <c r="D1457" s="20"/>
      <c r="E1457" s="3">
        <v>23311031.41</v>
      </c>
      <c r="F1457" s="24">
        <v>0.19252438731967716</v>
      </c>
      <c r="G1457" s="26">
        <v>4487942.04</v>
      </c>
      <c r="H1457" t="s">
        <v>68</v>
      </c>
    </row>
    <row r="1458" spans="1:8">
      <c r="A1458" s="13" t="s">
        <v>778</v>
      </c>
      <c r="B1458" s="22" t="s">
        <v>779</v>
      </c>
      <c r="C1458" s="15" t="s">
        <v>73</v>
      </c>
      <c r="D1458" s="16"/>
      <c r="E1458" s="2">
        <v>19264099.41</v>
      </c>
      <c r="F1458" s="23">
        <v>0.45790493457591641</v>
      </c>
      <c r="G1458" s="26">
        <v>8821126.1799999997</v>
      </c>
      <c r="H1458" t="s">
        <v>68</v>
      </c>
    </row>
    <row r="1459" spans="1:8">
      <c r="A1459" s="17" t="s">
        <v>780</v>
      </c>
      <c r="B1459" s="18" t="s">
        <v>781</v>
      </c>
      <c r="C1459" s="19" t="s">
        <v>73</v>
      </c>
      <c r="D1459" s="20"/>
      <c r="E1459" s="3">
        <v>14394648.390000001</v>
      </c>
      <c r="F1459" s="24">
        <v>0.41079864334220118</v>
      </c>
      <c r="G1459" s="26">
        <v>5913302.0300000003</v>
      </c>
      <c r="H1459" t="s">
        <v>68</v>
      </c>
    </row>
    <row r="1460" spans="1:8">
      <c r="A1460" s="15" t="s">
        <v>782</v>
      </c>
      <c r="B1460" s="16" t="s">
        <v>783</v>
      </c>
      <c r="C1460" s="15" t="s">
        <v>73</v>
      </c>
      <c r="D1460" s="16"/>
      <c r="E1460" s="2">
        <v>11105015.6</v>
      </c>
      <c r="F1460" s="23">
        <v>0.59271519078280277</v>
      </c>
      <c r="G1460" s="26">
        <v>6582111.4400000004</v>
      </c>
      <c r="H1460" t="s">
        <v>68</v>
      </c>
    </row>
    <row r="1461" spans="1:8">
      <c r="A1461" s="17" t="s">
        <v>784</v>
      </c>
      <c r="B1461" s="18" t="s">
        <v>785</v>
      </c>
      <c r="C1461" s="19" t="s">
        <v>73</v>
      </c>
      <c r="D1461" s="20"/>
      <c r="E1461" s="3">
        <v>15895713.51</v>
      </c>
      <c r="F1461" s="24">
        <v>0.55478635384640873</v>
      </c>
      <c r="G1461" s="26">
        <v>8818724.9399999995</v>
      </c>
      <c r="H1461" t="s">
        <v>68</v>
      </c>
    </row>
    <row r="1462" spans="1:8">
      <c r="A1462" s="13" t="s">
        <v>786</v>
      </c>
      <c r="B1462" s="22" t="s">
        <v>787</v>
      </c>
      <c r="C1462" s="15" t="s">
        <v>73</v>
      </c>
      <c r="D1462" s="16"/>
      <c r="E1462" s="2">
        <v>12765815.470000001</v>
      </c>
      <c r="F1462" s="23">
        <v>0.47929333103543598</v>
      </c>
      <c r="G1462" s="26">
        <v>6118570.2199999997</v>
      </c>
      <c r="H1462" t="s">
        <v>68</v>
      </c>
    </row>
    <row r="1463" spans="1:8">
      <c r="A1463" s="19" t="s">
        <v>788</v>
      </c>
      <c r="B1463" s="20" t="s">
        <v>789</v>
      </c>
      <c r="C1463" s="19" t="s">
        <v>73</v>
      </c>
      <c r="D1463" s="20"/>
      <c r="E1463" s="3">
        <v>9234233.5899999999</v>
      </c>
      <c r="F1463" s="24">
        <v>0.69011385491711397</v>
      </c>
      <c r="G1463" s="26">
        <v>6372672.54</v>
      </c>
      <c r="H1463" t="s">
        <v>68</v>
      </c>
    </row>
    <row r="1464" spans="1:8">
      <c r="A1464" s="13" t="s">
        <v>790</v>
      </c>
      <c r="B1464" s="22" t="s">
        <v>791</v>
      </c>
      <c r="C1464" s="15" t="s">
        <v>73</v>
      </c>
      <c r="D1464" s="16"/>
      <c r="E1464" s="2">
        <v>7167728.6200000001</v>
      </c>
      <c r="F1464" s="23">
        <v>0.22419172449081923</v>
      </c>
      <c r="G1464" s="26">
        <v>1606945.44</v>
      </c>
      <c r="H1464" t="s">
        <v>68</v>
      </c>
    </row>
    <row r="1465" spans="1:8">
      <c r="A1465" s="13" t="s">
        <v>1006</v>
      </c>
      <c r="B1465" s="22" t="s">
        <v>1007</v>
      </c>
      <c r="C1465" s="15" t="s">
        <v>73</v>
      </c>
      <c r="D1465" s="16"/>
      <c r="E1465" s="2">
        <v>7785263.0499999998</v>
      </c>
      <c r="F1465" s="23">
        <v>0.63425826440122657</v>
      </c>
      <c r="G1465" s="26">
        <v>4937867.43</v>
      </c>
      <c r="H1465" t="s">
        <v>68</v>
      </c>
    </row>
    <row r="1466" spans="1:8">
      <c r="A1466" s="19" t="s">
        <v>1008</v>
      </c>
      <c r="B1466" s="20" t="s">
        <v>1009</v>
      </c>
      <c r="C1466" s="19" t="s">
        <v>73</v>
      </c>
      <c r="D1466" s="20"/>
      <c r="E1466" s="3">
        <v>18582854.649999999</v>
      </c>
      <c r="F1466" s="24">
        <v>0.31532096119580855</v>
      </c>
      <c r="G1466" s="26">
        <v>5859563.5899999999</v>
      </c>
      <c r="H1466" t="s">
        <v>68</v>
      </c>
    </row>
    <row r="1467" spans="1:8">
      <c r="A1467" s="13" t="s">
        <v>1010</v>
      </c>
      <c r="B1467" s="22" t="s">
        <v>1011</v>
      </c>
      <c r="C1467" s="15" t="s">
        <v>73</v>
      </c>
      <c r="D1467" s="16"/>
      <c r="E1467" s="2">
        <v>20236793.59</v>
      </c>
      <c r="F1467" s="23">
        <v>0.40989838647655052</v>
      </c>
      <c r="G1467" s="26">
        <v>8295029.04</v>
      </c>
      <c r="H1467" t="s">
        <v>68</v>
      </c>
    </row>
    <row r="1468" spans="1:8">
      <c r="A1468" s="17" t="s">
        <v>1012</v>
      </c>
      <c r="B1468" s="18" t="s">
        <v>1013</v>
      </c>
      <c r="C1468" s="19" t="s">
        <v>73</v>
      </c>
      <c r="D1468" s="20"/>
      <c r="E1468" s="3">
        <v>7379719.0999999996</v>
      </c>
      <c r="F1468" s="24">
        <v>0.27301075592430069</v>
      </c>
      <c r="G1468" s="26">
        <v>2014742.6899999997</v>
      </c>
      <c r="H1468" t="s">
        <v>68</v>
      </c>
    </row>
    <row r="1469" spans="1:8">
      <c r="A1469" s="15" t="s">
        <v>1014</v>
      </c>
      <c r="B1469" s="16" t="s">
        <v>1015</v>
      </c>
      <c r="C1469" s="15" t="s">
        <v>73</v>
      </c>
      <c r="D1469" s="16"/>
      <c r="E1469" s="2">
        <v>22328832.859999999</v>
      </c>
      <c r="F1469" s="23">
        <v>0.28776298565566855</v>
      </c>
      <c r="G1469" s="26">
        <v>6425411.6100000003</v>
      </c>
      <c r="H1469" t="s">
        <v>68</v>
      </c>
    </row>
    <row r="1470" spans="1:8">
      <c r="A1470" s="17" t="s">
        <v>1016</v>
      </c>
      <c r="B1470" s="18" t="s">
        <v>1017</v>
      </c>
      <c r="C1470" s="19" t="s">
        <v>73</v>
      </c>
      <c r="D1470" s="20"/>
      <c r="E1470" s="3">
        <v>8032036.0099999998</v>
      </c>
      <c r="F1470" s="24">
        <v>0.54136808831363803</v>
      </c>
      <c r="G1470" s="26">
        <v>4348287.9800000004</v>
      </c>
      <c r="H1470" t="s">
        <v>68</v>
      </c>
    </row>
    <row r="1471" spans="1:8">
      <c r="A1471" s="13" t="s">
        <v>1018</v>
      </c>
      <c r="B1471" s="22" t="s">
        <v>1019</v>
      </c>
      <c r="C1471" s="15" t="s">
        <v>73</v>
      </c>
      <c r="D1471" s="16"/>
      <c r="E1471" s="2">
        <v>9586059.5800000001</v>
      </c>
      <c r="F1471" s="23">
        <v>0.476296563973578</v>
      </c>
      <c r="G1471" s="26">
        <v>4565807.24</v>
      </c>
      <c r="H1471" t="s">
        <v>68</v>
      </c>
    </row>
    <row r="1472" spans="1:8">
      <c r="A1472" s="19" t="s">
        <v>1020</v>
      </c>
      <c r="B1472" s="20" t="s">
        <v>1021</v>
      </c>
      <c r="C1472" s="19" t="s">
        <v>73</v>
      </c>
      <c r="D1472" s="20"/>
      <c r="E1472" s="3">
        <v>7950810.2699999996</v>
      </c>
      <c r="F1472" s="24">
        <v>0.57519512787971483</v>
      </c>
      <c r="G1472" s="26">
        <v>4573267.33</v>
      </c>
      <c r="H1472" t="s">
        <v>68</v>
      </c>
    </row>
    <row r="1473" spans="1:8">
      <c r="A1473" s="17" t="s">
        <v>1024</v>
      </c>
      <c r="B1473" s="18" t="s">
        <v>1025</v>
      </c>
      <c r="C1473" s="19" t="s">
        <v>73</v>
      </c>
      <c r="D1473" s="20"/>
      <c r="E1473" s="3">
        <v>19175170.420000002</v>
      </c>
      <c r="F1473" s="24">
        <v>0.41199307161099014</v>
      </c>
      <c r="G1473" s="26">
        <v>7900037.3600000003</v>
      </c>
      <c r="H1473" t="s">
        <v>68</v>
      </c>
    </row>
    <row r="1474" spans="1:8">
      <c r="A1474" s="13" t="s">
        <v>1026</v>
      </c>
      <c r="B1474" s="22" t="s">
        <v>1027</v>
      </c>
      <c r="C1474" s="15" t="s">
        <v>73</v>
      </c>
      <c r="D1474" s="16"/>
      <c r="E1474" s="2">
        <v>11176468.720000001</v>
      </c>
      <c r="F1474" s="23">
        <v>0.55869328196894019</v>
      </c>
      <c r="G1474" s="26">
        <v>6244217.9900000002</v>
      </c>
      <c r="H1474" t="s">
        <v>68</v>
      </c>
    </row>
    <row r="1475" spans="1:8">
      <c r="A1475" s="19" t="s">
        <v>1028</v>
      </c>
      <c r="B1475" s="20" t="s">
        <v>1029</v>
      </c>
      <c r="C1475" s="19" t="s">
        <v>73</v>
      </c>
      <c r="D1475" s="20"/>
      <c r="E1475" s="3">
        <v>16366777.91</v>
      </c>
      <c r="F1475" s="24">
        <v>0.55963973363404673</v>
      </c>
      <c r="G1475" s="26">
        <v>9159499.2300000004</v>
      </c>
      <c r="H1475" t="s">
        <v>68</v>
      </c>
    </row>
    <row r="1476" spans="1:8">
      <c r="A1476" s="13" t="s">
        <v>1030</v>
      </c>
      <c r="B1476" s="22" t="s">
        <v>1031</v>
      </c>
      <c r="C1476" s="15" t="s">
        <v>73</v>
      </c>
      <c r="D1476" s="16"/>
      <c r="E1476" s="2">
        <v>11834655.970000001</v>
      </c>
      <c r="F1476" s="23">
        <v>0.62631580240181661</v>
      </c>
      <c r="G1476" s="26">
        <v>7412232.0499999998</v>
      </c>
      <c r="H1476" t="s">
        <v>68</v>
      </c>
    </row>
    <row r="1477" spans="1:8">
      <c r="A1477" s="17" t="s">
        <v>1032</v>
      </c>
      <c r="B1477" s="18" t="s">
        <v>820</v>
      </c>
      <c r="C1477" s="19" t="s">
        <v>73</v>
      </c>
      <c r="D1477" s="20"/>
      <c r="E1477" s="3">
        <v>16441677.23</v>
      </c>
      <c r="F1477" s="24">
        <v>0.58648440880504982</v>
      </c>
      <c r="G1477" s="26">
        <v>9642787.3499999996</v>
      </c>
      <c r="H1477" t="s">
        <v>68</v>
      </c>
    </row>
    <row r="1478" spans="1:8">
      <c r="A1478" s="15" t="s">
        <v>821</v>
      </c>
      <c r="B1478" s="16" t="s">
        <v>822</v>
      </c>
      <c r="C1478" s="15" t="s">
        <v>73</v>
      </c>
      <c r="D1478" s="16"/>
      <c r="E1478" s="2">
        <v>13014122.949999999</v>
      </c>
      <c r="F1478" s="23">
        <v>0.63249894454086131</v>
      </c>
      <c r="G1478" s="26">
        <v>8231419.0300000003</v>
      </c>
      <c r="H1478" t="s">
        <v>68</v>
      </c>
    </row>
    <row r="1479" spans="1:8">
      <c r="A1479" s="17" t="s">
        <v>823</v>
      </c>
      <c r="B1479" s="18" t="s">
        <v>824</v>
      </c>
      <c r="C1479" s="19" t="s">
        <v>73</v>
      </c>
      <c r="D1479" s="20"/>
      <c r="E1479" s="3">
        <v>9893099.1099999994</v>
      </c>
      <c r="F1479" s="24">
        <v>0.68904568570525526</v>
      </c>
      <c r="G1479" s="26">
        <v>6816797.2599999998</v>
      </c>
      <c r="H1479" t="s">
        <v>68</v>
      </c>
    </row>
    <row r="1480" spans="1:8">
      <c r="A1480" s="17" t="s">
        <v>827</v>
      </c>
      <c r="B1480" s="18" t="s">
        <v>828</v>
      </c>
      <c r="C1480" s="19" t="s">
        <v>73</v>
      </c>
      <c r="D1480" s="20"/>
      <c r="E1480" s="3">
        <v>7522382.6900000004</v>
      </c>
      <c r="F1480" s="24">
        <v>0.3851962389326406</v>
      </c>
      <c r="G1480" s="26">
        <v>2897593.52</v>
      </c>
      <c r="H1480" t="s">
        <v>68</v>
      </c>
    </row>
    <row r="1481" spans="1:8">
      <c r="A1481" s="15" t="s">
        <v>829</v>
      </c>
      <c r="B1481" s="16" t="s">
        <v>830</v>
      </c>
      <c r="C1481" s="15" t="s">
        <v>73</v>
      </c>
      <c r="D1481" s="16"/>
      <c r="E1481" s="2">
        <v>8470837.2400000002</v>
      </c>
      <c r="F1481" s="23">
        <v>0.4680707712429143</v>
      </c>
      <c r="G1481" s="26">
        <v>3964951.32</v>
      </c>
      <c r="H1481" t="s">
        <v>68</v>
      </c>
    </row>
    <row r="1482" spans="1:8">
      <c r="A1482" s="17" t="s">
        <v>831</v>
      </c>
      <c r="B1482" s="18" t="s">
        <v>832</v>
      </c>
      <c r="C1482" s="19" t="s">
        <v>73</v>
      </c>
      <c r="D1482" s="20"/>
      <c r="E1482" s="3">
        <v>4167295.73</v>
      </c>
      <c r="F1482" s="24">
        <v>0.49812887889288338</v>
      </c>
      <c r="G1482" s="26">
        <v>2075850.35</v>
      </c>
      <c r="H1482" t="s">
        <v>68</v>
      </c>
    </row>
    <row r="1483" spans="1:8">
      <c r="A1483" s="13" t="s">
        <v>833</v>
      </c>
      <c r="B1483" s="22" t="s">
        <v>834</v>
      </c>
      <c r="C1483" s="15" t="s">
        <v>73</v>
      </c>
      <c r="D1483" s="16"/>
      <c r="E1483" s="2">
        <v>5232522.08</v>
      </c>
      <c r="F1483" s="23">
        <v>0.64495324594980019</v>
      </c>
      <c r="G1483" s="26">
        <v>3374732.1</v>
      </c>
      <c r="H1483" t="s">
        <v>68</v>
      </c>
    </row>
    <row r="1484" spans="1:8">
      <c r="A1484" s="15" t="s">
        <v>837</v>
      </c>
      <c r="B1484" s="16" t="s">
        <v>838</v>
      </c>
      <c r="C1484" s="15" t="s">
        <v>73</v>
      </c>
      <c r="D1484" s="16"/>
      <c r="E1484" s="2">
        <v>13313127.460000001</v>
      </c>
      <c r="F1484" s="23">
        <v>0.34308374675472386</v>
      </c>
      <c r="G1484" s="26">
        <v>4567517.6500000004</v>
      </c>
      <c r="H1484" t="s">
        <v>68</v>
      </c>
    </row>
    <row r="1485" spans="1:8">
      <c r="A1485" s="17" t="s">
        <v>839</v>
      </c>
      <c r="B1485" s="18" t="s">
        <v>840</v>
      </c>
      <c r="C1485" s="19" t="s">
        <v>73</v>
      </c>
      <c r="D1485" s="20"/>
      <c r="E1485" s="3">
        <v>6194700.6900000004</v>
      </c>
      <c r="F1485" s="24">
        <v>0.44060000742344174</v>
      </c>
      <c r="G1485" s="26">
        <v>2729385.17</v>
      </c>
      <c r="H1485" t="s">
        <v>68</v>
      </c>
    </row>
    <row r="1486" spans="1:8">
      <c r="A1486" s="13" t="s">
        <v>841</v>
      </c>
      <c r="B1486" s="22" t="s">
        <v>842</v>
      </c>
      <c r="C1486" s="15" t="s">
        <v>73</v>
      </c>
      <c r="D1486" s="16"/>
      <c r="E1486" s="2">
        <v>12540698.060000001</v>
      </c>
      <c r="F1486" s="23">
        <v>0.67377471410072365</v>
      </c>
      <c r="G1486" s="26">
        <v>8449605.25</v>
      </c>
      <c r="H1486" t="s">
        <v>68</v>
      </c>
    </row>
    <row r="1487" spans="1:8">
      <c r="A1487" s="15" t="s">
        <v>845</v>
      </c>
      <c r="B1487" s="16" t="s">
        <v>846</v>
      </c>
      <c r="C1487" s="15" t="s">
        <v>73</v>
      </c>
      <c r="D1487" s="16"/>
      <c r="E1487" s="2">
        <v>11955559.699999999</v>
      </c>
      <c r="F1487" s="23">
        <v>0.63928282002556525</v>
      </c>
      <c r="G1487" s="26">
        <v>7642983.9199999999</v>
      </c>
      <c r="H1487" t="s">
        <v>68</v>
      </c>
    </row>
    <row r="1488" spans="1:8">
      <c r="A1488" s="17" t="s">
        <v>847</v>
      </c>
      <c r="B1488" s="18" t="s">
        <v>848</v>
      </c>
      <c r="C1488" s="19" t="s">
        <v>73</v>
      </c>
      <c r="D1488" s="20"/>
      <c r="E1488" s="3">
        <v>8024603.8399999999</v>
      </c>
      <c r="F1488" s="24">
        <v>0.62222020794486976</v>
      </c>
      <c r="G1488" s="26">
        <v>4993070.67</v>
      </c>
      <c r="H1488" t="s">
        <v>68</v>
      </c>
    </row>
    <row r="1489" spans="1:8">
      <c r="A1489" s="13" t="s">
        <v>849</v>
      </c>
      <c r="B1489" s="22" t="s">
        <v>850</v>
      </c>
      <c r="C1489" s="15" t="s">
        <v>73</v>
      </c>
      <c r="D1489" s="16"/>
      <c r="E1489" s="2">
        <v>26175041.5</v>
      </c>
      <c r="F1489" s="23">
        <v>0.70835048265348499</v>
      </c>
      <c r="G1489" s="26">
        <v>18541103.280000001</v>
      </c>
      <c r="H1489" t="s">
        <v>68</v>
      </c>
    </row>
    <row r="1490" spans="1:8">
      <c r="A1490" s="19" t="s">
        <v>851</v>
      </c>
      <c r="B1490" s="20" t="s">
        <v>852</v>
      </c>
      <c r="C1490" s="19" t="s">
        <v>73</v>
      </c>
      <c r="D1490" s="20"/>
      <c r="E1490" s="3">
        <v>10879101.84</v>
      </c>
      <c r="F1490" s="24">
        <v>0.66303721171894092</v>
      </c>
      <c r="G1490" s="26">
        <v>7213249.3499999996</v>
      </c>
      <c r="H1490" t="s">
        <v>68</v>
      </c>
    </row>
    <row r="1491" spans="1:8">
      <c r="A1491" s="17" t="s">
        <v>855</v>
      </c>
      <c r="B1491" s="18" t="s">
        <v>856</v>
      </c>
      <c r="C1491" s="19" t="s">
        <v>73</v>
      </c>
      <c r="D1491" s="20"/>
      <c r="E1491" s="3">
        <v>30137880.09</v>
      </c>
      <c r="F1491" s="24">
        <v>0.51100093749161901</v>
      </c>
      <c r="G1491" s="26">
        <v>15400484.979999999</v>
      </c>
      <c r="H1491" t="s">
        <v>68</v>
      </c>
    </row>
    <row r="1492" spans="1:8">
      <c r="A1492" s="13" t="s">
        <v>857</v>
      </c>
      <c r="B1492" s="22" t="s">
        <v>858</v>
      </c>
      <c r="C1492" s="15" t="s">
        <v>73</v>
      </c>
      <c r="D1492" s="16"/>
      <c r="E1492" s="2">
        <v>76316088.239999995</v>
      </c>
      <c r="F1492" s="23">
        <v>0.37824003503982534</v>
      </c>
      <c r="G1492" s="26">
        <v>28865799.890000001</v>
      </c>
      <c r="H1492" t="s">
        <v>68</v>
      </c>
    </row>
    <row r="1493" spans="1:8">
      <c r="A1493" s="19" t="s">
        <v>859</v>
      </c>
      <c r="B1493" s="20" t="s">
        <v>860</v>
      </c>
      <c r="C1493" s="19" t="s">
        <v>73</v>
      </c>
      <c r="D1493" s="20"/>
      <c r="E1493" s="3">
        <v>154118900.83000001</v>
      </c>
      <c r="F1493" s="24">
        <v>0.35884405126275515</v>
      </c>
      <c r="G1493" s="26">
        <v>55304650.75</v>
      </c>
      <c r="H1493" t="s">
        <v>68</v>
      </c>
    </row>
    <row r="1494" spans="1:8">
      <c r="A1494" s="13" t="s">
        <v>861</v>
      </c>
      <c r="B1494" s="22" t="s">
        <v>862</v>
      </c>
      <c r="C1494" s="15" t="s">
        <v>73</v>
      </c>
      <c r="D1494" s="16"/>
      <c r="E1494" s="2">
        <v>12439868.220000001</v>
      </c>
      <c r="F1494" s="23">
        <v>0.51941122733211709</v>
      </c>
      <c r="G1494" s="26">
        <v>6461407.2199999988</v>
      </c>
      <c r="H1494" t="s">
        <v>68</v>
      </c>
    </row>
    <row r="1495" spans="1:8">
      <c r="A1495" s="17" t="s">
        <v>863</v>
      </c>
      <c r="B1495" s="18" t="s">
        <v>864</v>
      </c>
      <c r="C1495" s="19" t="s">
        <v>73</v>
      </c>
      <c r="D1495" s="20"/>
      <c r="E1495" s="3">
        <v>6967139.7800000003</v>
      </c>
      <c r="F1495" s="24">
        <v>0.66477351197911527</v>
      </c>
      <c r="G1495" s="26">
        <v>4631569.9800000004</v>
      </c>
      <c r="H1495" t="s">
        <v>68</v>
      </c>
    </row>
    <row r="1496" spans="1:8">
      <c r="A1496" s="15" t="s">
        <v>865</v>
      </c>
      <c r="B1496" s="16" t="s">
        <v>866</v>
      </c>
      <c r="C1496" s="15" t="s">
        <v>73</v>
      </c>
      <c r="D1496" s="16"/>
      <c r="E1496" s="2">
        <v>21334785.75</v>
      </c>
      <c r="F1496" s="23">
        <v>0.55682101752533419</v>
      </c>
      <c r="G1496" s="26">
        <v>11879657.109999999</v>
      </c>
      <c r="H1496" t="s">
        <v>68</v>
      </c>
    </row>
    <row r="1497" spans="1:8">
      <c r="A1497" s="17" t="s">
        <v>867</v>
      </c>
      <c r="B1497" s="18" t="s">
        <v>868</v>
      </c>
      <c r="C1497" s="19" t="s">
        <v>73</v>
      </c>
      <c r="D1497" s="20"/>
      <c r="E1497" s="3">
        <v>29836682.84</v>
      </c>
      <c r="F1497" s="24">
        <v>0.32897073219014722</v>
      </c>
      <c r="G1497" s="26">
        <v>9815395.4000000004</v>
      </c>
      <c r="H1497" t="s">
        <v>68</v>
      </c>
    </row>
    <row r="1498" spans="1:8">
      <c r="A1498" s="13" t="s">
        <v>869</v>
      </c>
      <c r="B1498" s="22" t="s">
        <v>870</v>
      </c>
      <c r="C1498" s="15" t="s">
        <v>73</v>
      </c>
      <c r="D1498" s="16"/>
      <c r="E1498" s="2">
        <v>7516951.9800000004</v>
      </c>
      <c r="F1498" s="23">
        <v>0.41608968479801306</v>
      </c>
      <c r="G1498" s="26">
        <v>3127726.18</v>
      </c>
      <c r="H1498" t="s">
        <v>68</v>
      </c>
    </row>
    <row r="1499" spans="1:8">
      <c r="A1499" s="19" t="s">
        <v>871</v>
      </c>
      <c r="B1499" s="20" t="s">
        <v>872</v>
      </c>
      <c r="C1499" s="19" t="s">
        <v>73</v>
      </c>
      <c r="D1499" s="20"/>
      <c r="E1499" s="3">
        <v>17011666.93</v>
      </c>
      <c r="F1499" s="24">
        <v>0.6547675930779584</v>
      </c>
      <c r="G1499" s="26">
        <v>11138688.210000001</v>
      </c>
      <c r="H1499" t="s">
        <v>68</v>
      </c>
    </row>
    <row r="1500" spans="1:8">
      <c r="A1500" s="13" t="s">
        <v>873</v>
      </c>
      <c r="B1500" s="22" t="s">
        <v>874</v>
      </c>
      <c r="C1500" s="15" t="s">
        <v>73</v>
      </c>
      <c r="D1500" s="16"/>
      <c r="E1500" s="2">
        <v>9702939.4499999993</v>
      </c>
      <c r="F1500" s="23">
        <v>0.56716447715233353</v>
      </c>
      <c r="G1500" s="26">
        <v>5503162.5800000001</v>
      </c>
      <c r="H1500" t="s">
        <v>68</v>
      </c>
    </row>
    <row r="1501" spans="1:8">
      <c r="A1501" s="17" t="s">
        <v>875</v>
      </c>
      <c r="B1501" s="18" t="s">
        <v>876</v>
      </c>
      <c r="C1501" s="19" t="s">
        <v>73</v>
      </c>
      <c r="D1501" s="20"/>
      <c r="E1501" s="3">
        <v>11072588.66</v>
      </c>
      <c r="F1501" s="24">
        <v>0.55445500492384403</v>
      </c>
      <c r="G1501" s="26">
        <v>6139252.1999999993</v>
      </c>
      <c r="H1501" t="s">
        <v>68</v>
      </c>
    </row>
    <row r="1502" spans="1:8">
      <c r="A1502" s="19" t="s">
        <v>879</v>
      </c>
      <c r="B1502" s="20" t="s">
        <v>880</v>
      </c>
      <c r="C1502" s="19" t="s">
        <v>73</v>
      </c>
      <c r="D1502" s="20"/>
      <c r="E1502" s="3">
        <v>14514300.470000001</v>
      </c>
      <c r="F1502" s="24">
        <v>0.50707560004095742</v>
      </c>
      <c r="G1502" s="26">
        <v>7359847.620000001</v>
      </c>
      <c r="H1502" t="s">
        <v>68</v>
      </c>
    </row>
    <row r="1503" spans="1:8">
      <c r="A1503" s="13" t="s">
        <v>881</v>
      </c>
      <c r="B1503" s="22" t="s">
        <v>882</v>
      </c>
      <c r="C1503" s="15" t="s">
        <v>73</v>
      </c>
      <c r="D1503" s="16"/>
      <c r="E1503" s="2">
        <v>28100013.550000001</v>
      </c>
      <c r="F1503" s="23">
        <v>0.60327906318749802</v>
      </c>
      <c r="G1503" s="26">
        <v>16952149.850000001</v>
      </c>
      <c r="H1503" t="s">
        <v>68</v>
      </c>
    </row>
    <row r="1504" spans="1:8">
      <c r="A1504" s="17" t="s">
        <v>883</v>
      </c>
      <c r="B1504" s="18" t="s">
        <v>884</v>
      </c>
      <c r="C1504" s="19" t="s">
        <v>73</v>
      </c>
      <c r="D1504" s="20"/>
      <c r="E1504" s="3">
        <v>29080579.670000002</v>
      </c>
      <c r="F1504" s="24">
        <v>0.50462126981391076</v>
      </c>
      <c r="G1504" s="26">
        <v>14674679.039999999</v>
      </c>
      <c r="H1504" t="s">
        <v>68</v>
      </c>
    </row>
    <row r="1505" spans="1:8">
      <c r="A1505" s="15" t="s">
        <v>885</v>
      </c>
      <c r="B1505" s="16" t="s">
        <v>886</v>
      </c>
      <c r="C1505" s="15" t="s">
        <v>73</v>
      </c>
      <c r="D1505" s="16"/>
      <c r="E1505" s="2">
        <v>14702138.109999999</v>
      </c>
      <c r="F1505" s="23">
        <v>0.48469723088460365</v>
      </c>
      <c r="G1505" s="26">
        <v>7126085.6299999999</v>
      </c>
      <c r="H1505" t="s">
        <v>68</v>
      </c>
    </row>
    <row r="1506" spans="1:8">
      <c r="A1506" s="17" t="s">
        <v>887</v>
      </c>
      <c r="B1506" s="18" t="s">
        <v>888</v>
      </c>
      <c r="C1506" s="19" t="s">
        <v>73</v>
      </c>
      <c r="D1506" s="20"/>
      <c r="E1506" s="3">
        <v>7152626.5099999998</v>
      </c>
      <c r="F1506" s="24">
        <v>0.47714986029656403</v>
      </c>
      <c r="G1506" s="26">
        <v>3412874.74</v>
      </c>
      <c r="H1506" t="s">
        <v>68</v>
      </c>
    </row>
    <row r="1507" spans="1:8">
      <c r="A1507" s="13" t="s">
        <v>889</v>
      </c>
      <c r="B1507" s="22" t="s">
        <v>890</v>
      </c>
      <c r="C1507" s="15" t="s">
        <v>73</v>
      </c>
      <c r="D1507" s="16"/>
      <c r="E1507" s="2">
        <v>18823914.449999999</v>
      </c>
      <c r="F1507" s="23">
        <v>0.36402722814116917</v>
      </c>
      <c r="G1507" s="26">
        <v>6852417.4000000004</v>
      </c>
      <c r="H1507" t="s">
        <v>68</v>
      </c>
    </row>
    <row r="1508" spans="1:8">
      <c r="A1508" s="15" t="s">
        <v>893</v>
      </c>
      <c r="B1508" s="16" t="s">
        <v>894</v>
      </c>
      <c r="C1508" s="15" t="s">
        <v>73</v>
      </c>
      <c r="D1508" s="16"/>
      <c r="E1508" s="2">
        <v>17187194.91</v>
      </c>
      <c r="F1508" s="23">
        <v>0.48193860739780253</v>
      </c>
      <c r="G1508" s="26">
        <v>8283172.7800000003</v>
      </c>
      <c r="H1508" t="s">
        <v>68</v>
      </c>
    </row>
    <row r="1509" spans="1:8">
      <c r="A1509" s="17" t="s">
        <v>895</v>
      </c>
      <c r="B1509" s="18" t="s">
        <v>896</v>
      </c>
      <c r="C1509" s="19" t="s">
        <v>73</v>
      </c>
      <c r="D1509" s="20"/>
      <c r="E1509" s="3">
        <v>14803223.470000001</v>
      </c>
      <c r="F1509" s="24">
        <v>0.67577729001209219</v>
      </c>
      <c r="G1509" s="26">
        <v>10003682.24</v>
      </c>
      <c r="H1509" t="s">
        <v>68</v>
      </c>
    </row>
    <row r="1510" spans="1:8">
      <c r="A1510" s="13" t="s">
        <v>897</v>
      </c>
      <c r="B1510" s="22" t="s">
        <v>898</v>
      </c>
      <c r="C1510" s="15" t="s">
        <v>73</v>
      </c>
      <c r="D1510" s="16"/>
      <c r="E1510" s="2">
        <v>16110634.1</v>
      </c>
      <c r="F1510" s="23">
        <v>0.38567774746991496</v>
      </c>
      <c r="G1510" s="26">
        <v>6213513.0700000003</v>
      </c>
      <c r="H1510" t="s">
        <v>68</v>
      </c>
    </row>
    <row r="1511" spans="1:8">
      <c r="A1511" s="19" t="s">
        <v>899</v>
      </c>
      <c r="B1511" s="20" t="s">
        <v>900</v>
      </c>
      <c r="C1511" s="19" t="s">
        <v>73</v>
      </c>
      <c r="D1511" s="20"/>
      <c r="E1511" s="3">
        <v>10281627.060000001</v>
      </c>
      <c r="F1511" s="24">
        <v>0.68392391583205303</v>
      </c>
      <c r="G1511" s="26">
        <v>7031850.6399999997</v>
      </c>
      <c r="H1511" t="s">
        <v>68</v>
      </c>
    </row>
    <row r="1512" spans="1:8">
      <c r="A1512" s="13" t="s">
        <v>901</v>
      </c>
      <c r="B1512" s="22" t="s">
        <v>902</v>
      </c>
      <c r="C1512" s="15" t="s">
        <v>73</v>
      </c>
      <c r="D1512" s="16"/>
      <c r="E1512" s="2">
        <v>21876285.079999998</v>
      </c>
      <c r="F1512" s="23">
        <v>0.5562274008361936</v>
      </c>
      <c r="G1512" s="26">
        <v>12168189.190000001</v>
      </c>
      <c r="H1512" t="s">
        <v>68</v>
      </c>
    </row>
    <row r="1513" spans="1:8">
      <c r="A1513" s="17" t="s">
        <v>903</v>
      </c>
      <c r="B1513" s="18" t="s">
        <v>1119</v>
      </c>
      <c r="C1513" s="19" t="s">
        <v>73</v>
      </c>
      <c r="D1513" s="20"/>
      <c r="E1513" s="3">
        <v>73220052.640000001</v>
      </c>
      <c r="F1513" s="24">
        <v>0.39571402375872422</v>
      </c>
      <c r="G1513" s="26">
        <v>28974201.649999999</v>
      </c>
      <c r="H1513" t="s">
        <v>68</v>
      </c>
    </row>
    <row r="1514" spans="1:8">
      <c r="A1514" s="15" t="s">
        <v>1120</v>
      </c>
      <c r="B1514" s="16" t="s">
        <v>1121</v>
      </c>
      <c r="C1514" s="15" t="s">
        <v>73</v>
      </c>
      <c r="D1514" s="16"/>
      <c r="E1514" s="2">
        <v>8819057.2400000002</v>
      </c>
      <c r="F1514" s="23">
        <v>0.48793728545977771</v>
      </c>
      <c r="G1514" s="26">
        <v>4303146.8499999996</v>
      </c>
      <c r="H1514" t="s">
        <v>68</v>
      </c>
    </row>
    <row r="1515" spans="1:8">
      <c r="A1515" s="13" t="s">
        <v>1124</v>
      </c>
      <c r="B1515" s="22" t="s">
        <v>1125</v>
      </c>
      <c r="C1515" s="15" t="s">
        <v>73</v>
      </c>
      <c r="D1515" s="16"/>
      <c r="E1515" s="2">
        <v>13844356.529999999</v>
      </c>
      <c r="F1515" s="23">
        <v>0.64308950659478581</v>
      </c>
      <c r="G1515" s="26">
        <v>8903160.4100000001</v>
      </c>
      <c r="H1515" t="s">
        <v>68</v>
      </c>
    </row>
    <row r="1516" spans="1:8">
      <c r="A1516" s="17" t="s">
        <v>1126</v>
      </c>
      <c r="B1516" s="18" t="s">
        <v>1127</v>
      </c>
      <c r="C1516" s="19" t="s">
        <v>73</v>
      </c>
      <c r="D1516" s="20"/>
      <c r="E1516" s="3">
        <v>14267718.93</v>
      </c>
      <c r="F1516" s="24">
        <v>0.65413412303602203</v>
      </c>
      <c r="G1516" s="26">
        <v>9333001.8100000005</v>
      </c>
      <c r="H1516" t="s">
        <v>68</v>
      </c>
    </row>
    <row r="1517" spans="1:8">
      <c r="A1517" s="15" t="s">
        <v>1128</v>
      </c>
      <c r="B1517" s="16" t="s">
        <v>1129</v>
      </c>
      <c r="C1517" s="15" t="s">
        <v>73</v>
      </c>
      <c r="D1517" s="16"/>
      <c r="E1517" s="2">
        <v>11320561.779999999</v>
      </c>
      <c r="F1517" s="23">
        <v>0.64466705026011528</v>
      </c>
      <c r="G1517" s="26">
        <v>7297993.1699999999</v>
      </c>
      <c r="H1517" t="s">
        <v>68</v>
      </c>
    </row>
    <row r="1518" spans="1:8">
      <c r="A1518" s="13" t="s">
        <v>1132</v>
      </c>
      <c r="B1518" s="22" t="s">
        <v>1133</v>
      </c>
      <c r="C1518" s="15" t="s">
        <v>73</v>
      </c>
      <c r="D1518" s="16"/>
      <c r="E1518" s="2">
        <v>18522275.789999999</v>
      </c>
      <c r="F1518" s="23">
        <v>0.54489175922155941</v>
      </c>
      <c r="G1518" s="26">
        <v>10092635.439999999</v>
      </c>
      <c r="H1518" t="s">
        <v>68</v>
      </c>
    </row>
    <row r="1519" spans="1:8">
      <c r="A1519" s="17" t="s">
        <v>1134</v>
      </c>
      <c r="B1519" s="18" t="s">
        <v>1135</v>
      </c>
      <c r="C1519" s="19" t="s">
        <v>73</v>
      </c>
      <c r="D1519" s="20"/>
      <c r="E1519" s="3">
        <v>9340223.9399999995</v>
      </c>
      <c r="F1519" s="24">
        <v>0.50493329499335327</v>
      </c>
      <c r="G1519" s="26">
        <v>4716190.05</v>
      </c>
      <c r="H1519" t="s">
        <v>68</v>
      </c>
    </row>
    <row r="1520" spans="1:8">
      <c r="A1520" s="15" t="s">
        <v>1136</v>
      </c>
      <c r="B1520" s="16" t="s">
        <v>1137</v>
      </c>
      <c r="C1520" s="15" t="s">
        <v>73</v>
      </c>
      <c r="D1520" s="16"/>
      <c r="E1520" s="2">
        <v>8699332.7899999991</v>
      </c>
      <c r="F1520" s="23">
        <v>0.70329362006163698</v>
      </c>
      <c r="G1520" s="26">
        <v>6118185.25</v>
      </c>
      <c r="H1520" t="s">
        <v>68</v>
      </c>
    </row>
    <row r="1521" spans="1:8">
      <c r="A1521" s="17" t="s">
        <v>1138</v>
      </c>
      <c r="B1521" s="18" t="s">
        <v>1139</v>
      </c>
      <c r="C1521" s="19" t="s">
        <v>73</v>
      </c>
      <c r="D1521" s="20"/>
      <c r="E1521" s="3">
        <v>11021074.58</v>
      </c>
      <c r="F1521" s="24">
        <v>0.63353814088789151</v>
      </c>
      <c r="G1521" s="26">
        <v>6982271.0999999996</v>
      </c>
      <c r="H1521" t="s">
        <v>68</v>
      </c>
    </row>
    <row r="1522" spans="1:8">
      <c r="A1522" s="13" t="s">
        <v>1140</v>
      </c>
      <c r="B1522" s="22" t="s">
        <v>1141</v>
      </c>
      <c r="C1522" s="15" t="s">
        <v>73</v>
      </c>
      <c r="D1522" s="16"/>
      <c r="E1522" s="2">
        <v>11273454.18</v>
      </c>
      <c r="F1522" s="23">
        <v>0.65410326881729519</v>
      </c>
      <c r="G1522" s="26">
        <v>7374003.2299999995</v>
      </c>
      <c r="H1522" t="s">
        <v>68</v>
      </c>
    </row>
    <row r="1523" spans="1:8">
      <c r="A1523" s="19" t="s">
        <v>1142</v>
      </c>
      <c r="B1523" s="20" t="s">
        <v>1143</v>
      </c>
      <c r="C1523" s="19" t="s">
        <v>73</v>
      </c>
      <c r="D1523" s="20"/>
      <c r="E1523" s="3">
        <v>20287238.309999999</v>
      </c>
      <c r="F1523" s="24">
        <v>0.4807065368376402</v>
      </c>
      <c r="G1523" s="26">
        <v>9752208.0700000003</v>
      </c>
      <c r="H1523" t="s">
        <v>68</v>
      </c>
    </row>
    <row r="1524" spans="1:8">
      <c r="A1524" s="13" t="s">
        <v>924</v>
      </c>
      <c r="B1524" s="22" t="s">
        <v>925</v>
      </c>
      <c r="C1524" s="15" t="s">
        <v>73</v>
      </c>
      <c r="D1524" s="16"/>
      <c r="E1524" s="2">
        <v>8256386.1399999997</v>
      </c>
      <c r="F1524" s="23">
        <v>0.53980514772774424</v>
      </c>
      <c r="G1524" s="26">
        <v>4456839.74</v>
      </c>
      <c r="H1524" t="s">
        <v>68</v>
      </c>
    </row>
    <row r="1525" spans="1:8">
      <c r="A1525" s="17" t="s">
        <v>926</v>
      </c>
      <c r="B1525" s="18" t="s">
        <v>927</v>
      </c>
      <c r="C1525" s="19" t="s">
        <v>73</v>
      </c>
      <c r="D1525" s="20"/>
      <c r="E1525" s="3">
        <v>8231415.4100000001</v>
      </c>
      <c r="F1525" s="24">
        <v>0.39581520889370353</v>
      </c>
      <c r="G1525" s="26">
        <v>3258119.41</v>
      </c>
      <c r="H1525" t="s">
        <v>68</v>
      </c>
    </row>
    <row r="1526" spans="1:8">
      <c r="A1526" s="15" t="s">
        <v>928</v>
      </c>
      <c r="B1526" s="16" t="s">
        <v>929</v>
      </c>
      <c r="C1526" s="15" t="s">
        <v>73</v>
      </c>
      <c r="D1526" s="16"/>
      <c r="E1526" s="2">
        <v>10312220.609999999</v>
      </c>
      <c r="F1526" s="23">
        <v>0.51960489914305663</v>
      </c>
      <c r="G1526" s="26">
        <v>5358280.3499999996</v>
      </c>
      <c r="H1526" t="s">
        <v>68</v>
      </c>
    </row>
    <row r="1527" spans="1:8">
      <c r="A1527" s="13" t="s">
        <v>932</v>
      </c>
      <c r="B1527" s="22" t="s">
        <v>933</v>
      </c>
      <c r="C1527" s="15" t="s">
        <v>73</v>
      </c>
      <c r="D1527" s="16"/>
      <c r="E1527" s="2">
        <v>15202239.710000001</v>
      </c>
      <c r="F1527" s="23">
        <v>0.17234175358230816</v>
      </c>
      <c r="G1527" s="26">
        <v>2619980.65</v>
      </c>
      <c r="H1527" t="s">
        <v>68</v>
      </c>
    </row>
    <row r="1528" spans="1:8">
      <c r="A1528" s="17" t="s">
        <v>934</v>
      </c>
      <c r="B1528" s="18" t="s">
        <v>935</v>
      </c>
      <c r="C1528" s="19" t="s">
        <v>73</v>
      </c>
      <c r="D1528" s="20"/>
      <c r="E1528" s="3">
        <v>14125742.01</v>
      </c>
      <c r="F1528" s="24">
        <v>0.12742535498140534</v>
      </c>
      <c r="G1528" s="26">
        <v>1799977.6900000002</v>
      </c>
      <c r="H1528" t="s">
        <v>68</v>
      </c>
    </row>
    <row r="1529" spans="1:8">
      <c r="A1529" s="15" t="s">
        <v>936</v>
      </c>
      <c r="B1529" s="16" t="s">
        <v>937</v>
      </c>
      <c r="C1529" s="15" t="s">
        <v>73</v>
      </c>
      <c r="D1529" s="16"/>
      <c r="E1529" s="2">
        <v>34782536.130000003</v>
      </c>
      <c r="F1529" s="23">
        <v>0.39697739228654683</v>
      </c>
      <c r="G1529" s="26">
        <v>13807880.49</v>
      </c>
      <c r="H1529" t="s">
        <v>68</v>
      </c>
    </row>
    <row r="1530" spans="1:8">
      <c r="A1530" s="17" t="s">
        <v>938</v>
      </c>
      <c r="B1530" s="18" t="s">
        <v>939</v>
      </c>
      <c r="C1530" s="19" t="s">
        <v>73</v>
      </c>
      <c r="D1530" s="20"/>
      <c r="E1530" s="3">
        <v>45685827.439999998</v>
      </c>
      <c r="F1530" s="24">
        <v>0.141638047565151</v>
      </c>
      <c r="G1530" s="26">
        <v>6470851.4000000004</v>
      </c>
      <c r="H1530" t="s">
        <v>68</v>
      </c>
    </row>
    <row r="1531" spans="1:8">
      <c r="A1531" s="13" t="s">
        <v>940</v>
      </c>
      <c r="B1531" s="22" t="s">
        <v>941</v>
      </c>
      <c r="C1531" s="15" t="s">
        <v>73</v>
      </c>
      <c r="D1531" s="16"/>
      <c r="E1531" s="2">
        <v>11535893.949999999</v>
      </c>
      <c r="F1531" s="23">
        <v>0.19438066436108317</v>
      </c>
      <c r="G1531" s="26">
        <v>2242354.73</v>
      </c>
      <c r="H1531" t="s">
        <v>68</v>
      </c>
    </row>
    <row r="1532" spans="1:8">
      <c r="A1532" s="19" t="s">
        <v>942</v>
      </c>
      <c r="B1532" s="20" t="s">
        <v>943</v>
      </c>
      <c r="C1532" s="19" t="s">
        <v>73</v>
      </c>
      <c r="D1532" s="20"/>
      <c r="E1532" s="3">
        <v>64697076.57</v>
      </c>
      <c r="F1532" s="24">
        <v>0.16485098578543084</v>
      </c>
      <c r="G1532" s="26">
        <v>10665376.85</v>
      </c>
      <c r="H1532" t="s">
        <v>68</v>
      </c>
    </row>
    <row r="1533" spans="1:8">
      <c r="A1533" s="17" t="s">
        <v>946</v>
      </c>
      <c r="B1533" s="18" t="s">
        <v>947</v>
      </c>
      <c r="C1533" s="19" t="s">
        <v>73</v>
      </c>
      <c r="D1533" s="20"/>
      <c r="E1533" s="3">
        <v>6354132.4000000004</v>
      </c>
      <c r="F1533" s="24">
        <v>0.58356134190719722</v>
      </c>
      <c r="G1533" s="26">
        <v>3708026.03</v>
      </c>
      <c r="H1533" t="s">
        <v>68</v>
      </c>
    </row>
    <row r="1534" spans="1:8">
      <c r="A1534" s="13" t="s">
        <v>948</v>
      </c>
      <c r="B1534" s="22" t="s">
        <v>949</v>
      </c>
      <c r="C1534" s="15" t="s">
        <v>73</v>
      </c>
      <c r="D1534" s="16"/>
      <c r="E1534" s="2">
        <v>8367992.0099999998</v>
      </c>
      <c r="F1534" s="23">
        <v>0.54877356533231203</v>
      </c>
      <c r="G1534" s="26">
        <v>4592132.8099999996</v>
      </c>
      <c r="H1534" t="s">
        <v>68</v>
      </c>
    </row>
    <row r="1535" spans="1:8">
      <c r="A1535" s="19" t="s">
        <v>950</v>
      </c>
      <c r="B1535" s="20" t="s">
        <v>951</v>
      </c>
      <c r="C1535" s="19" t="s">
        <v>73</v>
      </c>
      <c r="D1535" s="20"/>
      <c r="E1535" s="3">
        <v>6136361.29</v>
      </c>
      <c r="F1535" s="24">
        <v>0.48541567538634933</v>
      </c>
      <c r="G1535" s="26">
        <v>2978685.96</v>
      </c>
      <c r="H1535" t="s">
        <v>68</v>
      </c>
    </row>
    <row r="1536" spans="1:8">
      <c r="A1536" s="13" t="s">
        <v>952</v>
      </c>
      <c r="B1536" s="22" t="s">
        <v>953</v>
      </c>
      <c r="C1536" s="15" t="s">
        <v>73</v>
      </c>
      <c r="D1536" s="16"/>
      <c r="E1536" s="2">
        <v>6474712.0499999998</v>
      </c>
      <c r="F1536" s="23">
        <v>0.58612583087768355</v>
      </c>
      <c r="G1536" s="26">
        <v>3794995.9799999995</v>
      </c>
      <c r="H1536" t="s">
        <v>68</v>
      </c>
    </row>
    <row r="1537" spans="1:13">
      <c r="A1537" s="17" t="s">
        <v>954</v>
      </c>
      <c r="B1537" s="18" t="s">
        <v>955</v>
      </c>
      <c r="C1537" s="19" t="s">
        <v>73</v>
      </c>
      <c r="D1537" s="20"/>
      <c r="E1537" s="3">
        <v>6696499.3399999999</v>
      </c>
      <c r="F1537" s="24">
        <v>0.44627306123201976</v>
      </c>
      <c r="G1537" s="26">
        <v>2988467.26</v>
      </c>
      <c r="H1537" t="s">
        <v>68</v>
      </c>
    </row>
    <row r="1538" spans="1:13">
      <c r="A1538" s="15" t="s">
        <v>956</v>
      </c>
      <c r="B1538" s="16" t="s">
        <v>957</v>
      </c>
      <c r="C1538" s="15" t="s">
        <v>73</v>
      </c>
      <c r="D1538" s="16"/>
      <c r="E1538" s="2">
        <v>7978581.2000000002</v>
      </c>
      <c r="F1538" s="23">
        <v>0.32143291090400883</v>
      </c>
      <c r="G1538" s="26">
        <v>2564578.58</v>
      </c>
      <c r="H1538" t="s">
        <v>68</v>
      </c>
    </row>
    <row r="1539" spans="1:13">
      <c r="A1539" s="17" t="s">
        <v>958</v>
      </c>
      <c r="B1539" s="18" t="s">
        <v>959</v>
      </c>
      <c r="C1539" s="19" t="s">
        <v>73</v>
      </c>
      <c r="D1539" s="20"/>
      <c r="E1539" s="3">
        <v>10122756.34</v>
      </c>
      <c r="F1539" s="24">
        <v>0.6275872891355202</v>
      </c>
      <c r="G1539" s="26">
        <v>6352913.21</v>
      </c>
      <c r="H1539" t="s">
        <v>68</v>
      </c>
    </row>
    <row r="1540" spans="1:13">
      <c r="A1540" s="13" t="s">
        <v>960</v>
      </c>
      <c r="B1540" s="22" t="s">
        <v>884</v>
      </c>
      <c r="C1540" s="15" t="s">
        <v>73</v>
      </c>
      <c r="D1540" s="16"/>
      <c r="E1540" s="2">
        <v>9653243.8100000005</v>
      </c>
      <c r="F1540" s="23">
        <v>0.3015118386406942</v>
      </c>
      <c r="G1540" s="26">
        <v>2910567.29</v>
      </c>
      <c r="H1540" t="s">
        <v>68</v>
      </c>
    </row>
    <row r="1541" spans="1:13">
      <c r="A1541" s="15" t="s">
        <v>963</v>
      </c>
      <c r="B1541" s="16" t="s">
        <v>964</v>
      </c>
      <c r="C1541" s="15" t="s">
        <v>73</v>
      </c>
      <c r="D1541" s="16"/>
      <c r="E1541" s="2">
        <v>23594771.609999999</v>
      </c>
      <c r="F1541" s="23">
        <v>0.27829203302044592</v>
      </c>
      <c r="G1541" s="26">
        <v>6566236.96</v>
      </c>
      <c r="H1541" t="s">
        <v>68</v>
      </c>
    </row>
    <row r="1542" spans="1:13">
      <c r="A1542" s="17" t="s">
        <v>965</v>
      </c>
      <c r="B1542" s="18" t="s">
        <v>966</v>
      </c>
      <c r="C1542" s="19" t="s">
        <v>73</v>
      </c>
      <c r="D1542" s="20"/>
      <c r="E1542" s="3">
        <v>20549606.27</v>
      </c>
      <c r="F1542" s="24">
        <v>0.28620591133106904</v>
      </c>
      <c r="G1542" s="26">
        <v>5881418.79</v>
      </c>
      <c r="H1542" t="s">
        <v>68</v>
      </c>
    </row>
    <row r="1543" spans="1:13">
      <c r="A1543" s="13" t="s">
        <v>967</v>
      </c>
      <c r="B1543" s="22" t="s">
        <v>968</v>
      </c>
      <c r="C1543" s="15" t="s">
        <v>73</v>
      </c>
      <c r="D1543" s="16"/>
      <c r="E1543" s="2">
        <v>107130035.59</v>
      </c>
      <c r="F1543" s="23">
        <v>0.14770319409356222</v>
      </c>
      <c r="G1543" s="26">
        <v>15823448.439999999</v>
      </c>
      <c r="H1543" t="s">
        <v>68</v>
      </c>
    </row>
    <row r="1544" spans="1:13">
      <c r="A1544" s="19" t="s">
        <v>969</v>
      </c>
      <c r="B1544" s="20" t="s">
        <v>970</v>
      </c>
      <c r="C1544" s="19" t="s">
        <v>73</v>
      </c>
      <c r="D1544" s="20"/>
      <c r="E1544" s="3">
        <v>15032213.439999999</v>
      </c>
      <c r="F1544" s="24">
        <v>0.46784201994407021</v>
      </c>
      <c r="G1544" s="26">
        <v>7032701.0999999996</v>
      </c>
      <c r="H1544" t="s">
        <v>68</v>
      </c>
    </row>
    <row r="1545" spans="1:13">
      <c r="A1545" s="13" t="s">
        <v>971</v>
      </c>
      <c r="B1545" s="22" t="s">
        <v>972</v>
      </c>
      <c r="C1545" s="15" t="s">
        <v>73</v>
      </c>
      <c r="D1545" s="16"/>
      <c r="E1545" s="2">
        <v>1030447.52</v>
      </c>
      <c r="F1545" s="23">
        <v>0.1136889824335741</v>
      </c>
      <c r="G1545" s="26">
        <v>117150.53</v>
      </c>
      <c r="H1545" t="s">
        <v>68</v>
      </c>
    </row>
    <row r="1546" spans="1:13">
      <c r="A1546" s="17" t="s">
        <v>973</v>
      </c>
      <c r="B1546" s="18" t="s">
        <v>974</v>
      </c>
      <c r="C1546" s="19" t="s">
        <v>73</v>
      </c>
      <c r="D1546" s="20"/>
      <c r="E1546" s="3">
        <v>11736559.310000001</v>
      </c>
      <c r="F1546" s="24">
        <v>0.47728283068677302</v>
      </c>
      <c r="G1546" s="26">
        <v>5601658.25</v>
      </c>
      <c r="H1546" t="s">
        <v>68</v>
      </c>
    </row>
    <row r="1547" spans="1:13">
      <c r="A1547" s="15" t="s">
        <v>975</v>
      </c>
      <c r="B1547" s="16" t="s">
        <v>976</v>
      </c>
      <c r="C1547" s="15" t="s">
        <v>73</v>
      </c>
      <c r="D1547" s="16"/>
      <c r="E1547" s="2">
        <v>20539749.489999998</v>
      </c>
      <c r="F1547" s="23">
        <v>0.28877231744660387</v>
      </c>
      <c r="G1547" s="26">
        <v>5931311.0599999996</v>
      </c>
      <c r="H1547" t="s">
        <v>68</v>
      </c>
    </row>
    <row r="1548" spans="1:13">
      <c r="A1548" s="17" t="s">
        <v>977</v>
      </c>
      <c r="B1548" s="18" t="s">
        <v>978</v>
      </c>
      <c r="C1548" s="19" t="s">
        <v>73</v>
      </c>
      <c r="D1548" s="20"/>
      <c r="E1548" s="3">
        <v>24822914.199999999</v>
      </c>
      <c r="F1548" s="24">
        <v>0.28007875763434736</v>
      </c>
      <c r="G1548" s="26">
        <v>6952370.9699999997</v>
      </c>
      <c r="H1548" t="s">
        <v>68</v>
      </c>
    </row>
    <row r="1549" spans="1:13">
      <c r="A1549" s="17" t="s">
        <v>981</v>
      </c>
      <c r="B1549" s="18" t="s">
        <v>982</v>
      </c>
      <c r="C1549" s="19" t="s">
        <v>73</v>
      </c>
      <c r="D1549" s="20"/>
      <c r="E1549" s="3">
        <v>13539723.18</v>
      </c>
      <c r="F1549" s="24">
        <v>0.6942127224494703</v>
      </c>
      <c r="G1549" s="26">
        <v>9399448.0899999999</v>
      </c>
      <c r="H1549" s="41" t="s">
        <v>68</v>
      </c>
      <c r="M1549" s="34"/>
    </row>
    <row r="1550" spans="1:13">
      <c r="A1550" s="15" t="s">
        <v>983</v>
      </c>
      <c r="B1550" s="16" t="s">
        <v>984</v>
      </c>
      <c r="C1550" s="15" t="s">
        <v>73</v>
      </c>
      <c r="D1550" s="16"/>
      <c r="E1550" s="2">
        <v>8450602.2300000004</v>
      </c>
      <c r="F1550" s="23">
        <v>0.4589334694078957</v>
      </c>
      <c r="G1550" s="26">
        <v>3878264.2</v>
      </c>
      <c r="H1550" t="s">
        <v>68</v>
      </c>
    </row>
    <row r="1551" spans="1:13">
      <c r="A1551" s="17" t="s">
        <v>985</v>
      </c>
      <c r="B1551" s="18" t="s">
        <v>986</v>
      </c>
      <c r="C1551" s="19" t="s">
        <v>73</v>
      </c>
      <c r="D1551" s="20"/>
      <c r="E1551" s="3">
        <v>12598762.699999999</v>
      </c>
      <c r="F1551" s="24">
        <v>0.31003533466028377</v>
      </c>
      <c r="G1551" s="26">
        <v>3906061.61</v>
      </c>
      <c r="H1551" t="s">
        <v>68</v>
      </c>
    </row>
    <row r="1552" spans="1:13">
      <c r="A1552" s="13" t="s">
        <v>987</v>
      </c>
      <c r="B1552" s="22" t="s">
        <v>988</v>
      </c>
      <c r="C1552" s="15" t="s">
        <v>73</v>
      </c>
      <c r="D1552" s="16"/>
      <c r="E1552" s="2">
        <v>16777740.350000001</v>
      </c>
      <c r="F1552" s="23">
        <v>0.52001124990589087</v>
      </c>
      <c r="G1552" s="26">
        <v>8724613.7300000004</v>
      </c>
      <c r="H1552" t="s">
        <v>68</v>
      </c>
    </row>
    <row r="1553" spans="1:8">
      <c r="A1553" s="19" t="s">
        <v>989</v>
      </c>
      <c r="B1553" s="20" t="s">
        <v>990</v>
      </c>
      <c r="C1553" s="19" t="s">
        <v>73</v>
      </c>
      <c r="D1553" s="20"/>
      <c r="E1553" s="3">
        <v>12283381.609999999</v>
      </c>
      <c r="F1553" s="24">
        <v>0.47892511010247774</v>
      </c>
      <c r="G1553" s="26">
        <v>5882819.8899999997</v>
      </c>
      <c r="H1553" t="s">
        <v>68</v>
      </c>
    </row>
    <row r="1554" spans="1:8">
      <c r="A1554" s="13" t="s">
        <v>991</v>
      </c>
      <c r="B1554" s="22" t="s">
        <v>992</v>
      </c>
      <c r="C1554" s="15" t="s">
        <v>73</v>
      </c>
      <c r="D1554" s="16"/>
      <c r="E1554" s="2">
        <v>86067234.769999996</v>
      </c>
      <c r="F1554" s="23">
        <v>0.50590521499102648</v>
      </c>
      <c r="G1554" s="26">
        <v>43541862.909999996</v>
      </c>
      <c r="H1554" t="s">
        <v>68</v>
      </c>
    </row>
    <row r="1555" spans="1:8">
      <c r="A1555" s="17" t="s">
        <v>993</v>
      </c>
      <c r="B1555" s="18" t="s">
        <v>994</v>
      </c>
      <c r="C1555" s="19" t="s">
        <v>73</v>
      </c>
      <c r="D1555" s="20"/>
      <c r="E1555" s="3">
        <v>6410207.5199999996</v>
      </c>
      <c r="F1555" s="24">
        <v>0.28191823655656001</v>
      </c>
      <c r="G1555" s="26">
        <v>1807154.3999999997</v>
      </c>
      <c r="H1555" t="s">
        <v>68</v>
      </c>
    </row>
    <row r="1556" spans="1:8">
      <c r="A1556" s="15" t="s">
        <v>995</v>
      </c>
      <c r="B1556" s="16" t="s">
        <v>996</v>
      </c>
      <c r="C1556" s="15" t="s">
        <v>73</v>
      </c>
      <c r="D1556" s="16"/>
      <c r="E1556" s="2">
        <v>24081787.489999998</v>
      </c>
      <c r="F1556" s="23">
        <v>0.47384370552802352</v>
      </c>
      <c r="G1556" s="26">
        <v>11411003.42</v>
      </c>
      <c r="H1556" t="s">
        <v>68</v>
      </c>
    </row>
    <row r="1557" spans="1:8">
      <c r="A1557" s="17" t="s">
        <v>997</v>
      </c>
      <c r="B1557" s="18" t="s">
        <v>998</v>
      </c>
      <c r="C1557" s="19" t="s">
        <v>73</v>
      </c>
      <c r="D1557" s="20"/>
      <c r="E1557" s="3">
        <v>39804850.399999999</v>
      </c>
      <c r="F1557" s="24">
        <v>0.24090572615240882</v>
      </c>
      <c r="G1557" s="26">
        <v>9589216.3900000006</v>
      </c>
      <c r="H1557" t="s">
        <v>68</v>
      </c>
    </row>
    <row r="1558" spans="1:8">
      <c r="A1558" s="13" t="s">
        <v>999</v>
      </c>
      <c r="B1558" s="22" t="s">
        <v>1000</v>
      </c>
      <c r="C1558" s="15" t="s">
        <v>73</v>
      </c>
      <c r="D1558" s="16"/>
      <c r="E1558" s="2">
        <v>27123735.449999999</v>
      </c>
      <c r="F1558" s="23">
        <v>0.45148157754945217</v>
      </c>
      <c r="G1558" s="26">
        <v>12245866.869999999</v>
      </c>
      <c r="H1558" t="s">
        <v>68</v>
      </c>
    </row>
    <row r="1559" spans="1:8">
      <c r="A1559" s="19" t="s">
        <v>1001</v>
      </c>
      <c r="B1559" s="20" t="s">
        <v>1002</v>
      </c>
      <c r="C1559" s="19" t="s">
        <v>73</v>
      </c>
      <c r="D1559" s="20"/>
      <c r="E1559" s="3">
        <v>23564123.59</v>
      </c>
      <c r="F1559" s="24">
        <v>0.60435931239316676</v>
      </c>
      <c r="G1559" s="26">
        <v>14241197.529999999</v>
      </c>
      <c r="H1559" t="s">
        <v>68</v>
      </c>
    </row>
    <row r="1560" spans="1:8">
      <c r="A1560" s="13" t="s">
        <v>1003</v>
      </c>
      <c r="B1560" s="22" t="s">
        <v>1004</v>
      </c>
      <c r="C1560" s="15" t="s">
        <v>73</v>
      </c>
      <c r="D1560" s="16"/>
      <c r="E1560" s="2">
        <v>70171234.180000007</v>
      </c>
      <c r="F1560" s="23">
        <v>0.24546713395144101</v>
      </c>
      <c r="G1560" s="26">
        <v>17224731.739999998</v>
      </c>
      <c r="H1560" t="s">
        <v>68</v>
      </c>
    </row>
    <row r="1561" spans="1:8">
      <c r="A1561" s="17" t="s">
        <v>1005</v>
      </c>
      <c r="B1561" s="18" t="s">
        <v>1231</v>
      </c>
      <c r="C1561" s="19" t="s">
        <v>73</v>
      </c>
      <c r="D1561" s="20"/>
      <c r="E1561" s="3">
        <v>53132811.259999998</v>
      </c>
      <c r="F1561" s="24">
        <v>0.46535669586552192</v>
      </c>
      <c r="G1561" s="26">
        <v>24725709.489999998</v>
      </c>
      <c r="H1561" t="s">
        <v>68</v>
      </c>
    </row>
    <row r="1562" spans="1:8">
      <c r="A1562" s="15" t="s">
        <v>1232</v>
      </c>
      <c r="B1562" s="16" t="s">
        <v>1233</v>
      </c>
      <c r="C1562" s="15" t="s">
        <v>73</v>
      </c>
      <c r="D1562" s="16"/>
      <c r="E1562" s="2">
        <v>39800276.240000002</v>
      </c>
      <c r="F1562" s="23">
        <v>0.14165225954723171</v>
      </c>
      <c r="G1562" s="26">
        <v>5637799.0599999996</v>
      </c>
      <c r="H1562" t="s">
        <v>68</v>
      </c>
    </row>
    <row r="1563" spans="1:8">
      <c r="A1563" s="17" t="s">
        <v>1234</v>
      </c>
      <c r="B1563" s="18" t="s">
        <v>1235</v>
      </c>
      <c r="C1563" s="19" t="s">
        <v>73</v>
      </c>
      <c r="D1563" s="20"/>
      <c r="E1563" s="3">
        <v>55392180.079999998</v>
      </c>
      <c r="F1563" s="24">
        <v>0.52442135980288718</v>
      </c>
      <c r="G1563" s="26">
        <v>29048842.399999999</v>
      </c>
      <c r="H1563" t="s">
        <v>68</v>
      </c>
    </row>
    <row r="1564" spans="1:8">
      <c r="A1564" s="13" t="s">
        <v>1236</v>
      </c>
      <c r="B1564" s="22" t="s">
        <v>1237</v>
      </c>
      <c r="C1564" s="15" t="s">
        <v>73</v>
      </c>
      <c r="D1564" s="16"/>
      <c r="E1564" s="2">
        <v>146358873.93000001</v>
      </c>
      <c r="F1564" s="23">
        <v>0.33135803315345991</v>
      </c>
      <c r="G1564" s="26">
        <v>48497188.600000001</v>
      </c>
      <c r="H1564" t="s">
        <v>68</v>
      </c>
    </row>
    <row r="1565" spans="1:8">
      <c r="A1565" s="19" t="s">
        <v>1238</v>
      </c>
      <c r="B1565" s="20" t="s">
        <v>1239</v>
      </c>
      <c r="C1565" s="19" t="s">
        <v>73</v>
      </c>
      <c r="D1565" s="20"/>
      <c r="E1565" s="3">
        <v>139847960.08000001</v>
      </c>
      <c r="F1565" s="24">
        <v>0.19119763495087225</v>
      </c>
      <c r="G1565" s="26">
        <v>26738599.219999999</v>
      </c>
      <c r="H1565" t="s">
        <v>68</v>
      </c>
    </row>
    <row r="1566" spans="1:8">
      <c r="A1566" s="13" t="s">
        <v>1240</v>
      </c>
      <c r="B1566" s="22" t="s">
        <v>1241</v>
      </c>
      <c r="C1566" s="15" t="s">
        <v>73</v>
      </c>
      <c r="D1566" s="16"/>
      <c r="E1566" s="2">
        <v>12695760.550000001</v>
      </c>
      <c r="F1566" s="23">
        <v>0.33730604898656502</v>
      </c>
      <c r="G1566" s="26">
        <v>4282356.83</v>
      </c>
      <c r="H1566" t="s">
        <v>68</v>
      </c>
    </row>
    <row r="1567" spans="1:8">
      <c r="A1567" s="17" t="s">
        <v>1242</v>
      </c>
      <c r="B1567" s="18" t="s">
        <v>1243</v>
      </c>
      <c r="C1567" s="19" t="s">
        <v>73</v>
      </c>
      <c r="D1567" s="20"/>
      <c r="E1567" s="3">
        <v>12619113.380000001</v>
      </c>
      <c r="F1567" s="24">
        <v>0.4240825047567644</v>
      </c>
      <c r="G1567" s="26">
        <v>5351545.21</v>
      </c>
      <c r="H1567" t="s">
        <v>68</v>
      </c>
    </row>
    <row r="1568" spans="1:8">
      <c r="A1568" s="15" t="s">
        <v>1244</v>
      </c>
      <c r="B1568" s="16" t="s">
        <v>1245</v>
      </c>
      <c r="C1568" s="15" t="s">
        <v>73</v>
      </c>
      <c r="D1568" s="16"/>
      <c r="E1568" s="2">
        <v>8701431.3800000008</v>
      </c>
      <c r="F1568" s="23">
        <v>0.30018063303971027</v>
      </c>
      <c r="G1568" s="26">
        <v>2612001.1799999997</v>
      </c>
      <c r="H1568" t="s">
        <v>68</v>
      </c>
    </row>
    <row r="1569" spans="1:8">
      <c r="A1569" s="17" t="s">
        <v>1246</v>
      </c>
      <c r="B1569" s="18" t="s">
        <v>1247</v>
      </c>
      <c r="C1569" s="19" t="s">
        <v>73</v>
      </c>
      <c r="D1569" s="20"/>
      <c r="E1569" s="3">
        <v>4620962.82</v>
      </c>
      <c r="F1569" s="24">
        <v>0.45284910342559304</v>
      </c>
      <c r="G1569" s="26">
        <v>2092598.87</v>
      </c>
      <c r="H1569" t="s">
        <v>68</v>
      </c>
    </row>
    <row r="1570" spans="1:8">
      <c r="A1570" s="13" t="s">
        <v>1248</v>
      </c>
      <c r="B1570" s="22" t="s">
        <v>1249</v>
      </c>
      <c r="C1570" s="15" t="s">
        <v>73</v>
      </c>
      <c r="D1570" s="16"/>
      <c r="E1570" s="2">
        <v>14879821.970000001</v>
      </c>
      <c r="F1570" s="23">
        <v>0.47712451360733588</v>
      </c>
      <c r="G1570" s="26">
        <v>7099527.8200000003</v>
      </c>
      <c r="H1570" t="s">
        <v>68</v>
      </c>
    </row>
    <row r="1571" spans="1:8">
      <c r="A1571" s="19" t="s">
        <v>1250</v>
      </c>
      <c r="B1571" s="20" t="s">
        <v>1251</v>
      </c>
      <c r="C1571" s="19" t="s">
        <v>73</v>
      </c>
      <c r="D1571" s="20"/>
      <c r="E1571" s="3">
        <v>14114404.92</v>
      </c>
      <c r="F1571" s="24">
        <v>0.35353166274331316</v>
      </c>
      <c r="G1571" s="26">
        <v>4989889.04</v>
      </c>
      <c r="H1571" t="s">
        <v>68</v>
      </c>
    </row>
    <row r="1572" spans="1:8">
      <c r="A1572" s="17" t="s">
        <v>1254</v>
      </c>
      <c r="B1572" s="18" t="s">
        <v>1033</v>
      </c>
      <c r="C1572" s="19" t="s">
        <v>73</v>
      </c>
      <c r="D1572" s="20"/>
      <c r="E1572" s="3">
        <v>11265760.279999999</v>
      </c>
      <c r="F1572" s="24">
        <v>0.36518572983518166</v>
      </c>
      <c r="G1572" s="26">
        <v>4114094.89</v>
      </c>
      <c r="H1572" t="s">
        <v>68</v>
      </c>
    </row>
    <row r="1573" spans="1:8">
      <c r="A1573" s="13" t="s">
        <v>1034</v>
      </c>
      <c r="B1573" s="22" t="s">
        <v>1035</v>
      </c>
      <c r="C1573" s="15" t="s">
        <v>73</v>
      </c>
      <c r="D1573" s="16"/>
      <c r="E1573" s="2">
        <v>14189664.75</v>
      </c>
      <c r="F1573" s="23">
        <v>0.28469935063124024</v>
      </c>
      <c r="G1573" s="26">
        <v>4039788.34</v>
      </c>
      <c r="H1573" t="s">
        <v>68</v>
      </c>
    </row>
    <row r="1574" spans="1:8">
      <c r="A1574" s="19" t="s">
        <v>1036</v>
      </c>
      <c r="B1574" s="20" t="s">
        <v>1037</v>
      </c>
      <c r="C1574" s="19" t="s">
        <v>73</v>
      </c>
      <c r="D1574" s="20"/>
      <c r="E1574" s="3">
        <v>28357977.079999998</v>
      </c>
      <c r="F1574" s="24">
        <v>0.29883910781410367</v>
      </c>
      <c r="G1574" s="26">
        <v>8474472.5700000003</v>
      </c>
      <c r="H1574" t="s">
        <v>68</v>
      </c>
    </row>
    <row r="1575" spans="1:8">
      <c r="A1575" s="13" t="s">
        <v>1038</v>
      </c>
      <c r="B1575" s="22" t="s">
        <v>1039</v>
      </c>
      <c r="C1575" s="15" t="s">
        <v>73</v>
      </c>
      <c r="D1575" s="16"/>
      <c r="E1575" s="2">
        <v>34661834.030000001</v>
      </c>
      <c r="F1575" s="23">
        <v>0.22904879018024657</v>
      </c>
      <c r="G1575" s="26">
        <v>7939251.1500000004</v>
      </c>
      <c r="H1575" t="s">
        <v>68</v>
      </c>
    </row>
    <row r="1576" spans="1:8">
      <c r="A1576" s="17" t="s">
        <v>1040</v>
      </c>
      <c r="B1576" s="18" t="s">
        <v>1041</v>
      </c>
      <c r="C1576" s="19" t="s">
        <v>73</v>
      </c>
      <c r="D1576" s="20"/>
      <c r="E1576" s="3">
        <v>5854862.1900000004</v>
      </c>
      <c r="F1576" s="24">
        <v>0.44309140263470487</v>
      </c>
      <c r="G1576" s="26">
        <v>2594239.1</v>
      </c>
      <c r="H1576" t="s">
        <v>68</v>
      </c>
    </row>
    <row r="1577" spans="1:8">
      <c r="A1577" s="15" t="s">
        <v>1042</v>
      </c>
      <c r="B1577" s="16" t="s">
        <v>1043</v>
      </c>
      <c r="C1577" s="15" t="s">
        <v>73</v>
      </c>
      <c r="D1577" s="16"/>
      <c r="E1577" s="2">
        <v>7320926.21</v>
      </c>
      <c r="F1577" s="23">
        <v>0.25229737973277566</v>
      </c>
      <c r="G1577" s="26">
        <v>1847050.5000000002</v>
      </c>
      <c r="H1577" t="s">
        <v>68</v>
      </c>
    </row>
    <row r="1578" spans="1:8">
      <c r="A1578" s="17" t="s">
        <v>1044</v>
      </c>
      <c r="B1578" s="18" t="s">
        <v>1045</v>
      </c>
      <c r="C1578" s="19" t="s">
        <v>73</v>
      </c>
      <c r="D1578" s="20"/>
      <c r="E1578" s="3">
        <v>24491326.100000001</v>
      </c>
      <c r="F1578" s="24">
        <v>0.2539362272425093</v>
      </c>
      <c r="G1578" s="26">
        <v>6219234.9499999993</v>
      </c>
      <c r="H1578" t="s">
        <v>68</v>
      </c>
    </row>
    <row r="1579" spans="1:8">
      <c r="A1579" s="17" t="s">
        <v>1048</v>
      </c>
      <c r="B1579" s="18" t="s">
        <v>1049</v>
      </c>
      <c r="C1579" s="19" t="s">
        <v>73</v>
      </c>
      <c r="D1579" s="20"/>
      <c r="E1579" s="3">
        <v>68621518.370000005</v>
      </c>
      <c r="F1579" s="24">
        <v>0.2604545025312881</v>
      </c>
      <c r="G1579" s="26">
        <v>17872783.43</v>
      </c>
      <c r="H1579" t="s">
        <v>68</v>
      </c>
    </row>
    <row r="1580" spans="1:8">
      <c r="A1580" s="15" t="s">
        <v>1050</v>
      </c>
      <c r="B1580" s="16" t="s">
        <v>1051</v>
      </c>
      <c r="C1580" s="15" t="s">
        <v>73</v>
      </c>
      <c r="D1580" s="16"/>
      <c r="E1580" s="2">
        <v>5773643.1500000004</v>
      </c>
      <c r="F1580" s="23">
        <v>0.51286008384498094</v>
      </c>
      <c r="G1580" s="26">
        <v>2961071.11</v>
      </c>
      <c r="H1580" t="s">
        <v>68</v>
      </c>
    </row>
    <row r="1581" spans="1:8">
      <c r="A1581" s="17" t="s">
        <v>1052</v>
      </c>
      <c r="B1581" s="18" t="s">
        <v>1053</v>
      </c>
      <c r="C1581" s="19" t="s">
        <v>73</v>
      </c>
      <c r="D1581" s="20"/>
      <c r="E1581" s="3">
        <v>11770376.550000001</v>
      </c>
      <c r="F1581" s="24">
        <v>0.5079859097625895</v>
      </c>
      <c r="G1581" s="26">
        <v>5979185.4400000004</v>
      </c>
      <c r="H1581" t="s">
        <v>68</v>
      </c>
    </row>
    <row r="1582" spans="1:8">
      <c r="A1582" s="13" t="s">
        <v>1054</v>
      </c>
      <c r="B1582" s="22" t="s">
        <v>1055</v>
      </c>
      <c r="C1582" s="15" t="s">
        <v>73</v>
      </c>
      <c r="D1582" s="16"/>
      <c r="E1582" s="2">
        <v>22366890.149999999</v>
      </c>
      <c r="F1582" s="23">
        <v>0.35055717748048226</v>
      </c>
      <c r="G1582" s="26">
        <v>7840873.8799999999</v>
      </c>
      <c r="H1582" t="s">
        <v>68</v>
      </c>
    </row>
    <row r="1583" spans="1:8">
      <c r="A1583" s="19" t="s">
        <v>1056</v>
      </c>
      <c r="B1583" s="20" t="s">
        <v>1057</v>
      </c>
      <c r="C1583" s="19" t="s">
        <v>73</v>
      </c>
      <c r="D1583" s="20"/>
      <c r="E1583" s="3">
        <v>16868919.969999999</v>
      </c>
      <c r="F1583" s="24">
        <v>0.55999672514896637</v>
      </c>
      <c r="G1583" s="26">
        <v>9446539.9399999995</v>
      </c>
      <c r="H1583" t="s">
        <v>68</v>
      </c>
    </row>
    <row r="1584" spans="1:8">
      <c r="A1584" s="17" t="s">
        <v>1060</v>
      </c>
      <c r="B1584" s="18" t="s">
        <v>1061</v>
      </c>
      <c r="C1584" s="19" t="s">
        <v>73</v>
      </c>
      <c r="D1584" s="20"/>
      <c r="E1584" s="3">
        <v>18856936.359999999</v>
      </c>
      <c r="F1584" s="24">
        <v>0.39524163934761247</v>
      </c>
      <c r="G1584" s="26">
        <v>7453046.4400000004</v>
      </c>
      <c r="H1584" t="s">
        <v>68</v>
      </c>
    </row>
    <row r="1585" spans="1:8">
      <c r="A1585" s="13" t="s">
        <v>1062</v>
      </c>
      <c r="B1585" s="22" t="s">
        <v>1063</v>
      </c>
      <c r="C1585" s="15" t="s">
        <v>73</v>
      </c>
      <c r="D1585" s="16"/>
      <c r="E1585" s="2">
        <v>67771437.480000004</v>
      </c>
      <c r="F1585" s="23">
        <v>0.33618269564849723</v>
      </c>
      <c r="G1585" s="26">
        <v>22783584.539999999</v>
      </c>
      <c r="H1585" t="s">
        <v>68</v>
      </c>
    </row>
    <row r="1586" spans="1:8">
      <c r="A1586" s="19" t="s">
        <v>1064</v>
      </c>
      <c r="B1586" s="20" t="s">
        <v>1065</v>
      </c>
      <c r="C1586" s="19" t="s">
        <v>73</v>
      </c>
      <c r="D1586" s="20"/>
      <c r="E1586" s="3">
        <v>81667590.340000004</v>
      </c>
      <c r="F1586" s="24">
        <v>0.39017835137952966</v>
      </c>
      <c r="G1586" s="26">
        <v>31864925.760000005</v>
      </c>
      <c r="H1586" t="s">
        <v>68</v>
      </c>
    </row>
    <row r="1587" spans="1:8">
      <c r="A1587" s="13" t="s">
        <v>1066</v>
      </c>
      <c r="B1587" s="22" t="s">
        <v>1067</v>
      </c>
      <c r="C1587" s="15" t="s">
        <v>73</v>
      </c>
      <c r="D1587" s="16"/>
      <c r="E1587" s="2">
        <v>62160247.119999997</v>
      </c>
      <c r="F1587" s="23">
        <v>0.401269901676028</v>
      </c>
      <c r="G1587" s="26">
        <v>24943036.25</v>
      </c>
      <c r="H1587" t="s">
        <v>68</v>
      </c>
    </row>
    <row r="1588" spans="1:8">
      <c r="A1588" s="17" t="s">
        <v>1068</v>
      </c>
      <c r="B1588" s="18" t="s">
        <v>1069</v>
      </c>
      <c r="C1588" s="19" t="s">
        <v>73</v>
      </c>
      <c r="D1588" s="20"/>
      <c r="E1588" s="3">
        <v>29010636.989999998</v>
      </c>
      <c r="F1588" s="24">
        <v>0.5152153930695198</v>
      </c>
      <c r="G1588" s="26">
        <v>14946726.74</v>
      </c>
      <c r="H1588" t="s">
        <v>68</v>
      </c>
    </row>
    <row r="1589" spans="1:8">
      <c r="A1589" s="15" t="s">
        <v>1070</v>
      </c>
      <c r="B1589" s="16" t="s">
        <v>1071</v>
      </c>
      <c r="C1589" s="15" t="s">
        <v>73</v>
      </c>
      <c r="D1589" s="16"/>
      <c r="E1589" s="2">
        <v>20519652.670000002</v>
      </c>
      <c r="F1589" s="23">
        <v>0.28741213873577709</v>
      </c>
      <c r="G1589" s="26">
        <v>5897597.2599999988</v>
      </c>
      <c r="H1589" t="s">
        <v>68</v>
      </c>
    </row>
    <row r="1590" spans="1:8">
      <c r="A1590" s="13" t="s">
        <v>1074</v>
      </c>
      <c r="B1590" s="22" t="s">
        <v>1075</v>
      </c>
      <c r="C1590" s="15" t="s">
        <v>73</v>
      </c>
      <c r="D1590" s="16"/>
      <c r="E1590" s="2">
        <v>6113293.5099999998</v>
      </c>
      <c r="F1590" s="23">
        <v>0.36653207740388699</v>
      </c>
      <c r="G1590" s="26">
        <v>2240718.17</v>
      </c>
      <c r="H1590" t="s">
        <v>68</v>
      </c>
    </row>
    <row r="1591" spans="1:8">
      <c r="A1591" s="17" t="s">
        <v>1076</v>
      </c>
      <c r="B1591" s="18" t="s">
        <v>1077</v>
      </c>
      <c r="C1591" s="19" t="s">
        <v>73</v>
      </c>
      <c r="D1591" s="20"/>
      <c r="E1591" s="3">
        <v>5585255.3899999997</v>
      </c>
      <c r="F1591" s="24">
        <v>0.53582275312928884</v>
      </c>
      <c r="G1591" s="26">
        <v>2992706.92</v>
      </c>
      <c r="H1591" t="s">
        <v>68</v>
      </c>
    </row>
    <row r="1592" spans="1:8">
      <c r="A1592" s="15" t="s">
        <v>1078</v>
      </c>
      <c r="B1592" s="16" t="s">
        <v>1079</v>
      </c>
      <c r="C1592" s="15" t="s">
        <v>73</v>
      </c>
      <c r="D1592" s="16"/>
      <c r="E1592" s="2">
        <v>6539228.5300000003</v>
      </c>
      <c r="F1592" s="23">
        <v>0.48464203467744532</v>
      </c>
      <c r="G1592" s="26">
        <v>3169185.02</v>
      </c>
      <c r="H1592" t="s">
        <v>68</v>
      </c>
    </row>
    <row r="1593" spans="1:8">
      <c r="A1593" s="17" t="s">
        <v>1080</v>
      </c>
      <c r="B1593" s="18" t="s">
        <v>1081</v>
      </c>
      <c r="C1593" s="19" t="s">
        <v>73</v>
      </c>
      <c r="D1593" s="20"/>
      <c r="E1593" s="3">
        <v>11765234.449999999</v>
      </c>
      <c r="F1593" s="24">
        <v>0.485690706316524</v>
      </c>
      <c r="G1593" s="26">
        <v>5714265.0300000003</v>
      </c>
      <c r="H1593" t="s">
        <v>68</v>
      </c>
    </row>
    <row r="1594" spans="1:8">
      <c r="A1594" s="13" t="s">
        <v>1082</v>
      </c>
      <c r="B1594" s="22" t="s">
        <v>1083</v>
      </c>
      <c r="C1594" s="15" t="s">
        <v>73</v>
      </c>
      <c r="D1594" s="16"/>
      <c r="E1594" s="2">
        <v>6848252.0300000003</v>
      </c>
      <c r="F1594" s="23">
        <v>0.50065358210830913</v>
      </c>
      <c r="G1594" s="26">
        <v>3428601.9099999997</v>
      </c>
      <c r="H1594" t="s">
        <v>68</v>
      </c>
    </row>
    <row r="1595" spans="1:8">
      <c r="A1595" s="19" t="s">
        <v>1084</v>
      </c>
      <c r="B1595" s="20" t="s">
        <v>1085</v>
      </c>
      <c r="C1595" s="19" t="s">
        <v>73</v>
      </c>
      <c r="D1595" s="20"/>
      <c r="E1595" s="3">
        <v>10065105.710000001</v>
      </c>
      <c r="F1595" s="24">
        <v>0.21431842070538967</v>
      </c>
      <c r="G1595" s="26">
        <v>2157137.56</v>
      </c>
      <c r="H1595" t="s">
        <v>68</v>
      </c>
    </row>
    <row r="1596" spans="1:8">
      <c r="A1596" s="13" t="s">
        <v>1086</v>
      </c>
      <c r="B1596" s="22" t="s">
        <v>1087</v>
      </c>
      <c r="C1596" s="15" t="s">
        <v>73</v>
      </c>
      <c r="D1596" s="16"/>
      <c r="E1596" s="2">
        <v>3344569.65</v>
      </c>
      <c r="F1596" s="23">
        <v>0.49033970334569055</v>
      </c>
      <c r="G1596" s="26">
        <v>1639975.29</v>
      </c>
      <c r="H1596" t="s">
        <v>68</v>
      </c>
    </row>
    <row r="1597" spans="1:8">
      <c r="A1597" s="13" t="s">
        <v>1090</v>
      </c>
      <c r="B1597" s="22" t="s">
        <v>1091</v>
      </c>
      <c r="C1597" s="15" t="s">
        <v>73</v>
      </c>
      <c r="D1597" s="16"/>
      <c r="E1597" s="2">
        <v>4485376.05</v>
      </c>
      <c r="F1597" s="23">
        <v>0.50782246451777446</v>
      </c>
      <c r="G1597" s="26">
        <v>2277774.7200000002</v>
      </c>
      <c r="H1597" t="s">
        <v>68</v>
      </c>
    </row>
    <row r="1598" spans="1:8">
      <c r="A1598" s="19" t="s">
        <v>1092</v>
      </c>
      <c r="B1598" s="20" t="s">
        <v>1093</v>
      </c>
      <c r="C1598" s="19" t="s">
        <v>73</v>
      </c>
      <c r="D1598" s="20"/>
      <c r="E1598" s="3">
        <v>4955184.96</v>
      </c>
      <c r="F1598" s="24">
        <v>0.52220837988659052</v>
      </c>
      <c r="G1598" s="26">
        <v>2587639.11</v>
      </c>
      <c r="H1598" t="s">
        <v>68</v>
      </c>
    </row>
    <row r="1599" spans="1:8">
      <c r="A1599" s="13" t="s">
        <v>1094</v>
      </c>
      <c r="B1599" s="22" t="s">
        <v>1095</v>
      </c>
      <c r="C1599" s="15" t="s">
        <v>73</v>
      </c>
      <c r="D1599" s="16"/>
      <c r="E1599" s="2">
        <v>9506982.3000000007</v>
      </c>
      <c r="F1599" s="23">
        <v>0.61243379300285439</v>
      </c>
      <c r="G1599" s="26">
        <v>5822397.2300000014</v>
      </c>
      <c r="H1599" t="s">
        <v>68</v>
      </c>
    </row>
    <row r="1600" spans="1:8">
      <c r="A1600" s="17" t="s">
        <v>1096</v>
      </c>
      <c r="B1600" s="18" t="s">
        <v>1097</v>
      </c>
      <c r="C1600" s="19" t="s">
        <v>73</v>
      </c>
      <c r="D1600" s="20"/>
      <c r="E1600" s="3">
        <v>6534618.9000000004</v>
      </c>
      <c r="F1600" s="24">
        <v>0.6820607610338224</v>
      </c>
      <c r="G1600" s="26">
        <v>4457007.1399999997</v>
      </c>
      <c r="H1600" t="s">
        <v>68</v>
      </c>
    </row>
    <row r="1601" spans="1:8">
      <c r="A1601" s="15" t="s">
        <v>1098</v>
      </c>
      <c r="B1601" s="16" t="s">
        <v>1099</v>
      </c>
      <c r="C1601" s="15" t="s">
        <v>73</v>
      </c>
      <c r="D1601" s="16"/>
      <c r="E1601" s="2">
        <v>5316278.4000000004</v>
      </c>
      <c r="F1601" s="23">
        <v>0.50325705102276053</v>
      </c>
      <c r="G1601" s="26">
        <v>2675454.59</v>
      </c>
      <c r="H1601" t="s">
        <v>68</v>
      </c>
    </row>
    <row r="1602" spans="1:8">
      <c r="A1602" s="17" t="s">
        <v>1100</v>
      </c>
      <c r="B1602" s="18" t="s">
        <v>1101</v>
      </c>
      <c r="C1602" s="19" t="s">
        <v>73</v>
      </c>
      <c r="D1602" s="20"/>
      <c r="E1602" s="3">
        <v>4753798.2300000004</v>
      </c>
      <c r="F1602" s="24">
        <v>0.54174488175531998</v>
      </c>
      <c r="G1602" s="26">
        <v>2575345.86</v>
      </c>
      <c r="H1602" t="s">
        <v>68</v>
      </c>
    </row>
    <row r="1603" spans="1:8">
      <c r="A1603" s="13" t="s">
        <v>1102</v>
      </c>
      <c r="B1603" s="22" t="s">
        <v>1103</v>
      </c>
      <c r="C1603" s="15" t="s">
        <v>73</v>
      </c>
      <c r="D1603" s="16"/>
      <c r="E1603" s="2">
        <v>10906527.880000001</v>
      </c>
      <c r="F1603" s="23">
        <v>0.5307114238083257</v>
      </c>
      <c r="G1603" s="26">
        <v>5788218.9400000004</v>
      </c>
      <c r="H1603" t="s">
        <v>68</v>
      </c>
    </row>
    <row r="1604" spans="1:8">
      <c r="A1604" s="19" t="s">
        <v>1104</v>
      </c>
      <c r="B1604" s="20" t="s">
        <v>1105</v>
      </c>
      <c r="C1604" s="19" t="s">
        <v>73</v>
      </c>
      <c r="D1604" s="20"/>
      <c r="E1604" s="3">
        <v>9789530.1600000001</v>
      </c>
      <c r="F1604" s="24">
        <v>0.47872682992990545</v>
      </c>
      <c r="G1604" s="26">
        <v>4686510.74</v>
      </c>
      <c r="H1604" t="s">
        <v>68</v>
      </c>
    </row>
    <row r="1605" spans="1:8">
      <c r="A1605" s="13" t="s">
        <v>1106</v>
      </c>
      <c r="B1605" s="22" t="s">
        <v>1107</v>
      </c>
      <c r="C1605" s="15" t="s">
        <v>73</v>
      </c>
      <c r="D1605" s="16"/>
      <c r="E1605" s="2">
        <v>7269538.1900000004</v>
      </c>
      <c r="F1605" s="23">
        <v>0.65093266536646388</v>
      </c>
      <c r="G1605" s="26">
        <v>4731979.87</v>
      </c>
      <c r="H1605" t="s">
        <v>68</v>
      </c>
    </row>
    <row r="1606" spans="1:8">
      <c r="A1606" s="17" t="s">
        <v>1108</v>
      </c>
      <c r="B1606" s="18" t="s">
        <v>1109</v>
      </c>
      <c r="C1606" s="19" t="s">
        <v>73</v>
      </c>
      <c r="D1606" s="20"/>
      <c r="E1606" s="3">
        <v>7036665.0199999996</v>
      </c>
      <c r="F1606" s="24">
        <v>0.70547167101042429</v>
      </c>
      <c r="G1606" s="26">
        <v>4964167.83</v>
      </c>
      <c r="H1606" t="s">
        <v>68</v>
      </c>
    </row>
    <row r="1607" spans="1:8">
      <c r="A1607" s="15" t="s">
        <v>1110</v>
      </c>
      <c r="B1607" s="16" t="s">
        <v>1111</v>
      </c>
      <c r="C1607" s="15" t="s">
        <v>73</v>
      </c>
      <c r="D1607" s="16"/>
      <c r="E1607" s="2">
        <v>11326336.52</v>
      </c>
      <c r="F1607" s="23">
        <v>0.7006575847350861</v>
      </c>
      <c r="G1607" s="26">
        <v>7935883.5899999999</v>
      </c>
      <c r="H1607" t="s">
        <v>68</v>
      </c>
    </row>
    <row r="1608" spans="1:8">
      <c r="A1608" s="17" t="s">
        <v>1112</v>
      </c>
      <c r="B1608" s="18" t="s">
        <v>1113</v>
      </c>
      <c r="C1608" s="19" t="s">
        <v>73</v>
      </c>
      <c r="D1608" s="20"/>
      <c r="E1608" s="3">
        <v>16677248.359999999</v>
      </c>
      <c r="F1608" s="24">
        <v>0.34285245842558165</v>
      </c>
      <c r="G1608" s="26">
        <v>5717835.5999999996</v>
      </c>
      <c r="H1608" t="s">
        <v>68</v>
      </c>
    </row>
    <row r="1609" spans="1:8">
      <c r="A1609" s="13" t="s">
        <v>1114</v>
      </c>
      <c r="B1609" s="22" t="s">
        <v>1115</v>
      </c>
      <c r="C1609" s="15" t="s">
        <v>73</v>
      </c>
      <c r="D1609" s="16"/>
      <c r="E1609" s="2">
        <v>21909111.600000001</v>
      </c>
      <c r="F1609" s="23">
        <v>0.53795018050846011</v>
      </c>
      <c r="G1609" s="26">
        <v>11786010.539999997</v>
      </c>
      <c r="H1609" t="s">
        <v>68</v>
      </c>
    </row>
    <row r="1610" spans="1:8">
      <c r="A1610" s="19" t="s">
        <v>1116</v>
      </c>
      <c r="B1610" s="20" t="s">
        <v>1117</v>
      </c>
      <c r="C1610" s="19" t="s">
        <v>73</v>
      </c>
      <c r="D1610" s="20"/>
      <c r="E1610" s="3">
        <v>5844057.46</v>
      </c>
      <c r="F1610" s="24">
        <v>0.45883667440874204</v>
      </c>
      <c r="G1610" s="26">
        <v>2681467.89</v>
      </c>
      <c r="H1610" t="s">
        <v>68</v>
      </c>
    </row>
    <row r="1611" spans="1:8">
      <c r="A1611" s="13" t="s">
        <v>1118</v>
      </c>
      <c r="B1611" s="22" t="s">
        <v>1341</v>
      </c>
      <c r="C1611" s="15" t="s">
        <v>73</v>
      </c>
      <c r="D1611" s="16"/>
      <c r="E1611" s="2">
        <v>9418684.6899999995</v>
      </c>
      <c r="F1611" s="23">
        <v>0.58409546673124701</v>
      </c>
      <c r="G1611" s="26">
        <v>5501411.0300000003</v>
      </c>
      <c r="H1611" t="s">
        <v>68</v>
      </c>
    </row>
    <row r="1612" spans="1:8">
      <c r="A1612" s="17" t="s">
        <v>1342</v>
      </c>
      <c r="B1612" s="18" t="s">
        <v>1343</v>
      </c>
      <c r="C1612" s="19" t="s">
        <v>73</v>
      </c>
      <c r="D1612" s="20"/>
      <c r="E1612" s="3">
        <v>8020030.0700000003</v>
      </c>
      <c r="F1612" s="24">
        <v>0.59291520087779426</v>
      </c>
      <c r="G1612" s="26">
        <v>4755197.74</v>
      </c>
      <c r="H1612" t="s">
        <v>68</v>
      </c>
    </row>
    <row r="1613" spans="1:8">
      <c r="A1613" s="15" t="s">
        <v>1344</v>
      </c>
      <c r="B1613" s="16" t="s">
        <v>1345</v>
      </c>
      <c r="C1613" s="15" t="s">
        <v>73</v>
      </c>
      <c r="D1613" s="16"/>
      <c r="E1613" s="2">
        <v>11517126.49</v>
      </c>
      <c r="F1613" s="23">
        <v>0.56756945368931178</v>
      </c>
      <c r="G1613" s="26">
        <v>6536769.1900000013</v>
      </c>
      <c r="H1613" t="s">
        <v>68</v>
      </c>
    </row>
    <row r="1614" spans="1:8">
      <c r="A1614" s="17" t="s">
        <v>1346</v>
      </c>
      <c r="B1614" s="18" t="s">
        <v>1347</v>
      </c>
      <c r="C1614" s="19" t="s">
        <v>73</v>
      </c>
      <c r="D1614" s="20"/>
      <c r="E1614" s="3">
        <v>11463955.83</v>
      </c>
      <c r="F1614" s="24">
        <v>0.66103483582595068</v>
      </c>
      <c r="G1614" s="26">
        <v>7578074.1600000001</v>
      </c>
      <c r="H1614" t="s">
        <v>68</v>
      </c>
    </row>
    <row r="1615" spans="1:8">
      <c r="A1615" s="17" t="s">
        <v>1350</v>
      </c>
      <c r="B1615" s="18" t="s">
        <v>1025</v>
      </c>
      <c r="C1615" s="19" t="s">
        <v>73</v>
      </c>
      <c r="D1615" s="20"/>
      <c r="E1615" s="3">
        <v>19428839.039999999</v>
      </c>
      <c r="F1615" s="24">
        <v>0.55319628660632514</v>
      </c>
      <c r="G1615" s="26">
        <v>10747961.609999998</v>
      </c>
      <c r="H1615" t="s">
        <v>68</v>
      </c>
    </row>
    <row r="1616" spans="1:8">
      <c r="A1616" s="15" t="s">
        <v>1351</v>
      </c>
      <c r="B1616" s="16" t="s">
        <v>1352</v>
      </c>
      <c r="C1616" s="15" t="s">
        <v>73</v>
      </c>
      <c r="D1616" s="16"/>
      <c r="E1616" s="2">
        <v>20556857.420000002</v>
      </c>
      <c r="F1616" s="23">
        <v>0.44945796097271368</v>
      </c>
      <c r="G1616" s="26">
        <v>9239443.2200000007</v>
      </c>
      <c r="H1616" t="s">
        <v>68</v>
      </c>
    </row>
    <row r="1617" spans="1:8">
      <c r="A1617" s="17" t="s">
        <v>1353</v>
      </c>
      <c r="B1617" s="18" t="s">
        <v>1354</v>
      </c>
      <c r="C1617" s="19" t="s">
        <v>73</v>
      </c>
      <c r="D1617" s="20"/>
      <c r="E1617" s="3">
        <v>19037960.460000001</v>
      </c>
      <c r="F1617" s="24">
        <v>0.43938238277021818</v>
      </c>
      <c r="G1617" s="26">
        <v>8364944.4299999997</v>
      </c>
      <c r="H1617" t="s">
        <v>68</v>
      </c>
    </row>
    <row r="1618" spans="1:8">
      <c r="A1618" s="17" t="s">
        <v>1357</v>
      </c>
      <c r="B1618" s="18" t="s">
        <v>1358</v>
      </c>
      <c r="C1618" s="19" t="s">
        <v>73</v>
      </c>
      <c r="D1618" s="20"/>
      <c r="E1618" s="3">
        <v>9544435.4600000009</v>
      </c>
      <c r="F1618" s="24">
        <v>0.60267977651556148</v>
      </c>
      <c r="G1618" s="26">
        <v>5752238.2300000004</v>
      </c>
      <c r="H1618" t="s">
        <v>68</v>
      </c>
    </row>
    <row r="1619" spans="1:8">
      <c r="A1619" s="15" t="s">
        <v>1359</v>
      </c>
      <c r="B1619" s="16" t="s">
        <v>1360</v>
      </c>
      <c r="C1619" s="15" t="s">
        <v>73</v>
      </c>
      <c r="D1619" s="16"/>
      <c r="E1619" s="2">
        <v>6318044.5800000001</v>
      </c>
      <c r="F1619" s="23">
        <v>0.48771149063338831</v>
      </c>
      <c r="G1619" s="26">
        <v>3081382.94</v>
      </c>
      <c r="H1619" t="s">
        <v>68</v>
      </c>
    </row>
    <row r="1620" spans="1:8">
      <c r="A1620" s="17" t="s">
        <v>1361</v>
      </c>
      <c r="B1620" s="18" t="s">
        <v>1362</v>
      </c>
      <c r="C1620" s="19" t="s">
        <v>73</v>
      </c>
      <c r="D1620" s="20"/>
      <c r="E1620" s="3">
        <v>10923012.73</v>
      </c>
      <c r="F1620" s="24">
        <v>0.45080746234743241</v>
      </c>
      <c r="G1620" s="26">
        <v>4924175.6500000004</v>
      </c>
      <c r="H1620" t="s">
        <v>68</v>
      </c>
    </row>
    <row r="1621" spans="1:8">
      <c r="A1621" s="13" t="s">
        <v>1363</v>
      </c>
      <c r="B1621" s="22" t="s">
        <v>1364</v>
      </c>
      <c r="C1621" s="15" t="s">
        <v>73</v>
      </c>
      <c r="D1621" s="16"/>
      <c r="E1621" s="2">
        <v>9650874.7200000007</v>
      </c>
      <c r="F1621" s="23">
        <v>0.47119721081614035</v>
      </c>
      <c r="G1621" s="26">
        <v>4547465.25</v>
      </c>
      <c r="H1621" t="s">
        <v>68</v>
      </c>
    </row>
    <row r="1622" spans="1:8">
      <c r="A1622" s="15" t="s">
        <v>1145</v>
      </c>
      <c r="B1622" s="16" t="s">
        <v>1146</v>
      </c>
      <c r="C1622" s="15" t="s">
        <v>73</v>
      </c>
      <c r="D1622" s="16"/>
      <c r="E1622" s="2">
        <v>13060811.08</v>
      </c>
      <c r="F1622" s="23">
        <v>0.18715320779297268</v>
      </c>
      <c r="G1622" s="26">
        <v>2444372.69</v>
      </c>
      <c r="H1622" t="s">
        <v>68</v>
      </c>
    </row>
    <row r="1623" spans="1:8">
      <c r="A1623" s="17" t="s">
        <v>1147</v>
      </c>
      <c r="B1623" s="18" t="s">
        <v>862</v>
      </c>
      <c r="C1623" s="19" t="s">
        <v>73</v>
      </c>
      <c r="D1623" s="20"/>
      <c r="E1623" s="3">
        <v>29256917.890000001</v>
      </c>
      <c r="F1623" s="24">
        <v>0.53524707759297063</v>
      </c>
      <c r="G1623" s="26">
        <v>15659679.800000001</v>
      </c>
      <c r="H1623" t="s">
        <v>68</v>
      </c>
    </row>
    <row r="1624" spans="1:8">
      <c r="A1624" s="13" t="s">
        <v>1148</v>
      </c>
      <c r="B1624" s="22" t="s">
        <v>1149</v>
      </c>
      <c r="C1624" s="15" t="s">
        <v>73</v>
      </c>
      <c r="D1624" s="16"/>
      <c r="E1624" s="2">
        <v>39876061.18</v>
      </c>
      <c r="F1624" s="23">
        <v>0.26302481487967261</v>
      </c>
      <c r="G1624" s="26">
        <v>10488393.609999999</v>
      </c>
      <c r="H1624" t="s">
        <v>68</v>
      </c>
    </row>
    <row r="1625" spans="1:8">
      <c r="A1625" s="19" t="s">
        <v>1150</v>
      </c>
      <c r="B1625" s="20" t="s">
        <v>1013</v>
      </c>
      <c r="C1625" s="19" t="s">
        <v>73</v>
      </c>
      <c r="D1625" s="20"/>
      <c r="E1625" s="3">
        <v>30492028.600000001</v>
      </c>
      <c r="F1625" s="24">
        <v>0.38079411613827491</v>
      </c>
      <c r="G1625" s="26">
        <v>11611185.08</v>
      </c>
      <c r="H1625" t="s">
        <v>68</v>
      </c>
    </row>
    <row r="1626" spans="1:8">
      <c r="A1626" s="13" t="s">
        <v>1151</v>
      </c>
      <c r="B1626" s="22" t="s">
        <v>1152</v>
      </c>
      <c r="C1626" s="15" t="s">
        <v>73</v>
      </c>
      <c r="D1626" s="16"/>
      <c r="E1626" s="2">
        <v>11521393.949999999</v>
      </c>
      <c r="F1626" s="23">
        <v>0.73154302218786649</v>
      </c>
      <c r="G1626" s="26">
        <v>8428395.3499999996</v>
      </c>
      <c r="H1626" t="s">
        <v>68</v>
      </c>
    </row>
    <row r="1627" spans="1:8">
      <c r="A1627" s="17" t="s">
        <v>1153</v>
      </c>
      <c r="B1627" s="18" t="s">
        <v>1154</v>
      </c>
      <c r="C1627" s="19" t="s">
        <v>73</v>
      </c>
      <c r="D1627" s="20"/>
      <c r="E1627" s="3">
        <v>13990418.050000001</v>
      </c>
      <c r="F1627" s="24">
        <v>0.64954075836211334</v>
      </c>
      <c r="G1627" s="26">
        <v>9087346.75</v>
      </c>
      <c r="H1627" t="s">
        <v>68</v>
      </c>
    </row>
    <row r="1628" spans="1:8">
      <c r="A1628" s="15" t="s">
        <v>1155</v>
      </c>
      <c r="B1628" s="16" t="s">
        <v>1156</v>
      </c>
      <c r="C1628" s="15" t="s">
        <v>73</v>
      </c>
      <c r="D1628" s="16"/>
      <c r="E1628" s="2">
        <v>17901191.079999998</v>
      </c>
      <c r="F1628" s="23">
        <v>0.73495959744819395</v>
      </c>
      <c r="G1628" s="26">
        <v>13156652.189999999</v>
      </c>
      <c r="H1628" t="s">
        <v>68</v>
      </c>
    </row>
    <row r="1629" spans="1:8">
      <c r="A1629" s="17" t="s">
        <v>1157</v>
      </c>
      <c r="B1629" s="18" t="s">
        <v>1158</v>
      </c>
      <c r="C1629" s="19" t="s">
        <v>73</v>
      </c>
      <c r="D1629" s="20"/>
      <c r="E1629" s="3">
        <v>16853911.940000001</v>
      </c>
      <c r="F1629" s="24">
        <v>0.67531044664993067</v>
      </c>
      <c r="G1629" s="26">
        <v>11381622.800000001</v>
      </c>
      <c r="H1629" t="s">
        <v>68</v>
      </c>
    </row>
    <row r="1630" spans="1:8">
      <c r="A1630" s="13" t="s">
        <v>1159</v>
      </c>
      <c r="B1630" s="22" t="s">
        <v>1160</v>
      </c>
      <c r="C1630" s="15" t="s">
        <v>73</v>
      </c>
      <c r="D1630" s="16"/>
      <c r="E1630" s="2">
        <v>8425008.5500000007</v>
      </c>
      <c r="F1630" s="23">
        <v>0.69139645917629355</v>
      </c>
      <c r="G1630" s="26">
        <v>5825021.0800000001</v>
      </c>
      <c r="H1630" t="s">
        <v>68</v>
      </c>
    </row>
    <row r="1631" spans="1:8">
      <c r="A1631" s="15" t="s">
        <v>1163</v>
      </c>
      <c r="B1631" s="16" t="s">
        <v>1164</v>
      </c>
      <c r="C1631" s="15" t="s">
        <v>73</v>
      </c>
      <c r="D1631" s="16"/>
      <c r="E1631" s="2">
        <v>12812446.98</v>
      </c>
      <c r="F1631" s="23">
        <v>0.42274650958204396</v>
      </c>
      <c r="G1631" s="26">
        <v>5416417.2400000002</v>
      </c>
      <c r="H1631" t="s">
        <v>68</v>
      </c>
    </row>
    <row r="1632" spans="1:8">
      <c r="A1632" s="17" t="s">
        <v>1165</v>
      </c>
      <c r="B1632" s="18" t="s">
        <v>1166</v>
      </c>
      <c r="C1632" s="19" t="s">
        <v>73</v>
      </c>
      <c r="D1632" s="20"/>
      <c r="E1632" s="3">
        <v>20434468.960000001</v>
      </c>
      <c r="F1632" s="24">
        <v>0.33021767696575366</v>
      </c>
      <c r="G1632" s="26">
        <v>6747822.8700000001</v>
      </c>
      <c r="H1632" t="s">
        <v>68</v>
      </c>
    </row>
    <row r="1633" spans="1:8">
      <c r="A1633" s="13" t="s">
        <v>1167</v>
      </c>
      <c r="B1633" s="22" t="s">
        <v>1168</v>
      </c>
      <c r="C1633" s="15" t="s">
        <v>73</v>
      </c>
      <c r="D1633" s="16"/>
      <c r="E1633" s="2">
        <v>19445224.649999999</v>
      </c>
      <c r="F1633" s="23">
        <v>0.44240027949484251</v>
      </c>
      <c r="G1633" s="26">
        <v>8602572.8200000003</v>
      </c>
      <c r="H1633" t="s">
        <v>68</v>
      </c>
    </row>
    <row r="1634" spans="1:8">
      <c r="A1634" s="19" t="s">
        <v>1169</v>
      </c>
      <c r="B1634" s="20" t="s">
        <v>1170</v>
      </c>
      <c r="C1634" s="19" t="s">
        <v>73</v>
      </c>
      <c r="D1634" s="20"/>
      <c r="E1634" s="3">
        <v>17080374.030000001</v>
      </c>
      <c r="F1634" s="24">
        <v>0.58020152208575493</v>
      </c>
      <c r="G1634" s="26">
        <v>9910059.0099999998</v>
      </c>
      <c r="H1634" t="s">
        <v>68</v>
      </c>
    </row>
    <row r="1635" spans="1:8">
      <c r="A1635" s="13" t="s">
        <v>1171</v>
      </c>
      <c r="B1635" s="22" t="s">
        <v>1172</v>
      </c>
      <c r="C1635" s="15" t="s">
        <v>73</v>
      </c>
      <c r="D1635" s="16"/>
      <c r="E1635" s="2">
        <v>14534876.24</v>
      </c>
      <c r="F1635" s="23">
        <v>0.62208787406916366</v>
      </c>
      <c r="G1635" s="26">
        <v>9041970.2599999998</v>
      </c>
      <c r="H1635" t="s">
        <v>68</v>
      </c>
    </row>
    <row r="1636" spans="1:8">
      <c r="A1636" s="17" t="s">
        <v>1173</v>
      </c>
      <c r="B1636" s="18" t="s">
        <v>1174</v>
      </c>
      <c r="C1636" s="19" t="s">
        <v>73</v>
      </c>
      <c r="D1636" s="20"/>
      <c r="E1636" s="3">
        <v>11908354.83</v>
      </c>
      <c r="F1636" s="24">
        <v>0.42839855402595528</v>
      </c>
      <c r="G1636" s="26">
        <v>5101521.99</v>
      </c>
      <c r="H1636" t="s">
        <v>68</v>
      </c>
    </row>
    <row r="1637" spans="1:8">
      <c r="A1637" s="15" t="s">
        <v>1175</v>
      </c>
      <c r="B1637" s="16" t="s">
        <v>1176</v>
      </c>
      <c r="C1637" s="15" t="s">
        <v>73</v>
      </c>
      <c r="D1637" s="16"/>
      <c r="E1637" s="2">
        <v>31681171.879999999</v>
      </c>
      <c r="F1637" s="23">
        <v>0.40574144317290328</v>
      </c>
      <c r="G1637" s="26">
        <v>12854364.4</v>
      </c>
      <c r="H1637" t="s">
        <v>68</v>
      </c>
    </row>
    <row r="1638" spans="1:8">
      <c r="A1638" s="13" t="s">
        <v>1179</v>
      </c>
      <c r="B1638" s="22" t="s">
        <v>1180</v>
      </c>
      <c r="C1638" s="15" t="s">
        <v>73</v>
      </c>
      <c r="D1638" s="16"/>
      <c r="E1638" s="2">
        <v>16972129.460000001</v>
      </c>
      <c r="F1638" s="23">
        <v>0.4292737241470464</v>
      </c>
      <c r="G1638" s="26">
        <v>7285689.2199999997</v>
      </c>
      <c r="H1638" t="s">
        <v>68</v>
      </c>
    </row>
    <row r="1639" spans="1:8">
      <c r="A1639" s="17" t="s">
        <v>1181</v>
      </c>
      <c r="B1639" s="18" t="s">
        <v>1182</v>
      </c>
      <c r="C1639" s="19" t="s">
        <v>73</v>
      </c>
      <c r="D1639" s="20"/>
      <c r="E1639" s="3">
        <v>16768943.859999999</v>
      </c>
      <c r="F1639" s="24">
        <v>0.36899376917587223</v>
      </c>
      <c r="G1639" s="26">
        <v>6187635.7999999998</v>
      </c>
      <c r="H1639" t="s">
        <v>68</v>
      </c>
    </row>
    <row r="1640" spans="1:8">
      <c r="A1640" s="15" t="s">
        <v>1183</v>
      </c>
      <c r="B1640" s="16" t="s">
        <v>1149</v>
      </c>
      <c r="C1640" s="15" t="s">
        <v>73</v>
      </c>
      <c r="D1640" s="16"/>
      <c r="E1640" s="2">
        <v>6646869.0599999996</v>
      </c>
      <c r="F1640" s="23">
        <v>0.58359472783115129</v>
      </c>
      <c r="G1640" s="26">
        <v>3879077.74</v>
      </c>
      <c r="H1640" t="s">
        <v>68</v>
      </c>
    </row>
    <row r="1641" spans="1:8">
      <c r="A1641" s="13" t="s">
        <v>1186</v>
      </c>
      <c r="B1641" s="22" t="s">
        <v>1187</v>
      </c>
      <c r="C1641" s="15" t="s">
        <v>73</v>
      </c>
      <c r="D1641" s="16"/>
      <c r="E1641" s="2">
        <v>24793691.5</v>
      </c>
      <c r="F1641" s="23">
        <v>0.22194273369901371</v>
      </c>
      <c r="G1641" s="26">
        <v>5502779.6699999999</v>
      </c>
      <c r="H1641" t="s">
        <v>68</v>
      </c>
    </row>
    <row r="1642" spans="1:8">
      <c r="A1642" s="17" t="s">
        <v>1188</v>
      </c>
      <c r="B1642" s="18" t="s">
        <v>1189</v>
      </c>
      <c r="C1642" s="19" t="s">
        <v>73</v>
      </c>
      <c r="D1642" s="20"/>
      <c r="E1642" s="3">
        <v>36360032.649999999</v>
      </c>
      <c r="F1642" s="24">
        <v>0.20350543222078213</v>
      </c>
      <c r="G1642" s="26">
        <v>7399464.1600000001</v>
      </c>
      <c r="H1642" t="s">
        <v>68</v>
      </c>
    </row>
    <row r="1643" spans="1:8">
      <c r="A1643" s="15" t="s">
        <v>1190</v>
      </c>
      <c r="B1643" s="16" t="s">
        <v>1191</v>
      </c>
      <c r="C1643" s="15" t="s">
        <v>73</v>
      </c>
      <c r="D1643" s="16"/>
      <c r="E1643" s="2">
        <v>12771086.09</v>
      </c>
      <c r="F1643" s="23">
        <v>0.54467843541096983</v>
      </c>
      <c r="G1643" s="26">
        <v>6956135.1900000004</v>
      </c>
      <c r="H1643" t="s">
        <v>68</v>
      </c>
    </row>
    <row r="1644" spans="1:8">
      <c r="A1644" s="17" t="s">
        <v>1192</v>
      </c>
      <c r="B1644" s="18" t="s">
        <v>1193</v>
      </c>
      <c r="C1644" s="19" t="s">
        <v>73</v>
      </c>
      <c r="D1644" s="20"/>
      <c r="E1644" s="3">
        <v>10045347.390000001</v>
      </c>
      <c r="F1644" s="24">
        <v>0.36644924332477463</v>
      </c>
      <c r="G1644" s="26">
        <v>3681109.95</v>
      </c>
      <c r="H1644" t="s">
        <v>68</v>
      </c>
    </row>
    <row r="1645" spans="1:8">
      <c r="A1645" s="13" t="s">
        <v>1194</v>
      </c>
      <c r="B1645" s="22" t="s">
        <v>1195</v>
      </c>
      <c r="C1645" s="15" t="s">
        <v>73</v>
      </c>
      <c r="D1645" s="16"/>
      <c r="E1645" s="2">
        <v>16505943.74</v>
      </c>
      <c r="F1645" s="23">
        <v>0.51294614130315708</v>
      </c>
      <c r="G1645" s="26">
        <v>8466660.1500000004</v>
      </c>
      <c r="H1645" t="s">
        <v>68</v>
      </c>
    </row>
    <row r="1646" spans="1:8">
      <c r="A1646" s="19" t="s">
        <v>1196</v>
      </c>
      <c r="B1646" s="20" t="s">
        <v>1197</v>
      </c>
      <c r="C1646" s="19" t="s">
        <v>73</v>
      </c>
      <c r="D1646" s="20"/>
      <c r="E1646" s="3">
        <v>13739270</v>
      </c>
      <c r="F1646" s="24">
        <v>0.53311920283974334</v>
      </c>
      <c r="G1646" s="26">
        <v>7324668.6700000009</v>
      </c>
      <c r="H1646" t="s">
        <v>68</v>
      </c>
    </row>
    <row r="1647" spans="1:8">
      <c r="A1647" s="13" t="s">
        <v>1198</v>
      </c>
      <c r="B1647" s="22" t="s">
        <v>1199</v>
      </c>
      <c r="C1647" s="15" t="s">
        <v>73</v>
      </c>
      <c r="D1647" s="16"/>
      <c r="E1647" s="2">
        <v>25769869.5</v>
      </c>
      <c r="F1647" s="23">
        <v>0.52670553880763737</v>
      </c>
      <c r="G1647" s="26">
        <v>13573133</v>
      </c>
      <c r="H1647" t="s">
        <v>68</v>
      </c>
    </row>
    <row r="1648" spans="1:8">
      <c r="A1648" s="13" t="s">
        <v>1202</v>
      </c>
      <c r="B1648" s="22" t="s">
        <v>1203</v>
      </c>
      <c r="C1648" s="15" t="s">
        <v>73</v>
      </c>
      <c r="D1648" s="16"/>
      <c r="E1648" s="2">
        <v>32232003.739999998</v>
      </c>
      <c r="F1648" s="23">
        <v>0.29227461022874651</v>
      </c>
      <c r="G1648" s="26">
        <v>9420596.3300000001</v>
      </c>
      <c r="H1648" t="s">
        <v>68</v>
      </c>
    </row>
    <row r="1649" spans="1:8">
      <c r="A1649" s="19" t="s">
        <v>1204</v>
      </c>
      <c r="B1649" s="20" t="s">
        <v>1205</v>
      </c>
      <c r="C1649" s="19" t="s">
        <v>73</v>
      </c>
      <c r="D1649" s="20"/>
      <c r="E1649" s="3">
        <v>11977808.18</v>
      </c>
      <c r="F1649" s="24">
        <v>0.24058790946508546</v>
      </c>
      <c r="G1649" s="26">
        <v>2881715.83</v>
      </c>
      <c r="H1649" t="s">
        <v>68</v>
      </c>
    </row>
    <row r="1650" spans="1:8">
      <c r="A1650" s="13" t="s">
        <v>1206</v>
      </c>
      <c r="B1650" s="22" t="s">
        <v>1207</v>
      </c>
      <c r="C1650" s="15" t="s">
        <v>73</v>
      </c>
      <c r="D1650" s="16"/>
      <c r="E1650" s="2">
        <v>34289142.93</v>
      </c>
      <c r="F1650" s="23">
        <v>0.22831184016415426</v>
      </c>
      <c r="G1650" s="26">
        <v>7828617.3200000003</v>
      </c>
      <c r="H1650" t="s">
        <v>68</v>
      </c>
    </row>
    <row r="1651" spans="1:8">
      <c r="A1651" s="17" t="s">
        <v>1208</v>
      </c>
      <c r="B1651" s="18" t="s">
        <v>1209</v>
      </c>
      <c r="C1651" s="19" t="s">
        <v>73</v>
      </c>
      <c r="D1651" s="20"/>
      <c r="E1651" s="3">
        <v>73835540.200000003</v>
      </c>
      <c r="F1651" s="24">
        <v>0.32987458050723384</v>
      </c>
      <c r="G1651" s="26">
        <v>24356467.850000001</v>
      </c>
      <c r="H1651" t="s">
        <v>68</v>
      </c>
    </row>
    <row r="1652" spans="1:8">
      <c r="A1652" s="15" t="s">
        <v>1210</v>
      </c>
      <c r="B1652" s="16" t="s">
        <v>1211</v>
      </c>
      <c r="C1652" s="15" t="s">
        <v>73</v>
      </c>
      <c r="D1652" s="16"/>
      <c r="E1652" s="2">
        <v>11789867.859999999</v>
      </c>
      <c r="F1652" s="23">
        <v>0.38166623777579811</v>
      </c>
      <c r="G1652" s="26">
        <v>4499794.51</v>
      </c>
      <c r="H1652" t="s">
        <v>68</v>
      </c>
    </row>
    <row r="1653" spans="1:8">
      <c r="A1653" s="17" t="s">
        <v>1212</v>
      </c>
      <c r="B1653" s="18" t="s">
        <v>1213</v>
      </c>
      <c r="C1653" s="19" t="s">
        <v>73</v>
      </c>
      <c r="D1653" s="20"/>
      <c r="E1653" s="3">
        <v>13634098.720000001</v>
      </c>
      <c r="F1653" s="24">
        <v>0.55316712640026999</v>
      </c>
      <c r="G1653" s="26">
        <v>7541935.21</v>
      </c>
      <c r="H1653" t="s">
        <v>68</v>
      </c>
    </row>
    <row r="1654" spans="1:8">
      <c r="A1654" s="13" t="s">
        <v>1214</v>
      </c>
      <c r="B1654" s="22" t="s">
        <v>1215</v>
      </c>
      <c r="C1654" s="15" t="s">
        <v>73</v>
      </c>
      <c r="D1654" s="16"/>
      <c r="E1654" s="2">
        <v>15684082.49</v>
      </c>
      <c r="F1654" s="23">
        <v>0.38147146916720914</v>
      </c>
      <c r="G1654" s="26">
        <v>5983029.9900000002</v>
      </c>
      <c r="H1654" t="s">
        <v>68</v>
      </c>
    </row>
    <row r="1655" spans="1:8">
      <c r="A1655" s="15" t="s">
        <v>1218</v>
      </c>
      <c r="B1655" s="16" t="s">
        <v>1219</v>
      </c>
      <c r="C1655" s="15" t="s">
        <v>73</v>
      </c>
      <c r="D1655" s="16"/>
      <c r="E1655" s="2">
        <v>41886616.590000004</v>
      </c>
      <c r="F1655" s="23">
        <v>0.49019269808729138</v>
      </c>
      <c r="G1655" s="26">
        <v>20532513.600000001</v>
      </c>
      <c r="H1655" t="s">
        <v>68</v>
      </c>
    </row>
    <row r="1656" spans="1:8">
      <c r="A1656" s="17" t="s">
        <v>1220</v>
      </c>
      <c r="B1656" s="18" t="s">
        <v>1221</v>
      </c>
      <c r="C1656" s="19" t="s">
        <v>73</v>
      </c>
      <c r="D1656" s="20"/>
      <c r="E1656" s="3">
        <v>42677018.090000004</v>
      </c>
      <c r="F1656" s="24">
        <v>0.23840414197973314</v>
      </c>
      <c r="G1656" s="26">
        <v>10174377.880000001</v>
      </c>
      <c r="H1656" t="s">
        <v>68</v>
      </c>
    </row>
    <row r="1657" spans="1:8">
      <c r="A1657" s="13" t="s">
        <v>1222</v>
      </c>
      <c r="B1657" s="22" t="s">
        <v>1223</v>
      </c>
      <c r="C1657" s="15" t="s">
        <v>73</v>
      </c>
      <c r="D1657" s="16"/>
      <c r="E1657" s="2">
        <v>24286362.109999999</v>
      </c>
      <c r="F1657" s="23">
        <v>0.34663958693647262</v>
      </c>
      <c r="G1657" s="26">
        <v>8418614.5299999993</v>
      </c>
      <c r="H1657" t="s">
        <v>68</v>
      </c>
    </row>
    <row r="1658" spans="1:8">
      <c r="A1658" s="19" t="s">
        <v>1224</v>
      </c>
      <c r="B1658" s="20" t="s">
        <v>1225</v>
      </c>
      <c r="C1658" s="19" t="s">
        <v>73</v>
      </c>
      <c r="D1658" s="20"/>
      <c r="E1658" s="3">
        <v>9307829.1400000006</v>
      </c>
      <c r="F1658" s="24">
        <v>0.34886475043309617</v>
      </c>
      <c r="G1658" s="26">
        <v>3247173.49</v>
      </c>
      <c r="H1658" t="s">
        <v>68</v>
      </c>
    </row>
    <row r="1659" spans="1:8">
      <c r="A1659" s="13" t="s">
        <v>1226</v>
      </c>
      <c r="B1659" s="22" t="s">
        <v>1227</v>
      </c>
      <c r="C1659" s="15" t="s">
        <v>73</v>
      </c>
      <c r="D1659" s="16"/>
      <c r="E1659" s="2">
        <v>5122505.47</v>
      </c>
      <c r="F1659" s="23">
        <v>0.49767921868124432</v>
      </c>
      <c r="G1659" s="26">
        <v>2549364.52</v>
      </c>
      <c r="H1659" t="s">
        <v>68</v>
      </c>
    </row>
    <row r="1660" spans="1:8">
      <c r="A1660" s="17" t="s">
        <v>1228</v>
      </c>
      <c r="B1660" s="18" t="s">
        <v>1229</v>
      </c>
      <c r="C1660" s="19" t="s">
        <v>73</v>
      </c>
      <c r="D1660" s="20"/>
      <c r="E1660" s="3">
        <v>19891559.57</v>
      </c>
      <c r="F1660" s="24">
        <v>0.37496904874412518</v>
      </c>
      <c r="G1660" s="26">
        <v>7458719.1699999999</v>
      </c>
      <c r="H1660" t="s">
        <v>68</v>
      </c>
    </row>
    <row r="1661" spans="1:8">
      <c r="A1661" s="15" t="s">
        <v>1230</v>
      </c>
      <c r="B1661" s="16" t="s">
        <v>1452</v>
      </c>
      <c r="C1661" s="15" t="s">
        <v>73</v>
      </c>
      <c r="D1661" s="16"/>
      <c r="E1661" s="2">
        <v>6143270.0800000001</v>
      </c>
      <c r="F1661" s="23">
        <v>0.68488126278179196</v>
      </c>
      <c r="G1661" s="26">
        <v>4207410.57</v>
      </c>
      <c r="H1661" t="s">
        <v>68</v>
      </c>
    </row>
    <row r="1662" spans="1:8">
      <c r="A1662" s="17" t="s">
        <v>1453</v>
      </c>
      <c r="B1662" s="18" t="s">
        <v>1454</v>
      </c>
      <c r="C1662" s="19" t="s">
        <v>73</v>
      </c>
      <c r="D1662" s="20"/>
      <c r="E1662" s="3">
        <v>12977788.609999999</v>
      </c>
      <c r="F1662" s="24">
        <v>0.45471149726178201</v>
      </c>
      <c r="G1662" s="26">
        <v>5901149.6900000004</v>
      </c>
      <c r="H1662" t="s">
        <v>68</v>
      </c>
    </row>
    <row r="1663" spans="1:8">
      <c r="A1663" s="13" t="s">
        <v>1455</v>
      </c>
      <c r="B1663" s="22" t="s">
        <v>1207</v>
      </c>
      <c r="C1663" s="15" t="s">
        <v>73</v>
      </c>
      <c r="D1663" s="16"/>
      <c r="E1663" s="2">
        <v>9756389.7300000004</v>
      </c>
      <c r="F1663" s="23">
        <v>0.51942033480042205</v>
      </c>
      <c r="G1663" s="26">
        <v>5067667.22</v>
      </c>
      <c r="H1663" t="s">
        <v>68</v>
      </c>
    </row>
    <row r="1664" spans="1:8">
      <c r="A1664" s="19" t="s">
        <v>1456</v>
      </c>
      <c r="B1664" s="20" t="s">
        <v>1457</v>
      </c>
      <c r="C1664" s="19" t="s">
        <v>73</v>
      </c>
      <c r="D1664" s="20"/>
      <c r="E1664" s="3">
        <v>19033325.890000001</v>
      </c>
      <c r="F1664" s="24">
        <v>0.63839321305289753</v>
      </c>
      <c r="G1664" s="26">
        <v>12150746.07</v>
      </c>
      <c r="H1664" t="s">
        <v>68</v>
      </c>
    </row>
    <row r="1665" spans="1:8">
      <c r="A1665" s="13" t="s">
        <v>1458</v>
      </c>
      <c r="B1665" s="22" t="s">
        <v>1345</v>
      </c>
      <c r="C1665" s="15" t="s">
        <v>73</v>
      </c>
      <c r="D1665" s="16"/>
      <c r="E1665" s="2">
        <v>6578553.0899999999</v>
      </c>
      <c r="F1665" s="23">
        <v>0.43806451062630253</v>
      </c>
      <c r="G1665" s="26">
        <v>2881830.64</v>
      </c>
      <c r="H1665" t="s">
        <v>68</v>
      </c>
    </row>
    <row r="1666" spans="1:8">
      <c r="A1666" s="17" t="s">
        <v>1459</v>
      </c>
      <c r="B1666" s="18" t="s">
        <v>1460</v>
      </c>
      <c r="C1666" s="19" t="s">
        <v>73</v>
      </c>
      <c r="D1666" s="20"/>
      <c r="E1666" s="3">
        <v>12941097.390000001</v>
      </c>
      <c r="F1666" s="24">
        <v>0.51747000645978447</v>
      </c>
      <c r="G1666" s="26">
        <v>6696629.75</v>
      </c>
      <c r="H1666" t="s">
        <v>68</v>
      </c>
    </row>
    <row r="1667" spans="1:8">
      <c r="A1667" s="15" t="s">
        <v>1461</v>
      </c>
      <c r="B1667" s="16" t="s">
        <v>1462</v>
      </c>
      <c r="C1667" s="15" t="s">
        <v>73</v>
      </c>
      <c r="D1667" s="16"/>
      <c r="E1667" s="2">
        <v>11298582.15</v>
      </c>
      <c r="F1667" s="23">
        <v>0.38727269332639225</v>
      </c>
      <c r="G1667" s="26">
        <v>4375632.34</v>
      </c>
      <c r="H1667" t="s">
        <v>68</v>
      </c>
    </row>
    <row r="1668" spans="1:8">
      <c r="A1668" s="17" t="s">
        <v>1463</v>
      </c>
      <c r="B1668" s="18" t="s">
        <v>1464</v>
      </c>
      <c r="C1668" s="19" t="s">
        <v>73</v>
      </c>
      <c r="D1668" s="20"/>
      <c r="E1668" s="3">
        <v>7924210.2699999996</v>
      </c>
      <c r="F1668" s="24">
        <v>0.45098681612849228</v>
      </c>
      <c r="G1668" s="26">
        <v>3573714.36</v>
      </c>
      <c r="H1668" t="s">
        <v>68</v>
      </c>
    </row>
    <row r="1669" spans="1:8">
      <c r="A1669" s="13" t="s">
        <v>1465</v>
      </c>
      <c r="B1669" s="22" t="s">
        <v>1466</v>
      </c>
      <c r="C1669" s="15" t="s">
        <v>73</v>
      </c>
      <c r="D1669" s="16"/>
      <c r="E1669" s="2">
        <v>15645265.630000001</v>
      </c>
      <c r="F1669" s="23">
        <v>0.36790458635376971</v>
      </c>
      <c r="G1669" s="26">
        <v>5755964.9800000004</v>
      </c>
      <c r="H1669" t="s">
        <v>68</v>
      </c>
    </row>
    <row r="1670" spans="1:8">
      <c r="A1670" s="19" t="s">
        <v>1467</v>
      </c>
      <c r="B1670" s="20" t="s">
        <v>1468</v>
      </c>
      <c r="C1670" s="19" t="s">
        <v>73</v>
      </c>
      <c r="D1670" s="20"/>
      <c r="E1670" s="3">
        <v>13033759.67</v>
      </c>
      <c r="F1670" s="24">
        <v>0.60611042554231787</v>
      </c>
      <c r="G1670" s="26">
        <v>7899897.6200000001</v>
      </c>
      <c r="H1670" t="s">
        <v>68</v>
      </c>
    </row>
    <row r="1671" spans="1:8">
      <c r="A1671" s="13" t="s">
        <v>1469</v>
      </c>
      <c r="B1671" s="22" t="s">
        <v>1025</v>
      </c>
      <c r="C1671" s="15" t="s">
        <v>73</v>
      </c>
      <c r="D1671" s="16"/>
      <c r="E1671" s="2">
        <v>17914157.23</v>
      </c>
      <c r="F1671" s="23">
        <v>0.37597707966527655</v>
      </c>
      <c r="G1671" s="26">
        <v>6735312.5199999996</v>
      </c>
      <c r="H1671" t="s">
        <v>68</v>
      </c>
    </row>
    <row r="1672" spans="1:8">
      <c r="A1672" s="17" t="s">
        <v>1470</v>
      </c>
      <c r="B1672" s="18" t="s">
        <v>1471</v>
      </c>
      <c r="C1672" s="19" t="s">
        <v>73</v>
      </c>
      <c r="D1672" s="20"/>
      <c r="E1672" s="3">
        <v>25838279.390000001</v>
      </c>
      <c r="F1672" s="24">
        <v>0.45014028079986634</v>
      </c>
      <c r="G1672" s="26">
        <v>11630850.34</v>
      </c>
      <c r="H1672" t="s">
        <v>68</v>
      </c>
    </row>
    <row r="1673" spans="1:8">
      <c r="A1673" s="15" t="s">
        <v>1472</v>
      </c>
      <c r="B1673" s="16" t="s">
        <v>1473</v>
      </c>
      <c r="C1673" s="15" t="s">
        <v>73</v>
      </c>
      <c r="D1673" s="16"/>
      <c r="E1673" s="2">
        <v>23829695.469999999</v>
      </c>
      <c r="F1673" s="23">
        <v>0.28486519051600789</v>
      </c>
      <c r="G1673" s="26">
        <v>6788250.7400000002</v>
      </c>
      <c r="H1673" t="s">
        <v>68</v>
      </c>
    </row>
    <row r="1674" spans="1:8">
      <c r="A1674" s="17" t="s">
        <v>1474</v>
      </c>
      <c r="B1674" s="18" t="s">
        <v>846</v>
      </c>
      <c r="C1674" s="19" t="s">
        <v>73</v>
      </c>
      <c r="D1674" s="20"/>
      <c r="E1674" s="3">
        <v>7147042.0099999998</v>
      </c>
      <c r="F1674" s="24">
        <v>0.67479530178387748</v>
      </c>
      <c r="G1674" s="26">
        <v>4822790.37</v>
      </c>
      <c r="H1674" t="s">
        <v>68</v>
      </c>
    </row>
    <row r="1675" spans="1:8">
      <c r="A1675" s="13" t="s">
        <v>1475</v>
      </c>
      <c r="B1675" s="22" t="s">
        <v>1476</v>
      </c>
      <c r="C1675" s="15" t="s">
        <v>73</v>
      </c>
      <c r="D1675" s="16"/>
      <c r="E1675" s="2">
        <v>19652713.960000001</v>
      </c>
      <c r="F1675" s="23">
        <v>0.71850999453512632</v>
      </c>
      <c r="G1675" s="26">
        <v>14120671.400000002</v>
      </c>
      <c r="H1675" t="s">
        <v>68</v>
      </c>
    </row>
    <row r="1676" spans="1:8">
      <c r="A1676" s="19" t="s">
        <v>1477</v>
      </c>
      <c r="B1676" s="20" t="s">
        <v>1137</v>
      </c>
      <c r="C1676" s="19" t="s">
        <v>73</v>
      </c>
      <c r="D1676" s="20"/>
      <c r="E1676" s="3">
        <v>6657574.9900000002</v>
      </c>
      <c r="F1676" s="24">
        <v>0.62439753908051732</v>
      </c>
      <c r="G1676" s="26">
        <v>4156973.44</v>
      </c>
      <c r="H1676" t="s">
        <v>68</v>
      </c>
    </row>
    <row r="1677" spans="1:8">
      <c r="A1677" s="17" t="s">
        <v>1255</v>
      </c>
      <c r="B1677" s="18" t="s">
        <v>1256</v>
      </c>
      <c r="C1677" s="19" t="s">
        <v>73</v>
      </c>
      <c r="D1677" s="20"/>
      <c r="E1677" s="3">
        <v>7247766.5099999998</v>
      </c>
      <c r="F1677" s="24">
        <v>0.64226601168475006</v>
      </c>
      <c r="G1677" s="26">
        <v>4654994.09</v>
      </c>
      <c r="H1677" t="s">
        <v>68</v>
      </c>
    </row>
    <row r="1678" spans="1:8">
      <c r="A1678" s="13" t="s">
        <v>1257</v>
      </c>
      <c r="B1678" s="22" t="s">
        <v>1258</v>
      </c>
      <c r="C1678" s="15" t="s">
        <v>73</v>
      </c>
      <c r="D1678" s="16"/>
      <c r="E1678" s="2">
        <v>9759289</v>
      </c>
      <c r="F1678" s="23">
        <v>0.60113391764502511</v>
      </c>
      <c r="G1678" s="26">
        <v>5866639.6299999999</v>
      </c>
      <c r="H1678" t="s">
        <v>68</v>
      </c>
    </row>
    <row r="1679" spans="1:8">
      <c r="A1679" s="19" t="s">
        <v>1259</v>
      </c>
      <c r="B1679" s="20" t="s">
        <v>1260</v>
      </c>
      <c r="C1679" s="19" t="s">
        <v>73</v>
      </c>
      <c r="D1679" s="20"/>
      <c r="E1679" s="3">
        <v>8762625.2699999996</v>
      </c>
      <c r="F1679" s="24">
        <v>0.67684598248259908</v>
      </c>
      <c r="G1679" s="26">
        <v>5930947.71</v>
      </c>
      <c r="H1679" t="s">
        <v>68</v>
      </c>
    </row>
    <row r="1680" spans="1:8">
      <c r="A1680" s="13" t="s">
        <v>1261</v>
      </c>
      <c r="B1680" s="22" t="s">
        <v>1262</v>
      </c>
      <c r="C1680" s="15" t="s">
        <v>73</v>
      </c>
      <c r="D1680" s="16"/>
      <c r="E1680" s="2">
        <v>8163698.3399999999</v>
      </c>
      <c r="F1680" s="23">
        <v>0.58431438685423054</v>
      </c>
      <c r="G1680" s="26">
        <v>4770166.3899999997</v>
      </c>
      <c r="H1680" t="s">
        <v>68</v>
      </c>
    </row>
    <row r="1681" spans="1:8">
      <c r="A1681" s="13" t="s">
        <v>1265</v>
      </c>
      <c r="B1681" s="22" t="s">
        <v>1266</v>
      </c>
      <c r="C1681" s="15" t="s">
        <v>73</v>
      </c>
      <c r="D1681" s="16"/>
      <c r="E1681" s="2">
        <v>7052335.3899999997</v>
      </c>
      <c r="F1681" s="23">
        <v>0.44953822311051489</v>
      </c>
      <c r="G1681" s="26">
        <v>3170294.32</v>
      </c>
      <c r="H1681" t="s">
        <v>68</v>
      </c>
    </row>
    <row r="1682" spans="1:8">
      <c r="A1682" s="19" t="s">
        <v>1267</v>
      </c>
      <c r="B1682" s="20" t="s">
        <v>1268</v>
      </c>
      <c r="C1682" s="19" t="s">
        <v>73</v>
      </c>
      <c r="D1682" s="20"/>
      <c r="E1682" s="3">
        <v>9968547.3800000008</v>
      </c>
      <c r="F1682" s="24">
        <v>0.52442943697981403</v>
      </c>
      <c r="G1682" s="26">
        <v>5227799.6900000004</v>
      </c>
      <c r="H1682" t="s">
        <v>68</v>
      </c>
    </row>
    <row r="1683" spans="1:8">
      <c r="A1683" s="13" t="s">
        <v>1269</v>
      </c>
      <c r="B1683" s="22" t="s">
        <v>1270</v>
      </c>
      <c r="C1683" s="15" t="s">
        <v>73</v>
      </c>
      <c r="D1683" s="16"/>
      <c r="E1683" s="2">
        <v>5174502.62</v>
      </c>
      <c r="F1683" s="23">
        <v>0.47371194876310646</v>
      </c>
      <c r="G1683" s="26">
        <v>2451223.7200000002</v>
      </c>
      <c r="H1683" t="s">
        <v>68</v>
      </c>
    </row>
    <row r="1684" spans="1:8">
      <c r="A1684" s="17" t="s">
        <v>1271</v>
      </c>
      <c r="B1684" s="18" t="s">
        <v>1272</v>
      </c>
      <c r="C1684" s="19" t="s">
        <v>73</v>
      </c>
      <c r="D1684" s="20"/>
      <c r="E1684" s="3">
        <v>24217676.260000002</v>
      </c>
      <c r="F1684" s="24">
        <v>0.55967224288925232</v>
      </c>
      <c r="G1684" s="26">
        <v>13553961.190000001</v>
      </c>
      <c r="H1684" t="s">
        <v>68</v>
      </c>
    </row>
    <row r="1685" spans="1:8">
      <c r="A1685" s="15" t="s">
        <v>1273</v>
      </c>
      <c r="B1685" s="16" t="s">
        <v>1274</v>
      </c>
      <c r="C1685" s="15" t="s">
        <v>73</v>
      </c>
      <c r="D1685" s="16"/>
      <c r="E1685" s="2">
        <v>27806138.300000001</v>
      </c>
      <c r="F1685" s="23">
        <v>0.66074825823620387</v>
      </c>
      <c r="G1685" s="26">
        <v>18372857.449999999</v>
      </c>
      <c r="H1685" t="s">
        <v>68</v>
      </c>
    </row>
    <row r="1686" spans="1:8">
      <c r="A1686" s="17" t="s">
        <v>1275</v>
      </c>
      <c r="B1686" s="18" t="s">
        <v>1276</v>
      </c>
      <c r="C1686" s="19" t="s">
        <v>73</v>
      </c>
      <c r="D1686" s="20"/>
      <c r="E1686" s="3">
        <v>11922420.73</v>
      </c>
      <c r="F1686" s="24">
        <v>0.4919289171906282</v>
      </c>
      <c r="G1686" s="26">
        <v>5864983.5199999996</v>
      </c>
      <c r="H1686" t="s">
        <v>68</v>
      </c>
    </row>
    <row r="1687" spans="1:8">
      <c r="A1687" s="13" t="s">
        <v>1277</v>
      </c>
      <c r="B1687" s="22" t="s">
        <v>1278</v>
      </c>
      <c r="C1687" s="15" t="s">
        <v>73</v>
      </c>
      <c r="D1687" s="16"/>
      <c r="E1687" s="2">
        <v>8409506.3900000006</v>
      </c>
      <c r="F1687" s="23">
        <v>0.37022210646063847</v>
      </c>
      <c r="G1687" s="26">
        <v>3113385.17</v>
      </c>
      <c r="H1687" t="s">
        <v>68</v>
      </c>
    </row>
    <row r="1688" spans="1:8">
      <c r="A1688" s="19" t="s">
        <v>1279</v>
      </c>
      <c r="B1688" s="20" t="s">
        <v>1280</v>
      </c>
      <c r="C1688" s="19" t="s">
        <v>73</v>
      </c>
      <c r="D1688" s="20"/>
      <c r="E1688" s="3">
        <v>34944083.149999999</v>
      </c>
      <c r="F1688" s="24">
        <v>0.54644811220351053</v>
      </c>
      <c r="G1688" s="26">
        <v>19095128.27</v>
      </c>
      <c r="H1688" t="s">
        <v>68</v>
      </c>
    </row>
    <row r="1689" spans="1:8">
      <c r="A1689" s="13" t="s">
        <v>1281</v>
      </c>
      <c r="B1689" s="22" t="s">
        <v>1282</v>
      </c>
      <c r="C1689" s="15" t="s">
        <v>73</v>
      </c>
      <c r="D1689" s="16"/>
      <c r="E1689" s="2">
        <v>35933156.039999999</v>
      </c>
      <c r="F1689" s="23">
        <v>0.57343891048875428</v>
      </c>
      <c r="G1689" s="26">
        <v>20605469.850000001</v>
      </c>
      <c r="H1689" t="s">
        <v>68</v>
      </c>
    </row>
    <row r="1690" spans="1:8">
      <c r="A1690" s="17" t="s">
        <v>1283</v>
      </c>
      <c r="B1690" s="18" t="s">
        <v>1284</v>
      </c>
      <c r="C1690" s="19" t="s">
        <v>73</v>
      </c>
      <c r="D1690" s="20"/>
      <c r="E1690" s="3">
        <v>10117515.84</v>
      </c>
      <c r="F1690" s="24">
        <v>0.58709736895257481</v>
      </c>
      <c r="G1690" s="26">
        <v>5939966.9299999997</v>
      </c>
      <c r="H1690" t="s">
        <v>68</v>
      </c>
    </row>
    <row r="1691" spans="1:8">
      <c r="A1691" s="15" t="s">
        <v>1285</v>
      </c>
      <c r="B1691" s="16" t="s">
        <v>1286</v>
      </c>
      <c r="C1691" s="15" t="s">
        <v>73</v>
      </c>
      <c r="D1691" s="16"/>
      <c r="E1691" s="2">
        <v>48385730.399999999</v>
      </c>
      <c r="F1691" s="23">
        <v>0.50270033931326163</v>
      </c>
      <c r="G1691" s="26">
        <v>24323523.089999996</v>
      </c>
      <c r="H1691" t="s">
        <v>68</v>
      </c>
    </row>
    <row r="1692" spans="1:8">
      <c r="A1692" s="17" t="s">
        <v>1287</v>
      </c>
      <c r="B1692" s="18" t="s">
        <v>1174</v>
      </c>
      <c r="C1692" s="19" t="s">
        <v>73</v>
      </c>
      <c r="D1692" s="20"/>
      <c r="E1692" s="3">
        <v>20682988.780000001</v>
      </c>
      <c r="F1692" s="24">
        <v>0.37752661441031832</v>
      </c>
      <c r="G1692" s="26">
        <v>7808378.7300000004</v>
      </c>
      <c r="H1692" t="s">
        <v>68</v>
      </c>
    </row>
    <row r="1693" spans="1:8">
      <c r="A1693" s="13" t="s">
        <v>1288</v>
      </c>
      <c r="B1693" s="22" t="s">
        <v>1289</v>
      </c>
      <c r="C1693" s="15" t="s">
        <v>73</v>
      </c>
      <c r="D1693" s="16"/>
      <c r="E1693" s="2">
        <v>18092282.18</v>
      </c>
      <c r="F1693" s="23">
        <v>0.48031603440312914</v>
      </c>
      <c r="G1693" s="26">
        <v>8690013.2300000004</v>
      </c>
      <c r="H1693" t="s">
        <v>68</v>
      </c>
    </row>
    <row r="1694" spans="1:8">
      <c r="A1694" s="19" t="s">
        <v>1290</v>
      </c>
      <c r="B1694" s="20" t="s">
        <v>1291</v>
      </c>
      <c r="C1694" s="19" t="s">
        <v>73</v>
      </c>
      <c r="D1694" s="20"/>
      <c r="E1694" s="3">
        <v>62992473.82</v>
      </c>
      <c r="F1694" s="24">
        <v>0.45415917386811405</v>
      </c>
      <c r="G1694" s="26">
        <v>28608609.870000001</v>
      </c>
      <c r="H1694" t="s">
        <v>68</v>
      </c>
    </row>
    <row r="1695" spans="1:8">
      <c r="A1695" s="13" t="s">
        <v>1292</v>
      </c>
      <c r="B1695" s="22" t="s">
        <v>1293</v>
      </c>
      <c r="C1695" s="15" t="s">
        <v>73</v>
      </c>
      <c r="D1695" s="16"/>
      <c r="E1695" s="2">
        <v>21353164.57</v>
      </c>
      <c r="F1695" s="23">
        <v>0.67946240157694815</v>
      </c>
      <c r="G1695" s="26">
        <v>14508672.480000002</v>
      </c>
      <c r="H1695" t="s">
        <v>68</v>
      </c>
    </row>
    <row r="1696" spans="1:8">
      <c r="A1696" s="17" t="s">
        <v>1294</v>
      </c>
      <c r="B1696" s="18" t="s">
        <v>1295</v>
      </c>
      <c r="C1696" s="19" t="s">
        <v>73</v>
      </c>
      <c r="D1696" s="20"/>
      <c r="E1696" s="3">
        <v>11251998.560000001</v>
      </c>
      <c r="F1696" s="24">
        <v>0.63951367053854302</v>
      </c>
      <c r="G1696" s="26">
        <v>7195806.9000000013</v>
      </c>
      <c r="H1696" t="s">
        <v>68</v>
      </c>
    </row>
    <row r="1697" spans="1:8">
      <c r="A1697" s="15" t="s">
        <v>1296</v>
      </c>
      <c r="B1697" s="16" t="s">
        <v>1473</v>
      </c>
      <c r="C1697" s="15" t="s">
        <v>73</v>
      </c>
      <c r="D1697" s="16"/>
      <c r="E1697" s="2">
        <v>15058086.01</v>
      </c>
      <c r="F1697" s="23">
        <v>0.55505995080977766</v>
      </c>
      <c r="G1697" s="26">
        <v>8358140.4800000014</v>
      </c>
      <c r="H1697" t="s">
        <v>68</v>
      </c>
    </row>
    <row r="1698" spans="1:8">
      <c r="A1698" s="17" t="s">
        <v>1297</v>
      </c>
      <c r="B1698" s="18" t="s">
        <v>1298</v>
      </c>
      <c r="C1698" s="19" t="s">
        <v>73</v>
      </c>
      <c r="D1698" s="20"/>
      <c r="E1698" s="3">
        <v>11007336.050000001</v>
      </c>
      <c r="F1698" s="24">
        <v>0.4914479621070531</v>
      </c>
      <c r="G1698" s="26">
        <v>5409532.8700000001</v>
      </c>
      <c r="H1698" t="s">
        <v>68</v>
      </c>
    </row>
    <row r="1699" spans="1:8">
      <c r="A1699" s="13" t="s">
        <v>1299</v>
      </c>
      <c r="B1699" s="22" t="s">
        <v>1300</v>
      </c>
      <c r="C1699" s="15" t="s">
        <v>73</v>
      </c>
      <c r="D1699" s="16"/>
      <c r="E1699" s="2">
        <v>17154055.640000001</v>
      </c>
      <c r="F1699" s="23">
        <v>0.58641472204062406</v>
      </c>
      <c r="G1699" s="26">
        <v>10059390.77</v>
      </c>
      <c r="H1699" t="s">
        <v>68</v>
      </c>
    </row>
    <row r="1700" spans="1:8">
      <c r="A1700" s="19" t="s">
        <v>1301</v>
      </c>
      <c r="B1700" s="20" t="s">
        <v>1302</v>
      </c>
      <c r="C1700" s="19" t="s">
        <v>73</v>
      </c>
      <c r="D1700" s="20"/>
      <c r="E1700" s="3">
        <v>20062755.899999999</v>
      </c>
      <c r="F1700" s="24">
        <v>0.67884503843263133</v>
      </c>
      <c r="G1700" s="26">
        <v>13619502.300000001</v>
      </c>
      <c r="H1700" t="s">
        <v>68</v>
      </c>
    </row>
    <row r="1701" spans="1:8">
      <c r="A1701" s="13" t="s">
        <v>1303</v>
      </c>
      <c r="B1701" s="22" t="s">
        <v>1304</v>
      </c>
      <c r="C1701" s="15" t="s">
        <v>73</v>
      </c>
      <c r="D1701" s="16"/>
      <c r="E1701" s="2">
        <v>17450402.960000001</v>
      </c>
      <c r="F1701" s="23">
        <v>0.63801392927834144</v>
      </c>
      <c r="G1701" s="26">
        <v>11133600.16</v>
      </c>
      <c r="H1701" t="s">
        <v>68</v>
      </c>
    </row>
    <row r="1702" spans="1:8">
      <c r="A1702" s="17" t="s">
        <v>1305</v>
      </c>
      <c r="B1702" s="18" t="s">
        <v>1306</v>
      </c>
      <c r="C1702" s="19" t="s">
        <v>73</v>
      </c>
      <c r="D1702" s="20"/>
      <c r="E1702" s="3">
        <v>24269485.530000001</v>
      </c>
      <c r="F1702" s="24">
        <v>0.64256924444166408</v>
      </c>
      <c r="G1702" s="26">
        <v>15594824.98</v>
      </c>
      <c r="H1702" t="s">
        <v>68</v>
      </c>
    </row>
    <row r="1703" spans="1:8">
      <c r="A1703" s="15" t="s">
        <v>1307</v>
      </c>
      <c r="B1703" s="16" t="s">
        <v>1308</v>
      </c>
      <c r="C1703" s="15" t="s">
        <v>73</v>
      </c>
      <c r="D1703" s="16"/>
      <c r="E1703" s="2">
        <v>14552960.99</v>
      </c>
      <c r="F1703" s="23">
        <v>0.45196467402885543</v>
      </c>
      <c r="G1703" s="26">
        <v>6577424.2699999996</v>
      </c>
      <c r="H1703" t="s">
        <v>68</v>
      </c>
    </row>
    <row r="1704" spans="1:8">
      <c r="A1704" s="17" t="s">
        <v>1309</v>
      </c>
      <c r="B1704" s="18" t="s">
        <v>1310</v>
      </c>
      <c r="C1704" s="19" t="s">
        <v>73</v>
      </c>
      <c r="D1704" s="20"/>
      <c r="E1704" s="3">
        <v>9454691.0600000005</v>
      </c>
      <c r="F1704" s="24">
        <v>0.60805284102006385</v>
      </c>
      <c r="G1704" s="26">
        <v>5748951.7599999988</v>
      </c>
      <c r="H1704" t="s">
        <v>68</v>
      </c>
    </row>
    <row r="1705" spans="1:8">
      <c r="A1705" s="13" t="s">
        <v>1311</v>
      </c>
      <c r="B1705" s="22" t="s">
        <v>1312</v>
      </c>
      <c r="C1705" s="15" t="s">
        <v>73</v>
      </c>
      <c r="D1705" s="16"/>
      <c r="E1705" s="2">
        <v>18920026.07</v>
      </c>
      <c r="F1705" s="23">
        <v>0.46726000467926421</v>
      </c>
      <c r="G1705" s="26">
        <v>8840571.4700000007</v>
      </c>
      <c r="H1705" t="s">
        <v>68</v>
      </c>
    </row>
    <row r="1706" spans="1:8">
      <c r="A1706" s="19" t="s">
        <v>1313</v>
      </c>
      <c r="B1706" s="20" t="s">
        <v>1314</v>
      </c>
      <c r="C1706" s="19" t="s">
        <v>73</v>
      </c>
      <c r="D1706" s="20"/>
      <c r="E1706" s="3">
        <v>8808986.4399999995</v>
      </c>
      <c r="F1706" s="24">
        <v>0.17328236686444487</v>
      </c>
      <c r="G1706" s="26">
        <v>1526442.02</v>
      </c>
      <c r="H1706" t="s">
        <v>68</v>
      </c>
    </row>
    <row r="1707" spans="1:8">
      <c r="A1707" s="13" t="s">
        <v>1315</v>
      </c>
      <c r="B1707" s="22" t="s">
        <v>1316</v>
      </c>
      <c r="C1707" s="15" t="s">
        <v>73</v>
      </c>
      <c r="D1707" s="16"/>
      <c r="E1707" s="2">
        <v>11638254.17</v>
      </c>
      <c r="F1707" s="23">
        <v>0.56050141238666562</v>
      </c>
      <c r="G1707" s="26">
        <v>6523257.9000000004</v>
      </c>
      <c r="H1707" t="s">
        <v>68</v>
      </c>
    </row>
    <row r="1708" spans="1:8">
      <c r="A1708" s="17" t="s">
        <v>1317</v>
      </c>
      <c r="B1708" s="18" t="s">
        <v>1318</v>
      </c>
      <c r="C1708" s="19" t="s">
        <v>73</v>
      </c>
      <c r="D1708" s="20"/>
      <c r="E1708" s="3">
        <v>153698.9</v>
      </c>
      <c r="F1708" s="24">
        <v>9.3348618630322011E-2</v>
      </c>
      <c r="G1708" s="26">
        <v>14347.58</v>
      </c>
      <c r="H1708" t="s">
        <v>68</v>
      </c>
    </row>
    <row r="1709" spans="1:8">
      <c r="A1709" s="15" t="s">
        <v>1319</v>
      </c>
      <c r="B1709" s="16" t="s">
        <v>1320</v>
      </c>
      <c r="C1709" s="15" t="s">
        <v>73</v>
      </c>
      <c r="D1709" s="16"/>
      <c r="E1709" s="2">
        <v>165538.65</v>
      </c>
      <c r="F1709" s="23">
        <v>0.94167797067331416</v>
      </c>
      <c r="G1709" s="26">
        <v>155884.1</v>
      </c>
      <c r="H1709" t="s">
        <v>68</v>
      </c>
    </row>
    <row r="1710" spans="1:8">
      <c r="A1710" s="17" t="s">
        <v>1321</v>
      </c>
      <c r="B1710" s="18" t="s">
        <v>1322</v>
      </c>
      <c r="C1710" s="19" t="s">
        <v>73</v>
      </c>
      <c r="D1710" s="20"/>
      <c r="E1710" s="3">
        <v>2344321.52</v>
      </c>
      <c r="F1710" s="24">
        <v>0.13072255549656858</v>
      </c>
      <c r="G1710" s="26">
        <v>306455.7</v>
      </c>
      <c r="H1710" t="s">
        <v>68</v>
      </c>
    </row>
    <row r="1711" spans="1:8">
      <c r="A1711" s="13" t="s">
        <v>1323</v>
      </c>
      <c r="B1711" s="22" t="s">
        <v>1324</v>
      </c>
      <c r="C1711" s="15" t="s">
        <v>73</v>
      </c>
      <c r="D1711" s="16"/>
      <c r="E1711" s="2">
        <v>5483477.9500000002</v>
      </c>
      <c r="F1711" s="23">
        <v>0.57148268828180482</v>
      </c>
      <c r="G1711" s="26">
        <v>3133712.72</v>
      </c>
      <c r="H1711" t="s">
        <v>68</v>
      </c>
    </row>
    <row r="1712" spans="1:8">
      <c r="A1712" s="19" t="s">
        <v>1325</v>
      </c>
      <c r="B1712" s="20" t="s">
        <v>1326</v>
      </c>
      <c r="C1712" s="19" t="s">
        <v>73</v>
      </c>
      <c r="D1712" s="20"/>
      <c r="E1712" s="3">
        <v>9275419.9199999999</v>
      </c>
      <c r="F1712" s="24">
        <v>0.52035966151708202</v>
      </c>
      <c r="G1712" s="26">
        <v>4826554.37</v>
      </c>
      <c r="H1712" t="s">
        <v>68</v>
      </c>
    </row>
    <row r="1713" spans="1:8">
      <c r="A1713" s="13" t="s">
        <v>1327</v>
      </c>
      <c r="B1713" s="22" t="s">
        <v>1328</v>
      </c>
      <c r="C1713" s="15" t="s">
        <v>73</v>
      </c>
      <c r="D1713" s="16"/>
      <c r="E1713" s="2">
        <v>18438974.43</v>
      </c>
      <c r="F1713" s="23">
        <v>0.67700806394577773</v>
      </c>
      <c r="G1713" s="26">
        <v>12483334.380000001</v>
      </c>
      <c r="H1713" t="s">
        <v>68</v>
      </c>
    </row>
    <row r="1714" spans="1:8">
      <c r="A1714" s="17" t="s">
        <v>1329</v>
      </c>
      <c r="B1714" s="18" t="s">
        <v>1137</v>
      </c>
      <c r="C1714" s="19" t="s">
        <v>73</v>
      </c>
      <c r="D1714" s="20"/>
      <c r="E1714" s="3">
        <v>9408431.1300000008</v>
      </c>
      <c r="F1714" s="24">
        <v>0.7300558897751106</v>
      </c>
      <c r="G1714" s="26">
        <v>6868680.5599999996</v>
      </c>
      <c r="H1714" t="s">
        <v>68</v>
      </c>
    </row>
    <row r="1715" spans="1:8">
      <c r="A1715" s="15" t="s">
        <v>1330</v>
      </c>
      <c r="B1715" s="16" t="s">
        <v>1331</v>
      </c>
      <c r="C1715" s="15" t="s">
        <v>73</v>
      </c>
      <c r="D1715" s="16"/>
      <c r="E1715" s="2">
        <v>19517130.77</v>
      </c>
      <c r="F1715" s="23">
        <v>0.46182657872307736</v>
      </c>
      <c r="G1715" s="26">
        <v>9013529.7300000004</v>
      </c>
      <c r="H1715" t="s">
        <v>68</v>
      </c>
    </row>
    <row r="1716" spans="1:8">
      <c r="A1716" s="17" t="s">
        <v>1332</v>
      </c>
      <c r="B1716" s="18" t="s">
        <v>1333</v>
      </c>
      <c r="C1716" s="19" t="s">
        <v>73</v>
      </c>
      <c r="D1716" s="20"/>
      <c r="E1716" s="3">
        <v>28343337.66</v>
      </c>
      <c r="F1716" s="24">
        <v>0.59341870783752992</v>
      </c>
      <c r="G1716" s="26">
        <v>16819466.809999999</v>
      </c>
      <c r="H1716" t="s">
        <v>68</v>
      </c>
    </row>
    <row r="1717" spans="1:8">
      <c r="A1717" s="13" t="s">
        <v>1334</v>
      </c>
      <c r="B1717" s="22" t="s">
        <v>1335</v>
      </c>
      <c r="C1717" s="15" t="s">
        <v>73</v>
      </c>
      <c r="D1717" s="16"/>
      <c r="E1717" s="2">
        <v>13536338.75</v>
      </c>
      <c r="F1717" s="23">
        <v>0.55970755312251619</v>
      </c>
      <c r="G1717" s="26">
        <v>7576391.0399999991</v>
      </c>
      <c r="H1717" t="s">
        <v>68</v>
      </c>
    </row>
    <row r="1718" spans="1:8">
      <c r="A1718" s="19" t="s">
        <v>1336</v>
      </c>
      <c r="B1718" s="20" t="s">
        <v>846</v>
      </c>
      <c r="C1718" s="19" t="s">
        <v>73</v>
      </c>
      <c r="D1718" s="20"/>
      <c r="E1718" s="3">
        <v>7915974.1299999999</v>
      </c>
      <c r="F1718" s="24">
        <v>0.73594928234056778</v>
      </c>
      <c r="G1718" s="26">
        <v>5825755.4800000004</v>
      </c>
      <c r="H1718" t="s">
        <v>68</v>
      </c>
    </row>
    <row r="1719" spans="1:8">
      <c r="A1719" s="13" t="s">
        <v>1337</v>
      </c>
      <c r="B1719" s="22" t="s">
        <v>1338</v>
      </c>
      <c r="C1719" s="15" t="s">
        <v>73</v>
      </c>
      <c r="D1719" s="16"/>
      <c r="E1719" s="2">
        <v>15605255.689999999</v>
      </c>
      <c r="F1719" s="23">
        <v>0.67348831949833943</v>
      </c>
      <c r="G1719" s="26">
        <v>10509957.43</v>
      </c>
      <c r="H1719" t="s">
        <v>68</v>
      </c>
    </row>
    <row r="1720" spans="1:8">
      <c r="A1720" s="17" t="s">
        <v>1339</v>
      </c>
      <c r="B1720" s="18" t="s">
        <v>1340</v>
      </c>
      <c r="C1720" s="19" t="s">
        <v>73</v>
      </c>
      <c r="D1720" s="20"/>
      <c r="E1720" s="3">
        <v>16844500.23</v>
      </c>
      <c r="F1720" s="24">
        <v>0.65365916231757504</v>
      </c>
      <c r="G1720" s="26">
        <v>11010561.91</v>
      </c>
      <c r="H1720" t="s">
        <v>68</v>
      </c>
    </row>
    <row r="1721" spans="1:8">
      <c r="A1721" s="15" t="s">
        <v>1565</v>
      </c>
      <c r="B1721" s="16" t="s">
        <v>1566</v>
      </c>
      <c r="C1721" s="15" t="s">
        <v>73</v>
      </c>
      <c r="D1721" s="16"/>
      <c r="E1721" s="2">
        <v>8660255.2400000002</v>
      </c>
      <c r="F1721" s="23">
        <v>0.6869841136460545</v>
      </c>
      <c r="G1721" s="26">
        <v>5949457.7699999996</v>
      </c>
      <c r="H1721" t="s">
        <v>68</v>
      </c>
    </row>
    <row r="1722" spans="1:8">
      <c r="A1722" s="13" t="s">
        <v>1569</v>
      </c>
      <c r="B1722" s="22" t="s">
        <v>1570</v>
      </c>
      <c r="C1722" s="15" t="s">
        <v>73</v>
      </c>
      <c r="D1722" s="16"/>
      <c r="E1722" s="2">
        <v>27059686.879999999</v>
      </c>
      <c r="F1722" s="23">
        <v>0.24449328661263506</v>
      </c>
      <c r="G1722" s="26">
        <v>6615911.7800000003</v>
      </c>
      <c r="H1722" t="s">
        <v>68</v>
      </c>
    </row>
    <row r="1723" spans="1:8">
      <c r="A1723" s="17" t="s">
        <v>1571</v>
      </c>
      <c r="B1723" s="18" t="s">
        <v>1572</v>
      </c>
      <c r="C1723" s="19" t="s">
        <v>73</v>
      </c>
      <c r="D1723" s="20"/>
      <c r="E1723" s="3">
        <v>21366883.82</v>
      </c>
      <c r="F1723" s="24">
        <v>0.58842499664043191</v>
      </c>
      <c r="G1723" s="26">
        <v>12572808.539999999</v>
      </c>
      <c r="H1723" t="s">
        <v>68</v>
      </c>
    </row>
    <row r="1724" spans="1:8">
      <c r="A1724" s="15" t="s">
        <v>1573</v>
      </c>
      <c r="B1724" s="16" t="s">
        <v>1574</v>
      </c>
      <c r="C1724" s="15" t="s">
        <v>73</v>
      </c>
      <c r="D1724" s="16"/>
      <c r="E1724" s="2">
        <v>18768443.84</v>
      </c>
      <c r="F1724" s="23">
        <v>0.40892473427354753</v>
      </c>
      <c r="G1724" s="26">
        <v>7674880.9100000001</v>
      </c>
      <c r="H1724" t="s">
        <v>68</v>
      </c>
    </row>
    <row r="1725" spans="1:8">
      <c r="A1725" s="17" t="s">
        <v>1575</v>
      </c>
      <c r="B1725" s="18" t="s">
        <v>1576</v>
      </c>
      <c r="C1725" s="19" t="s">
        <v>73</v>
      </c>
      <c r="D1725" s="20"/>
      <c r="E1725" s="3">
        <v>12466894.550000001</v>
      </c>
      <c r="F1725" s="24">
        <v>0.51668187728434745</v>
      </c>
      <c r="G1725" s="26">
        <v>6441418.4800000004</v>
      </c>
      <c r="H1725" t="s">
        <v>68</v>
      </c>
    </row>
    <row r="1726" spans="1:8">
      <c r="A1726" s="13" t="s">
        <v>1577</v>
      </c>
      <c r="B1726" s="22" t="s">
        <v>1578</v>
      </c>
      <c r="C1726" s="15" t="s">
        <v>73</v>
      </c>
      <c r="D1726" s="16"/>
      <c r="E1726" s="2">
        <v>10295153.74</v>
      </c>
      <c r="F1726" s="23">
        <v>0.50333115083718993</v>
      </c>
      <c r="G1726" s="26">
        <v>5181871.58</v>
      </c>
      <c r="H1726" t="s">
        <v>68</v>
      </c>
    </row>
    <row r="1727" spans="1:8">
      <c r="A1727" s="19" t="s">
        <v>1579</v>
      </c>
      <c r="B1727" s="20" t="s">
        <v>1580</v>
      </c>
      <c r="C1727" s="19" t="s">
        <v>73</v>
      </c>
      <c r="D1727" s="20"/>
      <c r="E1727" s="3">
        <v>18507947.789999999</v>
      </c>
      <c r="F1727" s="24">
        <v>0.62857391386665462</v>
      </c>
      <c r="G1727" s="26">
        <v>11633613.18</v>
      </c>
      <c r="H1727" t="s">
        <v>68</v>
      </c>
    </row>
    <row r="1728" spans="1:8">
      <c r="A1728" s="13" t="s">
        <v>1581</v>
      </c>
      <c r="B1728" s="22" t="s">
        <v>1582</v>
      </c>
      <c r="C1728" s="15" t="s">
        <v>73</v>
      </c>
      <c r="D1728" s="16"/>
      <c r="E1728" s="2">
        <v>19522441.969999999</v>
      </c>
      <c r="F1728" s="23">
        <v>0.3153829162079973</v>
      </c>
      <c r="G1728" s="26">
        <v>6157044.6799999997</v>
      </c>
      <c r="H1728" t="s">
        <v>68</v>
      </c>
    </row>
    <row r="1729" spans="1:8">
      <c r="A1729" s="17" t="s">
        <v>1583</v>
      </c>
      <c r="B1729" s="18" t="s">
        <v>1584</v>
      </c>
      <c r="C1729" s="19" t="s">
        <v>73</v>
      </c>
      <c r="D1729" s="20"/>
      <c r="E1729" s="3">
        <v>10920158.369999999</v>
      </c>
      <c r="F1729" s="24">
        <v>0.58921045666117022</v>
      </c>
      <c r="G1729" s="26">
        <v>6434271.5</v>
      </c>
      <c r="H1729" t="s">
        <v>68</v>
      </c>
    </row>
    <row r="1730" spans="1:8">
      <c r="A1730" s="19" t="s">
        <v>1587</v>
      </c>
      <c r="B1730" s="20" t="s">
        <v>1588</v>
      </c>
      <c r="C1730" s="19" t="s">
        <v>73</v>
      </c>
      <c r="D1730" s="20"/>
      <c r="E1730" s="3">
        <v>9821853.0999999996</v>
      </c>
      <c r="F1730" s="24">
        <v>0.53599037436224739</v>
      </c>
      <c r="G1730" s="26">
        <v>5264418.72</v>
      </c>
      <c r="H1730" t="s">
        <v>68</v>
      </c>
    </row>
    <row r="1731" spans="1:8">
      <c r="A1731" s="13" t="s">
        <v>1589</v>
      </c>
      <c r="B1731" s="22" t="s">
        <v>1590</v>
      </c>
      <c r="C1731" s="15" t="s">
        <v>73</v>
      </c>
      <c r="D1731" s="16"/>
      <c r="E1731" s="2">
        <v>13128621.92</v>
      </c>
      <c r="F1731" s="23">
        <v>0.55458485470651742</v>
      </c>
      <c r="G1731" s="26">
        <v>7280934.8799999999</v>
      </c>
      <c r="H1731" t="s">
        <v>68</v>
      </c>
    </row>
    <row r="1732" spans="1:8">
      <c r="A1732" s="17" t="s">
        <v>1591</v>
      </c>
      <c r="B1732" s="18" t="s">
        <v>1366</v>
      </c>
      <c r="C1732" s="19" t="s">
        <v>73</v>
      </c>
      <c r="D1732" s="20"/>
      <c r="E1732" s="3">
        <v>8681437.5299999993</v>
      </c>
      <c r="F1732" s="24">
        <v>0.5381966147719317</v>
      </c>
      <c r="G1732" s="26">
        <v>4672320.29</v>
      </c>
      <c r="H1732" t="s">
        <v>68</v>
      </c>
    </row>
    <row r="1733" spans="1:8">
      <c r="A1733" s="19" t="s">
        <v>1369</v>
      </c>
      <c r="B1733" s="20" t="s">
        <v>1370</v>
      </c>
      <c r="C1733" s="19" t="s">
        <v>73</v>
      </c>
      <c r="D1733" s="20"/>
      <c r="E1733" s="3">
        <v>7134497.7699999996</v>
      </c>
      <c r="F1733" s="24">
        <v>0.61141504568723137</v>
      </c>
      <c r="G1733" s="26">
        <v>4362139.28</v>
      </c>
      <c r="H1733" t="s">
        <v>68</v>
      </c>
    </row>
    <row r="1734" spans="1:8">
      <c r="A1734" s="13" t="s">
        <v>1371</v>
      </c>
      <c r="B1734" s="22" t="s">
        <v>1372</v>
      </c>
      <c r="C1734" s="15" t="s">
        <v>73</v>
      </c>
      <c r="D1734" s="16"/>
      <c r="E1734" s="2">
        <v>6006446.7300000004</v>
      </c>
      <c r="F1734" s="23">
        <v>0.62178151374365054</v>
      </c>
      <c r="G1734" s="26">
        <v>3734697.54</v>
      </c>
      <c r="H1734" t="s">
        <v>68</v>
      </c>
    </row>
    <row r="1735" spans="1:8">
      <c r="A1735" s="17" t="s">
        <v>1373</v>
      </c>
      <c r="B1735" s="18" t="s">
        <v>1374</v>
      </c>
      <c r="C1735" s="19" t="s">
        <v>73</v>
      </c>
      <c r="D1735" s="20"/>
      <c r="E1735" s="3">
        <v>3391382.06</v>
      </c>
      <c r="F1735" s="24">
        <v>0.60768828564246158</v>
      </c>
      <c r="G1735" s="26">
        <v>2060903.15</v>
      </c>
      <c r="H1735" t="s">
        <v>68</v>
      </c>
    </row>
    <row r="1736" spans="1:8">
      <c r="A1736" s="15" t="s">
        <v>1375</v>
      </c>
      <c r="B1736" s="16" t="s">
        <v>1376</v>
      </c>
      <c r="C1736" s="15" t="s">
        <v>73</v>
      </c>
      <c r="D1736" s="16"/>
      <c r="E1736" s="2">
        <v>5571077.4000000004</v>
      </c>
      <c r="F1736" s="23">
        <v>0.52612498078019887</v>
      </c>
      <c r="G1736" s="26">
        <v>2931082.9900000007</v>
      </c>
      <c r="H1736" t="s">
        <v>68</v>
      </c>
    </row>
    <row r="1737" spans="1:8">
      <c r="A1737" s="17" t="s">
        <v>1377</v>
      </c>
      <c r="B1737" s="18" t="s">
        <v>1378</v>
      </c>
      <c r="C1737" s="19" t="s">
        <v>73</v>
      </c>
      <c r="D1737" s="20"/>
      <c r="E1737" s="3">
        <v>5605557.6100000003</v>
      </c>
      <c r="F1737" s="24">
        <v>0.56730859465736538</v>
      </c>
      <c r="G1737" s="26">
        <v>3180081.0100000002</v>
      </c>
      <c r="H1737" t="s">
        <v>68</v>
      </c>
    </row>
    <row r="1738" spans="1:8">
      <c r="A1738" s="13" t="s">
        <v>1379</v>
      </c>
      <c r="B1738" s="22" t="s">
        <v>1380</v>
      </c>
      <c r="C1738" s="15" t="s">
        <v>73</v>
      </c>
      <c r="D1738" s="16"/>
      <c r="E1738" s="2">
        <v>4096035.06</v>
      </c>
      <c r="F1738" s="23">
        <v>0.53879827386047818</v>
      </c>
      <c r="G1738" s="26">
        <v>2206936.62</v>
      </c>
      <c r="H1738" t="s">
        <v>68</v>
      </c>
    </row>
    <row r="1739" spans="1:8">
      <c r="A1739" s="19" t="s">
        <v>1381</v>
      </c>
      <c r="B1739" s="20" t="s">
        <v>1382</v>
      </c>
      <c r="C1739" s="19" t="s">
        <v>73</v>
      </c>
      <c r="D1739" s="20"/>
      <c r="E1739" s="3">
        <v>11848561.560000001</v>
      </c>
      <c r="F1739" s="24">
        <v>0.50970895997944243</v>
      </c>
      <c r="G1739" s="26">
        <v>6039317.9900000002</v>
      </c>
      <c r="H1739" t="s">
        <v>68</v>
      </c>
    </row>
    <row r="1740" spans="1:8">
      <c r="A1740" s="13" t="s">
        <v>1383</v>
      </c>
      <c r="B1740" s="22" t="s">
        <v>1384</v>
      </c>
      <c r="C1740" s="15" t="s">
        <v>73</v>
      </c>
      <c r="D1740" s="16"/>
      <c r="E1740" s="2">
        <v>4376408.2699999996</v>
      </c>
      <c r="F1740" s="23">
        <v>0.64815158801443373</v>
      </c>
      <c r="G1740" s="26">
        <v>2836575.97</v>
      </c>
      <c r="H1740" t="s">
        <v>68</v>
      </c>
    </row>
    <row r="1741" spans="1:8">
      <c r="A1741" s="17" t="s">
        <v>1385</v>
      </c>
      <c r="B1741" s="18" t="s">
        <v>1386</v>
      </c>
      <c r="C1741" s="19" t="s">
        <v>73</v>
      </c>
      <c r="D1741" s="20"/>
      <c r="E1741" s="3">
        <v>5335062.71</v>
      </c>
      <c r="F1741" s="24">
        <v>0.55605185754227049</v>
      </c>
      <c r="G1741" s="26">
        <v>2966571.5299999993</v>
      </c>
      <c r="H1741" t="s">
        <v>68</v>
      </c>
    </row>
    <row r="1742" spans="1:8">
      <c r="A1742" s="15" t="s">
        <v>1387</v>
      </c>
      <c r="B1742" s="16" t="s">
        <v>1388</v>
      </c>
      <c r="C1742" s="15" t="s">
        <v>73</v>
      </c>
      <c r="D1742" s="16"/>
      <c r="E1742" s="2">
        <v>13930307.73</v>
      </c>
      <c r="F1742" s="23">
        <v>0.61954606511768706</v>
      </c>
      <c r="G1742" s="26">
        <v>8630467.3399999999</v>
      </c>
      <c r="H1742" t="s">
        <v>68</v>
      </c>
    </row>
    <row r="1743" spans="1:8">
      <c r="A1743" s="17" t="s">
        <v>1389</v>
      </c>
      <c r="B1743" s="18" t="s">
        <v>1135</v>
      </c>
      <c r="C1743" s="19" t="s">
        <v>73</v>
      </c>
      <c r="D1743" s="20"/>
      <c r="E1743" s="3">
        <v>9948314.6999999993</v>
      </c>
      <c r="F1743" s="24">
        <v>0.65948880567680479</v>
      </c>
      <c r="G1743" s="26">
        <v>6560802.1799999997</v>
      </c>
      <c r="H1743" t="s">
        <v>68</v>
      </c>
    </row>
    <row r="1744" spans="1:8">
      <c r="A1744" s="13" t="s">
        <v>1390</v>
      </c>
      <c r="B1744" s="22" t="s">
        <v>1391</v>
      </c>
      <c r="C1744" s="15" t="s">
        <v>73</v>
      </c>
      <c r="D1744" s="16"/>
      <c r="E1744" s="2">
        <v>19920929.609999999</v>
      </c>
      <c r="F1744" s="23">
        <v>0.51771585573109202</v>
      </c>
      <c r="G1744" s="26">
        <v>10313381.119999999</v>
      </c>
      <c r="H1744" t="s">
        <v>68</v>
      </c>
    </row>
    <row r="1745" spans="1:8">
      <c r="A1745" s="19" t="s">
        <v>1392</v>
      </c>
      <c r="B1745" s="20" t="s">
        <v>1393</v>
      </c>
      <c r="C1745" s="19" t="s">
        <v>73</v>
      </c>
      <c r="D1745" s="20"/>
      <c r="E1745" s="3">
        <v>4700693.6500000004</v>
      </c>
      <c r="F1745" s="24">
        <v>0.51874158189398267</v>
      </c>
      <c r="G1745" s="26">
        <v>2438445.2599999993</v>
      </c>
      <c r="H1745" t="s">
        <v>68</v>
      </c>
    </row>
    <row r="1746" spans="1:8">
      <c r="A1746" s="13" t="s">
        <v>1394</v>
      </c>
      <c r="B1746" s="22" t="s">
        <v>862</v>
      </c>
      <c r="C1746" s="15" t="s">
        <v>73</v>
      </c>
      <c r="D1746" s="16"/>
      <c r="E1746" s="2">
        <v>31670840.050000001</v>
      </c>
      <c r="F1746" s="23">
        <v>0.44166968062471712</v>
      </c>
      <c r="G1746" s="26">
        <v>13988049.810000001</v>
      </c>
      <c r="H1746" t="s">
        <v>68</v>
      </c>
    </row>
    <row r="1747" spans="1:8">
      <c r="A1747" s="17" t="s">
        <v>1395</v>
      </c>
      <c r="B1747" s="18" t="s">
        <v>1396</v>
      </c>
      <c r="C1747" s="19" t="s">
        <v>73</v>
      </c>
      <c r="D1747" s="20"/>
      <c r="E1747" s="3">
        <v>8754378.9100000001</v>
      </c>
      <c r="F1747" s="24">
        <v>0.59098908251390736</v>
      </c>
      <c r="G1747" s="26">
        <v>5173742.3600000003</v>
      </c>
      <c r="H1747" t="s">
        <v>68</v>
      </c>
    </row>
    <row r="1748" spans="1:8">
      <c r="A1748" s="15" t="s">
        <v>1397</v>
      </c>
      <c r="B1748" s="16" t="s">
        <v>1398</v>
      </c>
      <c r="C1748" s="15" t="s">
        <v>73</v>
      </c>
      <c r="D1748" s="16"/>
      <c r="E1748" s="2">
        <v>14261154.1</v>
      </c>
      <c r="F1748" s="23">
        <v>0.23346784114758284</v>
      </c>
      <c r="G1748" s="26">
        <v>3329520.86</v>
      </c>
      <c r="H1748" t="s">
        <v>68</v>
      </c>
    </row>
    <row r="1749" spans="1:8">
      <c r="A1749" s="17" t="s">
        <v>1399</v>
      </c>
      <c r="B1749" s="18" t="s">
        <v>1400</v>
      </c>
      <c r="C1749" s="19" t="s">
        <v>73</v>
      </c>
      <c r="D1749" s="20"/>
      <c r="E1749" s="3">
        <v>10182998.789999999</v>
      </c>
      <c r="F1749" s="24">
        <v>0.69244605105172563</v>
      </c>
      <c r="G1749" s="26">
        <v>7051177.2999999998</v>
      </c>
      <c r="H1749" t="s">
        <v>68</v>
      </c>
    </row>
    <row r="1750" spans="1:8">
      <c r="A1750" s="13" t="s">
        <v>1401</v>
      </c>
      <c r="B1750" s="22" t="s">
        <v>1402</v>
      </c>
      <c r="C1750" s="15" t="s">
        <v>73</v>
      </c>
      <c r="D1750" s="16"/>
      <c r="E1750" s="2">
        <v>11727558.039999999</v>
      </c>
      <c r="F1750" s="23">
        <v>0.75408764977640652</v>
      </c>
      <c r="G1750" s="26">
        <v>8843606.6799999997</v>
      </c>
      <c r="H1750" t="s">
        <v>68</v>
      </c>
    </row>
    <row r="1751" spans="1:8">
      <c r="A1751" s="19" t="s">
        <v>1403</v>
      </c>
      <c r="B1751" s="20" t="s">
        <v>1404</v>
      </c>
      <c r="C1751" s="19" t="s">
        <v>73</v>
      </c>
      <c r="D1751" s="20"/>
      <c r="E1751" s="3">
        <v>10134896.15</v>
      </c>
      <c r="F1751" s="24">
        <v>0.70092790343983935</v>
      </c>
      <c r="G1751" s="26">
        <v>7103831.5099999998</v>
      </c>
      <c r="H1751" t="s">
        <v>68</v>
      </c>
    </row>
    <row r="1752" spans="1:8">
      <c r="A1752" s="13" t="s">
        <v>1405</v>
      </c>
      <c r="B1752" s="22" t="s">
        <v>888</v>
      </c>
      <c r="C1752" s="15" t="s">
        <v>73</v>
      </c>
      <c r="D1752" s="16"/>
      <c r="E1752" s="2">
        <v>10531077.49</v>
      </c>
      <c r="F1752" s="23">
        <v>0.67443325782611829</v>
      </c>
      <c r="G1752" s="26">
        <v>7102508.9000000013</v>
      </c>
      <c r="H1752" t="s">
        <v>68</v>
      </c>
    </row>
    <row r="1753" spans="1:8">
      <c r="A1753" s="17" t="s">
        <v>1406</v>
      </c>
      <c r="B1753" s="18" t="s">
        <v>1407</v>
      </c>
      <c r="C1753" s="19" t="s">
        <v>73</v>
      </c>
      <c r="D1753" s="20"/>
      <c r="E1753" s="3">
        <v>16419663.02</v>
      </c>
      <c r="F1753" s="24">
        <v>0.59307796927004175</v>
      </c>
      <c r="G1753" s="26">
        <v>9738140.4000000004</v>
      </c>
      <c r="H1753" t="s">
        <v>68</v>
      </c>
    </row>
    <row r="1754" spans="1:8">
      <c r="A1754" s="15" t="s">
        <v>1408</v>
      </c>
      <c r="B1754" s="16" t="s">
        <v>1409</v>
      </c>
      <c r="C1754" s="15" t="s">
        <v>73</v>
      </c>
      <c r="D1754" s="16"/>
      <c r="E1754" s="2">
        <v>11788744.710000001</v>
      </c>
      <c r="F1754" s="23">
        <v>0.59347252079055324</v>
      </c>
      <c r="G1754" s="26">
        <v>6996296.04</v>
      </c>
      <c r="H1754" t="s">
        <v>68</v>
      </c>
    </row>
    <row r="1755" spans="1:8">
      <c r="A1755" s="13" t="s">
        <v>1412</v>
      </c>
      <c r="B1755" s="22" t="s">
        <v>860</v>
      </c>
      <c r="C1755" s="15" t="s">
        <v>73</v>
      </c>
      <c r="D1755" s="16"/>
      <c r="E1755" s="2">
        <v>11080461.720000001</v>
      </c>
      <c r="F1755" s="23">
        <v>0.50286311534678541</v>
      </c>
      <c r="G1755" s="26">
        <v>5571955.5000000009</v>
      </c>
      <c r="H1755" t="s">
        <v>68</v>
      </c>
    </row>
    <row r="1756" spans="1:8">
      <c r="A1756" s="17" t="s">
        <v>1413</v>
      </c>
      <c r="B1756" s="18" t="s">
        <v>1414</v>
      </c>
      <c r="C1756" s="19" t="s">
        <v>73</v>
      </c>
      <c r="D1756" s="20"/>
      <c r="E1756" s="3">
        <v>8850114.5</v>
      </c>
      <c r="F1756" s="24">
        <v>0.44998796343256348</v>
      </c>
      <c r="G1756" s="26">
        <v>3982445</v>
      </c>
      <c r="H1756" t="s">
        <v>68</v>
      </c>
    </row>
    <row r="1757" spans="1:8">
      <c r="A1757" s="15" t="s">
        <v>1415</v>
      </c>
      <c r="B1757" s="16" t="s">
        <v>1416</v>
      </c>
      <c r="C1757" s="15" t="s">
        <v>73</v>
      </c>
      <c r="D1757" s="16"/>
      <c r="E1757" s="2">
        <v>8878218.1199999992</v>
      </c>
      <c r="F1757" s="23">
        <v>0.67797690016653933</v>
      </c>
      <c r="G1757" s="26">
        <v>6019226.7999999998</v>
      </c>
      <c r="H1757" t="s">
        <v>68</v>
      </c>
    </row>
    <row r="1758" spans="1:8">
      <c r="A1758" s="17" t="s">
        <v>1417</v>
      </c>
      <c r="B1758" s="18" t="s">
        <v>1418</v>
      </c>
      <c r="C1758" s="19" t="s">
        <v>73</v>
      </c>
      <c r="D1758" s="20"/>
      <c r="E1758" s="3">
        <v>5311041.4800000004</v>
      </c>
      <c r="F1758" s="24">
        <v>0.49610119219027443</v>
      </c>
      <c r="G1758" s="26">
        <v>2634814.0099999998</v>
      </c>
      <c r="H1758" t="s">
        <v>68</v>
      </c>
    </row>
    <row r="1759" spans="1:8">
      <c r="A1759" s="13" t="s">
        <v>1419</v>
      </c>
      <c r="B1759" s="22" t="s">
        <v>1420</v>
      </c>
      <c r="C1759" s="15" t="s">
        <v>73</v>
      </c>
      <c r="D1759" s="16"/>
      <c r="E1759" s="2">
        <v>6339652.1299999999</v>
      </c>
      <c r="F1759" s="23">
        <v>0.50944868011235822</v>
      </c>
      <c r="G1759" s="26">
        <v>3229727.41</v>
      </c>
      <c r="H1759" t="s">
        <v>68</v>
      </c>
    </row>
    <row r="1760" spans="1:8">
      <c r="A1760" s="19" t="s">
        <v>1421</v>
      </c>
      <c r="B1760" s="20" t="s">
        <v>1422</v>
      </c>
      <c r="C1760" s="19" t="s">
        <v>73</v>
      </c>
      <c r="D1760" s="20"/>
      <c r="E1760" s="3">
        <v>13872311.93</v>
      </c>
      <c r="F1760" s="24">
        <v>0.69185092999851538</v>
      </c>
      <c r="G1760" s="26">
        <v>9597571.9100000001</v>
      </c>
      <c r="H1760" t="s">
        <v>68</v>
      </c>
    </row>
    <row r="1761" spans="1:8">
      <c r="A1761" s="13" t="s">
        <v>1423</v>
      </c>
      <c r="B1761" s="22" t="s">
        <v>1065</v>
      </c>
      <c r="C1761" s="15" t="s">
        <v>73</v>
      </c>
      <c r="D1761" s="16"/>
      <c r="E1761" s="2">
        <v>15614454.08</v>
      </c>
      <c r="F1761" s="23">
        <v>0.76556752857029753</v>
      </c>
      <c r="G1761" s="26">
        <v>11953919.02</v>
      </c>
      <c r="H1761" t="s">
        <v>68</v>
      </c>
    </row>
    <row r="1762" spans="1:8">
      <c r="A1762" s="17" t="s">
        <v>1424</v>
      </c>
      <c r="B1762" s="18" t="s">
        <v>1425</v>
      </c>
      <c r="C1762" s="19" t="s">
        <v>73</v>
      </c>
      <c r="D1762" s="20"/>
      <c r="E1762" s="3">
        <v>11003643.66</v>
      </c>
      <c r="F1762" s="24">
        <v>0.6715500190961291</v>
      </c>
      <c r="G1762" s="26">
        <v>7389497.1100000003</v>
      </c>
      <c r="H1762" t="s">
        <v>68</v>
      </c>
    </row>
    <row r="1763" spans="1:8">
      <c r="A1763" s="15" t="s">
        <v>1426</v>
      </c>
      <c r="B1763" s="16" t="s">
        <v>1427</v>
      </c>
      <c r="C1763" s="15" t="s">
        <v>73</v>
      </c>
      <c r="D1763" s="16"/>
      <c r="E1763" s="2">
        <v>13771929.08</v>
      </c>
      <c r="F1763" s="23">
        <v>0.69323534448523316</v>
      </c>
      <c r="G1763" s="26">
        <v>9547188</v>
      </c>
      <c r="H1763" t="s">
        <v>68</v>
      </c>
    </row>
    <row r="1764" spans="1:8">
      <c r="A1764" s="17" t="s">
        <v>1428</v>
      </c>
      <c r="B1764" s="18" t="s">
        <v>1429</v>
      </c>
      <c r="C1764" s="19" t="s">
        <v>73</v>
      </c>
      <c r="D1764" s="20"/>
      <c r="E1764" s="3">
        <v>11847947.57</v>
      </c>
      <c r="F1764" s="24">
        <v>0.57176761459959768</v>
      </c>
      <c r="G1764" s="26">
        <v>6774272.7199999997</v>
      </c>
      <c r="H1764" t="s">
        <v>68</v>
      </c>
    </row>
    <row r="1765" spans="1:8">
      <c r="A1765" s="13" t="s">
        <v>1430</v>
      </c>
      <c r="B1765" s="22" t="s">
        <v>1431</v>
      </c>
      <c r="C1765" s="15" t="s">
        <v>73</v>
      </c>
      <c r="D1765" s="16"/>
      <c r="E1765" s="2">
        <v>9016858.1999999993</v>
      </c>
      <c r="F1765" s="23">
        <v>0.54640689480954696</v>
      </c>
      <c r="G1765" s="26">
        <v>4926873.49</v>
      </c>
      <c r="H1765" t="s">
        <v>68</v>
      </c>
    </row>
    <row r="1766" spans="1:8">
      <c r="A1766" s="19" t="s">
        <v>1432</v>
      </c>
      <c r="B1766" s="20" t="s">
        <v>1433</v>
      </c>
      <c r="C1766" s="19" t="s">
        <v>73</v>
      </c>
      <c r="D1766" s="20"/>
      <c r="E1766" s="3">
        <v>2382345.71</v>
      </c>
      <c r="F1766" s="24">
        <v>0.497841373324445</v>
      </c>
      <c r="G1766" s="26">
        <v>1186030.26</v>
      </c>
      <c r="H1766" t="s">
        <v>68</v>
      </c>
    </row>
    <row r="1767" spans="1:8">
      <c r="A1767" s="13" t="s">
        <v>1434</v>
      </c>
      <c r="B1767" s="22" t="s">
        <v>1435</v>
      </c>
      <c r="C1767" s="15" t="s">
        <v>73</v>
      </c>
      <c r="D1767" s="16"/>
      <c r="E1767" s="2">
        <v>6829855.2300000004</v>
      </c>
      <c r="F1767" s="23">
        <v>0.35520782920020982</v>
      </c>
      <c r="G1767" s="26">
        <v>2426018.0499999998</v>
      </c>
      <c r="H1767" t="s">
        <v>68</v>
      </c>
    </row>
    <row r="1768" spans="1:8">
      <c r="A1768" s="17" t="s">
        <v>1436</v>
      </c>
      <c r="B1768" s="18" t="s">
        <v>1437</v>
      </c>
      <c r="C1768" s="19" t="s">
        <v>73</v>
      </c>
      <c r="D1768" s="20"/>
      <c r="E1768" s="3">
        <v>3573575.75</v>
      </c>
      <c r="F1768" s="24">
        <v>0.63911002306303433</v>
      </c>
      <c r="G1768" s="26">
        <v>2283908.08</v>
      </c>
      <c r="H1768" t="s">
        <v>68</v>
      </c>
    </row>
    <row r="1769" spans="1:8">
      <c r="A1769" s="15" t="s">
        <v>1438</v>
      </c>
      <c r="B1769" s="16" t="s">
        <v>1439</v>
      </c>
      <c r="C1769" s="15" t="s">
        <v>73</v>
      </c>
      <c r="D1769" s="16"/>
      <c r="E1769" s="2">
        <v>4601090.83</v>
      </c>
      <c r="F1769" s="23">
        <v>0.39815343745343967</v>
      </c>
      <c r="G1769" s="26">
        <v>1831940.13</v>
      </c>
      <c r="H1769" t="s">
        <v>68</v>
      </c>
    </row>
    <row r="1770" spans="1:8">
      <c r="A1770" s="13" t="s">
        <v>1442</v>
      </c>
      <c r="B1770" s="22" t="s">
        <v>1443</v>
      </c>
      <c r="C1770" s="15" t="s">
        <v>73</v>
      </c>
      <c r="D1770" s="16"/>
      <c r="E1770" s="2">
        <v>9195929.7599999998</v>
      </c>
      <c r="F1770" s="23">
        <v>0.36916482602624839</v>
      </c>
      <c r="G1770" s="26">
        <v>3394813.81</v>
      </c>
      <c r="H1770" t="s">
        <v>68</v>
      </c>
    </row>
    <row r="1771" spans="1:8">
      <c r="A1771" s="17" t="s">
        <v>1444</v>
      </c>
      <c r="B1771" s="18" t="s">
        <v>1445</v>
      </c>
      <c r="C1771" s="19" t="s">
        <v>73</v>
      </c>
      <c r="D1771" s="20"/>
      <c r="E1771" s="3">
        <v>4272199.41</v>
      </c>
      <c r="F1771" s="24">
        <v>0.57625911708086675</v>
      </c>
      <c r="G1771" s="26">
        <v>2461893.86</v>
      </c>
      <c r="H1771" t="s">
        <v>68</v>
      </c>
    </row>
    <row r="1772" spans="1:8">
      <c r="A1772" s="15" t="s">
        <v>1446</v>
      </c>
      <c r="B1772" s="16" t="s">
        <v>1447</v>
      </c>
      <c r="C1772" s="15" t="s">
        <v>73</v>
      </c>
      <c r="D1772" s="16"/>
      <c r="E1772" s="2">
        <v>4393710.62</v>
      </c>
      <c r="F1772" s="23">
        <v>0.46958237545466752</v>
      </c>
      <c r="G1772" s="26">
        <v>2063209.07</v>
      </c>
      <c r="H1772" t="s">
        <v>68</v>
      </c>
    </row>
    <row r="1773" spans="1:8">
      <c r="A1773" s="17" t="s">
        <v>1448</v>
      </c>
      <c r="B1773" s="18" t="s">
        <v>1449</v>
      </c>
      <c r="C1773" s="19" t="s">
        <v>73</v>
      </c>
      <c r="D1773" s="20"/>
      <c r="E1773" s="3">
        <v>6986178.9900000002</v>
      </c>
      <c r="F1773" s="24">
        <v>0.51796640984716591</v>
      </c>
      <c r="G1773" s="26">
        <v>3618606.05</v>
      </c>
      <c r="H1773" t="s">
        <v>68</v>
      </c>
    </row>
    <row r="1774" spans="1:8">
      <c r="A1774" s="13" t="s">
        <v>1450</v>
      </c>
      <c r="B1774" s="22" t="s">
        <v>1451</v>
      </c>
      <c r="C1774" s="15" t="s">
        <v>73</v>
      </c>
      <c r="D1774" s="16"/>
      <c r="E1774" s="2">
        <v>7807906.5899999999</v>
      </c>
      <c r="F1774" s="23">
        <v>0.55321343950658108</v>
      </c>
      <c r="G1774" s="26">
        <v>4319438.8600000003</v>
      </c>
      <c r="H1774" t="s">
        <v>68</v>
      </c>
    </row>
    <row r="1775" spans="1:8">
      <c r="A1775" s="19" t="s">
        <v>1666</v>
      </c>
      <c r="B1775" s="20" t="s">
        <v>1667</v>
      </c>
      <c r="C1775" s="19" t="s">
        <v>73</v>
      </c>
      <c r="D1775" s="20"/>
      <c r="E1775" s="3">
        <v>4813558.74</v>
      </c>
      <c r="F1775" s="24">
        <v>0.43084440889153874</v>
      </c>
      <c r="G1775" s="26">
        <v>2073894.87</v>
      </c>
      <c r="H1775" t="s">
        <v>68</v>
      </c>
    </row>
    <row r="1776" spans="1:8">
      <c r="A1776" s="13" t="s">
        <v>1668</v>
      </c>
      <c r="B1776" s="22" t="s">
        <v>1669</v>
      </c>
      <c r="C1776" s="15" t="s">
        <v>73</v>
      </c>
      <c r="D1776" s="16"/>
      <c r="E1776" s="2">
        <v>3963933.19</v>
      </c>
      <c r="F1776" s="23">
        <v>0.49191690841792418</v>
      </c>
      <c r="G1776" s="26">
        <v>1949925.76</v>
      </c>
      <c r="H1776" t="s">
        <v>68</v>
      </c>
    </row>
    <row r="1777" spans="1:8">
      <c r="A1777" s="13" t="s">
        <v>1672</v>
      </c>
      <c r="B1777" s="22" t="s">
        <v>1673</v>
      </c>
      <c r="C1777" s="15" t="s">
        <v>73</v>
      </c>
      <c r="D1777" s="16"/>
      <c r="E1777" s="2">
        <v>21134521.239999998</v>
      </c>
      <c r="F1777" s="23">
        <v>0.47302136379030657</v>
      </c>
      <c r="G1777" s="26">
        <v>9997080.0600000005</v>
      </c>
      <c r="H1777" t="s">
        <v>68</v>
      </c>
    </row>
    <row r="1778" spans="1:8">
      <c r="A1778" s="19" t="s">
        <v>1674</v>
      </c>
      <c r="B1778" s="20" t="s">
        <v>1675</v>
      </c>
      <c r="C1778" s="19" t="s">
        <v>73</v>
      </c>
      <c r="D1778" s="20"/>
      <c r="E1778" s="3">
        <v>16247452.609999999</v>
      </c>
      <c r="F1778" s="24">
        <v>0.53055104864220315</v>
      </c>
      <c r="G1778" s="26">
        <v>8620103.0199999996</v>
      </c>
      <c r="H1778" t="s">
        <v>68</v>
      </c>
    </row>
    <row r="1779" spans="1:8">
      <c r="A1779" s="13" t="s">
        <v>1676</v>
      </c>
      <c r="B1779" s="22" t="s">
        <v>1677</v>
      </c>
      <c r="C1779" s="15" t="s">
        <v>73</v>
      </c>
      <c r="D1779" s="16"/>
      <c r="E1779" s="2">
        <v>46253684.880000003</v>
      </c>
      <c r="F1779" s="23">
        <v>0.21641878903205777</v>
      </c>
      <c r="G1779" s="26">
        <v>10010166.470000001</v>
      </c>
      <c r="H1779" t="s">
        <v>68</v>
      </c>
    </row>
    <row r="1780" spans="1:8">
      <c r="A1780" s="17" t="s">
        <v>1678</v>
      </c>
      <c r="B1780" s="18" t="s">
        <v>1679</v>
      </c>
      <c r="C1780" s="19" t="s">
        <v>73</v>
      </c>
      <c r="D1780" s="20"/>
      <c r="E1780" s="3">
        <v>28053930.199999999</v>
      </c>
      <c r="F1780" s="24">
        <v>0.52843262973542293</v>
      </c>
      <c r="G1780" s="26">
        <v>14824612.109999999</v>
      </c>
      <c r="H1780" t="s">
        <v>68</v>
      </c>
    </row>
    <row r="1781" spans="1:8">
      <c r="A1781" s="15" t="s">
        <v>1680</v>
      </c>
      <c r="B1781" s="16" t="s">
        <v>1681</v>
      </c>
      <c r="C1781" s="15" t="s">
        <v>73</v>
      </c>
      <c r="D1781" s="16"/>
      <c r="E1781" s="2">
        <v>23555146.899999999</v>
      </c>
      <c r="F1781" s="23">
        <v>0.65035742867729684</v>
      </c>
      <c r="G1781" s="26">
        <v>15319264.77</v>
      </c>
      <c r="H1781" t="s">
        <v>68</v>
      </c>
    </row>
    <row r="1782" spans="1:8">
      <c r="A1782" s="17" t="s">
        <v>1682</v>
      </c>
      <c r="B1782" s="18" t="s">
        <v>1683</v>
      </c>
      <c r="C1782" s="19" t="s">
        <v>73</v>
      </c>
      <c r="D1782" s="20"/>
      <c r="E1782" s="3">
        <v>22323626.77</v>
      </c>
      <c r="F1782" s="24">
        <v>0.50718194165544184</v>
      </c>
      <c r="G1782" s="26">
        <v>11322140.369999999</v>
      </c>
      <c r="H1782" t="s">
        <v>68</v>
      </c>
    </row>
    <row r="1783" spans="1:8">
      <c r="A1783" s="13" t="s">
        <v>1684</v>
      </c>
      <c r="B1783" s="22" t="s">
        <v>1685</v>
      </c>
      <c r="C1783" s="15" t="s">
        <v>73</v>
      </c>
      <c r="D1783" s="16"/>
      <c r="E1783" s="2">
        <v>17161665.010000002</v>
      </c>
      <c r="F1783" s="23">
        <v>0.56830897027280913</v>
      </c>
      <c r="G1783" s="26">
        <v>9753128.1699999999</v>
      </c>
      <c r="H1783" t="s">
        <v>68</v>
      </c>
    </row>
    <row r="1784" spans="1:8">
      <c r="A1784" s="19" t="s">
        <v>1686</v>
      </c>
      <c r="B1784" s="20" t="s">
        <v>1065</v>
      </c>
      <c r="C1784" s="19" t="s">
        <v>73</v>
      </c>
      <c r="D1784" s="20"/>
      <c r="E1784" s="3">
        <v>18094493.609999999</v>
      </c>
      <c r="F1784" s="24">
        <v>0.5510483473541099</v>
      </c>
      <c r="G1784" s="26">
        <v>9970940.8000000026</v>
      </c>
      <c r="H1784" t="s">
        <v>68</v>
      </c>
    </row>
    <row r="1785" spans="1:8">
      <c r="A1785" s="13" t="s">
        <v>1687</v>
      </c>
      <c r="B1785" s="22" t="s">
        <v>1688</v>
      </c>
      <c r="C1785" s="15" t="s">
        <v>73</v>
      </c>
      <c r="D1785" s="16"/>
      <c r="E1785" s="2">
        <v>7531718.3899999997</v>
      </c>
      <c r="F1785" s="23">
        <v>0.54819769356777559</v>
      </c>
      <c r="G1785" s="26">
        <v>4128870.65</v>
      </c>
      <c r="H1785" t="s">
        <v>68</v>
      </c>
    </row>
    <row r="1786" spans="1:8">
      <c r="A1786" s="17" t="s">
        <v>1689</v>
      </c>
      <c r="B1786" s="18" t="s">
        <v>1013</v>
      </c>
      <c r="C1786" s="19" t="s">
        <v>73</v>
      </c>
      <c r="D1786" s="20"/>
      <c r="E1786" s="3">
        <v>44348397.340000004</v>
      </c>
      <c r="F1786" s="24">
        <v>0.40684135915158187</v>
      </c>
      <c r="G1786" s="26">
        <v>18042762.25</v>
      </c>
      <c r="H1786" t="s">
        <v>68</v>
      </c>
    </row>
    <row r="1787" spans="1:8">
      <c r="A1787" s="15" t="s">
        <v>1690</v>
      </c>
      <c r="B1787" s="16" t="s">
        <v>1691</v>
      </c>
      <c r="C1787" s="15" t="s">
        <v>73</v>
      </c>
      <c r="D1787" s="16"/>
      <c r="E1787" s="2">
        <v>46459046.810000002</v>
      </c>
      <c r="F1787" s="23">
        <v>0.41798838941784128</v>
      </c>
      <c r="G1787" s="26">
        <v>19419342.149999999</v>
      </c>
      <c r="H1787" t="s">
        <v>68</v>
      </c>
    </row>
    <row r="1788" spans="1:8">
      <c r="A1788" s="17" t="s">
        <v>1692</v>
      </c>
      <c r="B1788" s="18" t="s">
        <v>1693</v>
      </c>
      <c r="C1788" s="19" t="s">
        <v>73</v>
      </c>
      <c r="D1788" s="20"/>
      <c r="E1788" s="3">
        <v>13099282.08</v>
      </c>
      <c r="F1788" s="24">
        <v>0.58681934117110024</v>
      </c>
      <c r="G1788" s="26">
        <v>7686912.0800000001</v>
      </c>
      <c r="H1788" t="s">
        <v>68</v>
      </c>
    </row>
    <row r="1789" spans="1:8">
      <c r="A1789" s="13" t="s">
        <v>1694</v>
      </c>
      <c r="B1789" s="22" t="s">
        <v>1695</v>
      </c>
      <c r="C1789" s="15" t="s">
        <v>73</v>
      </c>
      <c r="D1789" s="16"/>
      <c r="E1789" s="2">
        <v>11130198.470000001</v>
      </c>
      <c r="F1789" s="23">
        <v>0.52379086012830101</v>
      </c>
      <c r="G1789" s="26">
        <v>5829896.2300000004</v>
      </c>
      <c r="H1789" t="s">
        <v>68</v>
      </c>
    </row>
    <row r="1790" spans="1:8">
      <c r="A1790" s="15" t="s">
        <v>1482</v>
      </c>
      <c r="B1790" s="16" t="s">
        <v>1483</v>
      </c>
      <c r="C1790" s="15" t="s">
        <v>73</v>
      </c>
      <c r="D1790" s="16"/>
      <c r="E1790" s="2">
        <v>21742459.59</v>
      </c>
      <c r="F1790" s="23">
        <v>0.16910444721217485</v>
      </c>
      <c r="G1790" s="26">
        <v>3676746.61</v>
      </c>
      <c r="H1790" t="s">
        <v>68</v>
      </c>
    </row>
    <row r="1791" spans="1:8">
      <c r="A1791" s="17" t="s">
        <v>1484</v>
      </c>
      <c r="B1791" s="18" t="s">
        <v>1485</v>
      </c>
      <c r="C1791" s="19" t="s">
        <v>73</v>
      </c>
      <c r="D1791" s="20"/>
      <c r="E1791" s="3">
        <v>30176126.75</v>
      </c>
      <c r="F1791" s="24">
        <v>0.15078157868620432</v>
      </c>
      <c r="G1791" s="26">
        <v>4550004.03</v>
      </c>
      <c r="H1791" t="s">
        <v>68</v>
      </c>
    </row>
    <row r="1792" spans="1:8">
      <c r="A1792" s="13" t="s">
        <v>1486</v>
      </c>
      <c r="B1792" s="22" t="s">
        <v>1487</v>
      </c>
      <c r="C1792" s="15" t="s">
        <v>73</v>
      </c>
      <c r="D1792" s="16"/>
      <c r="E1792" s="2">
        <v>19729348.149999999</v>
      </c>
      <c r="F1792" s="23">
        <v>0.23378740619973298</v>
      </c>
      <c r="G1792" s="26">
        <v>4612473.13</v>
      </c>
      <c r="H1792" t="s">
        <v>68</v>
      </c>
    </row>
    <row r="1793" spans="1:8">
      <c r="A1793" s="19" t="s">
        <v>1488</v>
      </c>
      <c r="B1793" s="20" t="s">
        <v>153</v>
      </c>
      <c r="C1793" s="19" t="s">
        <v>73</v>
      </c>
      <c r="D1793" s="20"/>
      <c r="E1793" s="3">
        <v>12653350.99</v>
      </c>
      <c r="F1793" s="24">
        <v>0.48257559399290795</v>
      </c>
      <c r="G1793" s="26">
        <v>6106198.3700000001</v>
      </c>
      <c r="H1793" t="s">
        <v>68</v>
      </c>
    </row>
    <row r="1794" spans="1:8">
      <c r="A1794" s="13" t="s">
        <v>1489</v>
      </c>
      <c r="B1794" s="22" t="s">
        <v>1420</v>
      </c>
      <c r="C1794" s="15" t="s">
        <v>73</v>
      </c>
      <c r="D1794" s="16"/>
      <c r="E1794" s="2">
        <v>32554996.710000001</v>
      </c>
      <c r="F1794" s="23">
        <v>0.4066469988594264</v>
      </c>
      <c r="G1794" s="26">
        <v>13238391.710000001</v>
      </c>
      <c r="H1794" t="s">
        <v>68</v>
      </c>
    </row>
    <row r="1795" spans="1:8">
      <c r="A1795" s="17" t="s">
        <v>1490</v>
      </c>
      <c r="B1795" s="18" t="s">
        <v>1491</v>
      </c>
      <c r="C1795" s="19" t="s">
        <v>73</v>
      </c>
      <c r="D1795" s="20"/>
      <c r="E1795" s="3">
        <v>57716374.939999998</v>
      </c>
      <c r="F1795" s="24">
        <v>0.29581937236614675</v>
      </c>
      <c r="G1795" s="26">
        <v>17073621.809999999</v>
      </c>
      <c r="H1795" t="s">
        <v>68</v>
      </c>
    </row>
    <row r="1796" spans="1:8">
      <c r="A1796" s="15" t="s">
        <v>1492</v>
      </c>
      <c r="B1796" s="16" t="s">
        <v>1493</v>
      </c>
      <c r="C1796" s="15" t="s">
        <v>73</v>
      </c>
      <c r="D1796" s="16"/>
      <c r="E1796" s="2">
        <v>8589061.1899999995</v>
      </c>
      <c r="F1796" s="23">
        <v>0.33719976909373961</v>
      </c>
      <c r="G1796" s="26">
        <v>2896229.45</v>
      </c>
      <c r="H1796" t="s">
        <v>68</v>
      </c>
    </row>
    <row r="1797" spans="1:8">
      <c r="A1797" s="17" t="s">
        <v>1494</v>
      </c>
      <c r="B1797" s="18" t="s">
        <v>1495</v>
      </c>
      <c r="C1797" s="19" t="s">
        <v>73</v>
      </c>
      <c r="D1797" s="20"/>
      <c r="E1797" s="3">
        <v>37910328.469999999</v>
      </c>
      <c r="F1797" s="24">
        <v>0.24477678285861607</v>
      </c>
      <c r="G1797" s="26">
        <v>9279568.2400000002</v>
      </c>
      <c r="H1797" t="s">
        <v>68</v>
      </c>
    </row>
    <row r="1798" spans="1:8">
      <c r="A1798" s="13" t="s">
        <v>1496</v>
      </c>
      <c r="B1798" s="22" t="s">
        <v>1497</v>
      </c>
      <c r="C1798" s="15" t="s">
        <v>73</v>
      </c>
      <c r="D1798" s="16"/>
      <c r="E1798" s="2">
        <v>29195068.460000001</v>
      </c>
      <c r="F1798" s="23">
        <v>0.18381882396860116</v>
      </c>
      <c r="G1798" s="26">
        <v>5366603.1500000004</v>
      </c>
      <c r="H1798" t="s">
        <v>68</v>
      </c>
    </row>
    <row r="1799" spans="1:8">
      <c r="A1799" s="19" t="s">
        <v>1498</v>
      </c>
      <c r="B1799" s="20" t="s">
        <v>1207</v>
      </c>
      <c r="C1799" s="19" t="s">
        <v>73</v>
      </c>
      <c r="D1799" s="20"/>
      <c r="E1799" s="3">
        <v>26204737.5</v>
      </c>
      <c r="F1799" s="24">
        <v>0.41056955636361553</v>
      </c>
      <c r="G1799" s="26">
        <v>10758867.449999999</v>
      </c>
      <c r="H1799" t="s">
        <v>68</v>
      </c>
    </row>
    <row r="1800" spans="1:8">
      <c r="A1800" s="13" t="s">
        <v>1499</v>
      </c>
      <c r="B1800" s="22" t="s">
        <v>1500</v>
      </c>
      <c r="C1800" s="15" t="s">
        <v>73</v>
      </c>
      <c r="D1800" s="16"/>
      <c r="E1800" s="2">
        <v>42975084.380000003</v>
      </c>
      <c r="F1800" s="23">
        <v>0.21306958722951086</v>
      </c>
      <c r="G1800" s="26">
        <v>9156683.4900000002</v>
      </c>
      <c r="H1800" t="s">
        <v>68</v>
      </c>
    </row>
    <row r="1801" spans="1:8">
      <c r="A1801" s="13" t="s">
        <v>1503</v>
      </c>
      <c r="B1801" s="22" t="s">
        <v>1504</v>
      </c>
      <c r="C1801" s="15" t="s">
        <v>73</v>
      </c>
      <c r="D1801" s="16"/>
      <c r="E1801" s="2">
        <v>3735580.48</v>
      </c>
      <c r="F1801" s="23">
        <v>0.45339418038719381</v>
      </c>
      <c r="G1801" s="26">
        <v>1693690.45</v>
      </c>
      <c r="H1801" t="s">
        <v>68</v>
      </c>
    </row>
    <row r="1802" spans="1:8">
      <c r="A1802" s="19" t="s">
        <v>1505</v>
      </c>
      <c r="B1802" s="20" t="s">
        <v>1506</v>
      </c>
      <c r="C1802" s="19" t="s">
        <v>73</v>
      </c>
      <c r="D1802" s="20"/>
      <c r="E1802" s="3">
        <v>6415258.5800000001</v>
      </c>
      <c r="F1802" s="24">
        <v>0.55117152269176339</v>
      </c>
      <c r="G1802" s="26">
        <v>3535907.84</v>
      </c>
      <c r="H1802" t="s">
        <v>68</v>
      </c>
    </row>
    <row r="1803" spans="1:8">
      <c r="A1803" s="13" t="s">
        <v>1507</v>
      </c>
      <c r="B1803" s="22" t="s">
        <v>1508</v>
      </c>
      <c r="C1803" s="15" t="s">
        <v>73</v>
      </c>
      <c r="D1803" s="16"/>
      <c r="E1803" s="2">
        <v>10675381.220000001</v>
      </c>
      <c r="F1803" s="23">
        <v>0.59336276892226991</v>
      </c>
      <c r="G1803" s="26">
        <v>6334373.7600000007</v>
      </c>
      <c r="H1803" t="s">
        <v>68</v>
      </c>
    </row>
    <row r="1804" spans="1:8">
      <c r="A1804" s="17" t="s">
        <v>1509</v>
      </c>
      <c r="B1804" s="18" t="s">
        <v>1510</v>
      </c>
      <c r="C1804" s="19" t="s">
        <v>73</v>
      </c>
      <c r="D1804" s="20"/>
      <c r="E1804" s="3">
        <v>12306488.529999999</v>
      </c>
      <c r="F1804" s="24">
        <v>0.61955376315619093</v>
      </c>
      <c r="G1804" s="26">
        <v>7624531.2800000003</v>
      </c>
      <c r="H1804" t="s">
        <v>68</v>
      </c>
    </row>
    <row r="1805" spans="1:8">
      <c r="A1805" s="15" t="s">
        <v>1511</v>
      </c>
      <c r="B1805" s="16" t="s">
        <v>1512</v>
      </c>
      <c r="C1805" s="15" t="s">
        <v>73</v>
      </c>
      <c r="D1805" s="16"/>
      <c r="E1805" s="2">
        <v>9120709.1999999993</v>
      </c>
      <c r="F1805" s="23">
        <v>0.36340875992406385</v>
      </c>
      <c r="G1805" s="26">
        <v>3314545.62</v>
      </c>
      <c r="H1805" t="s">
        <v>68</v>
      </c>
    </row>
    <row r="1806" spans="1:8">
      <c r="A1806" s="17" t="s">
        <v>1513</v>
      </c>
      <c r="B1806" s="18" t="s">
        <v>1514</v>
      </c>
      <c r="C1806" s="19" t="s">
        <v>73</v>
      </c>
      <c r="D1806" s="20"/>
      <c r="E1806" s="3">
        <v>30403040.420000002</v>
      </c>
      <c r="F1806" s="24">
        <v>0.28475640397809926</v>
      </c>
      <c r="G1806" s="26">
        <v>8657460.4600000009</v>
      </c>
      <c r="H1806" t="s">
        <v>68</v>
      </c>
    </row>
    <row r="1807" spans="1:8">
      <c r="A1807" s="13" t="s">
        <v>1515</v>
      </c>
      <c r="B1807" s="22" t="s">
        <v>1516</v>
      </c>
      <c r="C1807" s="15" t="s">
        <v>73</v>
      </c>
      <c r="D1807" s="16"/>
      <c r="E1807" s="2">
        <v>8405285.9600000009</v>
      </c>
      <c r="F1807" s="23">
        <v>0.55375949874286012</v>
      </c>
      <c r="G1807" s="26">
        <v>4654506.9400000004</v>
      </c>
      <c r="H1807" t="s">
        <v>68</v>
      </c>
    </row>
    <row r="1808" spans="1:8">
      <c r="A1808" s="19" t="s">
        <v>1517</v>
      </c>
      <c r="B1808" s="20" t="s">
        <v>1518</v>
      </c>
      <c r="C1808" s="19" t="s">
        <v>73</v>
      </c>
      <c r="D1808" s="20"/>
      <c r="E1808" s="3">
        <v>16482861.16</v>
      </c>
      <c r="F1808" s="24">
        <v>0.47295705850621872</v>
      </c>
      <c r="G1808" s="26">
        <v>7795685.5300000003</v>
      </c>
      <c r="H1808" t="s">
        <v>68</v>
      </c>
    </row>
    <row r="1809" spans="1:8">
      <c r="A1809" s="13" t="s">
        <v>1519</v>
      </c>
      <c r="B1809" s="22" t="s">
        <v>1520</v>
      </c>
      <c r="C1809" s="15" t="s">
        <v>73</v>
      </c>
      <c r="D1809" s="16"/>
      <c r="E1809" s="2">
        <v>16035309.67</v>
      </c>
      <c r="F1809" s="23">
        <v>0.38373581157039172</v>
      </c>
      <c r="G1809" s="26">
        <v>6153322.5700000003</v>
      </c>
      <c r="H1809" t="s">
        <v>68</v>
      </c>
    </row>
    <row r="1810" spans="1:8">
      <c r="A1810" s="17" t="s">
        <v>1521</v>
      </c>
      <c r="B1810" s="18" t="s">
        <v>1522</v>
      </c>
      <c r="C1810" s="19" t="s">
        <v>73</v>
      </c>
      <c r="D1810" s="20"/>
      <c r="E1810" s="3">
        <v>8046763.1699999999</v>
      </c>
      <c r="F1810" s="24">
        <v>0.2030844297856973</v>
      </c>
      <c r="G1810" s="26">
        <v>1634172.31</v>
      </c>
      <c r="H1810" t="s">
        <v>68</v>
      </c>
    </row>
    <row r="1811" spans="1:8">
      <c r="A1811" s="15" t="s">
        <v>1523</v>
      </c>
      <c r="B1811" s="16" t="s">
        <v>1524</v>
      </c>
      <c r="C1811" s="15" t="s">
        <v>73</v>
      </c>
      <c r="D1811" s="16"/>
      <c r="E1811" s="2">
        <v>8666347.9499999993</v>
      </c>
      <c r="F1811" s="23">
        <v>0.66409379743401609</v>
      </c>
      <c r="G1811" s="26">
        <v>5755267.9199999999</v>
      </c>
      <c r="H1811" t="s">
        <v>68</v>
      </c>
    </row>
    <row r="1812" spans="1:8">
      <c r="A1812" s="17" t="s">
        <v>1525</v>
      </c>
      <c r="B1812" s="18" t="s">
        <v>1526</v>
      </c>
      <c r="C1812" s="19" t="s">
        <v>73</v>
      </c>
      <c r="D1812" s="20"/>
      <c r="E1812" s="3">
        <v>6430449.0499999998</v>
      </c>
      <c r="F1812" s="24">
        <v>0.61697660756677641</v>
      </c>
      <c r="G1812" s="26">
        <v>3967436.64</v>
      </c>
      <c r="H1812" t="s">
        <v>68</v>
      </c>
    </row>
    <row r="1813" spans="1:8">
      <c r="A1813" s="13" t="s">
        <v>1527</v>
      </c>
      <c r="B1813" s="22" t="s">
        <v>1528</v>
      </c>
      <c r="C1813" s="15" t="s">
        <v>73</v>
      </c>
      <c r="D1813" s="16"/>
      <c r="E1813" s="2">
        <v>5273255.3099999996</v>
      </c>
      <c r="F1813" s="23">
        <v>0.51274059969609176</v>
      </c>
      <c r="G1813" s="26">
        <v>2703812.09</v>
      </c>
      <c r="H1813" t="s">
        <v>68</v>
      </c>
    </row>
    <row r="1814" spans="1:8">
      <c r="A1814" s="19" t="s">
        <v>1529</v>
      </c>
      <c r="B1814" s="20" t="s">
        <v>1530</v>
      </c>
      <c r="C1814" s="19" t="s">
        <v>73</v>
      </c>
      <c r="D1814" s="20"/>
      <c r="E1814" s="3">
        <v>13175201.68</v>
      </c>
      <c r="F1814" s="24">
        <v>0.59837744738037291</v>
      </c>
      <c r="G1814" s="26">
        <v>7883743.5500000007</v>
      </c>
      <c r="H1814" t="s">
        <v>68</v>
      </c>
    </row>
    <row r="1815" spans="1:8">
      <c r="A1815" s="13" t="s">
        <v>1531</v>
      </c>
      <c r="B1815" s="22" t="s">
        <v>1532</v>
      </c>
      <c r="C1815" s="15" t="s">
        <v>73</v>
      </c>
      <c r="D1815" s="16"/>
      <c r="E1815" s="2">
        <v>9528323.7799999993</v>
      </c>
      <c r="F1815" s="23">
        <v>0.39626815977070001</v>
      </c>
      <c r="G1815" s="26">
        <v>3775771.33</v>
      </c>
      <c r="H1815" t="s">
        <v>68</v>
      </c>
    </row>
    <row r="1816" spans="1:8">
      <c r="A1816" s="13" t="s">
        <v>1535</v>
      </c>
      <c r="B1816" s="22" t="s">
        <v>1536</v>
      </c>
      <c r="C1816" s="15" t="s">
        <v>73</v>
      </c>
      <c r="D1816" s="16"/>
      <c r="E1816" s="2">
        <v>10953662.74</v>
      </c>
      <c r="F1816" s="23">
        <v>0.36431035761468039</v>
      </c>
      <c r="G1816" s="26">
        <v>3990532.79</v>
      </c>
      <c r="H1816" t="s">
        <v>68</v>
      </c>
    </row>
    <row r="1817" spans="1:8">
      <c r="A1817" s="19" t="s">
        <v>1537</v>
      </c>
      <c r="B1817" s="20" t="s">
        <v>1538</v>
      </c>
      <c r="C1817" s="19" t="s">
        <v>73</v>
      </c>
      <c r="D1817" s="20"/>
      <c r="E1817" s="3">
        <v>15139271.220000001</v>
      </c>
      <c r="F1817" s="24">
        <v>0.54531933340976235</v>
      </c>
      <c r="G1817" s="26">
        <v>8255737.29</v>
      </c>
      <c r="H1817" t="s">
        <v>68</v>
      </c>
    </row>
    <row r="1818" spans="1:8">
      <c r="A1818" s="13" t="s">
        <v>1539</v>
      </c>
      <c r="B1818" s="22" t="s">
        <v>1540</v>
      </c>
      <c r="C1818" s="15" t="s">
        <v>73</v>
      </c>
      <c r="D1818" s="16"/>
      <c r="E1818" s="2">
        <v>4983756.6500000004</v>
      </c>
      <c r="F1818" s="23">
        <v>0.53545739637989742</v>
      </c>
      <c r="G1818" s="26">
        <v>2668589.36</v>
      </c>
      <c r="H1818" t="s">
        <v>68</v>
      </c>
    </row>
    <row r="1819" spans="1:8">
      <c r="A1819" s="17" t="s">
        <v>1541</v>
      </c>
      <c r="B1819" s="18" t="s">
        <v>1542</v>
      </c>
      <c r="C1819" s="19" t="s">
        <v>73</v>
      </c>
      <c r="D1819" s="20"/>
      <c r="E1819" s="3">
        <v>12576546.560000001</v>
      </c>
      <c r="F1819" s="24">
        <v>0.48870135618533422</v>
      </c>
      <c r="G1819" s="26">
        <v>6146175.3600000003</v>
      </c>
      <c r="H1819" t="s">
        <v>68</v>
      </c>
    </row>
    <row r="1820" spans="1:8">
      <c r="A1820" s="15" t="s">
        <v>1543</v>
      </c>
      <c r="B1820" s="16" t="s">
        <v>1544</v>
      </c>
      <c r="C1820" s="15" t="s">
        <v>73</v>
      </c>
      <c r="D1820" s="16"/>
      <c r="E1820" s="2">
        <v>8926734.9100000001</v>
      </c>
      <c r="F1820" s="23">
        <v>0.29768073733467681</v>
      </c>
      <c r="G1820" s="26">
        <v>2657317.0299999998</v>
      </c>
      <c r="H1820" t="s">
        <v>68</v>
      </c>
    </row>
    <row r="1821" spans="1:8">
      <c r="A1821" s="17" t="s">
        <v>1545</v>
      </c>
      <c r="B1821" s="18" t="s">
        <v>1546</v>
      </c>
      <c r="C1821" s="19" t="s">
        <v>73</v>
      </c>
      <c r="D1821" s="20"/>
      <c r="E1821" s="3">
        <v>13803479.48</v>
      </c>
      <c r="F1821" s="24">
        <v>0.5544734058604186</v>
      </c>
      <c r="G1821" s="26">
        <v>7653662.2800000003</v>
      </c>
      <c r="H1821" t="s">
        <v>68</v>
      </c>
    </row>
    <row r="1822" spans="1:8">
      <c r="A1822" s="13" t="s">
        <v>1547</v>
      </c>
      <c r="B1822" s="22" t="s">
        <v>1135</v>
      </c>
      <c r="C1822" s="15" t="s">
        <v>73</v>
      </c>
      <c r="D1822" s="16"/>
      <c r="E1822" s="2">
        <v>8513628.5299999993</v>
      </c>
      <c r="F1822" s="23">
        <v>0.5350085165155779</v>
      </c>
      <c r="G1822" s="26">
        <v>4554863.7699999996</v>
      </c>
      <c r="H1822" t="s">
        <v>68</v>
      </c>
    </row>
    <row r="1823" spans="1:8">
      <c r="A1823" s="19" t="s">
        <v>1548</v>
      </c>
      <c r="B1823" s="20" t="s">
        <v>1549</v>
      </c>
      <c r="C1823" s="19" t="s">
        <v>73</v>
      </c>
      <c r="D1823" s="20"/>
      <c r="E1823" s="3">
        <v>8905939.7400000002</v>
      </c>
      <c r="F1823" s="24">
        <v>0.48551629768831106</v>
      </c>
      <c r="G1823" s="26">
        <v>4323978.8899999997</v>
      </c>
      <c r="H1823" t="s">
        <v>68</v>
      </c>
    </row>
    <row r="1824" spans="1:8">
      <c r="A1824" s="13" t="s">
        <v>1550</v>
      </c>
      <c r="B1824" s="22" t="s">
        <v>1551</v>
      </c>
      <c r="C1824" s="15" t="s">
        <v>73</v>
      </c>
      <c r="D1824" s="16"/>
      <c r="E1824" s="2">
        <v>25255078.09</v>
      </c>
      <c r="F1824" s="23">
        <v>0.67872157309967751</v>
      </c>
      <c r="G1824" s="26">
        <v>17141166.329999998</v>
      </c>
      <c r="H1824" t="s">
        <v>68</v>
      </c>
    </row>
    <row r="1825" spans="1:8">
      <c r="A1825" s="13" t="s">
        <v>1554</v>
      </c>
      <c r="B1825" s="22" t="s">
        <v>1555</v>
      </c>
      <c r="C1825" s="15" t="s">
        <v>73</v>
      </c>
      <c r="D1825" s="16"/>
      <c r="E1825" s="2">
        <v>15252385.539999999</v>
      </c>
      <c r="F1825" s="23">
        <v>0.55068519661875792</v>
      </c>
      <c r="G1825" s="26">
        <v>8399262.9299999997</v>
      </c>
      <c r="H1825" t="s">
        <v>68</v>
      </c>
    </row>
    <row r="1826" spans="1:8">
      <c r="A1826" s="19" t="s">
        <v>1556</v>
      </c>
      <c r="B1826" s="20" t="s">
        <v>1557</v>
      </c>
      <c r="C1826" s="19" t="s">
        <v>73</v>
      </c>
      <c r="D1826" s="20"/>
      <c r="E1826" s="3">
        <v>39387060.969999999</v>
      </c>
      <c r="F1826" s="24">
        <v>0.37127512309532956</v>
      </c>
      <c r="G1826" s="26">
        <v>14623435.91</v>
      </c>
      <c r="H1826" t="s">
        <v>68</v>
      </c>
    </row>
    <row r="1827" spans="1:8">
      <c r="A1827" s="13" t="s">
        <v>1558</v>
      </c>
      <c r="B1827" s="22" t="s">
        <v>1559</v>
      </c>
      <c r="C1827" s="15" t="s">
        <v>73</v>
      </c>
      <c r="D1827" s="16"/>
      <c r="E1827" s="2">
        <v>35231344.310000002</v>
      </c>
      <c r="F1827" s="23">
        <v>0.27857030670312222</v>
      </c>
      <c r="G1827" s="26">
        <v>9814406.3900000006</v>
      </c>
      <c r="H1827" t="s">
        <v>68</v>
      </c>
    </row>
    <row r="1828" spans="1:8">
      <c r="A1828" s="17" t="s">
        <v>1560</v>
      </c>
      <c r="B1828" s="18" t="s">
        <v>1561</v>
      </c>
      <c r="C1828" s="19" t="s">
        <v>73</v>
      </c>
      <c r="D1828" s="20"/>
      <c r="E1828" s="3">
        <v>27386198.149999999</v>
      </c>
      <c r="F1828" s="24">
        <v>0.35643140995823114</v>
      </c>
      <c r="G1828" s="26">
        <v>9761301.2200000007</v>
      </c>
      <c r="H1828" t="s">
        <v>68</v>
      </c>
    </row>
    <row r="1829" spans="1:8">
      <c r="A1829" s="15" t="s">
        <v>1562</v>
      </c>
      <c r="B1829" s="16" t="s">
        <v>1563</v>
      </c>
      <c r="C1829" s="15" t="s">
        <v>73</v>
      </c>
      <c r="D1829" s="16"/>
      <c r="E1829" s="2">
        <v>95376203.079999998</v>
      </c>
      <c r="F1829" s="23">
        <v>0.39200195869235688</v>
      </c>
      <c r="G1829" s="26">
        <v>37387658.420000002</v>
      </c>
      <c r="H1829" t="s">
        <v>68</v>
      </c>
    </row>
    <row r="1830" spans="1:8">
      <c r="A1830" s="17" t="s">
        <v>1564</v>
      </c>
      <c r="B1830" s="18" t="s">
        <v>1760</v>
      </c>
      <c r="C1830" s="19" t="s">
        <v>73</v>
      </c>
      <c r="D1830" s="20"/>
      <c r="E1830" s="3">
        <v>11078644.51</v>
      </c>
      <c r="F1830" s="24">
        <v>0.44752554028832181</v>
      </c>
      <c r="G1830" s="26">
        <v>4957976.37</v>
      </c>
      <c r="H1830" t="s">
        <v>68</v>
      </c>
    </row>
    <row r="1831" spans="1:8">
      <c r="A1831" s="17" t="s">
        <v>1763</v>
      </c>
      <c r="B1831" s="18" t="s">
        <v>1764</v>
      </c>
      <c r="C1831" s="19" t="s">
        <v>73</v>
      </c>
      <c r="D1831" s="20"/>
      <c r="E1831" s="3">
        <v>10099317.99</v>
      </c>
      <c r="F1831" s="24">
        <v>0.4873166420616884</v>
      </c>
      <c r="G1831" s="26">
        <v>4921565.7300000004</v>
      </c>
      <c r="H1831" t="s">
        <v>68</v>
      </c>
    </row>
    <row r="1832" spans="1:8">
      <c r="A1832" s="15" t="s">
        <v>1765</v>
      </c>
      <c r="B1832" s="16" t="s">
        <v>1766</v>
      </c>
      <c r="C1832" s="15" t="s">
        <v>73</v>
      </c>
      <c r="D1832" s="16"/>
      <c r="E1832" s="2">
        <v>8392570.4000000004</v>
      </c>
      <c r="F1832" s="23">
        <v>0.65702645759158596</v>
      </c>
      <c r="G1832" s="26">
        <v>5514140.7999999998</v>
      </c>
      <c r="H1832" t="s">
        <v>68</v>
      </c>
    </row>
    <row r="1833" spans="1:8">
      <c r="A1833" s="17" t="s">
        <v>1767</v>
      </c>
      <c r="B1833" s="18" t="s">
        <v>1768</v>
      </c>
      <c r="C1833" s="19" t="s">
        <v>73</v>
      </c>
      <c r="D1833" s="20"/>
      <c r="E1833" s="3">
        <v>21559248.309999999</v>
      </c>
      <c r="F1833" s="24">
        <v>0.53897152270426263</v>
      </c>
      <c r="G1833" s="26">
        <v>11619820.890000001</v>
      </c>
      <c r="H1833" t="s">
        <v>68</v>
      </c>
    </row>
    <row r="1834" spans="1:8">
      <c r="A1834" s="13" t="s">
        <v>1769</v>
      </c>
      <c r="B1834" s="22" t="s">
        <v>1770</v>
      </c>
      <c r="C1834" s="15" t="s">
        <v>73</v>
      </c>
      <c r="D1834" s="16"/>
      <c r="E1834" s="2">
        <v>6928959.9900000002</v>
      </c>
      <c r="F1834" s="23">
        <v>0.34405952746741147</v>
      </c>
      <c r="G1834" s="26">
        <v>2383974.7000000002</v>
      </c>
      <c r="H1834" t="s">
        <v>68</v>
      </c>
    </row>
    <row r="1835" spans="1:8">
      <c r="A1835" s="15" t="s">
        <v>1773</v>
      </c>
      <c r="B1835" s="16" t="s">
        <v>1774</v>
      </c>
      <c r="C1835" s="15" t="s">
        <v>73</v>
      </c>
      <c r="D1835" s="16"/>
      <c r="E1835" s="2">
        <v>9427561.6099999994</v>
      </c>
      <c r="F1835" s="23">
        <v>0.58544492821405181</v>
      </c>
      <c r="G1835" s="26">
        <v>5519318.1299999999</v>
      </c>
      <c r="H1835" t="s">
        <v>68</v>
      </c>
    </row>
    <row r="1836" spans="1:8">
      <c r="A1836" s="17" t="s">
        <v>1775</v>
      </c>
      <c r="B1836" s="18" t="s">
        <v>1776</v>
      </c>
      <c r="C1836" s="19" t="s">
        <v>73</v>
      </c>
      <c r="D1836" s="20"/>
      <c r="E1836" s="3">
        <v>8061681.9900000002</v>
      </c>
      <c r="F1836" s="24">
        <v>0.4357626279922262</v>
      </c>
      <c r="G1836" s="26">
        <v>3512979.73</v>
      </c>
      <c r="H1836" t="s">
        <v>68</v>
      </c>
    </row>
    <row r="1837" spans="1:8">
      <c r="A1837" s="13" t="s">
        <v>1777</v>
      </c>
      <c r="B1837" s="22" t="s">
        <v>1420</v>
      </c>
      <c r="C1837" s="15" t="s">
        <v>73</v>
      </c>
      <c r="D1837" s="16"/>
      <c r="E1837" s="2">
        <v>10510759.880000001</v>
      </c>
      <c r="F1837" s="23">
        <v>0.55740469070633925</v>
      </c>
      <c r="G1837" s="26">
        <v>5858746.8599999994</v>
      </c>
      <c r="H1837" t="s">
        <v>68</v>
      </c>
    </row>
    <row r="1838" spans="1:8">
      <c r="A1838" s="19" t="s">
        <v>1778</v>
      </c>
      <c r="B1838" s="20" t="s">
        <v>1779</v>
      </c>
      <c r="C1838" s="19" t="s">
        <v>73</v>
      </c>
      <c r="D1838" s="20"/>
      <c r="E1838" s="3">
        <v>10856080.48</v>
      </c>
      <c r="F1838" s="24">
        <v>0.57640192899527953</v>
      </c>
      <c r="G1838" s="26">
        <v>6257465.7300000004</v>
      </c>
      <c r="H1838" t="s">
        <v>68</v>
      </c>
    </row>
    <row r="1839" spans="1:8">
      <c r="A1839" s="13" t="s">
        <v>1780</v>
      </c>
      <c r="B1839" s="22" t="s">
        <v>886</v>
      </c>
      <c r="C1839" s="15" t="s">
        <v>73</v>
      </c>
      <c r="D1839" s="16"/>
      <c r="E1839" s="2">
        <v>11862217.27</v>
      </c>
      <c r="F1839" s="23">
        <v>0.54207910659859293</v>
      </c>
      <c r="G1839" s="26">
        <v>6430260.1399999997</v>
      </c>
      <c r="H1839" t="s">
        <v>68</v>
      </c>
    </row>
    <row r="1840" spans="1:8">
      <c r="A1840" s="17" t="s">
        <v>1781</v>
      </c>
      <c r="B1840" s="18" t="s">
        <v>1580</v>
      </c>
      <c r="C1840" s="19" t="s">
        <v>73</v>
      </c>
      <c r="D1840" s="20"/>
      <c r="E1840" s="3">
        <v>15088727.02</v>
      </c>
      <c r="F1840" s="24">
        <v>0.3664915776307815</v>
      </c>
      <c r="G1840" s="26">
        <v>5529891.3700000001</v>
      </c>
      <c r="H1840" t="s">
        <v>68</v>
      </c>
    </row>
    <row r="1841" spans="1:10">
      <c r="A1841" s="15" t="s">
        <v>1782</v>
      </c>
      <c r="B1841" s="16" t="s">
        <v>1783</v>
      </c>
      <c r="C1841" s="15" t="s">
        <v>73</v>
      </c>
      <c r="D1841" s="16"/>
      <c r="E1841" s="2">
        <v>17383859.309999999</v>
      </c>
      <c r="F1841" s="23">
        <v>0.51056890082481921</v>
      </c>
      <c r="G1841" s="26">
        <v>8875657.9399999995</v>
      </c>
      <c r="H1841" t="s">
        <v>68</v>
      </c>
    </row>
    <row r="1842" spans="1:10">
      <c r="A1842" s="17" t="s">
        <v>1784</v>
      </c>
      <c r="B1842" s="18" t="s">
        <v>1785</v>
      </c>
      <c r="C1842" s="19" t="s">
        <v>73</v>
      </c>
      <c r="D1842" s="20"/>
      <c r="E1842" s="3">
        <v>5555998.04</v>
      </c>
      <c r="F1842" s="24">
        <v>0.48637325473210574</v>
      </c>
      <c r="G1842" s="26">
        <v>2702288.85</v>
      </c>
      <c r="H1842" t="s">
        <v>68</v>
      </c>
    </row>
    <row r="1843" spans="1:10">
      <c r="A1843" s="13" t="s">
        <v>1786</v>
      </c>
      <c r="B1843" s="22" t="s">
        <v>1787</v>
      </c>
      <c r="C1843" s="15" t="s">
        <v>73</v>
      </c>
      <c r="D1843" s="16"/>
      <c r="E1843" s="2">
        <v>5608250.7800000003</v>
      </c>
      <c r="F1843" s="23">
        <v>0.56664590344870414</v>
      </c>
      <c r="G1843" s="26">
        <v>3177892.3299999996</v>
      </c>
      <c r="H1843" t="s">
        <v>68</v>
      </c>
    </row>
    <row r="1844" spans="1:10">
      <c r="A1844" s="19" t="s">
        <v>1788</v>
      </c>
      <c r="B1844" s="20" t="s">
        <v>1592</v>
      </c>
      <c r="C1844" s="19" t="s">
        <v>73</v>
      </c>
      <c r="D1844" s="20"/>
      <c r="E1844" s="3">
        <v>6338480.1699999999</v>
      </c>
      <c r="F1844" s="24">
        <v>0.48301194417083737</v>
      </c>
      <c r="G1844" s="26">
        <v>3061561.63</v>
      </c>
      <c r="H1844" t="s">
        <v>68</v>
      </c>
    </row>
    <row r="1845" spans="1:10">
      <c r="A1845" s="13" t="s">
        <v>1593</v>
      </c>
      <c r="B1845" s="22" t="s">
        <v>1779</v>
      </c>
      <c r="C1845" s="15" t="s">
        <v>73</v>
      </c>
      <c r="D1845" s="16"/>
      <c r="E1845" s="2">
        <v>6880778.9699999997</v>
      </c>
      <c r="F1845" s="23">
        <v>0.4882251275105266</v>
      </c>
      <c r="G1845" s="26">
        <v>3359369.19</v>
      </c>
      <c r="H1845" t="s">
        <v>68</v>
      </c>
    </row>
    <row r="1846" spans="1:10">
      <c r="A1846" s="17" t="s">
        <v>1594</v>
      </c>
      <c r="B1846" s="18" t="s">
        <v>1595</v>
      </c>
      <c r="C1846" s="19" t="s">
        <v>73</v>
      </c>
      <c r="D1846" s="20"/>
      <c r="E1846" s="3">
        <v>4398320.1100000003</v>
      </c>
      <c r="F1846" s="24">
        <v>0.51904679125321773</v>
      </c>
      <c r="G1846" s="26">
        <v>2282933.94</v>
      </c>
      <c r="H1846" t="s">
        <v>68</v>
      </c>
    </row>
    <row r="1847" spans="1:10">
      <c r="A1847" s="19" t="s">
        <v>1598</v>
      </c>
      <c r="B1847" s="20" t="s">
        <v>1599</v>
      </c>
      <c r="C1847" s="19" t="s">
        <v>73</v>
      </c>
      <c r="D1847" s="20"/>
      <c r="E1847" s="3">
        <v>13983589.57</v>
      </c>
      <c r="F1847" s="24">
        <v>0.53595217039826204</v>
      </c>
      <c r="G1847" s="26">
        <v>7494535.1799999997</v>
      </c>
      <c r="H1847" t="s">
        <v>68</v>
      </c>
    </row>
    <row r="1848" spans="1:10">
      <c r="A1848" s="13" t="s">
        <v>1600</v>
      </c>
      <c r="B1848" s="22" t="s">
        <v>1601</v>
      </c>
      <c r="C1848" s="15" t="s">
        <v>73</v>
      </c>
      <c r="D1848" s="16"/>
      <c r="E1848" s="2">
        <v>10643106.800000001</v>
      </c>
      <c r="F1848" s="23">
        <v>0.56591663441731122</v>
      </c>
      <c r="G1848" s="26">
        <v>6023111.1799999997</v>
      </c>
      <c r="H1848" t="s">
        <v>68</v>
      </c>
    </row>
    <row r="1849" spans="1:10">
      <c r="A1849" s="17" t="s">
        <v>1602</v>
      </c>
      <c r="B1849" s="18" t="s">
        <v>1679</v>
      </c>
      <c r="C1849" s="19" t="s">
        <v>73</v>
      </c>
      <c r="D1849" s="20"/>
      <c r="E1849" s="3">
        <v>13261847.18</v>
      </c>
      <c r="F1849" s="24">
        <v>0.40783334527913029</v>
      </c>
      <c r="G1849" s="26">
        <v>5408623.5</v>
      </c>
      <c r="H1849" t="s">
        <v>68</v>
      </c>
    </row>
    <row r="1850" spans="1:10">
      <c r="A1850" s="15" t="s">
        <v>1603</v>
      </c>
      <c r="B1850" s="16" t="s">
        <v>1604</v>
      </c>
      <c r="C1850" s="15" t="s">
        <v>73</v>
      </c>
      <c r="D1850" s="16"/>
      <c r="E1850" s="2">
        <v>7158730.9100000001</v>
      </c>
      <c r="F1850" s="23">
        <v>0.5420388346459023</v>
      </c>
      <c r="G1850" s="26">
        <v>3880310.1599999997</v>
      </c>
      <c r="H1850" t="s">
        <v>68</v>
      </c>
    </row>
    <row r="1851" spans="1:10">
      <c r="A1851" s="17" t="s">
        <v>1605</v>
      </c>
      <c r="B1851" s="18" t="s">
        <v>1606</v>
      </c>
      <c r="C1851" s="19" t="s">
        <v>73</v>
      </c>
      <c r="D1851" s="20"/>
      <c r="E1851" s="3">
        <v>9602713.2200000007</v>
      </c>
      <c r="F1851" s="24">
        <v>0.34602630151231356</v>
      </c>
      <c r="G1851" s="26">
        <v>3322791.34</v>
      </c>
      <c r="H1851" t="s">
        <v>68</v>
      </c>
    </row>
    <row r="1852" spans="1:10">
      <c r="A1852" s="13" t="s">
        <v>1607</v>
      </c>
      <c r="B1852" s="22" t="s">
        <v>1608</v>
      </c>
      <c r="C1852" s="15" t="s">
        <v>73</v>
      </c>
      <c r="D1852" s="16"/>
      <c r="E1852" s="2">
        <v>14076521.779999999</v>
      </c>
      <c r="F1852" s="23">
        <v>0.44217702904729922</v>
      </c>
      <c r="G1852" s="26">
        <v>6224314.5800000001</v>
      </c>
      <c r="H1852" t="s">
        <v>68</v>
      </c>
      <c r="I1852" s="68"/>
      <c r="J1852" s="68"/>
    </row>
    <row r="1853" spans="1:10">
      <c r="A1853" s="19" t="s">
        <v>1609</v>
      </c>
      <c r="B1853" s="20" t="s">
        <v>1610</v>
      </c>
      <c r="C1853" s="19" t="s">
        <v>73</v>
      </c>
      <c r="D1853" s="20"/>
      <c r="E1853" s="3">
        <v>8730587.2699999996</v>
      </c>
      <c r="F1853" s="24">
        <v>0.52391886118790265</v>
      </c>
      <c r="G1853" s="26">
        <v>4574119.34</v>
      </c>
      <c r="H1853" t="s">
        <v>68</v>
      </c>
      <c r="I1853" s="68"/>
      <c r="J1853" s="68"/>
    </row>
    <row r="1854" spans="1:10">
      <c r="A1854" s="13" t="s">
        <v>1611</v>
      </c>
      <c r="B1854" s="22" t="s">
        <v>1612</v>
      </c>
      <c r="C1854" s="15" t="s">
        <v>73</v>
      </c>
      <c r="D1854" s="16"/>
      <c r="E1854" s="2">
        <v>38036358.719999999</v>
      </c>
      <c r="F1854" s="23">
        <v>0.69334656069833178</v>
      </c>
      <c r="G1854" s="26">
        <v>26372378.5</v>
      </c>
      <c r="H1854" t="s">
        <v>68</v>
      </c>
      <c r="I1854" s="68"/>
      <c r="J1854" s="68"/>
    </row>
    <row r="1855" spans="1:10">
      <c r="A1855" s="17" t="s">
        <v>1613</v>
      </c>
      <c r="B1855" s="18" t="s">
        <v>1614</v>
      </c>
      <c r="C1855" s="19" t="s">
        <v>73</v>
      </c>
      <c r="D1855" s="20"/>
      <c r="E1855" s="3">
        <v>1295633.67</v>
      </c>
      <c r="F1855" s="24">
        <v>0.55792029547981725</v>
      </c>
      <c r="G1855" s="26">
        <v>722860.32</v>
      </c>
      <c r="H1855" t="s">
        <v>68</v>
      </c>
      <c r="I1855" s="68"/>
      <c r="J1855" s="68"/>
    </row>
    <row r="1856" spans="1:10">
      <c r="A1856" s="15" t="s">
        <v>1615</v>
      </c>
      <c r="B1856" s="16" t="s">
        <v>1616</v>
      </c>
      <c r="C1856" s="15" t="s">
        <v>73</v>
      </c>
      <c r="D1856" s="16"/>
      <c r="E1856" s="2">
        <v>23334740.719999999</v>
      </c>
      <c r="F1856" s="23">
        <v>0.49015935326835725</v>
      </c>
      <c r="G1856" s="26">
        <v>11437741.42</v>
      </c>
      <c r="H1856" t="s">
        <v>68</v>
      </c>
      <c r="I1856" s="68"/>
      <c r="J1856" s="68"/>
    </row>
    <row r="1857" spans="1:10">
      <c r="A1857" s="17" t="s">
        <v>1617</v>
      </c>
      <c r="B1857" s="18" t="s">
        <v>1618</v>
      </c>
      <c r="C1857" s="19" t="s">
        <v>73</v>
      </c>
      <c r="D1857" s="20"/>
      <c r="E1857" s="3">
        <v>10656779.35</v>
      </c>
      <c r="F1857" s="24">
        <v>0.61873661858261153</v>
      </c>
      <c r="G1857" s="26">
        <v>6593739.620000001</v>
      </c>
      <c r="H1857" t="s">
        <v>68</v>
      </c>
      <c r="I1857" s="68"/>
      <c r="J1857" s="68"/>
    </row>
    <row r="1858" spans="1:10">
      <c r="A1858" s="13" t="s">
        <v>1619</v>
      </c>
      <c r="B1858" s="22" t="s">
        <v>1620</v>
      </c>
      <c r="C1858" s="15" t="s">
        <v>73</v>
      </c>
      <c r="D1858" s="16"/>
      <c r="E1858" s="2">
        <v>9036139.3399999999</v>
      </c>
      <c r="F1858" s="23">
        <v>0.49733557340208084</v>
      </c>
      <c r="G1858" s="26">
        <v>4493993.54</v>
      </c>
      <c r="H1858" t="s">
        <v>68</v>
      </c>
      <c r="I1858" s="112" t="s">
        <v>2013</v>
      </c>
      <c r="J1858" s="68"/>
    </row>
    <row r="1859" spans="1:10">
      <c r="A1859" s="15" t="s">
        <v>1802</v>
      </c>
      <c r="B1859" s="16" t="s">
        <v>1803</v>
      </c>
      <c r="C1859" s="15" t="s">
        <v>73</v>
      </c>
      <c r="D1859" s="16"/>
      <c r="E1859" s="2">
        <v>15517674.18</v>
      </c>
      <c r="F1859" s="23">
        <v>0.33180250018627466</v>
      </c>
      <c r="G1859" s="26">
        <v>5148803.09</v>
      </c>
      <c r="H1859" t="s">
        <v>68</v>
      </c>
      <c r="I1859" s="26">
        <f>SUM(G1241:G1859)-19002195</f>
        <v>7074152480.2099876</v>
      </c>
    </row>
  </sheetData>
  <sheetCalcPr fullCalcOnLoad="1"/>
  <phoneticPr fontId="3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911"/>
  <sheetViews>
    <sheetView topLeftCell="A632" workbookViewId="0">
      <selection activeCell="L655" sqref="A655:L655"/>
    </sheetView>
  </sheetViews>
  <sheetFormatPr baseColWidth="10" defaultColWidth="8.83203125" defaultRowHeight="12"/>
  <cols>
    <col min="2" max="2" width="23.1640625" customWidth="1"/>
    <col min="5" max="5" width="10.5" hidden="1" customWidth="1"/>
    <col min="7" max="7" width="14.33203125" customWidth="1"/>
    <col min="13" max="13" width="14.83203125" style="55" bestFit="1" customWidth="1"/>
    <col min="14" max="14" width="13.83203125" bestFit="1" customWidth="1"/>
    <col min="15" max="15" width="13.83203125" style="55" bestFit="1" customWidth="1"/>
  </cols>
  <sheetData>
    <row r="1" spans="1:13">
      <c r="A1" s="4"/>
      <c r="B1" s="5"/>
      <c r="C1" s="4"/>
      <c r="D1" s="6" t="s">
        <v>65</v>
      </c>
      <c r="E1" s="25"/>
      <c r="F1" s="25"/>
      <c r="H1" t="s">
        <v>1805</v>
      </c>
      <c r="K1" t="s">
        <v>1808</v>
      </c>
      <c r="L1" t="s">
        <v>1807</v>
      </c>
      <c r="M1" s="55" t="s">
        <v>1813</v>
      </c>
    </row>
    <row r="2" spans="1:13">
      <c r="A2" s="7"/>
      <c r="B2" s="8"/>
      <c r="C2" s="7"/>
      <c r="D2" s="9" t="s">
        <v>66</v>
      </c>
      <c r="E2" s="10" t="s">
        <v>67</v>
      </c>
      <c r="F2" s="10" t="s">
        <v>64</v>
      </c>
      <c r="G2" t="s">
        <v>1804</v>
      </c>
      <c r="H2" t="s">
        <v>1805</v>
      </c>
      <c r="I2" t="s">
        <v>1817</v>
      </c>
      <c r="J2" t="s">
        <v>1818</v>
      </c>
      <c r="K2" t="s">
        <v>1808</v>
      </c>
      <c r="L2" t="s">
        <v>1807</v>
      </c>
    </row>
    <row r="3" spans="1:13">
      <c r="A3" s="17" t="s">
        <v>87</v>
      </c>
      <c r="B3" s="21" t="s">
        <v>88</v>
      </c>
      <c r="C3" s="19" t="s">
        <v>74</v>
      </c>
      <c r="D3" s="20"/>
      <c r="E3" s="3">
        <v>3429982.11</v>
      </c>
      <c r="F3" s="24">
        <v>0.12923064487936936</v>
      </c>
      <c r="G3" s="26">
        <v>443258.8</v>
      </c>
      <c r="H3" t="s">
        <v>1806</v>
      </c>
      <c r="K3" t="s">
        <v>1809</v>
      </c>
      <c r="L3" t="s">
        <v>1814</v>
      </c>
    </row>
    <row r="4" spans="1:13">
      <c r="A4" s="13" t="s">
        <v>292</v>
      </c>
      <c r="B4" s="14" t="s">
        <v>293</v>
      </c>
      <c r="C4" s="15" t="s">
        <v>74</v>
      </c>
      <c r="D4" s="16"/>
      <c r="E4" s="2">
        <v>865196.41</v>
      </c>
      <c r="F4" s="23">
        <v>0.27563059352037766</v>
      </c>
      <c r="G4" s="26">
        <v>238474.60000000003</v>
      </c>
      <c r="H4" t="s">
        <v>1806</v>
      </c>
      <c r="K4" t="s">
        <v>1809</v>
      </c>
      <c r="L4" t="s">
        <v>1814</v>
      </c>
    </row>
    <row r="5" spans="1:13">
      <c r="A5" s="15" t="s">
        <v>296</v>
      </c>
      <c r="B5" s="16" t="s">
        <v>297</v>
      </c>
      <c r="C5" s="15" t="s">
        <v>74</v>
      </c>
      <c r="D5" s="16"/>
      <c r="E5" s="2">
        <v>1490755.82</v>
      </c>
      <c r="F5" s="23">
        <v>0.25866491669977176</v>
      </c>
      <c r="G5" s="26">
        <v>385606.23</v>
      </c>
      <c r="H5" t="s">
        <v>1806</v>
      </c>
      <c r="K5" t="s">
        <v>1809</v>
      </c>
      <c r="L5" t="s">
        <v>1814</v>
      </c>
    </row>
    <row r="6" spans="1:13">
      <c r="A6" s="13" t="s">
        <v>300</v>
      </c>
      <c r="B6" s="14" t="s">
        <v>301</v>
      </c>
      <c r="C6" s="15" t="s">
        <v>74</v>
      </c>
      <c r="D6" s="16"/>
      <c r="E6" s="2">
        <v>802536.76</v>
      </c>
      <c r="F6" s="23">
        <v>0.24571617130659537</v>
      </c>
      <c r="G6" s="26">
        <v>197196.26</v>
      </c>
      <c r="H6" t="s">
        <v>1806</v>
      </c>
      <c r="K6" t="s">
        <v>1809</v>
      </c>
      <c r="L6" t="s">
        <v>1814</v>
      </c>
    </row>
    <row r="7" spans="1:13">
      <c r="A7" s="13" t="s">
        <v>146</v>
      </c>
      <c r="B7" s="14" t="s">
        <v>147</v>
      </c>
      <c r="C7" s="15" t="s">
        <v>74</v>
      </c>
      <c r="D7" s="16"/>
      <c r="E7" s="2">
        <v>7954976.9199999999</v>
      </c>
      <c r="F7" s="23">
        <v>9.9349158136840962E-2</v>
      </c>
      <c r="G7" s="26">
        <v>790320.26</v>
      </c>
      <c r="H7" t="s">
        <v>1806</v>
      </c>
      <c r="K7" t="s">
        <v>1809</v>
      </c>
      <c r="L7" t="s">
        <v>1814</v>
      </c>
    </row>
    <row r="8" spans="1:13">
      <c r="A8" s="19" t="s">
        <v>176</v>
      </c>
      <c r="B8" s="20" t="s">
        <v>177</v>
      </c>
      <c r="C8" s="19" t="s">
        <v>74</v>
      </c>
      <c r="D8" s="20"/>
      <c r="E8" s="3">
        <v>2445648.89</v>
      </c>
      <c r="F8" s="24">
        <v>0.14109789079331009</v>
      </c>
      <c r="G8" s="26">
        <v>345075.90000000008</v>
      </c>
      <c r="H8" t="s">
        <v>1806</v>
      </c>
      <c r="K8" t="s">
        <v>1809</v>
      </c>
      <c r="L8" t="s">
        <v>1814</v>
      </c>
    </row>
    <row r="9" spans="1:13">
      <c r="A9" s="13" t="s">
        <v>178</v>
      </c>
      <c r="B9" s="14" t="s">
        <v>179</v>
      </c>
      <c r="C9" s="15" t="s">
        <v>74</v>
      </c>
      <c r="D9" s="16"/>
      <c r="E9" s="2">
        <v>479588.19</v>
      </c>
      <c r="F9" s="23">
        <v>0.47182254425406095</v>
      </c>
      <c r="G9" s="26">
        <v>226280.52</v>
      </c>
      <c r="H9" t="s">
        <v>1806</v>
      </c>
      <c r="K9" t="s">
        <v>1809</v>
      </c>
      <c r="L9" t="s">
        <v>1814</v>
      </c>
    </row>
    <row r="10" spans="1:13">
      <c r="A10" s="17" t="s">
        <v>180</v>
      </c>
      <c r="B10" s="21" t="s">
        <v>181</v>
      </c>
      <c r="C10" s="19" t="s">
        <v>74</v>
      </c>
      <c r="D10" s="20"/>
      <c r="E10" s="3">
        <v>1689004.98</v>
      </c>
      <c r="F10" s="24">
        <v>0.17761936971908751</v>
      </c>
      <c r="G10" s="26">
        <v>300000</v>
      </c>
      <c r="H10" t="s">
        <v>1806</v>
      </c>
      <c r="K10" t="s">
        <v>1809</v>
      </c>
      <c r="L10" t="s">
        <v>1814</v>
      </c>
    </row>
    <row r="11" spans="1:13">
      <c r="A11" s="15" t="s">
        <v>198</v>
      </c>
      <c r="B11" s="16" t="s">
        <v>199</v>
      </c>
      <c r="C11" s="15" t="s">
        <v>74</v>
      </c>
      <c r="D11" s="16"/>
      <c r="E11" s="2">
        <v>8436970.4700000007</v>
      </c>
      <c r="F11" s="23">
        <v>5.2178699874008208E-2</v>
      </c>
      <c r="G11" s="26">
        <v>440230.15</v>
      </c>
      <c r="H11" t="s">
        <v>1806</v>
      </c>
      <c r="K11" t="s">
        <v>1809</v>
      </c>
      <c r="L11" t="s">
        <v>1814</v>
      </c>
    </row>
    <row r="12" spans="1:13">
      <c r="A12" s="13" t="s">
        <v>202</v>
      </c>
      <c r="B12" s="14" t="s">
        <v>203</v>
      </c>
      <c r="C12" s="15" t="s">
        <v>74</v>
      </c>
      <c r="D12" s="16"/>
      <c r="E12" s="2">
        <v>3233072.73</v>
      </c>
      <c r="F12" s="23">
        <v>0.23784171721989067</v>
      </c>
      <c r="G12" s="26">
        <v>768959.57</v>
      </c>
      <c r="H12" t="s">
        <v>1806</v>
      </c>
      <c r="K12" t="s">
        <v>1809</v>
      </c>
      <c r="L12" t="s">
        <v>1814</v>
      </c>
    </row>
    <row r="13" spans="1:13">
      <c r="A13" s="17" t="s">
        <v>244</v>
      </c>
      <c r="B13" s="18" t="s">
        <v>245</v>
      </c>
      <c r="C13" s="19" t="s">
        <v>74</v>
      </c>
      <c r="D13" s="20"/>
      <c r="E13" s="3">
        <v>492036.1</v>
      </c>
      <c r="F13" s="24">
        <v>0.5577965315959541</v>
      </c>
      <c r="G13" s="49">
        <v>274456.03000000003</v>
      </c>
      <c r="H13" t="s">
        <v>1806</v>
      </c>
      <c r="K13" t="s">
        <v>1809</v>
      </c>
      <c r="L13" t="s">
        <v>1814</v>
      </c>
    </row>
    <row r="14" spans="1:13">
      <c r="A14" s="15" t="s">
        <v>246</v>
      </c>
      <c r="B14" s="16" t="s">
        <v>247</v>
      </c>
      <c r="C14" s="15" t="s">
        <v>74</v>
      </c>
      <c r="D14" s="16"/>
      <c r="E14" s="2">
        <v>393282.73</v>
      </c>
      <c r="F14" s="23">
        <v>0.57372918459958822</v>
      </c>
      <c r="G14" s="26">
        <v>225637.78</v>
      </c>
      <c r="H14" t="s">
        <v>1806</v>
      </c>
      <c r="K14" t="s">
        <v>1809</v>
      </c>
      <c r="L14" t="s">
        <v>1814</v>
      </c>
    </row>
    <row r="15" spans="1:13">
      <c r="A15" s="13" t="s">
        <v>254</v>
      </c>
      <c r="B15" s="14" t="s">
        <v>255</v>
      </c>
      <c r="C15" s="15" t="s">
        <v>74</v>
      </c>
      <c r="D15" s="16"/>
      <c r="E15" s="2">
        <v>1385312.83</v>
      </c>
      <c r="F15" s="23">
        <v>0.46043021921626176</v>
      </c>
      <c r="G15" s="26">
        <v>637839.89</v>
      </c>
      <c r="H15" t="s">
        <v>1806</v>
      </c>
      <c r="K15" t="s">
        <v>1809</v>
      </c>
      <c r="L15" t="s">
        <v>1814</v>
      </c>
    </row>
    <row r="16" spans="1:13">
      <c r="A16" s="17" t="s">
        <v>276</v>
      </c>
      <c r="B16" s="18" t="s">
        <v>277</v>
      </c>
      <c r="C16" s="19" t="s">
        <v>74</v>
      </c>
      <c r="D16" s="20"/>
      <c r="E16" s="44">
        <v>1847933.73</v>
      </c>
      <c r="F16" s="24">
        <v>4.2978851844432758E-2</v>
      </c>
      <c r="G16" s="26">
        <v>79422.070000000007</v>
      </c>
      <c r="H16" t="s">
        <v>1806</v>
      </c>
      <c r="K16" t="s">
        <v>1809</v>
      </c>
      <c r="L16" t="s">
        <v>1814</v>
      </c>
    </row>
    <row r="17" spans="1:12">
      <c r="A17" s="15" t="s">
        <v>282</v>
      </c>
      <c r="B17" s="16" t="s">
        <v>283</v>
      </c>
      <c r="C17" s="15" t="s">
        <v>74</v>
      </c>
      <c r="D17" s="16"/>
      <c r="E17" s="2">
        <v>967906.27</v>
      </c>
      <c r="F17" s="23">
        <v>0.23876901840918954</v>
      </c>
      <c r="G17" s="26">
        <v>231106.03</v>
      </c>
      <c r="H17" t="s">
        <v>1806</v>
      </c>
      <c r="K17" t="s">
        <v>1809</v>
      </c>
      <c r="L17" t="s">
        <v>1814</v>
      </c>
    </row>
    <row r="18" spans="1:12">
      <c r="A18" s="13" t="s">
        <v>489</v>
      </c>
      <c r="B18" s="14" t="s">
        <v>490</v>
      </c>
      <c r="C18" s="15" t="s">
        <v>74</v>
      </c>
      <c r="D18" s="16"/>
      <c r="E18" s="2">
        <v>1607032.69</v>
      </c>
      <c r="F18" s="23">
        <v>9.6698468529597875E-2</v>
      </c>
      <c r="G18" s="26">
        <v>155397.6</v>
      </c>
      <c r="H18" t="s">
        <v>1806</v>
      </c>
      <c r="K18" t="s">
        <v>1809</v>
      </c>
      <c r="L18" t="s">
        <v>1814</v>
      </c>
    </row>
    <row r="19" spans="1:12">
      <c r="A19" s="17" t="s">
        <v>495</v>
      </c>
      <c r="B19" s="21" t="s">
        <v>496</v>
      </c>
      <c r="C19" s="19" t="s">
        <v>74</v>
      </c>
      <c r="D19" s="20"/>
      <c r="E19" s="3">
        <v>2239223.5099999998</v>
      </c>
      <c r="F19" s="24">
        <v>0.1772106126199077</v>
      </c>
      <c r="G19" s="26">
        <v>396814.17</v>
      </c>
      <c r="H19" t="s">
        <v>1806</v>
      </c>
      <c r="K19" t="s">
        <v>1809</v>
      </c>
      <c r="L19" t="s">
        <v>1814</v>
      </c>
    </row>
    <row r="20" spans="1:12">
      <c r="A20" s="19" t="s">
        <v>320</v>
      </c>
      <c r="B20" s="20" t="s">
        <v>321</v>
      </c>
      <c r="C20" s="19" t="s">
        <v>74</v>
      </c>
      <c r="D20" s="20"/>
      <c r="E20" s="3">
        <v>1189815.74</v>
      </c>
      <c r="F20" s="24">
        <v>0.16543008583833327</v>
      </c>
      <c r="G20" s="26">
        <v>196831.32</v>
      </c>
      <c r="H20" t="s">
        <v>1806</v>
      </c>
      <c r="K20" t="s">
        <v>1809</v>
      </c>
      <c r="L20" t="s">
        <v>1814</v>
      </c>
    </row>
    <row r="21" spans="1:12">
      <c r="A21" s="17" t="s">
        <v>332</v>
      </c>
      <c r="B21" s="21" t="s">
        <v>333</v>
      </c>
      <c r="C21" s="19" t="s">
        <v>74</v>
      </c>
      <c r="D21" s="20"/>
      <c r="E21" s="3">
        <v>335000</v>
      </c>
      <c r="F21" s="24">
        <v>0</v>
      </c>
      <c r="G21" s="26">
        <v>0</v>
      </c>
      <c r="H21" t="s">
        <v>1806</v>
      </c>
      <c r="K21" t="s">
        <v>1809</v>
      </c>
      <c r="L21" t="s">
        <v>1814</v>
      </c>
    </row>
    <row r="22" spans="1:12">
      <c r="A22" s="17" t="s">
        <v>336</v>
      </c>
      <c r="B22" s="21" t="s">
        <v>337</v>
      </c>
      <c r="C22" s="19" t="s">
        <v>74</v>
      </c>
      <c r="D22" s="20"/>
      <c r="E22" s="3">
        <v>657459.05000000005</v>
      </c>
      <c r="F22" s="24">
        <v>0</v>
      </c>
      <c r="G22" s="26">
        <v>0</v>
      </c>
      <c r="H22" t="s">
        <v>1806</v>
      </c>
      <c r="K22" t="s">
        <v>1809</v>
      </c>
      <c r="L22" t="s">
        <v>1814</v>
      </c>
    </row>
    <row r="23" spans="1:12">
      <c r="A23" s="15" t="s">
        <v>338</v>
      </c>
      <c r="B23" s="16" t="s">
        <v>339</v>
      </c>
      <c r="C23" s="15" t="s">
        <v>74</v>
      </c>
      <c r="D23" s="16"/>
      <c r="E23" s="2">
        <v>2325344.94</v>
      </c>
      <c r="F23" s="23">
        <v>0.10468902734060609</v>
      </c>
      <c r="G23" s="26">
        <v>243438.1</v>
      </c>
      <c r="H23" t="s">
        <v>1806</v>
      </c>
      <c r="K23" t="s">
        <v>1809</v>
      </c>
      <c r="L23" t="s">
        <v>1814</v>
      </c>
    </row>
    <row r="24" spans="1:12">
      <c r="A24" s="17" t="s">
        <v>1643</v>
      </c>
      <c r="B24" s="21" t="s">
        <v>1644</v>
      </c>
      <c r="C24" s="19" t="s">
        <v>74</v>
      </c>
      <c r="D24" s="20"/>
      <c r="E24" s="3">
        <v>853100.11</v>
      </c>
      <c r="F24" s="24">
        <v>8.7249467122914801E-2</v>
      </c>
      <c r="G24" s="26">
        <v>74432.53</v>
      </c>
      <c r="H24" t="s">
        <v>1806</v>
      </c>
      <c r="K24" t="s">
        <v>1809</v>
      </c>
      <c r="L24" t="s">
        <v>1814</v>
      </c>
    </row>
    <row r="25" spans="1:12">
      <c r="A25" s="17" t="s">
        <v>1659</v>
      </c>
      <c r="B25" s="21" t="s">
        <v>1660</v>
      </c>
      <c r="C25" s="19" t="s">
        <v>74</v>
      </c>
      <c r="D25" s="20"/>
      <c r="E25" s="3">
        <v>2077739.09</v>
      </c>
      <c r="F25" s="24">
        <v>0.12033285180190742</v>
      </c>
      <c r="G25" s="26">
        <v>250020.27</v>
      </c>
      <c r="H25" t="s">
        <v>1806</v>
      </c>
      <c r="K25" t="s">
        <v>1809</v>
      </c>
      <c r="L25" t="s">
        <v>1814</v>
      </c>
    </row>
    <row r="26" spans="1:12">
      <c r="A26" s="15" t="s">
        <v>1661</v>
      </c>
      <c r="B26" s="16" t="s">
        <v>1662</v>
      </c>
      <c r="C26" s="15" t="s">
        <v>74</v>
      </c>
      <c r="D26" s="16"/>
      <c r="E26" s="2">
        <v>892388.38</v>
      </c>
      <c r="F26" s="23">
        <v>0.12721900300853312</v>
      </c>
      <c r="G26" s="26">
        <v>113528.76</v>
      </c>
      <c r="H26" t="s">
        <v>1806</v>
      </c>
      <c r="K26" t="s">
        <v>1809</v>
      </c>
      <c r="L26" t="s">
        <v>1814</v>
      </c>
    </row>
    <row r="27" spans="1:12">
      <c r="A27" s="13" t="s">
        <v>1857</v>
      </c>
      <c r="B27" s="14" t="s">
        <v>1858</v>
      </c>
      <c r="C27" s="15" t="s">
        <v>74</v>
      </c>
      <c r="D27" s="16"/>
      <c r="E27" s="2">
        <v>1901240.54</v>
      </c>
      <c r="F27" s="23">
        <v>0.13711460728688227</v>
      </c>
      <c r="G27" s="26">
        <v>260687.84999999998</v>
      </c>
      <c r="H27" t="s">
        <v>1806</v>
      </c>
      <c r="K27" t="s">
        <v>1809</v>
      </c>
      <c r="L27" t="s">
        <v>1814</v>
      </c>
    </row>
    <row r="28" spans="1:12">
      <c r="A28" s="13" t="s">
        <v>1861</v>
      </c>
      <c r="B28" s="14" t="s">
        <v>1862</v>
      </c>
      <c r="C28" s="15" t="s">
        <v>74</v>
      </c>
      <c r="D28" s="16"/>
      <c r="E28" s="2">
        <v>2935225.27</v>
      </c>
      <c r="F28" s="23">
        <v>0.1721559756127338</v>
      </c>
      <c r="G28" s="26">
        <v>505316.57</v>
      </c>
      <c r="H28" t="s">
        <v>1806</v>
      </c>
      <c r="K28" t="s">
        <v>1809</v>
      </c>
      <c r="L28" t="s">
        <v>1814</v>
      </c>
    </row>
    <row r="29" spans="1:12">
      <c r="A29" s="15" t="s">
        <v>1713</v>
      </c>
      <c r="B29" s="16" t="s">
        <v>1714</v>
      </c>
      <c r="C29" s="15" t="s">
        <v>74</v>
      </c>
      <c r="D29" s="16"/>
      <c r="E29" s="2">
        <v>3812632.93</v>
      </c>
      <c r="F29" s="23">
        <v>0.17045898777357515</v>
      </c>
      <c r="G29" s="26">
        <v>649897.55000000005</v>
      </c>
      <c r="H29" t="s">
        <v>1806</v>
      </c>
      <c r="K29" t="s">
        <v>1809</v>
      </c>
      <c r="L29" t="s">
        <v>1814</v>
      </c>
    </row>
    <row r="30" spans="1:12">
      <c r="A30" s="17" t="s">
        <v>1723</v>
      </c>
      <c r="B30" s="21" t="s">
        <v>1724</v>
      </c>
      <c r="C30" s="19" t="s">
        <v>74</v>
      </c>
      <c r="D30" s="20"/>
      <c r="E30" s="3">
        <v>3308027.59</v>
      </c>
      <c r="F30" s="24">
        <v>0.18571794620370743</v>
      </c>
      <c r="G30" s="26">
        <v>614360.09</v>
      </c>
      <c r="H30" t="s">
        <v>1806</v>
      </c>
      <c r="K30" t="s">
        <v>1809</v>
      </c>
      <c r="L30" t="s">
        <v>1814</v>
      </c>
    </row>
    <row r="31" spans="1:12">
      <c r="A31" s="17" t="s">
        <v>1739</v>
      </c>
      <c r="B31" s="21" t="s">
        <v>1740</v>
      </c>
      <c r="C31" s="19" t="s">
        <v>74</v>
      </c>
      <c r="D31" s="20"/>
      <c r="E31" s="3">
        <v>1459662.58</v>
      </c>
      <c r="F31" s="24">
        <v>0.16124656014679775</v>
      </c>
      <c r="G31" s="26">
        <v>235365.57</v>
      </c>
      <c r="H31" t="s">
        <v>1806</v>
      </c>
      <c r="K31" t="s">
        <v>1809</v>
      </c>
      <c r="L31" t="s">
        <v>1814</v>
      </c>
    </row>
    <row r="32" spans="1:12">
      <c r="A32" s="15" t="s">
        <v>1741</v>
      </c>
      <c r="B32" s="16" t="s">
        <v>1742</v>
      </c>
      <c r="C32" s="15" t="s">
        <v>74</v>
      </c>
      <c r="D32" s="16"/>
      <c r="E32" s="2">
        <v>2632501.21</v>
      </c>
      <c r="F32" s="23">
        <v>6.9622813202809511E-2</v>
      </c>
      <c r="G32" s="26">
        <v>183282.14</v>
      </c>
      <c r="H32" t="s">
        <v>1806</v>
      </c>
      <c r="K32" t="s">
        <v>1809</v>
      </c>
      <c r="L32" t="s">
        <v>1814</v>
      </c>
    </row>
    <row r="33" spans="1:15">
      <c r="A33" s="17" t="s">
        <v>1747</v>
      </c>
      <c r="B33" s="21" t="s">
        <v>1748</v>
      </c>
      <c r="C33" s="19" t="s">
        <v>74</v>
      </c>
      <c r="D33" s="20"/>
      <c r="E33" s="3">
        <v>1059945.29</v>
      </c>
      <c r="F33" s="24">
        <v>9.654337913987994E-2</v>
      </c>
      <c r="G33" s="26">
        <v>102330.7</v>
      </c>
      <c r="H33" t="s">
        <v>1806</v>
      </c>
      <c r="K33" t="s">
        <v>1809</v>
      </c>
      <c r="L33" t="s">
        <v>1814</v>
      </c>
    </row>
    <row r="34" spans="1:15">
      <c r="A34" s="17" t="s">
        <v>1925</v>
      </c>
      <c r="B34" s="21" t="s">
        <v>1926</v>
      </c>
      <c r="C34" s="19" t="s">
        <v>74</v>
      </c>
      <c r="D34" s="20"/>
      <c r="E34" s="3">
        <v>1695567.74</v>
      </c>
      <c r="F34" s="24">
        <v>0.10832818746598706</v>
      </c>
      <c r="G34" s="26">
        <v>183677.78</v>
      </c>
      <c r="H34" t="s">
        <v>1806</v>
      </c>
      <c r="K34" t="s">
        <v>1809</v>
      </c>
      <c r="L34" t="s">
        <v>1814</v>
      </c>
    </row>
    <row r="35" spans="1:15">
      <c r="A35" s="15" t="s">
        <v>1935</v>
      </c>
      <c r="B35" s="16" t="s">
        <v>1936</v>
      </c>
      <c r="C35" s="15" t="s">
        <v>74</v>
      </c>
      <c r="D35" s="16"/>
      <c r="E35" s="2">
        <v>3716277.46</v>
      </c>
      <c r="F35" s="23">
        <v>0.15563312917975722</v>
      </c>
      <c r="G35" s="26">
        <v>578375.89</v>
      </c>
      <c r="H35" t="s">
        <v>1806</v>
      </c>
      <c r="K35" t="s">
        <v>1809</v>
      </c>
      <c r="L35" t="s">
        <v>1814</v>
      </c>
    </row>
    <row r="36" spans="1:15">
      <c r="A36" s="17" t="s">
        <v>1937</v>
      </c>
      <c r="B36" s="21" t="s">
        <v>1938</v>
      </c>
      <c r="C36" s="19" t="s">
        <v>74</v>
      </c>
      <c r="D36" s="20"/>
      <c r="E36" s="3">
        <v>3711726.15</v>
      </c>
      <c r="F36" s="24">
        <v>0.12238593895188093</v>
      </c>
      <c r="G36" s="26">
        <v>454263.09</v>
      </c>
      <c r="H36" t="s">
        <v>1806</v>
      </c>
      <c r="K36" t="s">
        <v>1809</v>
      </c>
      <c r="L36" t="s">
        <v>1814</v>
      </c>
    </row>
    <row r="37" spans="1:15">
      <c r="A37" s="13" t="s">
        <v>1939</v>
      </c>
      <c r="B37" s="14" t="s">
        <v>1940</v>
      </c>
      <c r="C37" s="15" t="s">
        <v>74</v>
      </c>
      <c r="D37" s="16"/>
      <c r="E37" s="2">
        <v>3615626.7</v>
      </c>
      <c r="F37" s="23">
        <v>0.1324013482918466</v>
      </c>
      <c r="G37" s="26">
        <v>478713.85</v>
      </c>
      <c r="H37" t="s">
        <v>1806</v>
      </c>
      <c r="K37" t="s">
        <v>1809</v>
      </c>
      <c r="L37" t="s">
        <v>1814</v>
      </c>
    </row>
    <row r="38" spans="1:15">
      <c r="A38" s="15" t="s">
        <v>134</v>
      </c>
      <c r="B38" s="16" t="s">
        <v>135</v>
      </c>
      <c r="C38" s="15" t="s">
        <v>74</v>
      </c>
      <c r="D38" s="16"/>
      <c r="E38" s="2">
        <v>2229418.88</v>
      </c>
      <c r="F38" s="23">
        <v>0.13440465257026982</v>
      </c>
      <c r="G38" s="26">
        <v>299644.27</v>
      </c>
      <c r="H38" t="s">
        <v>1806</v>
      </c>
      <c r="K38" t="s">
        <v>1809</v>
      </c>
      <c r="L38" t="s">
        <v>1814</v>
      </c>
    </row>
    <row r="39" spans="1:15">
      <c r="A39" s="17" t="s">
        <v>17</v>
      </c>
      <c r="B39" s="18" t="s">
        <v>18</v>
      </c>
      <c r="C39" s="19" t="s">
        <v>74</v>
      </c>
      <c r="D39" s="20"/>
      <c r="E39" s="3">
        <v>4017568.6</v>
      </c>
      <c r="F39" s="24">
        <v>0.11595870696520279</v>
      </c>
      <c r="G39" s="26">
        <v>465872.06</v>
      </c>
      <c r="H39" t="s">
        <v>1806</v>
      </c>
      <c r="K39" t="s">
        <v>1809</v>
      </c>
      <c r="L39" t="s">
        <v>1814</v>
      </c>
    </row>
    <row r="40" spans="1:15">
      <c r="A40" s="27" t="s">
        <v>31</v>
      </c>
      <c r="B40" s="35" t="s">
        <v>32</v>
      </c>
      <c r="C40" s="29" t="s">
        <v>74</v>
      </c>
      <c r="D40" s="30"/>
      <c r="E40" s="31">
        <v>0</v>
      </c>
      <c r="F40" s="32" t="s">
        <v>761</v>
      </c>
      <c r="G40" s="46">
        <v>0</v>
      </c>
      <c r="H40" s="34" t="s">
        <v>1806</v>
      </c>
      <c r="I40" s="34"/>
      <c r="J40" s="34"/>
      <c r="K40" s="34" t="s">
        <v>1809</v>
      </c>
      <c r="L40" s="34" t="s">
        <v>1814</v>
      </c>
      <c r="M40" s="91"/>
      <c r="O40" s="91"/>
    </row>
    <row r="41" spans="1:15">
      <c r="A41" s="19" t="s">
        <v>37</v>
      </c>
      <c r="B41" s="20" t="s">
        <v>38</v>
      </c>
      <c r="C41" s="19" t="s">
        <v>74</v>
      </c>
      <c r="D41" s="20"/>
      <c r="E41" s="3">
        <v>1458765.45</v>
      </c>
      <c r="F41" s="24">
        <v>9.7114021997162042E-2</v>
      </c>
      <c r="G41" s="26">
        <v>141666.57999999999</v>
      </c>
      <c r="H41" t="s">
        <v>1806</v>
      </c>
      <c r="K41" t="s">
        <v>1809</v>
      </c>
      <c r="L41" t="s">
        <v>1814</v>
      </c>
    </row>
    <row r="42" spans="1:15">
      <c r="A42" s="17" t="s">
        <v>223</v>
      </c>
      <c r="B42" s="18" t="s">
        <v>224</v>
      </c>
      <c r="C42" s="19" t="s">
        <v>74</v>
      </c>
      <c r="D42" s="20"/>
      <c r="E42" s="3">
        <v>3568958.25</v>
      </c>
      <c r="F42" s="24">
        <v>8.2010822065514494E-2</v>
      </c>
      <c r="G42" s="26">
        <v>292693.2</v>
      </c>
      <c r="H42" t="s">
        <v>1806</v>
      </c>
      <c r="K42" t="s">
        <v>1809</v>
      </c>
      <c r="L42" t="s">
        <v>1814</v>
      </c>
      <c r="M42" s="92" t="s">
        <v>1915</v>
      </c>
      <c r="N42" s="67"/>
      <c r="O42" s="92"/>
    </row>
    <row r="43" spans="1:15">
      <c r="A43" s="17" t="s">
        <v>227</v>
      </c>
      <c r="B43" s="18" t="s">
        <v>63</v>
      </c>
      <c r="C43" s="19" t="s">
        <v>74</v>
      </c>
      <c r="D43" s="20"/>
      <c r="E43" s="3">
        <v>2709131.27</v>
      </c>
      <c r="F43" s="24">
        <v>5.0943625924778461E-2</v>
      </c>
      <c r="G43" s="26">
        <v>138012.97</v>
      </c>
      <c r="H43" t="s">
        <v>1806</v>
      </c>
      <c r="K43" t="s">
        <v>1809</v>
      </c>
      <c r="L43" t="s">
        <v>1814</v>
      </c>
      <c r="M43" s="55">
        <f>SUM(G3:G43)</f>
        <v>12598486.999999998</v>
      </c>
      <c r="N43">
        <f>SUM(M306:M346)</f>
        <v>10439</v>
      </c>
      <c r="O43" s="55">
        <f>M43/N43</f>
        <v>1206.8672286617491</v>
      </c>
    </row>
    <row r="44" spans="1:15">
      <c r="A44" s="29" t="s">
        <v>79</v>
      </c>
      <c r="B44" s="30" t="s">
        <v>80</v>
      </c>
      <c r="C44" s="29" t="s">
        <v>74</v>
      </c>
      <c r="D44" s="30"/>
      <c r="E44" s="42">
        <v>0</v>
      </c>
      <c r="F44" s="32" t="s">
        <v>761</v>
      </c>
      <c r="G44" s="38"/>
      <c r="H44" s="34" t="s">
        <v>1806</v>
      </c>
      <c r="I44" s="34"/>
      <c r="J44" s="34"/>
      <c r="K44" s="34" t="s">
        <v>1810</v>
      </c>
      <c r="L44" s="34" t="s">
        <v>1812</v>
      </c>
      <c r="M44"/>
      <c r="O44"/>
    </row>
    <row r="45" spans="1:15">
      <c r="A45" s="17" t="s">
        <v>107</v>
      </c>
      <c r="B45" s="21" t="s">
        <v>108</v>
      </c>
      <c r="C45" s="19" t="s">
        <v>74</v>
      </c>
      <c r="D45" s="20"/>
      <c r="E45" s="3">
        <v>1407836.57</v>
      </c>
      <c r="F45" s="24">
        <v>5.9684456129733866E-2</v>
      </c>
      <c r="G45" s="26">
        <v>84025.96</v>
      </c>
      <c r="H45" t="s">
        <v>1806</v>
      </c>
      <c r="K45" t="s">
        <v>1810</v>
      </c>
      <c r="L45" t="s">
        <v>1812</v>
      </c>
      <c r="M45"/>
      <c r="O45"/>
    </row>
    <row r="46" spans="1:15">
      <c r="A46" s="13" t="s">
        <v>150</v>
      </c>
      <c r="B46" s="22" t="s">
        <v>151</v>
      </c>
      <c r="C46" s="15" t="s">
        <v>74</v>
      </c>
      <c r="D46" s="16"/>
      <c r="E46" s="2">
        <v>1470515.3</v>
      </c>
      <c r="F46" s="23">
        <v>0.12967293845905581</v>
      </c>
      <c r="G46" s="26">
        <v>190686.04</v>
      </c>
      <c r="H46" t="s">
        <v>1806</v>
      </c>
      <c r="K46" t="s">
        <v>1810</v>
      </c>
      <c r="L46" t="s">
        <v>1812</v>
      </c>
      <c r="M46"/>
      <c r="O46"/>
    </row>
    <row r="47" spans="1:15">
      <c r="A47" s="15" t="s">
        <v>154</v>
      </c>
      <c r="B47" s="16" t="s">
        <v>155</v>
      </c>
      <c r="C47" s="15" t="s">
        <v>74</v>
      </c>
      <c r="D47" s="16"/>
      <c r="E47" s="2">
        <v>833238.87</v>
      </c>
      <c r="F47" s="23">
        <v>0.3370207513242871</v>
      </c>
      <c r="G47" s="26">
        <v>280818.78999999998</v>
      </c>
      <c r="H47" t="s">
        <v>1806</v>
      </c>
      <c r="K47" t="s">
        <v>1810</v>
      </c>
      <c r="L47" t="s">
        <v>1812</v>
      </c>
      <c r="M47"/>
      <c r="O47"/>
    </row>
    <row r="48" spans="1:15">
      <c r="A48" s="13" t="s">
        <v>162</v>
      </c>
      <c r="B48" s="14" t="s">
        <v>163</v>
      </c>
      <c r="C48" s="15" t="s">
        <v>74</v>
      </c>
      <c r="D48" s="16"/>
      <c r="E48" s="2">
        <v>1451418.65</v>
      </c>
      <c r="F48" s="23">
        <v>0.15931944928501504</v>
      </c>
      <c r="G48" s="26">
        <v>231239.21999999997</v>
      </c>
      <c r="H48" t="s">
        <v>1806</v>
      </c>
      <c r="K48" t="s">
        <v>1810</v>
      </c>
      <c r="L48" t="s">
        <v>1812</v>
      </c>
      <c r="M48"/>
      <c r="O48"/>
    </row>
    <row r="49" spans="1:15">
      <c r="A49" s="27" t="s">
        <v>376</v>
      </c>
      <c r="B49" s="28" t="s">
        <v>377</v>
      </c>
      <c r="C49" s="29" t="s">
        <v>74</v>
      </c>
      <c r="D49" s="30"/>
      <c r="E49" s="42">
        <v>0</v>
      </c>
      <c r="F49" s="32" t="s">
        <v>761</v>
      </c>
      <c r="G49" s="50">
        <v>0</v>
      </c>
      <c r="H49" s="34" t="s">
        <v>1806</v>
      </c>
      <c r="I49" s="34"/>
      <c r="J49" s="34"/>
      <c r="K49" s="34" t="s">
        <v>1810</v>
      </c>
      <c r="L49" s="34" t="s">
        <v>1812</v>
      </c>
      <c r="M49"/>
      <c r="O49"/>
    </row>
    <row r="50" spans="1:15">
      <c r="A50" s="19" t="s">
        <v>240</v>
      </c>
      <c r="B50" s="20" t="s">
        <v>241</v>
      </c>
      <c r="C50" s="19" t="s">
        <v>74</v>
      </c>
      <c r="D50" s="20"/>
      <c r="E50" s="3">
        <v>892186</v>
      </c>
      <c r="F50" s="24">
        <v>0.41266641709240004</v>
      </c>
      <c r="G50" s="26">
        <v>368175.2</v>
      </c>
      <c r="H50" t="s">
        <v>1806</v>
      </c>
      <c r="K50" t="s">
        <v>1810</v>
      </c>
      <c r="L50" t="s">
        <v>1812</v>
      </c>
      <c r="M50"/>
      <c r="O50"/>
    </row>
    <row r="51" spans="1:15">
      <c r="A51" s="13" t="s">
        <v>270</v>
      </c>
      <c r="B51" s="14" t="s">
        <v>271</v>
      </c>
      <c r="C51" s="15" t="s">
        <v>74</v>
      </c>
      <c r="D51" s="16"/>
      <c r="E51" s="2">
        <v>1443280.67</v>
      </c>
      <c r="F51" s="23">
        <v>0.16938230732349516</v>
      </c>
      <c r="G51" s="26">
        <v>244466.21</v>
      </c>
      <c r="H51" t="s">
        <v>1806</v>
      </c>
      <c r="K51" t="s">
        <v>1810</v>
      </c>
      <c r="L51" t="s">
        <v>1812</v>
      </c>
      <c r="M51"/>
      <c r="O51"/>
    </row>
    <row r="52" spans="1:15">
      <c r="A52" s="17" t="s">
        <v>272</v>
      </c>
      <c r="B52" s="21" t="s">
        <v>273</v>
      </c>
      <c r="C52" s="19" t="s">
        <v>74</v>
      </c>
      <c r="D52" s="20"/>
      <c r="E52" s="3">
        <v>2707072.04</v>
      </c>
      <c r="F52" s="24">
        <v>0.11703920151308569</v>
      </c>
      <c r="G52" s="26">
        <v>316833.55</v>
      </c>
      <c r="H52" t="s">
        <v>1806</v>
      </c>
      <c r="K52" t="s">
        <v>1810</v>
      </c>
      <c r="L52" t="s">
        <v>1812</v>
      </c>
      <c r="M52"/>
      <c r="O52"/>
    </row>
    <row r="53" spans="1:15">
      <c r="A53" s="19" t="s">
        <v>487</v>
      </c>
      <c r="B53" s="20" t="s">
        <v>488</v>
      </c>
      <c r="C53" s="19" t="s">
        <v>74</v>
      </c>
      <c r="D53" s="20"/>
      <c r="E53" s="3">
        <v>377292.94</v>
      </c>
      <c r="F53" s="24">
        <v>8.5992253128298668E-2</v>
      </c>
      <c r="G53" s="26">
        <v>32444.27</v>
      </c>
      <c r="H53" t="s">
        <v>1806</v>
      </c>
      <c r="K53" t="s">
        <v>1810</v>
      </c>
      <c r="L53" t="s">
        <v>1812</v>
      </c>
      <c r="M53"/>
      <c r="O53"/>
    </row>
    <row r="54" spans="1:15">
      <c r="A54" s="13" t="s">
        <v>350</v>
      </c>
      <c r="B54" s="14" t="s">
        <v>351</v>
      </c>
      <c r="C54" s="15" t="s">
        <v>74</v>
      </c>
      <c r="D54" s="16"/>
      <c r="E54" s="2">
        <v>853109.34</v>
      </c>
      <c r="F54" s="23">
        <v>6.6539770857508137E-3</v>
      </c>
      <c r="G54" s="26">
        <v>5676.57</v>
      </c>
      <c r="H54" t="s">
        <v>1806</v>
      </c>
      <c r="I54" t="s">
        <v>1820</v>
      </c>
      <c r="J54" t="s">
        <v>1812</v>
      </c>
      <c r="K54" t="s">
        <v>1810</v>
      </c>
      <c r="L54" t="s">
        <v>1812</v>
      </c>
      <c r="M54"/>
      <c r="O54"/>
    </row>
    <row r="55" spans="1:15">
      <c r="A55" s="13" t="s">
        <v>1637</v>
      </c>
      <c r="B55" s="14" t="s">
        <v>1638</v>
      </c>
      <c r="C55" s="15" t="s">
        <v>74</v>
      </c>
      <c r="D55" s="16"/>
      <c r="E55" s="2">
        <v>2171897.73</v>
      </c>
      <c r="F55" s="23">
        <v>0.22343486219307387</v>
      </c>
      <c r="G55" s="26">
        <v>485277.67</v>
      </c>
      <c r="H55" t="s">
        <v>1806</v>
      </c>
      <c r="K55" t="s">
        <v>1810</v>
      </c>
      <c r="L55" t="s">
        <v>1812</v>
      </c>
      <c r="M55"/>
      <c r="O55"/>
    </row>
    <row r="56" spans="1:15">
      <c r="A56" s="19" t="s">
        <v>1651</v>
      </c>
      <c r="B56" s="20" t="s">
        <v>1652</v>
      </c>
      <c r="C56" s="19" t="s">
        <v>74</v>
      </c>
      <c r="D56" s="20"/>
      <c r="E56" s="3">
        <v>1320415.97</v>
      </c>
      <c r="F56" s="24">
        <v>0.10271449534194894</v>
      </c>
      <c r="G56" s="26">
        <v>135625.85999999999</v>
      </c>
      <c r="H56" t="s">
        <v>1811</v>
      </c>
      <c r="K56" t="s">
        <v>1810</v>
      </c>
      <c r="L56" t="s">
        <v>1812</v>
      </c>
      <c r="M56"/>
      <c r="O56"/>
    </row>
    <row r="57" spans="1:15">
      <c r="A57" s="17" t="s">
        <v>1867</v>
      </c>
      <c r="B57" s="21" t="s">
        <v>1868</v>
      </c>
      <c r="C57" s="19" t="s">
        <v>74</v>
      </c>
      <c r="D57" s="20"/>
      <c r="E57" s="3">
        <v>673623.24</v>
      </c>
      <c r="F57" s="24">
        <v>0.10794035253296784</v>
      </c>
      <c r="G57" s="26">
        <v>72711.13</v>
      </c>
      <c r="H57" t="s">
        <v>1806</v>
      </c>
      <c r="K57" t="s">
        <v>1810</v>
      </c>
      <c r="L57" t="s">
        <v>1812</v>
      </c>
      <c r="M57"/>
      <c r="O57"/>
    </row>
    <row r="58" spans="1:15">
      <c r="A58" s="13" t="s">
        <v>1873</v>
      </c>
      <c r="B58" s="14" t="s">
        <v>1874</v>
      </c>
      <c r="C58" s="15" t="s">
        <v>74</v>
      </c>
      <c r="D58" s="16"/>
      <c r="E58" s="2">
        <v>924919.7</v>
      </c>
      <c r="F58" s="23">
        <v>0.18841252921740126</v>
      </c>
      <c r="G58" s="26">
        <v>174266.46</v>
      </c>
      <c r="H58" t="s">
        <v>1806</v>
      </c>
      <c r="K58" t="s">
        <v>1810</v>
      </c>
      <c r="L58" t="s">
        <v>1812</v>
      </c>
      <c r="M58"/>
      <c r="O58"/>
    </row>
    <row r="59" spans="1:15">
      <c r="A59" s="15" t="s">
        <v>1705</v>
      </c>
      <c r="B59" s="16" t="s">
        <v>1706</v>
      </c>
      <c r="C59" s="15" t="s">
        <v>74</v>
      </c>
      <c r="D59" s="16"/>
      <c r="E59" s="2">
        <v>4930061.96</v>
      </c>
      <c r="F59" s="23">
        <v>0.11867512512966469</v>
      </c>
      <c r="G59" s="26">
        <v>585075.72</v>
      </c>
      <c r="H59" t="s">
        <v>1806</v>
      </c>
      <c r="K59" t="s">
        <v>1810</v>
      </c>
      <c r="L59" t="s">
        <v>1812</v>
      </c>
      <c r="M59"/>
      <c r="O59"/>
    </row>
    <row r="60" spans="1:15">
      <c r="A60" s="13" t="s">
        <v>1729</v>
      </c>
      <c r="B60" s="14" t="s">
        <v>1730</v>
      </c>
      <c r="C60" s="15" t="s">
        <v>74</v>
      </c>
      <c r="D60" s="16"/>
      <c r="E60" s="2">
        <v>1404805.4</v>
      </c>
      <c r="F60" s="23">
        <v>8.4365023084336105E-2</v>
      </c>
      <c r="G60" s="26">
        <v>118516.44</v>
      </c>
      <c r="H60" t="s">
        <v>1806</v>
      </c>
      <c r="K60" t="s">
        <v>1810</v>
      </c>
      <c r="L60" t="s">
        <v>1812</v>
      </c>
      <c r="M60"/>
      <c r="O60"/>
    </row>
    <row r="61" spans="1:15">
      <c r="A61" s="17" t="s">
        <v>1731</v>
      </c>
      <c r="B61" s="21" t="s">
        <v>1732</v>
      </c>
      <c r="C61" s="19" t="s">
        <v>74</v>
      </c>
      <c r="D61" s="20"/>
      <c r="E61" s="3">
        <v>4376264.95</v>
      </c>
      <c r="F61" s="24">
        <v>6.6322867403172198E-2</v>
      </c>
      <c r="G61" s="26">
        <v>290246.44</v>
      </c>
      <c r="H61" t="s">
        <v>1811</v>
      </c>
      <c r="K61" t="s">
        <v>1810</v>
      </c>
      <c r="L61" t="s">
        <v>1812</v>
      </c>
      <c r="M61"/>
      <c r="O61"/>
    </row>
    <row r="62" spans="1:15">
      <c r="A62" s="15" t="s">
        <v>1733</v>
      </c>
      <c r="B62" s="16" t="s">
        <v>1734</v>
      </c>
      <c r="C62" s="15" t="s">
        <v>74</v>
      </c>
      <c r="D62" s="16"/>
      <c r="E62" s="2">
        <v>2165529.86</v>
      </c>
      <c r="F62" s="23">
        <v>0</v>
      </c>
      <c r="G62" s="26">
        <v>0</v>
      </c>
      <c r="H62" t="s">
        <v>1806</v>
      </c>
      <c r="K62" t="s">
        <v>1810</v>
      </c>
      <c r="L62" t="s">
        <v>1812</v>
      </c>
      <c r="M62"/>
      <c r="O62"/>
    </row>
    <row r="63" spans="1:15">
      <c r="A63" s="13" t="s">
        <v>1753</v>
      </c>
      <c r="B63" s="14" t="s">
        <v>1754</v>
      </c>
      <c r="C63" s="15" t="s">
        <v>74</v>
      </c>
      <c r="D63" s="16"/>
      <c r="E63" s="2">
        <v>5661783.1399999997</v>
      </c>
      <c r="F63" s="23">
        <v>0.10417008130057064</v>
      </c>
      <c r="G63" s="26">
        <v>589788.41</v>
      </c>
      <c r="H63" t="s">
        <v>1806</v>
      </c>
      <c r="K63" t="s">
        <v>1810</v>
      </c>
      <c r="L63" t="s">
        <v>1812</v>
      </c>
      <c r="M63"/>
      <c r="O63"/>
    </row>
    <row r="64" spans="1:15">
      <c r="A64" s="17" t="s">
        <v>1790</v>
      </c>
      <c r="B64" s="18" t="s">
        <v>1791</v>
      </c>
      <c r="C64" s="19" t="s">
        <v>74</v>
      </c>
      <c r="D64" s="20"/>
      <c r="E64" s="3">
        <v>1221188.54</v>
      </c>
      <c r="F64" s="24">
        <v>8.2518224417664446E-2</v>
      </c>
      <c r="G64" s="26">
        <v>100770.31</v>
      </c>
      <c r="H64" t="s">
        <v>1806</v>
      </c>
      <c r="K64" t="s">
        <v>1810</v>
      </c>
      <c r="L64" t="s">
        <v>1812</v>
      </c>
      <c r="M64"/>
      <c r="O64"/>
    </row>
    <row r="65" spans="1:15">
      <c r="A65" s="15" t="s">
        <v>138</v>
      </c>
      <c r="B65" s="16" t="s">
        <v>139</v>
      </c>
      <c r="C65" s="15" t="s">
        <v>74</v>
      </c>
      <c r="D65" s="16"/>
      <c r="E65" s="2">
        <v>1467825.85</v>
      </c>
      <c r="F65" s="23">
        <v>0.24709635001999722</v>
      </c>
      <c r="G65" s="26">
        <v>362694.41</v>
      </c>
      <c r="H65" t="s">
        <v>1806</v>
      </c>
      <c r="K65" t="s">
        <v>1810</v>
      </c>
      <c r="L65" t="s">
        <v>1812</v>
      </c>
      <c r="M65"/>
      <c r="O65"/>
    </row>
    <row r="66" spans="1:15">
      <c r="A66" s="17" t="s">
        <v>140</v>
      </c>
      <c r="B66" s="18" t="s">
        <v>141</v>
      </c>
      <c r="C66" s="19" t="s">
        <v>74</v>
      </c>
      <c r="D66" s="20"/>
      <c r="E66" s="3">
        <v>1059969.8999999999</v>
      </c>
      <c r="F66" s="24">
        <v>0.1248659136452837</v>
      </c>
      <c r="G66" s="26">
        <v>132354.10999999999</v>
      </c>
      <c r="H66" t="s">
        <v>1806</v>
      </c>
      <c r="K66" t="s">
        <v>1810</v>
      </c>
      <c r="L66" t="s">
        <v>1812</v>
      </c>
      <c r="M66"/>
      <c r="O66"/>
    </row>
    <row r="67" spans="1:15">
      <c r="A67" s="13" t="s">
        <v>142</v>
      </c>
      <c r="B67" s="22" t="s">
        <v>0</v>
      </c>
      <c r="C67" s="15" t="s">
        <v>74</v>
      </c>
      <c r="D67" s="16"/>
      <c r="E67" s="2">
        <v>1167104.8400000001</v>
      </c>
      <c r="F67" s="23">
        <v>7.0104721697495487E-2</v>
      </c>
      <c r="G67" s="26">
        <v>81819.56</v>
      </c>
      <c r="H67" t="s">
        <v>1806</v>
      </c>
      <c r="K67" t="s">
        <v>1810</v>
      </c>
      <c r="L67" t="s">
        <v>1812</v>
      </c>
      <c r="M67"/>
      <c r="O67"/>
    </row>
    <row r="68" spans="1:15">
      <c r="A68" s="15" t="s">
        <v>19</v>
      </c>
      <c r="B68" s="16" t="s">
        <v>20</v>
      </c>
      <c r="C68" s="15" t="s">
        <v>74</v>
      </c>
      <c r="D68" s="16"/>
      <c r="E68" s="2">
        <v>1295931.69</v>
      </c>
      <c r="F68" s="23">
        <v>4.9741256037962929E-2</v>
      </c>
      <c r="G68" s="26">
        <v>64461.27</v>
      </c>
      <c r="H68" t="s">
        <v>1811</v>
      </c>
      <c r="K68" t="s">
        <v>1810</v>
      </c>
      <c r="L68" t="s">
        <v>1812</v>
      </c>
      <c r="M68"/>
      <c r="O68"/>
    </row>
    <row r="69" spans="1:15">
      <c r="A69" s="17" t="s">
        <v>21</v>
      </c>
      <c r="B69" s="18" t="s">
        <v>22</v>
      </c>
      <c r="C69" s="19" t="s">
        <v>74</v>
      </c>
      <c r="D69" s="20"/>
      <c r="E69" s="3">
        <v>788059.28</v>
      </c>
      <c r="F69" s="24">
        <v>0.1257968055398066</v>
      </c>
      <c r="G69" s="26">
        <v>99135.340000000011</v>
      </c>
      <c r="H69" t="s">
        <v>1811</v>
      </c>
      <c r="K69" t="s">
        <v>1810</v>
      </c>
      <c r="L69" t="s">
        <v>1812</v>
      </c>
      <c r="M69"/>
      <c r="O69"/>
    </row>
    <row r="70" spans="1:15">
      <c r="A70" s="17" t="s">
        <v>25</v>
      </c>
      <c r="B70" s="18" t="s">
        <v>26</v>
      </c>
      <c r="C70" s="19" t="s">
        <v>74</v>
      </c>
      <c r="D70" s="20"/>
      <c r="E70" s="3">
        <v>1809630.16</v>
      </c>
      <c r="F70" s="24">
        <v>8.3548270437756186E-2</v>
      </c>
      <c r="G70" s="26">
        <v>151191.47</v>
      </c>
      <c r="H70" t="s">
        <v>1806</v>
      </c>
      <c r="K70" t="s">
        <v>1810</v>
      </c>
      <c r="L70" t="s">
        <v>1812</v>
      </c>
      <c r="M70"/>
      <c r="O70"/>
    </row>
    <row r="71" spans="1:15">
      <c r="A71" s="29" t="s">
        <v>45</v>
      </c>
      <c r="B71" s="30" t="s">
        <v>46</v>
      </c>
      <c r="C71" s="29" t="s">
        <v>74</v>
      </c>
      <c r="D71" s="30"/>
      <c r="E71" s="42">
        <v>0</v>
      </c>
      <c r="F71" s="32" t="s">
        <v>761</v>
      </c>
      <c r="G71" s="50">
        <v>0</v>
      </c>
      <c r="H71" s="34" t="s">
        <v>1811</v>
      </c>
      <c r="I71" s="34"/>
      <c r="J71" s="34"/>
      <c r="K71" s="34" t="s">
        <v>1810</v>
      </c>
      <c r="L71" s="34" t="s">
        <v>1812</v>
      </c>
      <c r="M71" s="92" t="s">
        <v>1916</v>
      </c>
      <c r="N71" s="67"/>
      <c r="O71" s="92"/>
    </row>
    <row r="72" spans="1:15">
      <c r="A72" s="17" t="s">
        <v>53</v>
      </c>
      <c r="B72" s="18" t="s">
        <v>54</v>
      </c>
      <c r="C72" s="19" t="s">
        <v>74</v>
      </c>
      <c r="D72" s="20"/>
      <c r="E72" s="3">
        <v>3404548.42</v>
      </c>
      <c r="F72" s="24">
        <v>0.10166964522125962</v>
      </c>
      <c r="G72" s="26">
        <v>346139.23</v>
      </c>
      <c r="H72" t="s">
        <v>1806</v>
      </c>
      <c r="K72" t="s">
        <v>1810</v>
      </c>
      <c r="L72" t="s">
        <v>1812</v>
      </c>
      <c r="M72" s="55">
        <f>SUM(G44:G72)</f>
        <v>5544439.6399999987</v>
      </c>
      <c r="N72">
        <f>SUM(M347:M375)</f>
        <v>6824</v>
      </c>
      <c r="O72" s="55">
        <f>M72/N72</f>
        <v>812.49115474794826</v>
      </c>
    </row>
    <row r="73" spans="1:15">
      <c r="A73" s="17" t="s">
        <v>115</v>
      </c>
      <c r="B73" s="18" t="s">
        <v>116</v>
      </c>
      <c r="C73" s="19" t="s">
        <v>74</v>
      </c>
      <c r="D73" s="20"/>
      <c r="E73" s="3">
        <v>2584058.5</v>
      </c>
      <c r="F73" s="24">
        <v>9.0184684286365807E-2</v>
      </c>
      <c r="G73" s="26">
        <v>233042.5</v>
      </c>
      <c r="H73" t="s">
        <v>1806</v>
      </c>
      <c r="K73" t="s">
        <v>1809</v>
      </c>
      <c r="L73" t="s">
        <v>1816</v>
      </c>
      <c r="M73"/>
      <c r="O73"/>
    </row>
    <row r="74" spans="1:15">
      <c r="A74" s="19" t="s">
        <v>172</v>
      </c>
      <c r="B74" s="20" t="s">
        <v>173</v>
      </c>
      <c r="C74" s="19" t="s">
        <v>74</v>
      </c>
      <c r="D74" s="20"/>
      <c r="E74" s="3">
        <v>1901827.32</v>
      </c>
      <c r="F74" s="24">
        <v>0.20042122436226228</v>
      </c>
      <c r="G74" s="26">
        <v>381166.56</v>
      </c>
      <c r="H74" t="s">
        <v>1806</v>
      </c>
      <c r="K74" t="s">
        <v>1809</v>
      </c>
      <c r="L74" t="s">
        <v>1816</v>
      </c>
      <c r="M74"/>
      <c r="O74"/>
    </row>
    <row r="75" spans="1:15">
      <c r="A75" s="27" t="s">
        <v>196</v>
      </c>
      <c r="B75" s="28" t="s">
        <v>197</v>
      </c>
      <c r="C75" s="29" t="s">
        <v>74</v>
      </c>
      <c r="D75" s="30"/>
      <c r="E75" s="42">
        <v>0</v>
      </c>
      <c r="F75" s="32" t="s">
        <v>761</v>
      </c>
      <c r="G75" s="50">
        <v>0</v>
      </c>
      <c r="H75" s="34" t="s">
        <v>1806</v>
      </c>
      <c r="I75" s="34"/>
      <c r="J75" s="34"/>
      <c r="K75" s="34" t="s">
        <v>1809</v>
      </c>
      <c r="L75" s="34" t="s">
        <v>1816</v>
      </c>
      <c r="M75"/>
      <c r="O75"/>
    </row>
    <row r="76" spans="1:15">
      <c r="A76" s="13" t="s">
        <v>234</v>
      </c>
      <c r="B76" s="22" t="s">
        <v>235</v>
      </c>
      <c r="C76" s="15" t="s">
        <v>74</v>
      </c>
      <c r="D76" s="16"/>
      <c r="E76" s="2">
        <v>1326737.23</v>
      </c>
      <c r="F76" s="23">
        <v>0.30365607513704879</v>
      </c>
      <c r="G76" s="26">
        <v>402871.81999999995</v>
      </c>
      <c r="H76" t="s">
        <v>1806</v>
      </c>
      <c r="K76" t="s">
        <v>1809</v>
      </c>
      <c r="L76" s="37" t="s">
        <v>1816</v>
      </c>
      <c r="M76"/>
      <c r="O76"/>
    </row>
    <row r="77" spans="1:15">
      <c r="A77" s="19" t="s">
        <v>324</v>
      </c>
      <c r="B77" s="20" t="s">
        <v>325</v>
      </c>
      <c r="C77" s="19" t="s">
        <v>74</v>
      </c>
      <c r="D77" s="20"/>
      <c r="E77" s="3">
        <v>161469.60999999999</v>
      </c>
      <c r="F77" s="24">
        <v>0.16371371677927507</v>
      </c>
      <c r="G77" s="26">
        <v>26434.79</v>
      </c>
      <c r="H77" t="s">
        <v>1806</v>
      </c>
      <c r="K77" t="s">
        <v>1809</v>
      </c>
      <c r="L77" s="37" t="s">
        <v>1816</v>
      </c>
      <c r="M77"/>
      <c r="O77"/>
    </row>
    <row r="78" spans="1:15">
      <c r="A78" s="13" t="s">
        <v>342</v>
      </c>
      <c r="B78" s="14" t="s">
        <v>343</v>
      </c>
      <c r="C78" s="15" t="s">
        <v>74</v>
      </c>
      <c r="D78" s="16"/>
      <c r="E78" s="2">
        <v>623733.16</v>
      </c>
      <c r="F78" s="23">
        <v>4.6777872127241077E-2</v>
      </c>
      <c r="G78" s="26">
        <v>29176.91</v>
      </c>
      <c r="H78" t="s">
        <v>1806</v>
      </c>
      <c r="K78" t="s">
        <v>1809</v>
      </c>
      <c r="L78" s="37" t="s">
        <v>1816</v>
      </c>
      <c r="M78"/>
      <c r="O78"/>
    </row>
    <row r="79" spans="1:15">
      <c r="A79" s="13" t="s">
        <v>1665</v>
      </c>
      <c r="B79" s="14" t="s">
        <v>1854</v>
      </c>
      <c r="C79" s="15" t="s">
        <v>74</v>
      </c>
      <c r="D79" s="16"/>
      <c r="E79" s="2">
        <v>2320667.8199999998</v>
      </c>
      <c r="F79" s="23">
        <v>6.4878307314142014E-2</v>
      </c>
      <c r="G79" s="26">
        <v>150561</v>
      </c>
      <c r="H79" t="s">
        <v>1806</v>
      </c>
      <c r="K79" t="s">
        <v>1809</v>
      </c>
      <c r="L79" s="37" t="s">
        <v>1816</v>
      </c>
      <c r="M79"/>
      <c r="O79"/>
    </row>
    <row r="80" spans="1:15">
      <c r="A80" s="15" t="s">
        <v>1721</v>
      </c>
      <c r="B80" s="16" t="s">
        <v>1722</v>
      </c>
      <c r="C80" s="15" t="s">
        <v>74</v>
      </c>
      <c r="D80" s="16"/>
      <c r="E80" s="2">
        <v>1138719.82</v>
      </c>
      <c r="F80" s="23">
        <v>0.17940727509248058</v>
      </c>
      <c r="G80" s="26">
        <v>204294.62</v>
      </c>
      <c r="H80" t="s">
        <v>1806</v>
      </c>
      <c r="K80" t="s">
        <v>1809</v>
      </c>
      <c r="L80" s="37" t="s">
        <v>1816</v>
      </c>
      <c r="M80"/>
      <c r="O80"/>
    </row>
    <row r="81" spans="1:15">
      <c r="A81" s="13" t="s">
        <v>35</v>
      </c>
      <c r="B81" s="22" t="s">
        <v>36</v>
      </c>
      <c r="C81" s="15" t="s">
        <v>74</v>
      </c>
      <c r="D81" s="16"/>
      <c r="E81" s="2">
        <v>1114230.32</v>
      </c>
      <c r="F81" s="23">
        <v>0.1697283286995816</v>
      </c>
      <c r="G81" s="26">
        <v>189116.45</v>
      </c>
      <c r="H81" t="s">
        <v>1806</v>
      </c>
      <c r="K81" t="s">
        <v>1809</v>
      </c>
      <c r="L81" s="37" t="s">
        <v>1816</v>
      </c>
      <c r="M81"/>
      <c r="O81"/>
    </row>
    <row r="82" spans="1:15">
      <c r="A82" s="13" t="s">
        <v>39</v>
      </c>
      <c r="B82" s="22" t="s">
        <v>40</v>
      </c>
      <c r="C82" s="15" t="s">
        <v>74</v>
      </c>
      <c r="D82" s="16"/>
      <c r="E82" s="2">
        <v>1752311.71</v>
      </c>
      <c r="F82" s="23">
        <v>0.2669529441197423</v>
      </c>
      <c r="G82" s="26">
        <v>467784.77000000008</v>
      </c>
      <c r="H82" t="s">
        <v>1806</v>
      </c>
      <c r="K82" t="s">
        <v>1809</v>
      </c>
      <c r="L82" s="37" t="s">
        <v>1816</v>
      </c>
      <c r="M82"/>
      <c r="O82"/>
    </row>
    <row r="83" spans="1:15">
      <c r="A83" s="15" t="s">
        <v>70</v>
      </c>
      <c r="B83" s="16" t="s">
        <v>71</v>
      </c>
      <c r="C83" s="15" t="s">
        <v>74</v>
      </c>
      <c r="D83" s="16"/>
      <c r="E83" s="2">
        <v>1252639.19</v>
      </c>
      <c r="F83" s="23">
        <v>0.21746616437890628</v>
      </c>
      <c r="G83" s="26">
        <v>272406.64</v>
      </c>
      <c r="H83" t="s">
        <v>1806</v>
      </c>
      <c r="M83"/>
      <c r="O83"/>
    </row>
    <row r="84" spans="1:15">
      <c r="A84" s="17" t="s">
        <v>75</v>
      </c>
      <c r="B84" s="21" t="s">
        <v>76</v>
      </c>
      <c r="C84" s="19" t="s">
        <v>74</v>
      </c>
      <c r="D84" s="20"/>
      <c r="E84" s="3">
        <v>7379049.2599999998</v>
      </c>
      <c r="F84" s="24">
        <v>5.5225867946028595E-3</v>
      </c>
      <c r="G84" s="26">
        <v>40751.440000000002</v>
      </c>
      <c r="H84" t="s">
        <v>1806</v>
      </c>
      <c r="M84"/>
      <c r="O84"/>
    </row>
    <row r="85" spans="1:15">
      <c r="A85" s="13" t="s">
        <v>77</v>
      </c>
      <c r="B85" s="22" t="s">
        <v>78</v>
      </c>
      <c r="C85" s="15" t="s">
        <v>74</v>
      </c>
      <c r="D85" s="16"/>
      <c r="E85" s="2">
        <v>1296747.57</v>
      </c>
      <c r="F85" s="23">
        <v>0</v>
      </c>
      <c r="G85" s="26">
        <v>0</v>
      </c>
      <c r="H85" t="s">
        <v>1806</v>
      </c>
      <c r="M85"/>
      <c r="O85"/>
    </row>
    <row r="86" spans="1:15">
      <c r="A86" s="29" t="s">
        <v>81</v>
      </c>
      <c r="B86" s="30" t="s">
        <v>82</v>
      </c>
      <c r="C86" s="29" t="s">
        <v>74</v>
      </c>
      <c r="D86" s="30"/>
      <c r="E86" s="42">
        <v>0</v>
      </c>
      <c r="F86" s="32" t="s">
        <v>761</v>
      </c>
      <c r="G86" s="38"/>
      <c r="H86" s="34" t="s">
        <v>1806</v>
      </c>
      <c r="I86" s="34"/>
      <c r="J86" s="34"/>
      <c r="K86" s="34"/>
      <c r="L86" s="34"/>
      <c r="M86"/>
      <c r="O86"/>
    </row>
    <row r="87" spans="1:15">
      <c r="A87" s="17" t="s">
        <v>83</v>
      </c>
      <c r="B87" s="21" t="s">
        <v>84</v>
      </c>
      <c r="C87" s="19" t="s">
        <v>74</v>
      </c>
      <c r="D87" s="20"/>
      <c r="E87" s="3">
        <v>1136684.03</v>
      </c>
      <c r="F87" s="24">
        <v>0.30081652506369777</v>
      </c>
      <c r="G87" s="26">
        <v>341933.34</v>
      </c>
      <c r="H87" t="s">
        <v>1806</v>
      </c>
      <c r="M87"/>
      <c r="O87"/>
    </row>
    <row r="88" spans="1:15">
      <c r="A88" s="13" t="s">
        <v>85</v>
      </c>
      <c r="B88" s="14" t="s">
        <v>86</v>
      </c>
      <c r="C88" s="15" t="s">
        <v>74</v>
      </c>
      <c r="D88" s="16"/>
      <c r="E88" s="2">
        <v>1674388.45</v>
      </c>
      <c r="F88" s="23">
        <v>0.16231336880041189</v>
      </c>
      <c r="G88" s="26">
        <v>271775.63</v>
      </c>
      <c r="H88" t="s">
        <v>1806</v>
      </c>
      <c r="M88"/>
      <c r="O88"/>
    </row>
    <row r="89" spans="1:15">
      <c r="A89" s="15" t="s">
        <v>89</v>
      </c>
      <c r="B89" s="16" t="s">
        <v>90</v>
      </c>
      <c r="C89" s="15" t="s">
        <v>74</v>
      </c>
      <c r="D89" s="16"/>
      <c r="E89" s="2">
        <v>603347.98</v>
      </c>
      <c r="F89" s="23">
        <v>0.16574208137731727</v>
      </c>
      <c r="G89" s="26">
        <v>100000.15</v>
      </c>
      <c r="H89" t="s">
        <v>1811</v>
      </c>
      <c r="M89"/>
      <c r="O89"/>
    </row>
    <row r="90" spans="1:15">
      <c r="A90" s="17" t="s">
        <v>91</v>
      </c>
      <c r="B90" s="21" t="s">
        <v>92</v>
      </c>
      <c r="C90" s="19" t="s">
        <v>74</v>
      </c>
      <c r="D90" s="20"/>
      <c r="E90" s="3">
        <v>1853701.45</v>
      </c>
      <c r="F90" s="24">
        <v>0.17525232555652367</v>
      </c>
      <c r="G90" s="26">
        <v>324865.49</v>
      </c>
      <c r="H90" t="s">
        <v>1806</v>
      </c>
      <c r="M90"/>
      <c r="O90"/>
    </row>
    <row r="91" spans="1:15">
      <c r="A91" s="13" t="s">
        <v>93</v>
      </c>
      <c r="B91" s="14" t="s">
        <v>94</v>
      </c>
      <c r="C91" s="15" t="s">
        <v>74</v>
      </c>
      <c r="D91" s="16"/>
      <c r="E91" s="2">
        <v>4926715.57</v>
      </c>
      <c r="F91" s="23">
        <v>0.15964330979228825</v>
      </c>
      <c r="G91" s="26">
        <v>786517.18</v>
      </c>
      <c r="H91" t="s">
        <v>1806</v>
      </c>
      <c r="M91"/>
      <c r="O91"/>
    </row>
    <row r="92" spans="1:15">
      <c r="A92" s="19" t="s">
        <v>95</v>
      </c>
      <c r="B92" s="20" t="s">
        <v>96</v>
      </c>
      <c r="C92" s="19" t="s">
        <v>74</v>
      </c>
      <c r="D92" s="20"/>
      <c r="E92" s="3">
        <v>7076666.7199999997</v>
      </c>
      <c r="F92" s="24">
        <v>0.10239662664232407</v>
      </c>
      <c r="G92" s="26">
        <v>724626.8</v>
      </c>
      <c r="H92" t="s">
        <v>1806</v>
      </c>
      <c r="M92"/>
      <c r="O92"/>
    </row>
    <row r="93" spans="1:15">
      <c r="A93" s="13" t="s">
        <v>97</v>
      </c>
      <c r="B93" s="22" t="s">
        <v>98</v>
      </c>
      <c r="C93" s="15" t="s">
        <v>74</v>
      </c>
      <c r="D93" s="16"/>
      <c r="E93" s="2">
        <v>842358.61</v>
      </c>
      <c r="F93" s="23">
        <v>0.28115708344216961</v>
      </c>
      <c r="G93" s="26">
        <v>236835.09</v>
      </c>
      <c r="H93" t="s">
        <v>1806</v>
      </c>
      <c r="M93"/>
      <c r="O93"/>
    </row>
    <row r="94" spans="1:15">
      <c r="A94" s="17" t="s">
        <v>99</v>
      </c>
      <c r="B94" s="18" t="s">
        <v>100</v>
      </c>
      <c r="C94" s="19" t="s">
        <v>74</v>
      </c>
      <c r="D94" s="20"/>
      <c r="E94" s="3">
        <v>867720.61</v>
      </c>
      <c r="F94" s="24">
        <v>0.16362758745582867</v>
      </c>
      <c r="G94" s="26">
        <v>141983.03</v>
      </c>
      <c r="H94" t="s">
        <v>1806</v>
      </c>
      <c r="I94" t="s">
        <v>1820</v>
      </c>
      <c r="J94" t="s">
        <v>1760</v>
      </c>
      <c r="M94"/>
      <c r="O94"/>
    </row>
    <row r="95" spans="1:15">
      <c r="A95" s="15" t="s">
        <v>101</v>
      </c>
      <c r="B95" s="16" t="s">
        <v>102</v>
      </c>
      <c r="C95" s="15" t="s">
        <v>74</v>
      </c>
      <c r="D95" s="16"/>
      <c r="E95" s="2">
        <v>1082082.76</v>
      </c>
      <c r="F95" s="23">
        <v>0.26275690779880828</v>
      </c>
      <c r="G95" s="26">
        <v>284324.71999999997</v>
      </c>
      <c r="H95" t="s">
        <v>1806</v>
      </c>
      <c r="M95"/>
      <c r="O95"/>
    </row>
    <row r="96" spans="1:15">
      <c r="A96" s="17" t="s">
        <v>103</v>
      </c>
      <c r="B96" s="18" t="s">
        <v>104</v>
      </c>
      <c r="C96" s="19" t="s">
        <v>74</v>
      </c>
      <c r="D96" s="20"/>
      <c r="E96" s="3">
        <v>705727.13</v>
      </c>
      <c r="F96" s="24">
        <v>0.39696927904698803</v>
      </c>
      <c r="G96" s="26">
        <v>280151.99</v>
      </c>
      <c r="H96" t="s">
        <v>1806</v>
      </c>
      <c r="M96"/>
      <c r="O96"/>
    </row>
    <row r="97" spans="1:15">
      <c r="A97" s="13" t="s">
        <v>105</v>
      </c>
      <c r="B97" s="14" t="s">
        <v>106</v>
      </c>
      <c r="C97" s="15" t="s">
        <v>74</v>
      </c>
      <c r="D97" s="16"/>
      <c r="E97" s="2">
        <v>968241.67</v>
      </c>
      <c r="F97" s="23">
        <v>8.3965452550704617E-2</v>
      </c>
      <c r="G97" s="26">
        <v>81298.850000000006</v>
      </c>
      <c r="H97" t="s">
        <v>1806</v>
      </c>
      <c r="M97"/>
      <c r="O97"/>
    </row>
    <row r="98" spans="1:15">
      <c r="A98" s="15" t="s">
        <v>109</v>
      </c>
      <c r="B98" s="16" t="s">
        <v>110</v>
      </c>
      <c r="C98" s="15" t="s">
        <v>74</v>
      </c>
      <c r="D98" s="16"/>
      <c r="E98" s="2">
        <v>954583.08</v>
      </c>
      <c r="F98" s="23">
        <v>5.2029698661744561E-2</v>
      </c>
      <c r="G98" s="26">
        <v>49666.67</v>
      </c>
      <c r="H98" t="s">
        <v>1806</v>
      </c>
      <c r="M98"/>
      <c r="O98"/>
    </row>
    <row r="99" spans="1:15">
      <c r="A99" s="17" t="s">
        <v>111</v>
      </c>
      <c r="B99" s="21" t="s">
        <v>112</v>
      </c>
      <c r="C99" s="19" t="s">
        <v>74</v>
      </c>
      <c r="D99" s="20"/>
      <c r="E99" s="3">
        <v>473070.95</v>
      </c>
      <c r="F99" s="24">
        <v>4.1768850951427051E-2</v>
      </c>
      <c r="G99" s="26">
        <v>19759.63</v>
      </c>
      <c r="H99" t="s">
        <v>1806</v>
      </c>
      <c r="M99"/>
      <c r="O99"/>
    </row>
    <row r="100" spans="1:15">
      <c r="A100" s="13" t="s">
        <v>113</v>
      </c>
      <c r="B100" s="22" t="s">
        <v>114</v>
      </c>
      <c r="C100" s="15" t="s">
        <v>74</v>
      </c>
      <c r="D100" s="16"/>
      <c r="E100" s="2">
        <v>461116.57</v>
      </c>
      <c r="F100" s="23">
        <v>4.474838108723788E-2</v>
      </c>
      <c r="G100" s="26">
        <v>20634.22</v>
      </c>
      <c r="H100" t="s">
        <v>1806</v>
      </c>
      <c r="M100"/>
      <c r="O100"/>
    </row>
    <row r="101" spans="1:15">
      <c r="A101" s="15" t="s">
        <v>117</v>
      </c>
      <c r="B101" s="16" t="s">
        <v>118</v>
      </c>
      <c r="C101" s="15" t="s">
        <v>74</v>
      </c>
      <c r="D101" s="16"/>
      <c r="E101" s="2">
        <v>1033482.79</v>
      </c>
      <c r="F101" s="23">
        <v>4.5035079877817803E-2</v>
      </c>
      <c r="G101" s="26">
        <v>46542.98</v>
      </c>
      <c r="H101" t="s">
        <v>1806</v>
      </c>
      <c r="M101"/>
      <c r="O101"/>
    </row>
    <row r="102" spans="1:15">
      <c r="A102" s="17" t="s">
        <v>119</v>
      </c>
      <c r="B102" s="21" t="s">
        <v>120</v>
      </c>
      <c r="C102" s="19" t="s">
        <v>74</v>
      </c>
      <c r="D102" s="20"/>
      <c r="E102" s="3">
        <v>1832644.46</v>
      </c>
      <c r="F102" s="24">
        <v>0.10656620761017661</v>
      </c>
      <c r="G102" s="26">
        <v>195297.97</v>
      </c>
      <c r="H102" t="s">
        <v>1806</v>
      </c>
      <c r="M102"/>
      <c r="O102"/>
    </row>
    <row r="103" spans="1:15">
      <c r="A103" s="13" t="s">
        <v>121</v>
      </c>
      <c r="B103" s="14" t="s">
        <v>289</v>
      </c>
      <c r="C103" s="15" t="s">
        <v>74</v>
      </c>
      <c r="D103" s="16"/>
      <c r="E103" s="2">
        <v>1005955.83</v>
      </c>
      <c r="F103" s="23">
        <v>0.1258598203064244</v>
      </c>
      <c r="G103" s="26">
        <v>126609.42</v>
      </c>
      <c r="H103" t="s">
        <v>1806</v>
      </c>
      <c r="M103"/>
      <c r="O103"/>
    </row>
    <row r="104" spans="1:15">
      <c r="A104" s="19" t="s">
        <v>290</v>
      </c>
      <c r="B104" s="20" t="s">
        <v>291</v>
      </c>
      <c r="C104" s="19" t="s">
        <v>74</v>
      </c>
      <c r="D104" s="20"/>
      <c r="E104" s="3">
        <v>1289628.03</v>
      </c>
      <c r="F104" s="24">
        <v>6.2070417312502117E-2</v>
      </c>
      <c r="G104" s="26">
        <v>80047.75</v>
      </c>
      <c r="H104" t="s">
        <v>1806</v>
      </c>
      <c r="M104"/>
      <c r="O104"/>
    </row>
    <row r="105" spans="1:15">
      <c r="A105" s="17" t="s">
        <v>294</v>
      </c>
      <c r="B105" s="21" t="s">
        <v>295</v>
      </c>
      <c r="C105" s="19" t="s">
        <v>74</v>
      </c>
      <c r="D105" s="20"/>
      <c r="E105" s="3">
        <v>689184.34</v>
      </c>
      <c r="F105" s="24">
        <v>3.617734552703273E-2</v>
      </c>
      <c r="G105" s="26">
        <v>24932.860000000004</v>
      </c>
      <c r="H105" t="s">
        <v>1806</v>
      </c>
      <c r="M105"/>
      <c r="O105"/>
    </row>
    <row r="106" spans="1:15">
      <c r="A106" s="17" t="s">
        <v>298</v>
      </c>
      <c r="B106" s="18" t="s">
        <v>299</v>
      </c>
      <c r="C106" s="19" t="s">
        <v>74</v>
      </c>
      <c r="D106" s="20"/>
      <c r="E106" s="3">
        <v>967825.37</v>
      </c>
      <c r="F106" s="24">
        <v>0.24856528611148104</v>
      </c>
      <c r="G106" s="26">
        <v>240567.79</v>
      </c>
      <c r="H106" t="s">
        <v>1806</v>
      </c>
      <c r="M106"/>
      <c r="O106"/>
    </row>
    <row r="107" spans="1:15">
      <c r="A107" s="19" t="s">
        <v>302</v>
      </c>
      <c r="B107" s="20" t="s">
        <v>303</v>
      </c>
      <c r="C107" s="19" t="s">
        <v>74</v>
      </c>
      <c r="D107" s="20"/>
      <c r="E107" s="3">
        <v>1932182.08</v>
      </c>
      <c r="F107" s="24">
        <v>0.11608610405909571</v>
      </c>
      <c r="G107" s="26">
        <v>224299.49</v>
      </c>
      <c r="H107" t="s">
        <v>1806</v>
      </c>
      <c r="M107"/>
      <c r="O107"/>
    </row>
    <row r="108" spans="1:15">
      <c r="A108" s="13" t="s">
        <v>304</v>
      </c>
      <c r="B108" s="22" t="s">
        <v>305</v>
      </c>
      <c r="C108" s="15" t="s">
        <v>74</v>
      </c>
      <c r="D108" s="16"/>
      <c r="E108" s="2">
        <v>1829346.99</v>
      </c>
      <c r="F108" s="23">
        <v>0.18971688361867314</v>
      </c>
      <c r="G108" s="26">
        <v>347058.01</v>
      </c>
      <c r="H108" t="s">
        <v>1806</v>
      </c>
      <c r="M108"/>
      <c r="O108"/>
    </row>
    <row r="109" spans="1:15">
      <c r="A109" s="17" t="s">
        <v>306</v>
      </c>
      <c r="B109" s="21" t="s">
        <v>307</v>
      </c>
      <c r="C109" s="19" t="s">
        <v>74</v>
      </c>
      <c r="D109" s="20"/>
      <c r="E109" s="3">
        <v>694149.71</v>
      </c>
      <c r="F109" s="24">
        <v>0.27660014436943292</v>
      </c>
      <c r="G109" s="26">
        <v>192001.90999999997</v>
      </c>
      <c r="H109" t="s">
        <v>1806</v>
      </c>
      <c r="I109" t="s">
        <v>1820</v>
      </c>
      <c r="J109" t="s">
        <v>502</v>
      </c>
      <c r="M109"/>
      <c r="O109"/>
    </row>
    <row r="110" spans="1:15">
      <c r="A110" s="15" t="s">
        <v>308</v>
      </c>
      <c r="B110" s="16" t="s">
        <v>143</v>
      </c>
      <c r="C110" s="15" t="s">
        <v>74</v>
      </c>
      <c r="D110" s="16"/>
      <c r="E110" s="2">
        <v>559227.43000000005</v>
      </c>
      <c r="F110" s="23">
        <v>0.29847377121683744</v>
      </c>
      <c r="G110" s="26">
        <v>166914.72</v>
      </c>
      <c r="H110" t="s">
        <v>1806</v>
      </c>
      <c r="I110" t="s">
        <v>1820</v>
      </c>
      <c r="J110" t="s">
        <v>1834</v>
      </c>
      <c r="M110"/>
      <c r="O110"/>
    </row>
    <row r="111" spans="1:15">
      <c r="A111" s="17" t="s">
        <v>144</v>
      </c>
      <c r="B111" s="21" t="s">
        <v>145</v>
      </c>
      <c r="C111" s="19" t="s">
        <v>74</v>
      </c>
      <c r="D111" s="20"/>
      <c r="E111" s="3">
        <v>7399000.6500000004</v>
      </c>
      <c r="F111" s="24">
        <v>5.5196428452807332E-2</v>
      </c>
      <c r="G111" s="26">
        <v>408398.41</v>
      </c>
      <c r="H111" t="s">
        <v>1806</v>
      </c>
      <c r="M111"/>
      <c r="O111"/>
    </row>
    <row r="112" spans="1:15">
      <c r="A112" s="17" t="s">
        <v>148</v>
      </c>
      <c r="B112" s="18" t="s">
        <v>149</v>
      </c>
      <c r="C112" s="19" t="s">
        <v>74</v>
      </c>
      <c r="D112" s="20"/>
      <c r="E112" s="3">
        <v>1323872.08</v>
      </c>
      <c r="F112" s="24">
        <v>0.27800802325251844</v>
      </c>
      <c r="G112" s="26">
        <v>368047.06</v>
      </c>
      <c r="H112" t="s">
        <v>1806</v>
      </c>
      <c r="M112"/>
      <c r="O112"/>
    </row>
    <row r="113" spans="1:15">
      <c r="A113" s="19" t="s">
        <v>156</v>
      </c>
      <c r="B113" s="20" t="s">
        <v>157</v>
      </c>
      <c r="C113" s="19" t="s">
        <v>74</v>
      </c>
      <c r="D113" s="20"/>
      <c r="E113" s="3">
        <v>1037781.35</v>
      </c>
      <c r="F113" s="24">
        <v>0.19458206682939524</v>
      </c>
      <c r="G113" s="26">
        <v>201933.64</v>
      </c>
      <c r="H113" t="s">
        <v>1811</v>
      </c>
      <c r="M113"/>
      <c r="O113"/>
    </row>
    <row r="114" spans="1:15">
      <c r="A114" s="13" t="s">
        <v>158</v>
      </c>
      <c r="B114" s="14" t="s">
        <v>159</v>
      </c>
      <c r="C114" s="15" t="s">
        <v>74</v>
      </c>
      <c r="D114" s="16"/>
      <c r="E114" s="2">
        <v>561236.21</v>
      </c>
      <c r="F114" s="23">
        <v>0.54452254604171035</v>
      </c>
      <c r="G114" s="26">
        <v>305605.77</v>
      </c>
      <c r="H114" t="s">
        <v>1806</v>
      </c>
      <c r="K114" t="s">
        <v>1810</v>
      </c>
      <c r="M114"/>
      <c r="O114"/>
    </row>
    <row r="115" spans="1:15">
      <c r="A115" s="17" t="s">
        <v>160</v>
      </c>
      <c r="B115" s="21" t="s">
        <v>161</v>
      </c>
      <c r="C115" s="19" t="s">
        <v>74</v>
      </c>
      <c r="D115" s="20"/>
      <c r="E115" s="3">
        <v>2556579.75</v>
      </c>
      <c r="F115" s="24">
        <v>0.19872492145023052</v>
      </c>
      <c r="G115" s="26">
        <v>508056.11</v>
      </c>
      <c r="H115" t="s">
        <v>1806</v>
      </c>
      <c r="M115"/>
      <c r="O115"/>
    </row>
    <row r="116" spans="1:15">
      <c r="A116" s="19" t="s">
        <v>164</v>
      </c>
      <c r="B116" s="20" t="s">
        <v>165</v>
      </c>
      <c r="C116" s="19" t="s">
        <v>74</v>
      </c>
      <c r="D116" s="20"/>
      <c r="E116" s="3">
        <v>879618.34</v>
      </c>
      <c r="F116" s="24">
        <v>0.37499610342367351</v>
      </c>
      <c r="G116" s="26">
        <v>329853.45</v>
      </c>
      <c r="H116" t="s">
        <v>1806</v>
      </c>
      <c r="M116"/>
      <c r="O116"/>
    </row>
    <row r="117" spans="1:15">
      <c r="A117" s="13" t="s">
        <v>166</v>
      </c>
      <c r="B117" s="14" t="s">
        <v>167</v>
      </c>
      <c r="C117" s="15" t="s">
        <v>74</v>
      </c>
      <c r="D117" s="16"/>
      <c r="E117" s="2">
        <v>1848013</v>
      </c>
      <c r="F117" s="23">
        <v>0</v>
      </c>
      <c r="G117" s="26">
        <v>0</v>
      </c>
      <c r="H117" t="s">
        <v>1806</v>
      </c>
      <c r="M117"/>
      <c r="O117"/>
    </row>
    <row r="118" spans="1:15">
      <c r="A118" s="17" t="s">
        <v>168</v>
      </c>
      <c r="B118" s="18" t="s">
        <v>169</v>
      </c>
      <c r="C118" s="19" t="s">
        <v>74</v>
      </c>
      <c r="D118" s="20"/>
      <c r="E118" s="3">
        <v>1814426</v>
      </c>
      <c r="F118" s="24">
        <v>0</v>
      </c>
      <c r="G118" s="26">
        <v>0</v>
      </c>
      <c r="H118" t="s">
        <v>1806</v>
      </c>
      <c r="M118"/>
      <c r="O118"/>
    </row>
    <row r="119" spans="1:15">
      <c r="A119" s="15" t="s">
        <v>170</v>
      </c>
      <c r="B119" s="16" t="s">
        <v>171</v>
      </c>
      <c r="C119" s="15" t="s">
        <v>74</v>
      </c>
      <c r="D119" s="16"/>
      <c r="E119" s="2">
        <v>1697813.17</v>
      </c>
      <c r="F119" s="23">
        <v>0</v>
      </c>
      <c r="G119" s="26">
        <v>0</v>
      </c>
      <c r="H119" t="s">
        <v>1806</v>
      </c>
      <c r="M119"/>
      <c r="O119"/>
    </row>
    <row r="120" spans="1:15">
      <c r="A120" s="13" t="s">
        <v>174</v>
      </c>
      <c r="B120" s="14" t="s">
        <v>175</v>
      </c>
      <c r="C120" s="15" t="s">
        <v>74</v>
      </c>
      <c r="D120" s="16"/>
      <c r="E120" s="2">
        <v>728694.6</v>
      </c>
      <c r="F120" s="23">
        <v>0.27895200540802689</v>
      </c>
      <c r="G120" s="26">
        <v>203270.81999999998</v>
      </c>
      <c r="H120" t="s">
        <v>1806</v>
      </c>
      <c r="M120"/>
      <c r="O120"/>
    </row>
    <row r="121" spans="1:15">
      <c r="A121" s="27" t="s">
        <v>182</v>
      </c>
      <c r="B121" s="28" t="s">
        <v>183</v>
      </c>
      <c r="C121" s="29" t="s">
        <v>74</v>
      </c>
      <c r="D121" s="30"/>
      <c r="E121" s="42">
        <v>0</v>
      </c>
      <c r="F121" s="32" t="s">
        <v>761</v>
      </c>
      <c r="G121" s="50">
        <v>0</v>
      </c>
      <c r="H121" s="34" t="s">
        <v>1806</v>
      </c>
      <c r="I121" s="34"/>
      <c r="J121" s="34"/>
      <c r="K121" s="34"/>
      <c r="L121" s="34"/>
      <c r="M121"/>
      <c r="O121"/>
    </row>
    <row r="122" spans="1:15">
      <c r="A122" s="29" t="s">
        <v>184</v>
      </c>
      <c r="B122" s="30" t="s">
        <v>185</v>
      </c>
      <c r="C122" s="29" t="s">
        <v>74</v>
      </c>
      <c r="D122" s="30"/>
      <c r="E122" s="42">
        <v>0</v>
      </c>
      <c r="F122" s="32" t="s">
        <v>761</v>
      </c>
      <c r="G122" s="50">
        <v>0</v>
      </c>
      <c r="H122" s="34" t="s">
        <v>1806</v>
      </c>
      <c r="I122" s="34"/>
      <c r="J122" s="34"/>
      <c r="K122" s="34"/>
      <c r="L122" s="34"/>
      <c r="M122"/>
      <c r="O122"/>
    </row>
    <row r="123" spans="1:15">
      <c r="A123" s="13" t="s">
        <v>186</v>
      </c>
      <c r="B123" s="14" t="s">
        <v>187</v>
      </c>
      <c r="C123" s="15" t="s">
        <v>74</v>
      </c>
      <c r="D123" s="16"/>
      <c r="E123" s="2">
        <v>2476348.7400000002</v>
      </c>
      <c r="F123" s="23">
        <v>0.11932008009501924</v>
      </c>
      <c r="G123" s="26">
        <v>295478.13</v>
      </c>
      <c r="H123" t="s">
        <v>1806</v>
      </c>
      <c r="M123"/>
      <c r="O123"/>
    </row>
    <row r="124" spans="1:15">
      <c r="A124" s="17" t="s">
        <v>188</v>
      </c>
      <c r="B124" s="21" t="s">
        <v>189</v>
      </c>
      <c r="C124" s="19" t="s">
        <v>74</v>
      </c>
      <c r="D124" s="20"/>
      <c r="E124" s="3">
        <v>1450154.8</v>
      </c>
      <c r="F124" s="24">
        <v>0.34439444671699876</v>
      </c>
      <c r="G124" s="26">
        <v>499425.26</v>
      </c>
      <c r="H124" t="s">
        <v>1806</v>
      </c>
      <c r="M124"/>
      <c r="O124"/>
    </row>
    <row r="125" spans="1:15">
      <c r="A125" s="15" t="s">
        <v>190</v>
      </c>
      <c r="B125" s="16" t="s">
        <v>191</v>
      </c>
      <c r="C125" s="15" t="s">
        <v>74</v>
      </c>
      <c r="D125" s="16"/>
      <c r="E125" s="2">
        <v>4484235.68</v>
      </c>
      <c r="F125" s="23">
        <v>0.14904684269404861</v>
      </c>
      <c r="G125" s="26">
        <v>668361.17000000004</v>
      </c>
      <c r="H125" t="s">
        <v>1806</v>
      </c>
      <c r="M125"/>
      <c r="O125"/>
    </row>
    <row r="126" spans="1:15">
      <c r="A126" s="17" t="s">
        <v>192</v>
      </c>
      <c r="B126" s="21" t="s">
        <v>193</v>
      </c>
      <c r="C126" s="19" t="s">
        <v>74</v>
      </c>
      <c r="D126" s="20"/>
      <c r="E126" s="3">
        <v>3401211.28</v>
      </c>
      <c r="F126" s="24">
        <v>0.10714960641904023</v>
      </c>
      <c r="G126" s="26">
        <v>364438.45</v>
      </c>
      <c r="H126" t="s">
        <v>1806</v>
      </c>
      <c r="M126"/>
      <c r="O126"/>
    </row>
    <row r="127" spans="1:15">
      <c r="A127" s="27" t="s">
        <v>194</v>
      </c>
      <c r="B127" s="28" t="s">
        <v>195</v>
      </c>
      <c r="C127" s="29" t="s">
        <v>74</v>
      </c>
      <c r="D127" s="30"/>
      <c r="E127" s="42">
        <v>0</v>
      </c>
      <c r="F127" s="32" t="s">
        <v>761</v>
      </c>
      <c r="G127" s="50">
        <v>0</v>
      </c>
      <c r="H127" s="34" t="s">
        <v>1806</v>
      </c>
      <c r="I127" s="34"/>
      <c r="J127" s="34"/>
      <c r="K127" s="34"/>
      <c r="L127" s="34"/>
      <c r="M127"/>
      <c r="O127"/>
    </row>
    <row r="128" spans="1:15">
      <c r="A128" s="19" t="s">
        <v>200</v>
      </c>
      <c r="B128" s="20" t="s">
        <v>201</v>
      </c>
      <c r="C128" s="19" t="s">
        <v>74</v>
      </c>
      <c r="D128" s="20"/>
      <c r="E128" s="3">
        <v>1974056.5</v>
      </c>
      <c r="F128" s="24">
        <v>6.3401680752298628E-2</v>
      </c>
      <c r="G128" s="26">
        <v>125158.5</v>
      </c>
      <c r="H128" t="s">
        <v>1806</v>
      </c>
      <c r="M128"/>
      <c r="O128"/>
    </row>
    <row r="129" spans="1:15">
      <c r="A129" s="17" t="s">
        <v>204</v>
      </c>
      <c r="B129" s="21" t="s">
        <v>375</v>
      </c>
      <c r="C129" s="19" t="s">
        <v>74</v>
      </c>
      <c r="D129" s="20"/>
      <c r="E129" s="3">
        <v>1435513.58</v>
      </c>
      <c r="F129" s="24">
        <v>0.31852749870885927</v>
      </c>
      <c r="G129" s="26">
        <v>457250.55</v>
      </c>
      <c r="H129" t="s">
        <v>1806</v>
      </c>
      <c r="M129"/>
      <c r="O129"/>
    </row>
    <row r="130" spans="1:15">
      <c r="A130" s="17" t="s">
        <v>378</v>
      </c>
      <c r="B130" s="21" t="s">
        <v>379</v>
      </c>
      <c r="C130" s="19" t="s">
        <v>74</v>
      </c>
      <c r="D130" s="20"/>
      <c r="E130" s="3">
        <v>4655324.33</v>
      </c>
      <c r="F130" s="24">
        <v>0.16092381258428884</v>
      </c>
      <c r="G130" s="26">
        <v>749152.54</v>
      </c>
      <c r="H130" t="s">
        <v>1806</v>
      </c>
      <c r="M130"/>
      <c r="O130"/>
    </row>
    <row r="131" spans="1:15">
      <c r="A131" s="15" t="s">
        <v>380</v>
      </c>
      <c r="B131" s="16" t="s">
        <v>381</v>
      </c>
      <c r="C131" s="15" t="s">
        <v>74</v>
      </c>
      <c r="D131" s="16"/>
      <c r="E131" s="2">
        <v>507647</v>
      </c>
      <c r="F131" s="23">
        <v>0.39496514310140707</v>
      </c>
      <c r="G131" s="26">
        <v>200502.87</v>
      </c>
      <c r="H131" t="s">
        <v>1806</v>
      </c>
      <c r="I131" t="s">
        <v>1820</v>
      </c>
      <c r="J131" t="s">
        <v>1825</v>
      </c>
      <c r="M131"/>
      <c r="O131"/>
    </row>
    <row r="132" spans="1:15">
      <c r="A132" s="17" t="s">
        <v>382</v>
      </c>
      <c r="B132" s="21" t="s">
        <v>383</v>
      </c>
      <c r="C132" s="19" t="s">
        <v>74</v>
      </c>
      <c r="D132" s="20"/>
      <c r="E132" s="3">
        <v>1229036.3400000001</v>
      </c>
      <c r="F132" s="24">
        <v>0.29417174922590167</v>
      </c>
      <c r="G132" s="26">
        <v>361547.77</v>
      </c>
      <c r="H132" t="s">
        <v>1806</v>
      </c>
      <c r="M132"/>
      <c r="O132"/>
    </row>
    <row r="133" spans="1:15">
      <c r="A133" s="13" t="s">
        <v>384</v>
      </c>
      <c r="B133" s="14" t="s">
        <v>385</v>
      </c>
      <c r="C133" s="15" t="s">
        <v>74</v>
      </c>
      <c r="D133" s="16"/>
      <c r="E133" s="2">
        <v>766545.71</v>
      </c>
      <c r="F133" s="23">
        <v>0.45420477273299198</v>
      </c>
      <c r="G133" s="26">
        <v>348168.72</v>
      </c>
      <c r="H133" t="s">
        <v>1806</v>
      </c>
      <c r="M133"/>
      <c r="O133"/>
    </row>
    <row r="134" spans="1:15">
      <c r="A134" s="19" t="s">
        <v>386</v>
      </c>
      <c r="B134" s="20" t="s">
        <v>387</v>
      </c>
      <c r="C134" s="19" t="s">
        <v>74</v>
      </c>
      <c r="D134" s="20"/>
      <c r="E134" s="3">
        <v>1782957.04</v>
      </c>
      <c r="F134" s="24">
        <v>0.23347214243591644</v>
      </c>
      <c r="G134" s="26">
        <v>416270.8</v>
      </c>
      <c r="H134" t="s">
        <v>1806</v>
      </c>
      <c r="M134"/>
      <c r="O134"/>
    </row>
    <row r="135" spans="1:15">
      <c r="A135" s="13" t="s">
        <v>388</v>
      </c>
      <c r="B135" s="14" t="s">
        <v>389</v>
      </c>
      <c r="C135" s="15" t="s">
        <v>74</v>
      </c>
      <c r="D135" s="16"/>
      <c r="E135" s="2">
        <v>806566.09</v>
      </c>
      <c r="F135" s="23">
        <v>7.6860607913729687E-2</v>
      </c>
      <c r="G135" s="26">
        <v>61993.160000000011</v>
      </c>
      <c r="H135" t="s">
        <v>1806</v>
      </c>
      <c r="M135"/>
      <c r="O135"/>
    </row>
    <row r="136" spans="1:15">
      <c r="A136" s="17" t="s">
        <v>390</v>
      </c>
      <c r="B136" s="21" t="s">
        <v>391</v>
      </c>
      <c r="C136" s="19" t="s">
        <v>74</v>
      </c>
      <c r="D136" s="20"/>
      <c r="E136" s="3">
        <v>1937465.73</v>
      </c>
      <c r="F136" s="24">
        <v>3.9414689414919359E-2</v>
      </c>
      <c r="G136" s="26">
        <v>76364.61</v>
      </c>
      <c r="H136" t="s">
        <v>1806</v>
      </c>
      <c r="M136"/>
      <c r="O136"/>
    </row>
    <row r="137" spans="1:15">
      <c r="A137" s="15" t="s">
        <v>392</v>
      </c>
      <c r="B137" s="16" t="s">
        <v>393</v>
      </c>
      <c r="C137" s="15" t="s">
        <v>74</v>
      </c>
      <c r="D137" s="16"/>
      <c r="E137" s="2">
        <v>847373.33</v>
      </c>
      <c r="F137" s="23">
        <v>0.39325895470417982</v>
      </c>
      <c r="G137" s="26">
        <v>333237.15000000002</v>
      </c>
      <c r="H137" t="s">
        <v>1806</v>
      </c>
      <c r="M137"/>
      <c r="O137"/>
    </row>
    <row r="138" spans="1:15">
      <c r="A138" s="17" t="s">
        <v>228</v>
      </c>
      <c r="B138" s="18" t="s">
        <v>229</v>
      </c>
      <c r="C138" s="19" t="s">
        <v>74</v>
      </c>
      <c r="D138" s="20"/>
      <c r="E138" s="3">
        <v>732239.56</v>
      </c>
      <c r="F138" s="24">
        <v>9.8343703254710785E-2</v>
      </c>
      <c r="G138" s="26">
        <v>72011.149999999994</v>
      </c>
      <c r="H138" t="s">
        <v>1806</v>
      </c>
      <c r="M138"/>
      <c r="O138"/>
    </row>
    <row r="139" spans="1:15">
      <c r="A139" s="13" t="s">
        <v>230</v>
      </c>
      <c r="B139" s="22" t="s">
        <v>231</v>
      </c>
      <c r="C139" s="15" t="s">
        <v>74</v>
      </c>
      <c r="D139" s="16"/>
      <c r="E139" s="2">
        <v>1028369.87</v>
      </c>
      <c r="F139" s="23">
        <v>0.32998349125106125</v>
      </c>
      <c r="G139" s="26">
        <v>339345.08</v>
      </c>
      <c r="H139" t="s">
        <v>1806</v>
      </c>
      <c r="M139"/>
      <c r="O139"/>
    </row>
    <row r="140" spans="1:15">
      <c r="A140" s="19" t="s">
        <v>232</v>
      </c>
      <c r="B140" s="20" t="s">
        <v>233</v>
      </c>
      <c r="C140" s="19" t="s">
        <v>74</v>
      </c>
      <c r="D140" s="20"/>
      <c r="E140" s="3">
        <v>1985048.31</v>
      </c>
      <c r="F140" s="24">
        <v>2.9883393618767899E-2</v>
      </c>
      <c r="G140" s="26">
        <v>59319.98</v>
      </c>
      <c r="H140" t="s">
        <v>1806</v>
      </c>
      <c r="M140"/>
      <c r="O140"/>
    </row>
    <row r="141" spans="1:15">
      <c r="A141" s="17" t="s">
        <v>236</v>
      </c>
      <c r="B141" s="18" t="s">
        <v>237</v>
      </c>
      <c r="C141" s="19" t="s">
        <v>74</v>
      </c>
      <c r="D141" s="20"/>
      <c r="E141" s="3">
        <v>3267257.76</v>
      </c>
      <c r="F141" s="24">
        <v>5.9489349869965576E-2</v>
      </c>
      <c r="G141" s="26">
        <v>194367.04</v>
      </c>
      <c r="H141" t="s">
        <v>1806</v>
      </c>
      <c r="M141"/>
      <c r="O141"/>
    </row>
    <row r="142" spans="1:15">
      <c r="A142" s="13" t="s">
        <v>238</v>
      </c>
      <c r="B142" s="22" t="s">
        <v>239</v>
      </c>
      <c r="C142" s="15" t="s">
        <v>74</v>
      </c>
      <c r="D142" s="16"/>
      <c r="E142" s="2">
        <v>1292560.5900000001</v>
      </c>
      <c r="F142" s="23">
        <v>0.32683387012441711</v>
      </c>
      <c r="G142" s="26">
        <v>422452.57999999996</v>
      </c>
      <c r="H142" t="s">
        <v>1806</v>
      </c>
      <c r="M142"/>
      <c r="O142"/>
    </row>
    <row r="143" spans="1:15">
      <c r="A143" s="15" t="s">
        <v>242</v>
      </c>
      <c r="B143" s="16" t="s">
        <v>243</v>
      </c>
      <c r="C143" s="15" t="s">
        <v>74</v>
      </c>
      <c r="D143" s="16"/>
      <c r="E143" s="2">
        <v>2755979.36</v>
      </c>
      <c r="F143" s="23">
        <v>0.28150743843016296</v>
      </c>
      <c r="G143" s="26">
        <v>775828.68999999983</v>
      </c>
      <c r="H143" t="s">
        <v>1806</v>
      </c>
      <c r="M143"/>
      <c r="O143"/>
    </row>
    <row r="144" spans="1:15">
      <c r="A144" s="17" t="s">
        <v>248</v>
      </c>
      <c r="B144" s="18" t="s">
        <v>249</v>
      </c>
      <c r="C144" s="19" t="s">
        <v>74</v>
      </c>
      <c r="D144" s="20"/>
      <c r="E144" s="3">
        <v>362918.02</v>
      </c>
      <c r="F144" s="24">
        <v>0.2686805135771434</v>
      </c>
      <c r="G144" s="26">
        <v>97509</v>
      </c>
      <c r="H144" t="s">
        <v>1806</v>
      </c>
      <c r="M144"/>
      <c r="O144"/>
    </row>
    <row r="145" spans="1:15">
      <c r="A145" s="13" t="s">
        <v>250</v>
      </c>
      <c r="B145" s="22" t="s">
        <v>251</v>
      </c>
      <c r="C145" s="15" t="s">
        <v>74</v>
      </c>
      <c r="D145" s="16"/>
      <c r="E145" s="2">
        <v>735242.95</v>
      </c>
      <c r="F145" s="23">
        <v>0.38348316022615381</v>
      </c>
      <c r="G145" s="26">
        <v>281953.28999999998</v>
      </c>
      <c r="H145" t="s">
        <v>1806</v>
      </c>
      <c r="M145"/>
      <c r="O145"/>
    </row>
    <row r="146" spans="1:15">
      <c r="A146" s="19" t="s">
        <v>252</v>
      </c>
      <c r="B146" s="20" t="s">
        <v>253</v>
      </c>
      <c r="C146" s="19" t="s">
        <v>74</v>
      </c>
      <c r="D146" s="20"/>
      <c r="E146" s="3">
        <v>653845.57999999996</v>
      </c>
      <c r="F146" s="24">
        <v>0.63992410868633542</v>
      </c>
      <c r="G146" s="26">
        <v>418411.55</v>
      </c>
      <c r="H146" t="s">
        <v>1806</v>
      </c>
      <c r="M146"/>
      <c r="O146"/>
    </row>
    <row r="147" spans="1:15">
      <c r="A147" s="13" t="s">
        <v>262</v>
      </c>
      <c r="B147" s="14" t="s">
        <v>263</v>
      </c>
      <c r="C147" s="15" t="s">
        <v>74</v>
      </c>
      <c r="D147" s="16"/>
      <c r="E147" s="2">
        <v>1357867.03</v>
      </c>
      <c r="F147" s="23">
        <v>0.21042797541081767</v>
      </c>
      <c r="G147" s="26">
        <v>285733.21000000002</v>
      </c>
      <c r="H147" t="s">
        <v>1806</v>
      </c>
      <c r="M147"/>
      <c r="O147"/>
    </row>
    <row r="148" spans="1:15">
      <c r="A148" s="17" t="s">
        <v>264</v>
      </c>
      <c r="B148" s="21" t="s">
        <v>265</v>
      </c>
      <c r="C148" s="19" t="s">
        <v>74</v>
      </c>
      <c r="D148" s="20"/>
      <c r="E148" s="3">
        <v>196282.65</v>
      </c>
      <c r="F148" s="24">
        <v>4.7920689882676847E-3</v>
      </c>
      <c r="G148" s="26">
        <v>940.6</v>
      </c>
      <c r="H148" t="s">
        <v>1806</v>
      </c>
      <c r="M148"/>
      <c r="O148"/>
    </row>
    <row r="149" spans="1:15">
      <c r="A149" s="15" t="s">
        <v>266</v>
      </c>
      <c r="B149" s="16" t="s">
        <v>267</v>
      </c>
      <c r="C149" s="15" t="s">
        <v>74</v>
      </c>
      <c r="D149" s="16"/>
      <c r="E149" s="2">
        <v>2727062.22</v>
      </c>
      <c r="F149" s="23">
        <v>0.16200684266015755</v>
      </c>
      <c r="G149" s="26">
        <v>441802.74</v>
      </c>
      <c r="H149" t="s">
        <v>1806</v>
      </c>
      <c r="M149"/>
      <c r="O149"/>
    </row>
    <row r="150" spans="1:15">
      <c r="A150" s="17" t="s">
        <v>268</v>
      </c>
      <c r="B150" s="21" t="s">
        <v>269</v>
      </c>
      <c r="C150" s="19" t="s">
        <v>74</v>
      </c>
      <c r="D150" s="20"/>
      <c r="E150" s="3">
        <v>1527935.84</v>
      </c>
      <c r="F150" s="24">
        <v>0.3014237495731496</v>
      </c>
      <c r="G150" s="26">
        <v>460556.15</v>
      </c>
      <c r="H150" t="s">
        <v>1806</v>
      </c>
      <c r="M150"/>
      <c r="O150"/>
    </row>
    <row r="151" spans="1:15">
      <c r="A151" s="13" t="s">
        <v>274</v>
      </c>
      <c r="B151" s="14" t="s">
        <v>275</v>
      </c>
      <c r="C151" s="15" t="s">
        <v>74</v>
      </c>
      <c r="D151" s="16"/>
      <c r="E151" s="2">
        <v>1042124.02</v>
      </c>
      <c r="F151" s="23">
        <v>0.13735266364938023</v>
      </c>
      <c r="G151" s="26">
        <v>143138.51</v>
      </c>
      <c r="H151" t="s">
        <v>1806</v>
      </c>
      <c r="M151"/>
      <c r="O151"/>
    </row>
    <row r="152" spans="1:15">
      <c r="A152" s="29" t="s">
        <v>278</v>
      </c>
      <c r="B152" s="30" t="s">
        <v>279</v>
      </c>
      <c r="C152" s="29" t="s">
        <v>74</v>
      </c>
      <c r="D152" s="30"/>
      <c r="E152" s="42">
        <v>0</v>
      </c>
      <c r="F152" s="32" t="s">
        <v>761</v>
      </c>
      <c r="G152" s="50">
        <v>0</v>
      </c>
      <c r="H152" s="34" t="s">
        <v>1806</v>
      </c>
      <c r="I152" s="34"/>
      <c r="J152" s="34"/>
      <c r="K152" s="34"/>
      <c r="L152" s="34"/>
      <c r="M152"/>
      <c r="O152"/>
    </row>
    <row r="153" spans="1:15">
      <c r="A153" s="27" t="s">
        <v>280</v>
      </c>
      <c r="B153" s="28" t="s">
        <v>281</v>
      </c>
      <c r="C153" s="29" t="s">
        <v>74</v>
      </c>
      <c r="D153" s="30"/>
      <c r="E153" s="42">
        <v>0</v>
      </c>
      <c r="F153" s="32" t="s">
        <v>761</v>
      </c>
      <c r="G153" s="50">
        <v>0</v>
      </c>
      <c r="H153" s="34" t="s">
        <v>1806</v>
      </c>
      <c r="I153" s="34"/>
      <c r="J153" s="34"/>
      <c r="K153" s="34"/>
      <c r="L153" s="34"/>
      <c r="M153"/>
      <c r="O153"/>
    </row>
    <row r="154" spans="1:15">
      <c r="A154" s="17" t="s">
        <v>284</v>
      </c>
      <c r="B154" s="18" t="s">
        <v>285</v>
      </c>
      <c r="C154" s="19" t="s">
        <v>74</v>
      </c>
      <c r="D154" s="20"/>
      <c r="E154" s="3">
        <v>1222466.77</v>
      </c>
      <c r="F154" s="24">
        <v>0.31700592564982361</v>
      </c>
      <c r="G154" s="26">
        <v>387529.21</v>
      </c>
      <c r="H154" t="s">
        <v>1806</v>
      </c>
      <c r="M154"/>
      <c r="O154"/>
    </row>
    <row r="155" spans="1:15">
      <c r="A155" s="15" t="s">
        <v>286</v>
      </c>
      <c r="B155" s="16" t="s">
        <v>287</v>
      </c>
      <c r="C155" s="15" t="s">
        <v>74</v>
      </c>
      <c r="D155" s="16"/>
      <c r="E155" s="2">
        <v>880682.87</v>
      </c>
      <c r="F155" s="23">
        <v>0.24415742297792167</v>
      </c>
      <c r="G155" s="26">
        <v>215025.26</v>
      </c>
      <c r="H155" t="s">
        <v>1806</v>
      </c>
      <c r="M155"/>
      <c r="O155"/>
    </row>
    <row r="156" spans="1:15">
      <c r="A156" s="17" t="s">
        <v>288</v>
      </c>
      <c r="B156" s="21" t="s">
        <v>480</v>
      </c>
      <c r="C156" s="19" t="s">
        <v>74</v>
      </c>
      <c r="D156" s="20"/>
      <c r="E156" s="3">
        <v>825505.77</v>
      </c>
      <c r="F156" s="24">
        <v>0.26149641570645832</v>
      </c>
      <c r="G156" s="26">
        <v>215866.79999999996</v>
      </c>
      <c r="H156" t="s">
        <v>1806</v>
      </c>
      <c r="M156"/>
      <c r="O156"/>
    </row>
    <row r="157" spans="1:15">
      <c r="A157" s="13" t="s">
        <v>481</v>
      </c>
      <c r="B157" s="14" t="s">
        <v>482</v>
      </c>
      <c r="C157" s="15" t="s">
        <v>74</v>
      </c>
      <c r="D157" s="16"/>
      <c r="E157" s="2">
        <v>4746775.3099999996</v>
      </c>
      <c r="F157" s="23">
        <v>0.18876730864263302</v>
      </c>
      <c r="G157" s="26">
        <v>896036</v>
      </c>
      <c r="H157" t="s">
        <v>1806</v>
      </c>
      <c r="M157"/>
      <c r="O157"/>
    </row>
    <row r="158" spans="1:15">
      <c r="A158" s="19" t="s">
        <v>483</v>
      </c>
      <c r="B158" s="20" t="s">
        <v>484</v>
      </c>
      <c r="C158" s="19" t="s">
        <v>74</v>
      </c>
      <c r="D158" s="20"/>
      <c r="E158" s="3">
        <v>730744.86</v>
      </c>
      <c r="F158" s="24">
        <v>0.21468205742836152</v>
      </c>
      <c r="G158" s="26">
        <v>156877.81</v>
      </c>
      <c r="H158" t="s">
        <v>1806</v>
      </c>
      <c r="M158"/>
      <c r="O158"/>
    </row>
    <row r="159" spans="1:15">
      <c r="A159" s="13" t="s">
        <v>485</v>
      </c>
      <c r="B159" s="14" t="s">
        <v>486</v>
      </c>
      <c r="C159" s="15" t="s">
        <v>74</v>
      </c>
      <c r="D159" s="16"/>
      <c r="E159" s="2">
        <v>500595.68</v>
      </c>
      <c r="F159" s="23">
        <v>9.9043303769621033E-2</v>
      </c>
      <c r="G159" s="26">
        <v>49580.65</v>
      </c>
      <c r="H159" t="s">
        <v>1806</v>
      </c>
      <c r="M159"/>
      <c r="O159"/>
    </row>
    <row r="160" spans="1:15">
      <c r="A160" s="13" t="s">
        <v>493</v>
      </c>
      <c r="B160" s="22" t="s">
        <v>494</v>
      </c>
      <c r="C160" s="15" t="s">
        <v>74</v>
      </c>
      <c r="D160" s="16"/>
      <c r="E160" s="2">
        <v>2727743.71</v>
      </c>
      <c r="F160" s="23">
        <v>0.11512046342506276</v>
      </c>
      <c r="G160" s="26">
        <v>314019.12</v>
      </c>
      <c r="H160" t="s">
        <v>1806</v>
      </c>
      <c r="M160"/>
      <c r="O160"/>
    </row>
    <row r="161" spans="1:15">
      <c r="A161" s="15" t="s">
        <v>497</v>
      </c>
      <c r="B161" s="16" t="s">
        <v>498</v>
      </c>
      <c r="C161" s="15" t="s">
        <v>74</v>
      </c>
      <c r="D161" s="16"/>
      <c r="E161" s="2">
        <v>871404.8</v>
      </c>
      <c r="F161" s="23">
        <v>0.20709294922405752</v>
      </c>
      <c r="G161" s="26">
        <v>180461.79</v>
      </c>
      <c r="H161" t="s">
        <v>1806</v>
      </c>
      <c r="M161"/>
      <c r="O161"/>
    </row>
    <row r="162" spans="1:15">
      <c r="A162" s="17" t="s">
        <v>499</v>
      </c>
      <c r="B162" s="21" t="s">
        <v>309</v>
      </c>
      <c r="C162" s="19" t="s">
        <v>74</v>
      </c>
      <c r="D162" s="20"/>
      <c r="E162" s="3">
        <v>729230</v>
      </c>
      <c r="F162" s="24">
        <v>0</v>
      </c>
      <c r="G162" s="49">
        <v>0</v>
      </c>
      <c r="H162" t="s">
        <v>1806</v>
      </c>
      <c r="M162"/>
      <c r="O162"/>
    </row>
    <row r="163" spans="1:15">
      <c r="A163" s="13" t="s">
        <v>310</v>
      </c>
      <c r="B163" s="14" t="s">
        <v>311</v>
      </c>
      <c r="C163" s="15" t="s">
        <v>74</v>
      </c>
      <c r="D163" s="16"/>
      <c r="E163" s="2">
        <v>909606</v>
      </c>
      <c r="F163" s="23">
        <v>0</v>
      </c>
      <c r="G163" s="49">
        <v>0</v>
      </c>
      <c r="H163" t="s">
        <v>1806</v>
      </c>
      <c r="M163"/>
      <c r="O163"/>
    </row>
    <row r="164" spans="1:15">
      <c r="A164" s="19" t="s">
        <v>312</v>
      </c>
      <c r="B164" s="20" t="s">
        <v>313</v>
      </c>
      <c r="C164" s="19" t="s">
        <v>74</v>
      </c>
      <c r="D164" s="20"/>
      <c r="E164" s="3">
        <v>835934</v>
      </c>
      <c r="F164" s="24">
        <v>0</v>
      </c>
      <c r="G164" s="49">
        <v>0</v>
      </c>
      <c r="H164" t="s">
        <v>1806</v>
      </c>
      <c r="M164"/>
      <c r="O164"/>
    </row>
    <row r="165" spans="1:15">
      <c r="A165" s="13" t="s">
        <v>314</v>
      </c>
      <c r="B165" s="14" t="s">
        <v>315</v>
      </c>
      <c r="C165" s="15" t="s">
        <v>74</v>
      </c>
      <c r="D165" s="16"/>
      <c r="E165" s="2">
        <v>277522.46999999997</v>
      </c>
      <c r="F165" s="23">
        <v>5.8677987407650276E-2</v>
      </c>
      <c r="G165" s="49">
        <v>16284.46</v>
      </c>
      <c r="H165" t="s">
        <v>1806</v>
      </c>
      <c r="M165"/>
      <c r="O165"/>
    </row>
    <row r="166" spans="1:15">
      <c r="A166" s="17" t="s">
        <v>316</v>
      </c>
      <c r="B166" s="21" t="s">
        <v>317</v>
      </c>
      <c r="C166" s="19" t="s">
        <v>74</v>
      </c>
      <c r="D166" s="20"/>
      <c r="E166" s="3">
        <v>955114.24</v>
      </c>
      <c r="F166" s="24">
        <v>0.19715328503530635</v>
      </c>
      <c r="G166" s="49">
        <v>188303.91</v>
      </c>
      <c r="H166" t="s">
        <v>1806</v>
      </c>
      <c r="M166"/>
      <c r="O166"/>
    </row>
    <row r="167" spans="1:15">
      <c r="A167" s="15" t="s">
        <v>318</v>
      </c>
      <c r="B167" s="16" t="s">
        <v>319</v>
      </c>
      <c r="C167" s="15" t="s">
        <v>74</v>
      </c>
      <c r="D167" s="16"/>
      <c r="E167" s="2">
        <v>622949.76</v>
      </c>
      <c r="F167" s="23">
        <v>0.22184214341779346</v>
      </c>
      <c r="G167" s="49">
        <v>138196.51</v>
      </c>
      <c r="H167" t="s">
        <v>1806</v>
      </c>
      <c r="M167"/>
      <c r="O167"/>
    </row>
    <row r="168" spans="1:15">
      <c r="A168" s="13" t="s">
        <v>322</v>
      </c>
      <c r="B168" s="14" t="s">
        <v>323</v>
      </c>
      <c r="C168" s="15" t="s">
        <v>74</v>
      </c>
      <c r="D168" s="16"/>
      <c r="E168" s="2">
        <v>472096.61</v>
      </c>
      <c r="F168" s="23">
        <v>1.4138928046952085E-2</v>
      </c>
      <c r="G168" s="26">
        <v>6674.94</v>
      </c>
      <c r="H168" t="s">
        <v>1806</v>
      </c>
      <c r="M168"/>
      <c r="O168"/>
    </row>
    <row r="169" spans="1:15">
      <c r="A169" s="13" t="s">
        <v>326</v>
      </c>
      <c r="B169" s="14" t="s">
        <v>327</v>
      </c>
      <c r="C169" s="15" t="s">
        <v>74</v>
      </c>
      <c r="D169" s="16"/>
      <c r="E169" s="2">
        <v>1657794.01</v>
      </c>
      <c r="F169" s="23">
        <v>5.3875336417701258E-2</v>
      </c>
      <c r="G169" s="26">
        <v>89314.21</v>
      </c>
      <c r="H169" t="s">
        <v>1806</v>
      </c>
      <c r="M169"/>
      <c r="O169"/>
    </row>
    <row r="170" spans="1:15">
      <c r="A170" s="19" t="s">
        <v>328</v>
      </c>
      <c r="B170" s="20" t="s">
        <v>329</v>
      </c>
      <c r="C170" s="19" t="s">
        <v>74</v>
      </c>
      <c r="D170" s="20"/>
      <c r="E170" s="3">
        <v>1344443.63</v>
      </c>
      <c r="F170" s="24">
        <v>0.19911660409295109</v>
      </c>
      <c r="G170" s="26">
        <v>267701.05</v>
      </c>
      <c r="H170" t="s">
        <v>1806</v>
      </c>
      <c r="M170"/>
      <c r="O170"/>
    </row>
    <row r="171" spans="1:15">
      <c r="A171" s="13" t="s">
        <v>330</v>
      </c>
      <c r="B171" s="14" t="s">
        <v>331</v>
      </c>
      <c r="C171" s="15" t="s">
        <v>74</v>
      </c>
      <c r="D171" s="16"/>
      <c r="E171" s="2">
        <v>993537.32</v>
      </c>
      <c r="F171" s="23">
        <v>0.11661199601440236</v>
      </c>
      <c r="G171" s="26">
        <v>115858.37</v>
      </c>
      <c r="H171" t="s">
        <v>1806</v>
      </c>
      <c r="M171"/>
      <c r="O171"/>
    </row>
    <row r="172" spans="1:15">
      <c r="A172" s="13" t="s">
        <v>334</v>
      </c>
      <c r="B172" s="14" t="s">
        <v>335</v>
      </c>
      <c r="C172" s="15" t="s">
        <v>74</v>
      </c>
      <c r="D172" s="16"/>
      <c r="E172" s="2">
        <v>78367.070000000007</v>
      </c>
      <c r="F172" s="23">
        <v>0</v>
      </c>
      <c r="G172" s="26">
        <v>0</v>
      </c>
      <c r="H172" t="s">
        <v>1806</v>
      </c>
      <c r="M172"/>
      <c r="O172"/>
    </row>
    <row r="173" spans="1:15">
      <c r="A173" s="19" t="s">
        <v>340</v>
      </c>
      <c r="B173" s="20" t="s">
        <v>341</v>
      </c>
      <c r="C173" s="19" t="s">
        <v>74</v>
      </c>
      <c r="D173" s="20"/>
      <c r="E173" s="3">
        <v>1352791.03</v>
      </c>
      <c r="F173" s="24">
        <v>0.22176374129269619</v>
      </c>
      <c r="G173" s="26">
        <v>300000</v>
      </c>
      <c r="H173" t="s">
        <v>1806</v>
      </c>
      <c r="M173"/>
      <c r="O173"/>
    </row>
    <row r="174" spans="1:15">
      <c r="A174" s="17" t="s">
        <v>344</v>
      </c>
      <c r="B174" s="21" t="s">
        <v>345</v>
      </c>
      <c r="C174" s="19" t="s">
        <v>74</v>
      </c>
      <c r="D174" s="20"/>
      <c r="E174" s="3">
        <v>136036.79999999999</v>
      </c>
      <c r="F174" s="24">
        <v>0</v>
      </c>
      <c r="G174" s="26">
        <v>0</v>
      </c>
      <c r="H174" t="s">
        <v>1806</v>
      </c>
      <c r="M174"/>
      <c r="O174"/>
    </row>
    <row r="175" spans="1:15">
      <c r="A175" s="13" t="s">
        <v>346</v>
      </c>
      <c r="B175" s="14" t="s">
        <v>347</v>
      </c>
      <c r="C175" s="15" t="s">
        <v>74</v>
      </c>
      <c r="D175" s="16"/>
      <c r="E175" s="2">
        <v>925303.72</v>
      </c>
      <c r="F175" s="23">
        <v>0.18136205050596793</v>
      </c>
      <c r="G175" s="26">
        <v>167814.98</v>
      </c>
      <c r="H175" t="s">
        <v>1806</v>
      </c>
      <c r="M175"/>
      <c r="O175"/>
    </row>
    <row r="176" spans="1:15">
      <c r="A176" s="19" t="s">
        <v>348</v>
      </c>
      <c r="B176" s="20" t="s">
        <v>349</v>
      </c>
      <c r="C176" s="19" t="s">
        <v>74</v>
      </c>
      <c r="D176" s="20"/>
      <c r="E176" s="3">
        <v>1896048.52</v>
      </c>
      <c r="F176" s="24">
        <v>8.2384442355937174E-3</v>
      </c>
      <c r="G176" s="26">
        <v>15620.49</v>
      </c>
      <c r="H176" t="s">
        <v>1806</v>
      </c>
      <c r="M176"/>
      <c r="O176"/>
    </row>
    <row r="177" spans="1:15">
      <c r="A177" s="17" t="s">
        <v>352</v>
      </c>
      <c r="B177" s="21" t="s">
        <v>353</v>
      </c>
      <c r="C177" s="19" t="s">
        <v>74</v>
      </c>
      <c r="D177" s="20"/>
      <c r="E177" s="3">
        <v>2407551.4</v>
      </c>
      <c r="F177" s="24">
        <v>3.3214177691076499E-2</v>
      </c>
      <c r="G177" s="26">
        <v>79964.84</v>
      </c>
      <c r="H177" t="s">
        <v>1806</v>
      </c>
      <c r="M177"/>
      <c r="O177"/>
    </row>
    <row r="178" spans="1:15">
      <c r="A178" s="13" t="s">
        <v>354</v>
      </c>
      <c r="B178" s="14" t="s">
        <v>355</v>
      </c>
      <c r="C178" s="15" t="s">
        <v>74</v>
      </c>
      <c r="D178" s="16"/>
      <c r="E178" s="2">
        <v>1706352</v>
      </c>
      <c r="F178" s="23">
        <v>0.16425738651813926</v>
      </c>
      <c r="G178" s="26">
        <v>280280.92</v>
      </c>
      <c r="H178" t="s">
        <v>1806</v>
      </c>
      <c r="M178"/>
      <c r="O178"/>
    </row>
    <row r="179" spans="1:15">
      <c r="A179" s="19" t="s">
        <v>356</v>
      </c>
      <c r="B179" s="20" t="s">
        <v>357</v>
      </c>
      <c r="C179" s="19" t="s">
        <v>74</v>
      </c>
      <c r="D179" s="20"/>
      <c r="E179" s="3">
        <v>438809.74</v>
      </c>
      <c r="F179" s="24">
        <v>0</v>
      </c>
      <c r="G179" s="26">
        <v>0</v>
      </c>
      <c r="H179" t="s">
        <v>1806</v>
      </c>
      <c r="I179" t="s">
        <v>1820</v>
      </c>
      <c r="J179" t="s">
        <v>564</v>
      </c>
      <c r="M179"/>
      <c r="O179"/>
    </row>
    <row r="180" spans="1:15">
      <c r="A180" s="17" t="s">
        <v>1639</v>
      </c>
      <c r="B180" s="21" t="s">
        <v>1640</v>
      </c>
      <c r="C180" s="19" t="s">
        <v>74</v>
      </c>
      <c r="D180" s="20"/>
      <c r="E180" s="3">
        <v>867175.56</v>
      </c>
      <c r="F180" s="24">
        <v>0.13912026072321504</v>
      </c>
      <c r="G180" s="49">
        <v>120641.69000000002</v>
      </c>
      <c r="H180" t="s">
        <v>1806</v>
      </c>
      <c r="M180"/>
      <c r="O180"/>
    </row>
    <row r="181" spans="1:15">
      <c r="A181" s="13" t="s">
        <v>1641</v>
      </c>
      <c r="B181" s="14" t="s">
        <v>1642</v>
      </c>
      <c r="C181" s="15" t="s">
        <v>74</v>
      </c>
      <c r="D181" s="16"/>
      <c r="E181" s="2">
        <v>805177</v>
      </c>
      <c r="F181" s="23">
        <v>5.0083459910057047E-2</v>
      </c>
      <c r="G181" s="49">
        <v>40326.050000000003</v>
      </c>
      <c r="H181" t="s">
        <v>1806</v>
      </c>
      <c r="M181"/>
      <c r="O181"/>
    </row>
    <row r="182" spans="1:15">
      <c r="A182" s="15" t="s">
        <v>1645</v>
      </c>
      <c r="B182" s="16" t="s">
        <v>1646</v>
      </c>
      <c r="C182" s="15" t="s">
        <v>74</v>
      </c>
      <c r="D182" s="16"/>
      <c r="E182" s="2">
        <v>1644918.35</v>
      </c>
      <c r="F182" s="23">
        <v>0.16221267760797972</v>
      </c>
      <c r="G182" s="49">
        <v>266826.61</v>
      </c>
      <c r="H182" t="s">
        <v>1806</v>
      </c>
      <c r="M182"/>
      <c r="O182"/>
    </row>
    <row r="183" spans="1:15">
      <c r="A183" s="17" t="s">
        <v>1647</v>
      </c>
      <c r="B183" s="21" t="s">
        <v>1648</v>
      </c>
      <c r="C183" s="19" t="s">
        <v>74</v>
      </c>
      <c r="D183" s="20"/>
      <c r="E183" s="3">
        <v>1737044.91</v>
      </c>
      <c r="F183" s="24">
        <v>7.849498836503889E-2</v>
      </c>
      <c r="G183" s="49">
        <v>136349.32</v>
      </c>
      <c r="H183" t="s">
        <v>1806</v>
      </c>
      <c r="M183"/>
      <c r="O183"/>
    </row>
    <row r="184" spans="1:15">
      <c r="A184" s="13" t="s">
        <v>1649</v>
      </c>
      <c r="B184" s="14" t="s">
        <v>1650</v>
      </c>
      <c r="C184" s="15" t="s">
        <v>74</v>
      </c>
      <c r="D184" s="16"/>
      <c r="E184" s="2">
        <v>2277797.19</v>
      </c>
      <c r="F184" s="23">
        <v>4.5572946729291554E-2</v>
      </c>
      <c r="G184" s="49">
        <v>103805.93</v>
      </c>
      <c r="H184" t="s">
        <v>1806</v>
      </c>
      <c r="M184"/>
      <c r="O184"/>
    </row>
    <row r="185" spans="1:15">
      <c r="A185" s="15" t="s">
        <v>1653</v>
      </c>
      <c r="B185" s="16" t="s">
        <v>1654</v>
      </c>
      <c r="C185" s="15" t="s">
        <v>74</v>
      </c>
      <c r="D185" s="16"/>
      <c r="E185" s="2">
        <v>1580086.05</v>
      </c>
      <c r="F185" s="23">
        <v>0.13151531209328757</v>
      </c>
      <c r="G185" s="49">
        <v>207805.50999999998</v>
      </c>
      <c r="H185" t="s">
        <v>1806</v>
      </c>
      <c r="M185"/>
      <c r="O185"/>
    </row>
    <row r="186" spans="1:15">
      <c r="A186" s="17" t="s">
        <v>1655</v>
      </c>
      <c r="B186" s="21" t="s">
        <v>1656</v>
      </c>
      <c r="C186" s="19" t="s">
        <v>74</v>
      </c>
      <c r="D186" s="20"/>
      <c r="E186" s="3">
        <v>1793470.68</v>
      </c>
      <c r="F186" s="24">
        <v>9.6726276004690526E-2</v>
      </c>
      <c r="G186" s="26">
        <v>173475.74</v>
      </c>
      <c r="H186" t="s">
        <v>1806</v>
      </c>
      <c r="M186"/>
      <c r="O186"/>
    </row>
    <row r="187" spans="1:15">
      <c r="A187" s="13" t="s">
        <v>1657</v>
      </c>
      <c r="B187" s="14" t="s">
        <v>1658</v>
      </c>
      <c r="C187" s="15" t="s">
        <v>74</v>
      </c>
      <c r="D187" s="16"/>
      <c r="E187" s="2">
        <v>674599.83</v>
      </c>
      <c r="F187" s="23">
        <v>1.1168828785503845E-2</v>
      </c>
      <c r="G187" s="26">
        <v>7534.49</v>
      </c>
      <c r="H187" t="s">
        <v>1806</v>
      </c>
      <c r="M187"/>
      <c r="O187"/>
    </row>
    <row r="188" spans="1:15">
      <c r="A188" s="19" t="s">
        <v>1663</v>
      </c>
      <c r="B188" s="20" t="s">
        <v>1664</v>
      </c>
      <c r="C188" s="19" t="s">
        <v>74</v>
      </c>
      <c r="D188" s="20"/>
      <c r="E188" s="3">
        <v>973476.47</v>
      </c>
      <c r="F188" s="24">
        <v>0.20001901021808979</v>
      </c>
      <c r="G188" s="26">
        <v>194713.8</v>
      </c>
      <c r="H188" t="s">
        <v>1806</v>
      </c>
      <c r="M188"/>
      <c r="O188"/>
    </row>
    <row r="189" spans="1:15">
      <c r="A189" s="17" t="s">
        <v>1855</v>
      </c>
      <c r="B189" s="21" t="s">
        <v>1856</v>
      </c>
      <c r="C189" s="19" t="s">
        <v>74</v>
      </c>
      <c r="D189" s="20"/>
      <c r="E189" s="3">
        <v>949235.02</v>
      </c>
      <c r="F189" s="24">
        <v>0.27076150224630352</v>
      </c>
      <c r="G189" s="26">
        <v>257016.29999999996</v>
      </c>
      <c r="H189" t="s">
        <v>1806</v>
      </c>
      <c r="M189"/>
      <c r="O189"/>
    </row>
    <row r="190" spans="1:15">
      <c r="A190" s="17" t="s">
        <v>1859</v>
      </c>
      <c r="B190" s="21" t="s">
        <v>1860</v>
      </c>
      <c r="C190" s="19" t="s">
        <v>74</v>
      </c>
      <c r="D190" s="20"/>
      <c r="E190" s="3">
        <v>1312513.19</v>
      </c>
      <c r="F190" s="24">
        <v>5.2034364698460664E-2</v>
      </c>
      <c r="G190" s="26">
        <v>68295.789999999994</v>
      </c>
      <c r="H190" t="s">
        <v>1806</v>
      </c>
      <c r="M190"/>
      <c r="O190"/>
    </row>
    <row r="191" spans="1:15">
      <c r="A191" s="19" t="s">
        <v>1863</v>
      </c>
      <c r="B191" s="20" t="s">
        <v>1864</v>
      </c>
      <c r="C191" s="19" t="s">
        <v>74</v>
      </c>
      <c r="D191" s="20"/>
      <c r="E191" s="3">
        <v>1463370.03</v>
      </c>
      <c r="F191" s="24">
        <v>0.14335855299701605</v>
      </c>
      <c r="G191" s="26">
        <v>209786.61</v>
      </c>
      <c r="H191" t="s">
        <v>1806</v>
      </c>
      <c r="M191"/>
      <c r="O191"/>
    </row>
    <row r="192" spans="1:15">
      <c r="A192" s="13" t="s">
        <v>1865</v>
      </c>
      <c r="B192" s="14" t="s">
        <v>1866</v>
      </c>
      <c r="C192" s="15" t="s">
        <v>74</v>
      </c>
      <c r="D192" s="16"/>
      <c r="E192" s="2">
        <v>2894690.69</v>
      </c>
      <c r="F192" s="23">
        <v>0.14103832627450777</v>
      </c>
      <c r="G192" s="26">
        <v>408262.33</v>
      </c>
      <c r="H192" t="s">
        <v>1806</v>
      </c>
      <c r="M192"/>
      <c r="O192"/>
    </row>
    <row r="193" spans="1:15">
      <c r="A193" s="13" t="s">
        <v>1869</v>
      </c>
      <c r="B193" s="14" t="s">
        <v>1870</v>
      </c>
      <c r="C193" s="15" t="s">
        <v>74</v>
      </c>
      <c r="D193" s="16"/>
      <c r="E193" s="2">
        <v>2719630.44</v>
      </c>
      <c r="F193" s="23">
        <v>0.13022161569863883</v>
      </c>
      <c r="G193" s="26">
        <v>354154.67</v>
      </c>
      <c r="H193" t="s">
        <v>1806</v>
      </c>
      <c r="M193"/>
      <c r="O193"/>
    </row>
    <row r="194" spans="1:15">
      <c r="A194" s="19" t="s">
        <v>1871</v>
      </c>
      <c r="B194" s="20" t="s">
        <v>1872</v>
      </c>
      <c r="C194" s="19" t="s">
        <v>74</v>
      </c>
      <c r="D194" s="20"/>
      <c r="E194" s="3">
        <v>922346.06</v>
      </c>
      <c r="F194" s="24">
        <v>0.15874981891287093</v>
      </c>
      <c r="G194" s="26">
        <v>146422.26999999999</v>
      </c>
      <c r="H194" t="s">
        <v>1806</v>
      </c>
      <c r="M194"/>
      <c r="O194"/>
    </row>
    <row r="195" spans="1:15">
      <c r="A195" s="17" t="s">
        <v>1875</v>
      </c>
      <c r="B195" s="21" t="s">
        <v>1696</v>
      </c>
      <c r="C195" s="19" t="s">
        <v>74</v>
      </c>
      <c r="D195" s="20"/>
      <c r="E195" s="3">
        <v>1291038.96</v>
      </c>
      <c r="F195" s="24">
        <v>5.5828082833379401E-2</v>
      </c>
      <c r="G195" s="26">
        <v>72076.23</v>
      </c>
      <c r="H195" t="s">
        <v>1806</v>
      </c>
      <c r="M195"/>
      <c r="O195"/>
    </row>
    <row r="196" spans="1:15">
      <c r="A196" s="13" t="s">
        <v>1697</v>
      </c>
      <c r="B196" s="14" t="s">
        <v>1698</v>
      </c>
      <c r="C196" s="15" t="s">
        <v>74</v>
      </c>
      <c r="D196" s="16"/>
      <c r="E196" s="2">
        <v>639636.15</v>
      </c>
      <c r="F196" s="23">
        <v>0.15689955922597559</v>
      </c>
      <c r="G196" s="26">
        <v>100358.63000000002</v>
      </c>
      <c r="H196" t="s">
        <v>1806</v>
      </c>
      <c r="M196"/>
      <c r="O196"/>
    </row>
    <row r="197" spans="1:15">
      <c r="A197" s="19" t="s">
        <v>1699</v>
      </c>
      <c r="B197" s="20" t="s">
        <v>1700</v>
      </c>
      <c r="C197" s="19" t="s">
        <v>74</v>
      </c>
      <c r="D197" s="20"/>
      <c r="E197" s="3">
        <v>2482620.56</v>
      </c>
      <c r="F197" s="24">
        <v>0.12199308862567383</v>
      </c>
      <c r="G197" s="26">
        <v>302862.55</v>
      </c>
      <c r="H197" t="s">
        <v>1806</v>
      </c>
      <c r="M197"/>
      <c r="O197"/>
    </row>
    <row r="198" spans="1:15">
      <c r="A198" s="13" t="s">
        <v>1701</v>
      </c>
      <c r="B198" s="14" t="s">
        <v>1702</v>
      </c>
      <c r="C198" s="15" t="s">
        <v>74</v>
      </c>
      <c r="D198" s="16"/>
      <c r="E198" s="2">
        <v>49974484.530000001</v>
      </c>
      <c r="F198" s="23">
        <v>0.1031479867872486</v>
      </c>
      <c r="G198" s="49">
        <v>5154767.47</v>
      </c>
      <c r="H198" t="s">
        <v>1806</v>
      </c>
      <c r="M198"/>
      <c r="O198"/>
    </row>
    <row r="199" spans="1:15">
      <c r="A199" s="17" t="s">
        <v>1703</v>
      </c>
      <c r="B199" s="21" t="s">
        <v>1704</v>
      </c>
      <c r="C199" s="19" t="s">
        <v>74</v>
      </c>
      <c r="D199" s="20"/>
      <c r="E199" s="3">
        <v>1701855.85</v>
      </c>
      <c r="F199" s="24">
        <v>6.1973239390398428E-2</v>
      </c>
      <c r="G199" s="49">
        <v>105469.52</v>
      </c>
      <c r="H199" t="s">
        <v>1806</v>
      </c>
      <c r="M199"/>
      <c r="O199"/>
    </row>
    <row r="200" spans="1:15">
      <c r="A200" s="19" t="s">
        <v>1707</v>
      </c>
      <c r="B200" s="20" t="s">
        <v>1708</v>
      </c>
      <c r="C200" s="19" t="s">
        <v>74</v>
      </c>
      <c r="D200" s="20"/>
      <c r="E200" s="3">
        <v>2347787.5099999998</v>
      </c>
      <c r="F200" s="24">
        <v>5.6629434918494821E-2</v>
      </c>
      <c r="G200" s="49">
        <v>132953.88</v>
      </c>
      <c r="H200" t="s">
        <v>1806</v>
      </c>
      <c r="M200"/>
      <c r="O200"/>
    </row>
    <row r="201" spans="1:15">
      <c r="A201" s="13" t="s">
        <v>1709</v>
      </c>
      <c r="B201" s="14" t="s">
        <v>1710</v>
      </c>
      <c r="C201" s="15" t="s">
        <v>74</v>
      </c>
      <c r="D201" s="16"/>
      <c r="E201" s="2">
        <v>2980783.42</v>
      </c>
      <c r="F201" s="23">
        <v>0.15259541734836946</v>
      </c>
      <c r="G201" s="26">
        <v>454853.89</v>
      </c>
      <c r="H201" t="s">
        <v>1806</v>
      </c>
      <c r="M201"/>
      <c r="O201"/>
    </row>
    <row r="202" spans="1:15">
      <c r="A202" s="17" t="s">
        <v>1711</v>
      </c>
      <c r="B202" s="21" t="s">
        <v>1712</v>
      </c>
      <c r="C202" s="19" t="s">
        <v>74</v>
      </c>
      <c r="D202" s="20"/>
      <c r="E202" s="3">
        <v>4463813.6500000004</v>
      </c>
      <c r="F202" s="24">
        <v>0.22178399405181262</v>
      </c>
      <c r="G202" s="26">
        <v>990002.42</v>
      </c>
      <c r="H202" t="s">
        <v>1806</v>
      </c>
      <c r="M202"/>
      <c r="O202"/>
    </row>
    <row r="203" spans="1:15">
      <c r="A203" s="19" t="s">
        <v>1715</v>
      </c>
      <c r="B203" s="20" t="s">
        <v>1716</v>
      </c>
      <c r="C203" s="19" t="s">
        <v>74</v>
      </c>
      <c r="D203" s="20"/>
      <c r="E203" s="3">
        <v>2056941.76</v>
      </c>
      <c r="F203" s="24">
        <v>0.18271312163937981</v>
      </c>
      <c r="G203" s="26">
        <v>375830.25</v>
      </c>
      <c r="H203" t="s">
        <v>1806</v>
      </c>
      <c r="M203"/>
      <c r="O203"/>
    </row>
    <row r="204" spans="1:15">
      <c r="A204" s="13" t="s">
        <v>1717</v>
      </c>
      <c r="B204" s="14" t="s">
        <v>1718</v>
      </c>
      <c r="C204" s="15" t="s">
        <v>74</v>
      </c>
      <c r="D204" s="16"/>
      <c r="E204" s="2">
        <v>709915.45</v>
      </c>
      <c r="F204" s="23">
        <v>0.12277698703416021</v>
      </c>
      <c r="G204" s="26">
        <v>87161.279999999999</v>
      </c>
      <c r="H204" t="s">
        <v>1806</v>
      </c>
      <c r="M204"/>
      <c r="O204"/>
    </row>
    <row r="205" spans="1:15">
      <c r="A205" s="17" t="s">
        <v>1719</v>
      </c>
      <c r="B205" s="21" t="s">
        <v>1720</v>
      </c>
      <c r="C205" s="19" t="s">
        <v>74</v>
      </c>
      <c r="D205" s="20"/>
      <c r="E205" s="3">
        <v>5045707.8099999996</v>
      </c>
      <c r="F205" s="24">
        <v>0.17142412572637655</v>
      </c>
      <c r="G205" s="26">
        <v>864956.05</v>
      </c>
      <c r="H205" t="s">
        <v>1806</v>
      </c>
      <c r="M205"/>
      <c r="O205"/>
    </row>
    <row r="206" spans="1:15">
      <c r="A206" s="15" t="s">
        <v>1725</v>
      </c>
      <c r="B206" s="16" t="s">
        <v>1726</v>
      </c>
      <c r="C206" s="15" t="s">
        <v>74</v>
      </c>
      <c r="D206" s="16"/>
      <c r="E206" s="2">
        <v>4302445.7699999996</v>
      </c>
      <c r="F206" s="23">
        <v>0.12986794020648401</v>
      </c>
      <c r="G206" s="26">
        <v>558749.77</v>
      </c>
      <c r="H206" t="s">
        <v>1806</v>
      </c>
      <c r="M206"/>
      <c r="O206"/>
    </row>
    <row r="207" spans="1:15">
      <c r="A207" s="17" t="s">
        <v>1727</v>
      </c>
      <c r="B207" s="21" t="s">
        <v>1728</v>
      </c>
      <c r="C207" s="19" t="s">
        <v>74</v>
      </c>
      <c r="D207" s="20"/>
      <c r="E207" s="3">
        <v>3950938.05</v>
      </c>
      <c r="F207" s="24">
        <v>0.19057432955700229</v>
      </c>
      <c r="G207" s="26">
        <v>752947.37</v>
      </c>
      <c r="H207" t="s">
        <v>1806</v>
      </c>
      <c r="M207"/>
      <c r="O207"/>
    </row>
    <row r="208" spans="1:15">
      <c r="A208" s="17" t="s">
        <v>1735</v>
      </c>
      <c r="B208" s="21" t="s">
        <v>1736</v>
      </c>
      <c r="C208" s="19" t="s">
        <v>74</v>
      </c>
      <c r="D208" s="20"/>
      <c r="E208" s="3">
        <v>2527918.75</v>
      </c>
      <c r="F208" s="24">
        <v>6.666737212182948E-2</v>
      </c>
      <c r="G208" s="26">
        <v>168529.7</v>
      </c>
      <c r="H208" t="s">
        <v>1806</v>
      </c>
      <c r="M208"/>
      <c r="O208"/>
    </row>
    <row r="209" spans="1:15">
      <c r="A209" s="15" t="s">
        <v>1737</v>
      </c>
      <c r="B209" s="16" t="s">
        <v>1738</v>
      </c>
      <c r="C209" s="15" t="s">
        <v>74</v>
      </c>
      <c r="D209" s="16"/>
      <c r="E209" s="2">
        <v>2233116.7999999998</v>
      </c>
      <c r="F209" s="23">
        <v>6.379114160083342E-2</v>
      </c>
      <c r="G209" s="26">
        <v>142453.07</v>
      </c>
      <c r="H209" t="s">
        <v>1806</v>
      </c>
      <c r="M209"/>
      <c r="O209"/>
    </row>
    <row r="210" spans="1:15">
      <c r="A210" s="17" t="s">
        <v>1743</v>
      </c>
      <c r="B210" s="21" t="s">
        <v>1744</v>
      </c>
      <c r="C210" s="19" t="s">
        <v>74</v>
      </c>
      <c r="D210" s="20"/>
      <c r="E210" s="3">
        <v>3024077.79</v>
      </c>
      <c r="F210" s="24">
        <v>0.11852270837252504</v>
      </c>
      <c r="G210" s="26">
        <v>358421.89</v>
      </c>
      <c r="H210" t="s">
        <v>1806</v>
      </c>
      <c r="M210"/>
      <c r="O210"/>
    </row>
    <row r="211" spans="1:15">
      <c r="A211" s="13" t="s">
        <v>1745</v>
      </c>
      <c r="B211" s="14" t="s">
        <v>1746</v>
      </c>
      <c r="C211" s="15" t="s">
        <v>74</v>
      </c>
      <c r="D211" s="16"/>
      <c r="E211" s="2">
        <v>1550833.98</v>
      </c>
      <c r="F211" s="23">
        <v>9.1631478180533549E-2</v>
      </c>
      <c r="G211" s="26">
        <v>142105.21</v>
      </c>
      <c r="H211" t="s">
        <v>1806</v>
      </c>
      <c r="M211"/>
      <c r="O211"/>
    </row>
    <row r="212" spans="1:15">
      <c r="A212" s="15" t="s">
        <v>1749</v>
      </c>
      <c r="B212" s="16" t="s">
        <v>1750</v>
      </c>
      <c r="C212" s="15" t="s">
        <v>74</v>
      </c>
      <c r="D212" s="16"/>
      <c r="E212" s="2">
        <v>746521.86</v>
      </c>
      <c r="F212" s="23">
        <v>0.16504900472706854</v>
      </c>
      <c r="G212" s="26">
        <v>123212.69</v>
      </c>
      <c r="H212" t="s">
        <v>1806</v>
      </c>
      <c r="K212" t="s">
        <v>1810</v>
      </c>
      <c r="M212"/>
      <c r="O212"/>
    </row>
    <row r="213" spans="1:15">
      <c r="A213" s="17" t="s">
        <v>1751</v>
      </c>
      <c r="B213" s="21" t="s">
        <v>1752</v>
      </c>
      <c r="C213" s="19" t="s">
        <v>74</v>
      </c>
      <c r="D213" s="20"/>
      <c r="E213" s="3">
        <v>3533925.97</v>
      </c>
      <c r="F213" s="24">
        <v>5.9494257034478845E-2</v>
      </c>
      <c r="G213" s="26">
        <v>210248.3</v>
      </c>
      <c r="H213" t="s">
        <v>1806</v>
      </c>
      <c r="M213"/>
      <c r="O213"/>
    </row>
    <row r="214" spans="1:15">
      <c r="A214" s="17" t="s">
        <v>1755</v>
      </c>
      <c r="B214" s="21" t="s">
        <v>1756</v>
      </c>
      <c r="C214" s="19" t="s">
        <v>74</v>
      </c>
      <c r="D214" s="20"/>
      <c r="E214" s="3">
        <v>1219242.3500000001</v>
      </c>
      <c r="F214" s="24">
        <v>0</v>
      </c>
      <c r="G214" s="26">
        <v>0</v>
      </c>
      <c r="H214" t="s">
        <v>1806</v>
      </c>
      <c r="M214"/>
      <c r="O214"/>
    </row>
    <row r="215" spans="1:15">
      <c r="A215" s="15" t="s">
        <v>1757</v>
      </c>
      <c r="B215" s="16" t="s">
        <v>1758</v>
      </c>
      <c r="C215" s="15" t="s">
        <v>74</v>
      </c>
      <c r="D215" s="16"/>
      <c r="E215" s="2">
        <v>4203286.54</v>
      </c>
      <c r="F215" s="23">
        <v>0.20300663822933185</v>
      </c>
      <c r="G215" s="26">
        <v>853295.07</v>
      </c>
      <c r="H215" t="s">
        <v>1806</v>
      </c>
      <c r="M215"/>
      <c r="O215"/>
    </row>
    <row r="216" spans="1:15">
      <c r="A216" s="17" t="s">
        <v>1759</v>
      </c>
      <c r="B216" s="21" t="s">
        <v>1922</v>
      </c>
      <c r="C216" s="19" t="s">
        <v>74</v>
      </c>
      <c r="D216" s="20"/>
      <c r="E216" s="3">
        <v>2927835.44</v>
      </c>
      <c r="F216" s="24">
        <v>0.16162482478865001</v>
      </c>
      <c r="G216" s="26">
        <v>473210.89</v>
      </c>
      <c r="H216" t="s">
        <v>1806</v>
      </c>
      <c r="M216"/>
      <c r="O216"/>
    </row>
    <row r="217" spans="1:15">
      <c r="A217" s="13" t="s">
        <v>1923</v>
      </c>
      <c r="B217" s="22" t="s">
        <v>1924</v>
      </c>
      <c r="C217" s="15" t="s">
        <v>74</v>
      </c>
      <c r="D217" s="16"/>
      <c r="E217" s="2">
        <v>8128870.4800000004</v>
      </c>
      <c r="F217" s="23">
        <v>0.18570261928936527</v>
      </c>
      <c r="G217" s="26">
        <v>1509552.54</v>
      </c>
      <c r="H217" t="s">
        <v>1806</v>
      </c>
      <c r="M217"/>
      <c r="O217"/>
    </row>
    <row r="218" spans="1:15">
      <c r="A218" s="15" t="s">
        <v>1927</v>
      </c>
      <c r="B218" s="16" t="s">
        <v>1928</v>
      </c>
      <c r="C218" s="15" t="s">
        <v>74</v>
      </c>
      <c r="D218" s="16"/>
      <c r="E218" s="2">
        <v>4620528.58</v>
      </c>
      <c r="F218" s="23">
        <v>0</v>
      </c>
      <c r="G218" s="26">
        <v>0</v>
      </c>
      <c r="H218" t="s">
        <v>1806</v>
      </c>
      <c r="M218"/>
      <c r="O218"/>
    </row>
    <row r="219" spans="1:15">
      <c r="A219" s="17" t="s">
        <v>1929</v>
      </c>
      <c r="B219" s="21" t="s">
        <v>1930</v>
      </c>
      <c r="C219" s="19" t="s">
        <v>74</v>
      </c>
      <c r="D219" s="20"/>
      <c r="E219" s="3">
        <v>2616268.66</v>
      </c>
      <c r="F219" s="24">
        <v>1.9502668353639185E-2</v>
      </c>
      <c r="G219" s="26">
        <v>51024.22</v>
      </c>
      <c r="H219" t="s">
        <v>1811</v>
      </c>
      <c r="M219"/>
      <c r="O219"/>
    </row>
    <row r="220" spans="1:15">
      <c r="A220" s="13" t="s">
        <v>1931</v>
      </c>
      <c r="B220" s="14" t="s">
        <v>1932</v>
      </c>
      <c r="C220" s="15" t="s">
        <v>74</v>
      </c>
      <c r="D220" s="16"/>
      <c r="E220" s="2">
        <v>1380421.68</v>
      </c>
      <c r="F220" s="23">
        <v>0.18091291495798589</v>
      </c>
      <c r="G220" s="26">
        <v>249736.11000000002</v>
      </c>
      <c r="H220" t="s">
        <v>1806</v>
      </c>
      <c r="M220"/>
      <c r="O220"/>
    </row>
    <row r="221" spans="1:15">
      <c r="A221" s="19" t="s">
        <v>1933</v>
      </c>
      <c r="B221" s="20" t="s">
        <v>1934</v>
      </c>
      <c r="C221" s="19" t="s">
        <v>74</v>
      </c>
      <c r="D221" s="20"/>
      <c r="E221" s="3">
        <v>1343802.3</v>
      </c>
      <c r="F221" s="24">
        <v>0.17313695623232672</v>
      </c>
      <c r="G221" s="26">
        <v>232661.84</v>
      </c>
      <c r="H221" t="s">
        <v>1806</v>
      </c>
      <c r="M221"/>
      <c r="O221"/>
    </row>
    <row r="222" spans="1:15">
      <c r="A222" s="17" t="s">
        <v>1941</v>
      </c>
      <c r="B222" s="18" t="s">
        <v>1942</v>
      </c>
      <c r="C222" s="19" t="s">
        <v>74</v>
      </c>
      <c r="D222" s="20"/>
      <c r="E222" s="3">
        <v>2793895.69</v>
      </c>
      <c r="F222" s="24">
        <v>0.13712851248215355</v>
      </c>
      <c r="G222" s="26">
        <v>383122.76</v>
      </c>
      <c r="H222" t="s">
        <v>1806</v>
      </c>
      <c r="M222"/>
      <c r="O222"/>
    </row>
    <row r="223" spans="1:15">
      <c r="A223" s="13" t="s">
        <v>1943</v>
      </c>
      <c r="B223" s="22" t="s">
        <v>1789</v>
      </c>
      <c r="C223" s="15" t="s">
        <v>74</v>
      </c>
      <c r="D223" s="16"/>
      <c r="E223" s="2">
        <v>2054278.26</v>
      </c>
      <c r="F223" s="23">
        <v>0.13900974155273396</v>
      </c>
      <c r="G223" s="26">
        <v>285564.69</v>
      </c>
      <c r="H223" t="s">
        <v>1806</v>
      </c>
      <c r="M223"/>
      <c r="O223"/>
    </row>
    <row r="224" spans="1:15">
      <c r="A224" s="15" t="s">
        <v>1792</v>
      </c>
      <c r="B224" s="16" t="s">
        <v>1793</v>
      </c>
      <c r="C224" s="15" t="s">
        <v>74</v>
      </c>
      <c r="D224" s="16"/>
      <c r="E224" s="2">
        <v>1750555.55</v>
      </c>
      <c r="F224" s="23">
        <v>5.6608075076509286E-2</v>
      </c>
      <c r="G224" s="26">
        <v>99095.58</v>
      </c>
      <c r="H224" t="s">
        <v>1806</v>
      </c>
      <c r="M224"/>
      <c r="O224"/>
    </row>
    <row r="225" spans="1:15">
      <c r="A225" s="17" t="s">
        <v>1794</v>
      </c>
      <c r="B225" s="18" t="s">
        <v>1795</v>
      </c>
      <c r="C225" s="19" t="s">
        <v>74</v>
      </c>
      <c r="D225" s="20"/>
      <c r="E225" s="3">
        <v>1600815.32</v>
      </c>
      <c r="F225" s="24">
        <v>0.33200205130470639</v>
      </c>
      <c r="G225" s="26">
        <v>531473.97</v>
      </c>
      <c r="H225" t="s">
        <v>1806</v>
      </c>
      <c r="M225"/>
      <c r="O225"/>
    </row>
    <row r="226" spans="1:15">
      <c r="A226" s="13" t="s">
        <v>122</v>
      </c>
      <c r="B226" s="22" t="s">
        <v>123</v>
      </c>
      <c r="C226" s="15" t="s">
        <v>74</v>
      </c>
      <c r="D226" s="16"/>
      <c r="E226" s="2">
        <v>1522117.94</v>
      </c>
      <c r="F226" s="23">
        <v>5.6285231090568447E-2</v>
      </c>
      <c r="G226" s="26">
        <v>85672.76</v>
      </c>
      <c r="H226" t="s">
        <v>1806</v>
      </c>
      <c r="M226"/>
      <c r="O226"/>
    </row>
    <row r="227" spans="1:15">
      <c r="A227" s="19" t="s">
        <v>124</v>
      </c>
      <c r="B227" s="20" t="s">
        <v>125</v>
      </c>
      <c r="C227" s="19" t="s">
        <v>74</v>
      </c>
      <c r="D227" s="20"/>
      <c r="E227" s="3">
        <v>1987947.22</v>
      </c>
      <c r="F227" s="24">
        <v>6.6539342025388387E-2</v>
      </c>
      <c r="G227" s="26">
        <v>132276.70000000001</v>
      </c>
      <c r="H227" t="s">
        <v>1806</v>
      </c>
      <c r="M227"/>
      <c r="O227"/>
    </row>
    <row r="228" spans="1:15">
      <c r="A228" s="13" t="s">
        <v>126</v>
      </c>
      <c r="B228" s="22" t="s">
        <v>127</v>
      </c>
      <c r="C228" s="15" t="s">
        <v>74</v>
      </c>
      <c r="D228" s="16"/>
      <c r="E228" s="2">
        <v>727034.75</v>
      </c>
      <c r="F228" s="23">
        <v>0.11756560467020317</v>
      </c>
      <c r="G228" s="26">
        <v>85474.28</v>
      </c>
      <c r="H228" t="s">
        <v>1806</v>
      </c>
      <c r="M228"/>
      <c r="O228"/>
    </row>
    <row r="229" spans="1:15">
      <c r="A229" s="17" t="s">
        <v>128</v>
      </c>
      <c r="B229" s="18" t="s">
        <v>129</v>
      </c>
      <c r="C229" s="19" t="s">
        <v>74</v>
      </c>
      <c r="D229" s="20"/>
      <c r="E229" s="3">
        <v>795520.66</v>
      </c>
      <c r="F229" s="24">
        <v>0.19526981235157362</v>
      </c>
      <c r="G229" s="26">
        <v>155341.17000000001</v>
      </c>
      <c r="H229" t="s">
        <v>1806</v>
      </c>
      <c r="M229"/>
      <c r="O229"/>
    </row>
    <row r="230" spans="1:15">
      <c r="A230" s="15" t="s">
        <v>130</v>
      </c>
      <c r="B230" s="16" t="s">
        <v>131</v>
      </c>
      <c r="C230" s="15" t="s">
        <v>74</v>
      </c>
      <c r="D230" s="16"/>
      <c r="E230" s="2">
        <v>736232.83</v>
      </c>
      <c r="F230" s="23">
        <v>0.14003743897158186</v>
      </c>
      <c r="G230" s="26">
        <v>103100.15999999999</v>
      </c>
      <c r="H230" t="s">
        <v>1806</v>
      </c>
      <c r="M230"/>
      <c r="O230"/>
    </row>
    <row r="231" spans="1:15">
      <c r="A231" s="17" t="s">
        <v>132</v>
      </c>
      <c r="B231" s="18" t="s">
        <v>133</v>
      </c>
      <c r="C231" s="19" t="s">
        <v>74</v>
      </c>
      <c r="D231" s="20"/>
      <c r="E231" s="3">
        <v>21756296.379999999</v>
      </c>
      <c r="F231" s="24">
        <v>6.6969292224727459E-2</v>
      </c>
      <c r="G231" s="26">
        <v>1457003.77</v>
      </c>
      <c r="H231" t="s">
        <v>1806</v>
      </c>
      <c r="M231"/>
      <c r="O231"/>
    </row>
    <row r="232" spans="1:15">
      <c r="A232" s="17" t="s">
        <v>136</v>
      </c>
      <c r="B232" s="18" t="s">
        <v>137</v>
      </c>
      <c r="C232" s="19" t="s">
        <v>74</v>
      </c>
      <c r="D232" s="20"/>
      <c r="E232" s="3">
        <v>1732192.7</v>
      </c>
      <c r="F232" s="24">
        <v>0.17202759831512973</v>
      </c>
      <c r="G232" s="26">
        <v>297984.95</v>
      </c>
      <c r="H232" t="s">
        <v>1806</v>
      </c>
      <c r="M232"/>
      <c r="O232"/>
    </row>
    <row r="233" spans="1:15">
      <c r="A233" s="19" t="s">
        <v>1</v>
      </c>
      <c r="B233" s="20" t="s">
        <v>2</v>
      </c>
      <c r="C233" s="19" t="s">
        <v>74</v>
      </c>
      <c r="D233" s="20"/>
      <c r="E233" s="3">
        <v>2018903.89</v>
      </c>
      <c r="F233" s="24">
        <v>8.1200279424891303E-2</v>
      </c>
      <c r="G233" s="26">
        <v>163935.56</v>
      </c>
      <c r="H233" t="s">
        <v>1806</v>
      </c>
      <c r="M233"/>
      <c r="O233"/>
    </row>
    <row r="234" spans="1:15">
      <c r="A234" s="13" t="s">
        <v>3</v>
      </c>
      <c r="B234" s="22" t="s">
        <v>4</v>
      </c>
      <c r="C234" s="15" t="s">
        <v>74</v>
      </c>
      <c r="D234" s="16"/>
      <c r="E234" s="2">
        <v>1839838.57</v>
      </c>
      <c r="F234" s="23">
        <v>0.17492519465987713</v>
      </c>
      <c r="G234" s="26">
        <v>321834.12</v>
      </c>
      <c r="H234" t="s">
        <v>1806</v>
      </c>
      <c r="M234"/>
      <c r="O234"/>
    </row>
    <row r="235" spans="1:15">
      <c r="A235" s="17" t="s">
        <v>5</v>
      </c>
      <c r="B235" s="18" t="s">
        <v>6</v>
      </c>
      <c r="C235" s="19" t="s">
        <v>74</v>
      </c>
      <c r="D235" s="20"/>
      <c r="E235" s="3">
        <v>1683615.61</v>
      </c>
      <c r="F235" s="24">
        <v>0.18092865033485878</v>
      </c>
      <c r="G235" s="26">
        <v>304614.3</v>
      </c>
      <c r="H235" t="s">
        <v>1806</v>
      </c>
      <c r="M235"/>
      <c r="O235"/>
    </row>
    <row r="236" spans="1:15">
      <c r="A236" s="15" t="s">
        <v>7</v>
      </c>
      <c r="B236" s="16" t="s">
        <v>8</v>
      </c>
      <c r="C236" s="15" t="s">
        <v>74</v>
      </c>
      <c r="D236" s="16"/>
      <c r="E236" s="2">
        <v>3812153.02</v>
      </c>
      <c r="F236" s="23">
        <v>0.10399849584212126</v>
      </c>
      <c r="G236" s="26">
        <v>396458.18</v>
      </c>
      <c r="H236" t="s">
        <v>1806</v>
      </c>
      <c r="M236"/>
      <c r="O236"/>
    </row>
    <row r="237" spans="1:15">
      <c r="A237" s="17" t="s">
        <v>9</v>
      </c>
      <c r="B237" s="18" t="s">
        <v>10</v>
      </c>
      <c r="C237" s="19" t="s">
        <v>74</v>
      </c>
      <c r="D237" s="20"/>
      <c r="E237" s="3">
        <v>2756615</v>
      </c>
      <c r="F237" s="24">
        <v>0</v>
      </c>
      <c r="G237" s="26">
        <v>0</v>
      </c>
      <c r="H237" t="s">
        <v>1806</v>
      </c>
      <c r="K237" t="s">
        <v>1810</v>
      </c>
      <c r="M237"/>
      <c r="O237"/>
    </row>
    <row r="238" spans="1:15">
      <c r="A238" s="13" t="s">
        <v>11</v>
      </c>
      <c r="B238" s="22" t="s">
        <v>12</v>
      </c>
      <c r="C238" s="15" t="s">
        <v>74</v>
      </c>
      <c r="D238" s="16"/>
      <c r="E238" s="2">
        <v>2296101</v>
      </c>
      <c r="F238" s="23">
        <v>0</v>
      </c>
      <c r="G238" s="26">
        <v>0</v>
      </c>
      <c r="H238" t="s">
        <v>1806</v>
      </c>
      <c r="M238"/>
      <c r="O238"/>
    </row>
    <row r="239" spans="1:15">
      <c r="A239" s="19" t="s">
        <v>13</v>
      </c>
      <c r="B239" s="20" t="s">
        <v>14</v>
      </c>
      <c r="C239" s="19" t="s">
        <v>74</v>
      </c>
      <c r="D239" s="20"/>
      <c r="E239" s="3">
        <v>1521089.34</v>
      </c>
      <c r="F239" s="24">
        <v>3.6797661076238948E-2</v>
      </c>
      <c r="G239" s="26">
        <v>55972.529999999992</v>
      </c>
      <c r="H239" t="s">
        <v>1811</v>
      </c>
      <c r="M239"/>
      <c r="O239"/>
    </row>
    <row r="240" spans="1:15">
      <c r="A240" s="13" t="s">
        <v>15</v>
      </c>
      <c r="B240" s="22" t="s">
        <v>16</v>
      </c>
      <c r="C240" s="15" t="s">
        <v>74</v>
      </c>
      <c r="D240" s="16"/>
      <c r="E240" s="2">
        <v>8804908.7200000007</v>
      </c>
      <c r="F240" s="23">
        <v>5.2676760742160197E-2</v>
      </c>
      <c r="G240" s="26">
        <v>463814.07</v>
      </c>
      <c r="H240" t="s">
        <v>1806</v>
      </c>
      <c r="M240"/>
      <c r="O240"/>
    </row>
    <row r="241" spans="1:15">
      <c r="A241" s="13" t="s">
        <v>23</v>
      </c>
      <c r="B241" s="22" t="s">
        <v>24</v>
      </c>
      <c r="C241" s="15" t="s">
        <v>74</v>
      </c>
      <c r="D241" s="16"/>
      <c r="E241" s="2">
        <v>662280.16</v>
      </c>
      <c r="F241" s="23">
        <v>0.1853691948132645</v>
      </c>
      <c r="G241" s="26">
        <v>122766.33999999998</v>
      </c>
      <c r="H241" t="s">
        <v>1806</v>
      </c>
      <c r="M241"/>
      <c r="O241"/>
    </row>
    <row r="242" spans="1:15">
      <c r="A242" s="15" t="s">
        <v>27</v>
      </c>
      <c r="B242" s="16" t="s">
        <v>28</v>
      </c>
      <c r="C242" s="15" t="s">
        <v>74</v>
      </c>
      <c r="D242" s="16"/>
      <c r="E242" s="2">
        <v>17351899.23</v>
      </c>
      <c r="F242" s="23">
        <v>7.5522049352058154E-2</v>
      </c>
      <c r="G242" s="26">
        <v>1310450.99</v>
      </c>
      <c r="H242" t="s">
        <v>1806</v>
      </c>
      <c r="M242"/>
      <c r="O242"/>
    </row>
    <row r="243" spans="1:15">
      <c r="A243" s="17" t="s">
        <v>29</v>
      </c>
      <c r="B243" s="18" t="s">
        <v>30</v>
      </c>
      <c r="C243" s="19" t="s">
        <v>74</v>
      </c>
      <c r="D243" s="20"/>
      <c r="E243" s="3">
        <v>791513.88</v>
      </c>
      <c r="F243" s="24">
        <v>0</v>
      </c>
      <c r="G243" s="26">
        <v>0</v>
      </c>
      <c r="H243" t="s">
        <v>1806</v>
      </c>
      <c r="M243"/>
      <c r="O243"/>
    </row>
    <row r="244" spans="1:15">
      <c r="A244" s="17" t="s">
        <v>33</v>
      </c>
      <c r="B244" s="18" t="s">
        <v>34</v>
      </c>
      <c r="C244" s="19" t="s">
        <v>74</v>
      </c>
      <c r="D244" s="20"/>
      <c r="E244" s="3">
        <v>623936.73</v>
      </c>
      <c r="F244" s="24">
        <v>0.1178292548989703</v>
      </c>
      <c r="G244" s="26">
        <v>73518</v>
      </c>
      <c r="H244" t="s">
        <v>1806</v>
      </c>
      <c r="M244"/>
      <c r="O244"/>
    </row>
    <row r="245" spans="1:15">
      <c r="A245" s="19" t="s">
        <v>41</v>
      </c>
      <c r="B245" s="20" t="s">
        <v>42</v>
      </c>
      <c r="C245" s="19" t="s">
        <v>74</v>
      </c>
      <c r="D245" s="20"/>
      <c r="E245" s="3">
        <v>1025480.56</v>
      </c>
      <c r="F245" s="24">
        <v>0.14559067799393485</v>
      </c>
      <c r="G245" s="26">
        <v>149300.41</v>
      </c>
      <c r="H245" t="s">
        <v>1806</v>
      </c>
      <c r="M245"/>
      <c r="O245"/>
    </row>
    <row r="246" spans="1:15">
      <c r="A246" s="13" t="s">
        <v>43</v>
      </c>
      <c r="B246" s="22" t="s">
        <v>44</v>
      </c>
      <c r="C246" s="15" t="s">
        <v>74</v>
      </c>
      <c r="D246" s="16"/>
      <c r="E246" s="2">
        <v>1754400.96</v>
      </c>
      <c r="F246" s="23">
        <v>0.18243149502152575</v>
      </c>
      <c r="G246" s="26">
        <v>320057.99</v>
      </c>
      <c r="H246" t="s">
        <v>1806</v>
      </c>
      <c r="M246"/>
      <c r="O246"/>
    </row>
    <row r="247" spans="1:15">
      <c r="A247" s="13" t="s">
        <v>47</v>
      </c>
      <c r="B247" s="22" t="s">
        <v>48</v>
      </c>
      <c r="C247" s="15" t="s">
        <v>74</v>
      </c>
      <c r="D247" s="16"/>
      <c r="E247" s="2">
        <v>10894740.27</v>
      </c>
      <c r="F247" s="23">
        <v>9.6916223226311035E-2</v>
      </c>
      <c r="G247" s="26">
        <v>1055877.08</v>
      </c>
      <c r="H247" t="s">
        <v>1811</v>
      </c>
      <c r="M247"/>
      <c r="O247"/>
    </row>
    <row r="248" spans="1:15">
      <c r="A248" s="19" t="s">
        <v>49</v>
      </c>
      <c r="B248" s="20" t="s">
        <v>50</v>
      </c>
      <c r="C248" s="19" t="s">
        <v>74</v>
      </c>
      <c r="D248" s="20"/>
      <c r="E248" s="3">
        <v>836251.4</v>
      </c>
      <c r="F248" s="24">
        <v>0.1554765349271762</v>
      </c>
      <c r="G248" s="26">
        <v>130017.47</v>
      </c>
      <c r="H248" t="s">
        <v>1806</v>
      </c>
      <c r="M248"/>
      <c r="O248"/>
    </row>
    <row r="249" spans="1:15">
      <c r="A249" s="13" t="s">
        <v>51</v>
      </c>
      <c r="B249" s="22" t="s">
        <v>52</v>
      </c>
      <c r="C249" s="15" t="s">
        <v>74</v>
      </c>
      <c r="D249" s="16"/>
      <c r="E249" s="2">
        <v>1355978.32</v>
      </c>
      <c r="F249" s="23">
        <v>0.16278417342247772</v>
      </c>
      <c r="G249" s="26">
        <v>220731.81</v>
      </c>
      <c r="H249" t="s">
        <v>1806</v>
      </c>
      <c r="M249"/>
      <c r="O249"/>
    </row>
    <row r="250" spans="1:15">
      <c r="A250" s="13" t="s">
        <v>55</v>
      </c>
      <c r="B250" s="22" t="s">
        <v>56</v>
      </c>
      <c r="C250" s="15" t="s">
        <v>74</v>
      </c>
      <c r="D250" s="16"/>
      <c r="E250" s="2">
        <v>1289786.07</v>
      </c>
      <c r="F250" s="23">
        <v>6.2746382429141906E-2</v>
      </c>
      <c r="G250" s="26">
        <v>80929.41</v>
      </c>
      <c r="H250" t="s">
        <v>1806</v>
      </c>
      <c r="K250" t="s">
        <v>1810</v>
      </c>
      <c r="M250"/>
      <c r="O250"/>
    </row>
    <row r="251" spans="1:15">
      <c r="A251" s="19" t="s">
        <v>57</v>
      </c>
      <c r="B251" s="20" t="s">
        <v>58</v>
      </c>
      <c r="C251" s="19" t="s">
        <v>74</v>
      </c>
      <c r="D251" s="20"/>
      <c r="E251" s="3">
        <v>2152877.73</v>
      </c>
      <c r="F251" s="24">
        <v>0.10892485752082168</v>
      </c>
      <c r="G251" s="26">
        <v>234501.9</v>
      </c>
      <c r="H251" t="s">
        <v>1806</v>
      </c>
      <c r="M251"/>
      <c r="O251"/>
    </row>
    <row r="252" spans="1:15">
      <c r="A252" s="13" t="s">
        <v>59</v>
      </c>
      <c r="B252" s="22" t="s">
        <v>60</v>
      </c>
      <c r="C252" s="15" t="s">
        <v>74</v>
      </c>
      <c r="D252" s="16"/>
      <c r="E252" s="2">
        <v>1588994.83</v>
      </c>
      <c r="F252" s="23">
        <v>0.17262963026758243</v>
      </c>
      <c r="G252" s="26">
        <v>274307.59000000003</v>
      </c>
      <c r="H252" t="s">
        <v>1806</v>
      </c>
      <c r="M252"/>
      <c r="O252"/>
    </row>
    <row r="253" spans="1:15">
      <c r="A253" s="17" t="s">
        <v>61</v>
      </c>
      <c r="B253" s="18" t="s">
        <v>62</v>
      </c>
      <c r="C253" s="19" t="s">
        <v>74</v>
      </c>
      <c r="D253" s="20"/>
      <c r="E253" s="3">
        <v>2560052.65</v>
      </c>
      <c r="F253" s="24">
        <v>0.1686791090019184</v>
      </c>
      <c r="G253" s="26">
        <v>431827.4</v>
      </c>
      <c r="H253" t="s">
        <v>1806</v>
      </c>
      <c r="M253"/>
      <c r="O253"/>
    </row>
    <row r="254" spans="1:15">
      <c r="A254" s="15" t="s">
        <v>205</v>
      </c>
      <c r="B254" s="16" t="s">
        <v>206</v>
      </c>
      <c r="C254" s="15" t="s">
        <v>74</v>
      </c>
      <c r="D254" s="16"/>
      <c r="E254" s="2">
        <v>3148831.49</v>
      </c>
      <c r="F254" s="23">
        <v>0.14116372102211161</v>
      </c>
      <c r="G254" s="26">
        <v>444500.77000000008</v>
      </c>
      <c r="H254" t="s">
        <v>1806</v>
      </c>
      <c r="M254"/>
      <c r="O254"/>
    </row>
    <row r="255" spans="1:15">
      <c r="A255" s="17" t="s">
        <v>207</v>
      </c>
      <c r="B255" s="18" t="s">
        <v>208</v>
      </c>
      <c r="C255" s="19" t="s">
        <v>74</v>
      </c>
      <c r="D255" s="20"/>
      <c r="E255" s="3">
        <v>1249926.6000000001</v>
      </c>
      <c r="F255" s="24">
        <v>0.22828115666951962</v>
      </c>
      <c r="G255" s="26">
        <v>285334.69</v>
      </c>
      <c r="H255" t="s">
        <v>1806</v>
      </c>
      <c r="I255" t="s">
        <v>1820</v>
      </c>
      <c r="J255" t="s">
        <v>1828</v>
      </c>
      <c r="M255"/>
      <c r="O255"/>
    </row>
    <row r="256" spans="1:15">
      <c r="A256" s="13" t="s">
        <v>209</v>
      </c>
      <c r="B256" s="22" t="s">
        <v>210</v>
      </c>
      <c r="C256" s="15" t="s">
        <v>74</v>
      </c>
      <c r="D256" s="16"/>
      <c r="E256" s="2">
        <v>1475188.06</v>
      </c>
      <c r="F256" s="23">
        <v>0.17401295262652816</v>
      </c>
      <c r="G256" s="26">
        <v>256701.83</v>
      </c>
      <c r="H256" t="s">
        <v>1806</v>
      </c>
      <c r="M256"/>
      <c r="O256"/>
    </row>
    <row r="257" spans="1:15">
      <c r="A257" s="19" t="s">
        <v>211</v>
      </c>
      <c r="B257" s="20" t="s">
        <v>212</v>
      </c>
      <c r="C257" s="19" t="s">
        <v>74</v>
      </c>
      <c r="D257" s="20"/>
      <c r="E257" s="3">
        <v>2215222.09</v>
      </c>
      <c r="F257" s="24">
        <v>4.2996682106939445E-2</v>
      </c>
      <c r="G257" s="26">
        <v>95247.2</v>
      </c>
      <c r="H257" t="s">
        <v>1806</v>
      </c>
      <c r="M257"/>
      <c r="O257"/>
    </row>
    <row r="258" spans="1:15">
      <c r="A258" s="13" t="s">
        <v>213</v>
      </c>
      <c r="B258" s="22" t="s">
        <v>214</v>
      </c>
      <c r="C258" s="15" t="s">
        <v>74</v>
      </c>
      <c r="D258" s="16"/>
      <c r="E258" s="2">
        <v>4063576.73</v>
      </c>
      <c r="F258" s="23">
        <v>0</v>
      </c>
      <c r="G258" s="26">
        <v>0</v>
      </c>
      <c r="H258" t="s">
        <v>1806</v>
      </c>
      <c r="M258"/>
      <c r="O258"/>
    </row>
    <row r="259" spans="1:15">
      <c r="A259" s="17" t="s">
        <v>215</v>
      </c>
      <c r="B259" s="18" t="s">
        <v>216</v>
      </c>
      <c r="C259" s="19" t="s">
        <v>74</v>
      </c>
      <c r="D259" s="20"/>
      <c r="E259" s="3">
        <v>2441072.21</v>
      </c>
      <c r="F259" s="24">
        <v>5.9440294066515957E-2</v>
      </c>
      <c r="G259" s="26">
        <v>145098.04999999999</v>
      </c>
      <c r="H259" t="s">
        <v>1806</v>
      </c>
      <c r="M259"/>
      <c r="O259"/>
    </row>
    <row r="260" spans="1:15">
      <c r="A260" s="15" t="s">
        <v>217</v>
      </c>
      <c r="B260" s="16" t="s">
        <v>218</v>
      </c>
      <c r="C260" s="15" t="s">
        <v>74</v>
      </c>
      <c r="D260" s="16"/>
      <c r="E260" s="2">
        <v>981473.16</v>
      </c>
      <c r="F260" s="23">
        <v>0.259456152626731</v>
      </c>
      <c r="G260" s="26">
        <v>254649.24999999997</v>
      </c>
      <c r="H260" t="s">
        <v>1806</v>
      </c>
      <c r="M260"/>
      <c r="O260"/>
    </row>
    <row r="261" spans="1:15">
      <c r="A261" s="17" t="s">
        <v>219</v>
      </c>
      <c r="B261" s="21" t="s">
        <v>220</v>
      </c>
      <c r="C261" s="19" t="s">
        <v>74</v>
      </c>
      <c r="D261" s="20"/>
      <c r="E261" s="3">
        <v>188740.72</v>
      </c>
      <c r="F261" s="24">
        <v>7.410637195831403E-2</v>
      </c>
      <c r="G261" s="26">
        <v>13986.89</v>
      </c>
      <c r="H261" t="s">
        <v>1806</v>
      </c>
      <c r="M261"/>
      <c r="O261"/>
    </row>
    <row r="262" spans="1:15">
      <c r="A262" s="13" t="s">
        <v>221</v>
      </c>
      <c r="B262" s="22" t="s">
        <v>222</v>
      </c>
      <c r="C262" s="15" t="s">
        <v>74</v>
      </c>
      <c r="D262" s="16"/>
      <c r="E262" s="2">
        <v>856255.65</v>
      </c>
      <c r="F262" s="23">
        <v>6.4571813336355796E-2</v>
      </c>
      <c r="G262" s="26">
        <v>55289.98</v>
      </c>
      <c r="H262" t="s">
        <v>1811</v>
      </c>
      <c r="M262"/>
      <c r="O262"/>
    </row>
    <row r="263" spans="1:15">
      <c r="A263" s="15" t="s">
        <v>225</v>
      </c>
      <c r="B263" s="16" t="s">
        <v>226</v>
      </c>
      <c r="C263" s="15" t="s">
        <v>74</v>
      </c>
      <c r="D263" s="16"/>
      <c r="E263" s="2">
        <v>1754415.97</v>
      </c>
      <c r="F263" s="23">
        <v>4.3476217330602612E-2</v>
      </c>
      <c r="G263" s="26">
        <v>76275.37</v>
      </c>
      <c r="H263" t="s">
        <v>1806</v>
      </c>
      <c r="M263"/>
      <c r="O263"/>
    </row>
    <row r="264" spans="1:15">
      <c r="A264" s="133"/>
      <c r="B264" s="130" t="s">
        <v>1819</v>
      </c>
      <c r="C264" s="135" t="s">
        <v>74</v>
      </c>
      <c r="D264" s="136"/>
      <c r="E264" s="137"/>
      <c r="F264" s="137"/>
      <c r="G264" s="90"/>
      <c r="H264" s="90" t="s">
        <v>1811</v>
      </c>
      <c r="I264" s="90" t="s">
        <v>1820</v>
      </c>
      <c r="J264" s="90" t="s">
        <v>1821</v>
      </c>
      <c r="K264" s="90"/>
      <c r="L264" s="90"/>
      <c r="M264"/>
      <c r="O264"/>
    </row>
    <row r="265" spans="1:15">
      <c r="A265" s="133"/>
      <c r="B265" s="130" t="s">
        <v>1822</v>
      </c>
      <c r="C265" s="135" t="s">
        <v>74</v>
      </c>
      <c r="D265" s="136"/>
      <c r="E265" s="137"/>
      <c r="F265" s="137"/>
      <c r="G265" s="90"/>
      <c r="H265" s="90" t="s">
        <v>1811</v>
      </c>
      <c r="I265" s="90" t="s">
        <v>1820</v>
      </c>
      <c r="J265" s="90" t="s">
        <v>1823</v>
      </c>
      <c r="K265" s="90"/>
      <c r="L265" s="90"/>
      <c r="M265"/>
      <c r="O265"/>
    </row>
    <row r="266" spans="1:15">
      <c r="A266" s="137"/>
      <c r="B266" s="138" t="s">
        <v>1824</v>
      </c>
      <c r="C266" s="135" t="s">
        <v>74</v>
      </c>
      <c r="D266" s="136"/>
      <c r="E266" s="137"/>
      <c r="F266" s="137"/>
      <c r="G266" s="90"/>
      <c r="H266" s="90" t="s">
        <v>1811</v>
      </c>
      <c r="I266" s="90" t="s">
        <v>1820</v>
      </c>
      <c r="J266" s="90" t="s">
        <v>1823</v>
      </c>
      <c r="K266" s="90"/>
      <c r="L266" s="90"/>
      <c r="M266"/>
      <c r="O266"/>
    </row>
    <row r="267" spans="1:15">
      <c r="A267" s="133"/>
      <c r="B267" s="130" t="s">
        <v>1827</v>
      </c>
      <c r="C267" s="135" t="s">
        <v>74</v>
      </c>
      <c r="D267" s="136"/>
      <c r="E267" s="137"/>
      <c r="F267" s="137"/>
      <c r="G267" s="90"/>
      <c r="H267" s="90" t="s">
        <v>1811</v>
      </c>
      <c r="I267" s="90" t="s">
        <v>1820</v>
      </c>
      <c r="J267" s="90" t="s">
        <v>1826</v>
      </c>
      <c r="K267" s="90"/>
      <c r="L267" s="90"/>
      <c r="M267"/>
      <c r="O267"/>
    </row>
    <row r="268" spans="1:15">
      <c r="A268" s="133"/>
      <c r="B268" s="130" t="s">
        <v>1829</v>
      </c>
      <c r="C268" s="135" t="s">
        <v>74</v>
      </c>
      <c r="D268" s="136"/>
      <c r="E268" s="137"/>
      <c r="F268" s="137"/>
      <c r="G268" s="90"/>
      <c r="H268" s="90" t="s">
        <v>1811</v>
      </c>
      <c r="I268" s="90" t="s">
        <v>1820</v>
      </c>
      <c r="J268" s="90" t="s">
        <v>1830</v>
      </c>
      <c r="K268" s="90"/>
      <c r="L268" s="90"/>
      <c r="M268"/>
      <c r="O268"/>
    </row>
    <row r="269" spans="1:15">
      <c r="A269" s="137"/>
      <c r="B269" s="138" t="s">
        <v>1832</v>
      </c>
      <c r="C269" s="135" t="s">
        <v>74</v>
      </c>
      <c r="D269" s="136"/>
      <c r="E269" s="137"/>
      <c r="F269" s="137"/>
      <c r="G269" s="90"/>
      <c r="H269" s="90" t="s">
        <v>1811</v>
      </c>
      <c r="I269" s="90" t="s">
        <v>1820</v>
      </c>
      <c r="J269" s="90" t="s">
        <v>1831</v>
      </c>
      <c r="K269" s="90"/>
      <c r="L269" s="90"/>
      <c r="M269"/>
      <c r="O269"/>
    </row>
    <row r="270" spans="1:15">
      <c r="A270" s="133"/>
      <c r="B270" s="130" t="s">
        <v>1833</v>
      </c>
      <c r="C270" s="135" t="s">
        <v>74</v>
      </c>
      <c r="D270" s="136"/>
      <c r="E270" s="137"/>
      <c r="F270" s="137"/>
      <c r="G270" s="90"/>
      <c r="H270" s="90" t="s">
        <v>1811</v>
      </c>
      <c r="I270" s="90" t="s">
        <v>1820</v>
      </c>
      <c r="J270" s="90" t="s">
        <v>1831</v>
      </c>
      <c r="K270" s="90"/>
      <c r="L270" s="90"/>
      <c r="M270"/>
      <c r="O270"/>
    </row>
    <row r="271" spans="1:15">
      <c r="A271" s="133"/>
      <c r="B271" s="130" t="s">
        <v>1836</v>
      </c>
      <c r="C271" s="135" t="s">
        <v>74</v>
      </c>
      <c r="D271" s="136"/>
      <c r="E271" s="137"/>
      <c r="F271" s="137"/>
      <c r="G271" s="90"/>
      <c r="H271" s="90" t="s">
        <v>1811</v>
      </c>
      <c r="I271" s="90" t="s">
        <v>1820</v>
      </c>
      <c r="J271" s="90" t="s">
        <v>1835</v>
      </c>
      <c r="K271" s="90"/>
      <c r="L271" s="90"/>
      <c r="M271"/>
      <c r="O271"/>
    </row>
    <row r="272" spans="1:15">
      <c r="A272" s="137"/>
      <c r="B272" s="138" t="s">
        <v>1838</v>
      </c>
      <c r="C272" s="135" t="s">
        <v>74</v>
      </c>
      <c r="D272" s="136"/>
      <c r="E272" s="137"/>
      <c r="F272" s="137"/>
      <c r="G272" s="90"/>
      <c r="H272" s="90" t="s">
        <v>1811</v>
      </c>
      <c r="I272" s="90" t="s">
        <v>1820</v>
      </c>
      <c r="J272" s="90" t="s">
        <v>1837</v>
      </c>
      <c r="K272" s="90"/>
      <c r="L272" s="90"/>
      <c r="M272"/>
      <c r="O272"/>
    </row>
    <row r="273" spans="1:15">
      <c r="A273" s="133"/>
      <c r="B273" s="130" t="s">
        <v>1839</v>
      </c>
      <c r="C273" s="135" t="s">
        <v>74</v>
      </c>
      <c r="D273" s="136"/>
      <c r="E273" s="137"/>
      <c r="F273" s="137"/>
      <c r="G273" s="90"/>
      <c r="H273" s="90" t="s">
        <v>1811</v>
      </c>
      <c r="I273" s="90" t="s">
        <v>1820</v>
      </c>
      <c r="J273" s="90" t="s">
        <v>702</v>
      </c>
      <c r="K273" s="90"/>
      <c r="L273" s="90"/>
      <c r="M273"/>
      <c r="O273"/>
    </row>
    <row r="274" spans="1:15">
      <c r="A274" s="133"/>
      <c r="B274" s="130" t="s">
        <v>1840</v>
      </c>
      <c r="C274" s="135" t="s">
        <v>74</v>
      </c>
      <c r="D274" s="136"/>
      <c r="E274" s="137"/>
      <c r="F274" s="137"/>
      <c r="G274" s="90"/>
      <c r="H274" s="90" t="s">
        <v>1811</v>
      </c>
      <c r="I274" s="90" t="s">
        <v>1820</v>
      </c>
      <c r="J274" s="90" t="s">
        <v>704</v>
      </c>
      <c r="K274" s="90"/>
      <c r="L274" s="90"/>
      <c r="M274"/>
      <c r="O274"/>
    </row>
    <row r="275" spans="1:15">
      <c r="A275" s="137"/>
      <c r="B275" s="138" t="s">
        <v>1841</v>
      </c>
      <c r="C275" s="135" t="s">
        <v>74</v>
      </c>
      <c r="D275" s="136"/>
      <c r="E275" s="137"/>
      <c r="F275" s="137"/>
      <c r="G275" s="90"/>
      <c r="H275" s="90" t="s">
        <v>1811</v>
      </c>
      <c r="I275" s="90" t="s">
        <v>1820</v>
      </c>
      <c r="J275" s="90" t="s">
        <v>710</v>
      </c>
      <c r="K275" s="90"/>
      <c r="L275" s="90"/>
      <c r="M275"/>
      <c r="O275"/>
    </row>
    <row r="276" spans="1:15">
      <c r="A276" s="133"/>
      <c r="B276" s="130" t="s">
        <v>1842</v>
      </c>
      <c r="C276" s="135" t="s">
        <v>74</v>
      </c>
      <c r="D276" s="136"/>
      <c r="E276" s="137"/>
      <c r="F276" s="137"/>
      <c r="G276" s="90"/>
      <c r="H276" s="90" t="s">
        <v>1811</v>
      </c>
      <c r="I276" s="90" t="s">
        <v>1820</v>
      </c>
      <c r="J276" s="90" t="s">
        <v>1166</v>
      </c>
      <c r="K276" s="90"/>
      <c r="L276" s="90"/>
      <c r="M276"/>
      <c r="O276"/>
    </row>
    <row r="277" spans="1:15">
      <c r="A277" s="133"/>
      <c r="B277" s="130" t="s">
        <v>1843</v>
      </c>
      <c r="C277" s="135" t="s">
        <v>74</v>
      </c>
      <c r="D277" s="136"/>
      <c r="E277" s="137"/>
      <c r="F277" s="137"/>
      <c r="G277" s="90"/>
      <c r="H277" s="90" t="s">
        <v>1811</v>
      </c>
      <c r="I277" s="90" t="s">
        <v>1820</v>
      </c>
      <c r="J277" s="90" t="s">
        <v>712</v>
      </c>
      <c r="K277" s="90"/>
      <c r="L277" s="90"/>
      <c r="M277"/>
      <c r="O277"/>
    </row>
    <row r="278" spans="1:15">
      <c r="A278" s="137"/>
      <c r="B278" s="138" t="s">
        <v>1844</v>
      </c>
      <c r="C278" s="135" t="s">
        <v>74</v>
      </c>
      <c r="D278" s="136"/>
      <c r="E278" s="137"/>
      <c r="F278" s="137"/>
      <c r="G278" s="90"/>
      <c r="H278" s="90" t="s">
        <v>1811</v>
      </c>
      <c r="I278" s="90" t="s">
        <v>1820</v>
      </c>
      <c r="J278" s="90" t="s">
        <v>712</v>
      </c>
      <c r="K278" s="90"/>
      <c r="L278" s="90"/>
      <c r="M278"/>
      <c r="O278"/>
    </row>
    <row r="279" spans="1:15">
      <c r="A279" s="133"/>
      <c r="B279" s="130" t="s">
        <v>1845</v>
      </c>
      <c r="C279" s="135" t="s">
        <v>74</v>
      </c>
      <c r="D279" s="136"/>
      <c r="E279" s="137"/>
      <c r="F279" s="137"/>
      <c r="G279" s="90"/>
      <c r="H279" s="90" t="s">
        <v>1811</v>
      </c>
      <c r="I279" s="90" t="s">
        <v>1820</v>
      </c>
      <c r="J279" s="90" t="s">
        <v>722</v>
      </c>
      <c r="K279" s="90"/>
      <c r="L279" s="90"/>
      <c r="M279"/>
      <c r="O279"/>
    </row>
    <row r="280" spans="1:15">
      <c r="A280" s="133"/>
      <c r="B280" s="130" t="s">
        <v>1846</v>
      </c>
      <c r="C280" s="135" t="s">
        <v>74</v>
      </c>
      <c r="D280" s="136"/>
      <c r="E280" s="137"/>
      <c r="F280" s="137"/>
      <c r="G280" s="90"/>
      <c r="H280" s="90" t="s">
        <v>1811</v>
      </c>
      <c r="I280" s="90" t="s">
        <v>1820</v>
      </c>
      <c r="J280" s="90" t="s">
        <v>724</v>
      </c>
      <c r="K280" s="90"/>
      <c r="L280" s="90"/>
      <c r="M280"/>
      <c r="O280"/>
    </row>
    <row r="281" spans="1:15">
      <c r="A281" s="137"/>
      <c r="B281" s="138" t="s">
        <v>1847</v>
      </c>
      <c r="C281" s="135" t="s">
        <v>74</v>
      </c>
      <c r="D281" s="136"/>
      <c r="E281" s="137"/>
      <c r="F281" s="137"/>
      <c r="G281" s="90"/>
      <c r="H281" s="90" t="s">
        <v>1811</v>
      </c>
      <c r="I281" s="90" t="s">
        <v>1820</v>
      </c>
      <c r="J281" s="90" t="s">
        <v>724</v>
      </c>
      <c r="K281" s="90"/>
      <c r="L281" s="90"/>
      <c r="M281"/>
      <c r="O281"/>
    </row>
    <row r="282" spans="1:15">
      <c r="A282" s="133"/>
      <c r="B282" s="130" t="s">
        <v>1848</v>
      </c>
      <c r="C282" s="135" t="s">
        <v>74</v>
      </c>
      <c r="D282" s="136"/>
      <c r="E282" s="137"/>
      <c r="F282" s="137"/>
      <c r="G282" s="90"/>
      <c r="H282" s="90" t="s">
        <v>1811</v>
      </c>
      <c r="I282" s="90" t="s">
        <v>1820</v>
      </c>
      <c r="J282" s="90" t="s">
        <v>724</v>
      </c>
      <c r="K282" s="90"/>
      <c r="L282" s="90"/>
      <c r="M282"/>
      <c r="O282"/>
    </row>
    <row r="283" spans="1:15">
      <c r="A283" s="133"/>
      <c r="B283" s="130" t="s">
        <v>1849</v>
      </c>
      <c r="C283" s="135" t="s">
        <v>74</v>
      </c>
      <c r="D283" s="136"/>
      <c r="E283" s="137"/>
      <c r="F283" s="137"/>
      <c r="G283" s="90"/>
      <c r="H283" s="90" t="s">
        <v>1811</v>
      </c>
      <c r="I283" s="90" t="s">
        <v>1820</v>
      </c>
      <c r="J283" s="90" t="s">
        <v>502</v>
      </c>
      <c r="K283" s="90"/>
      <c r="L283" s="90"/>
      <c r="M283"/>
      <c r="O283"/>
    </row>
    <row r="284" spans="1:15">
      <c r="A284" s="137"/>
      <c r="B284" s="138" t="s">
        <v>1850</v>
      </c>
      <c r="C284" s="135" t="s">
        <v>74</v>
      </c>
      <c r="D284" s="136"/>
      <c r="E284" s="137"/>
      <c r="F284" s="137"/>
      <c r="G284" s="90"/>
      <c r="H284" s="90" t="s">
        <v>1811</v>
      </c>
      <c r="I284" s="90" t="s">
        <v>1820</v>
      </c>
      <c r="J284" s="90" t="s">
        <v>510</v>
      </c>
      <c r="K284" s="90"/>
      <c r="L284" s="90"/>
      <c r="M284"/>
      <c r="O284"/>
    </row>
    <row r="285" spans="1:15">
      <c r="A285" s="133"/>
      <c r="B285" s="130" t="s">
        <v>1851</v>
      </c>
      <c r="C285" s="135" t="s">
        <v>74</v>
      </c>
      <c r="D285" s="136"/>
      <c r="E285" s="137"/>
      <c r="F285" s="137"/>
      <c r="G285" s="90"/>
      <c r="H285" s="90" t="s">
        <v>1811</v>
      </c>
      <c r="I285" s="90" t="s">
        <v>1820</v>
      </c>
      <c r="J285" s="90" t="s">
        <v>514</v>
      </c>
      <c r="K285" s="90"/>
      <c r="L285" s="90"/>
      <c r="M285"/>
      <c r="O285"/>
    </row>
    <row r="286" spans="1:15">
      <c r="A286" s="133"/>
      <c r="B286" s="130" t="s">
        <v>1853</v>
      </c>
      <c r="C286" s="135" t="s">
        <v>74</v>
      </c>
      <c r="D286" s="136"/>
      <c r="E286" s="137"/>
      <c r="F286" s="137"/>
      <c r="G286" s="90"/>
      <c r="H286" s="90" t="s">
        <v>1811</v>
      </c>
      <c r="I286" s="90" t="s">
        <v>1820</v>
      </c>
      <c r="J286" s="90" t="s">
        <v>522</v>
      </c>
      <c r="K286" s="90"/>
      <c r="L286" s="90"/>
      <c r="M286"/>
      <c r="O286"/>
    </row>
    <row r="287" spans="1:15">
      <c r="A287" s="137"/>
      <c r="B287" s="138" t="s">
        <v>1962</v>
      </c>
      <c r="C287" s="135" t="s">
        <v>74</v>
      </c>
      <c r="D287" s="136"/>
      <c r="E287" s="137"/>
      <c r="F287" s="137"/>
      <c r="G287" s="90"/>
      <c r="H287" s="90" t="s">
        <v>1811</v>
      </c>
      <c r="I287" s="90" t="s">
        <v>1820</v>
      </c>
      <c r="J287" s="90" t="s">
        <v>1963</v>
      </c>
      <c r="K287" s="90"/>
      <c r="L287" s="90"/>
      <c r="M287"/>
      <c r="O287"/>
    </row>
    <row r="288" spans="1:15">
      <c r="A288" s="133"/>
      <c r="B288" s="130" t="s">
        <v>1964</v>
      </c>
      <c r="C288" s="135" t="s">
        <v>74</v>
      </c>
      <c r="D288" s="136"/>
      <c r="E288" s="137"/>
      <c r="F288" s="137"/>
      <c r="G288" s="90"/>
      <c r="H288" s="90" t="s">
        <v>1811</v>
      </c>
      <c r="I288" s="90" t="s">
        <v>1820</v>
      </c>
      <c r="J288" s="90" t="s">
        <v>1963</v>
      </c>
      <c r="K288" s="90"/>
      <c r="L288" s="90"/>
      <c r="M288"/>
      <c r="O288"/>
    </row>
    <row r="289" spans="1:15">
      <c r="A289" s="133"/>
      <c r="B289" s="130" t="s">
        <v>1965</v>
      </c>
      <c r="C289" s="135" t="s">
        <v>74</v>
      </c>
      <c r="D289" s="136"/>
      <c r="E289" s="137"/>
      <c r="F289" s="137"/>
      <c r="G289" s="90"/>
      <c r="H289" s="90" t="s">
        <v>1811</v>
      </c>
      <c r="I289" s="90" t="s">
        <v>1820</v>
      </c>
      <c r="J289" s="90" t="s">
        <v>540</v>
      </c>
      <c r="K289" s="90"/>
      <c r="L289" s="90"/>
      <c r="M289"/>
      <c r="O289"/>
    </row>
    <row r="290" spans="1:15">
      <c r="A290" s="137"/>
      <c r="B290" s="138" t="s">
        <v>1966</v>
      </c>
      <c r="C290" s="135" t="s">
        <v>74</v>
      </c>
      <c r="D290" s="136"/>
      <c r="E290" s="137"/>
      <c r="F290" s="137"/>
      <c r="G290" s="90"/>
      <c r="H290" s="90" t="s">
        <v>1811</v>
      </c>
      <c r="I290" s="90" t="s">
        <v>1820</v>
      </c>
      <c r="J290" s="90" t="s">
        <v>534</v>
      </c>
      <c r="K290" s="90"/>
      <c r="L290" s="90"/>
      <c r="M290"/>
      <c r="O290"/>
    </row>
    <row r="291" spans="1:15">
      <c r="A291" s="133"/>
      <c r="B291" s="130" t="s">
        <v>1967</v>
      </c>
      <c r="C291" s="135" t="s">
        <v>74</v>
      </c>
      <c r="D291" s="136"/>
      <c r="E291" s="137"/>
      <c r="F291" s="137"/>
      <c r="G291" s="137"/>
      <c r="H291" s="90" t="s">
        <v>1811</v>
      </c>
      <c r="I291" s="90" t="s">
        <v>1820</v>
      </c>
      <c r="J291" s="90" t="s">
        <v>534</v>
      </c>
      <c r="K291" s="90"/>
      <c r="L291" s="90"/>
      <c r="M291"/>
      <c r="O291"/>
    </row>
    <row r="292" spans="1:15">
      <c r="A292" s="133"/>
      <c r="B292" s="130" t="s">
        <v>1968</v>
      </c>
      <c r="C292" s="135" t="s">
        <v>74</v>
      </c>
      <c r="D292" s="136"/>
      <c r="E292" s="90"/>
      <c r="F292" s="137"/>
      <c r="G292" s="90"/>
      <c r="H292" s="90" t="s">
        <v>1811</v>
      </c>
      <c r="I292" s="90" t="s">
        <v>1820</v>
      </c>
      <c r="J292" s="90" t="s">
        <v>1688</v>
      </c>
      <c r="K292" s="90"/>
      <c r="L292" s="90"/>
      <c r="M292"/>
      <c r="O292"/>
    </row>
    <row r="293" spans="1:15">
      <c r="A293" s="137"/>
      <c r="B293" s="138" t="s">
        <v>1969</v>
      </c>
      <c r="C293" s="135" t="s">
        <v>74</v>
      </c>
      <c r="D293" s="136"/>
      <c r="E293" s="137"/>
      <c r="F293" s="137"/>
      <c r="G293" s="137"/>
      <c r="H293" s="90" t="s">
        <v>1811</v>
      </c>
      <c r="I293" s="90" t="s">
        <v>1820</v>
      </c>
      <c r="J293" s="90" t="s">
        <v>1970</v>
      </c>
      <c r="K293" s="90"/>
      <c r="L293" s="90"/>
      <c r="M293"/>
      <c r="O293"/>
    </row>
    <row r="294" spans="1:15">
      <c r="A294" s="133"/>
      <c r="B294" s="130" t="s">
        <v>1971</v>
      </c>
      <c r="C294" s="135" t="s">
        <v>74</v>
      </c>
      <c r="D294" s="136"/>
      <c r="E294" s="137"/>
      <c r="F294" s="137"/>
      <c r="G294" s="137"/>
      <c r="H294" s="90" t="s">
        <v>1811</v>
      </c>
      <c r="I294" s="90" t="s">
        <v>1820</v>
      </c>
      <c r="J294" s="90" t="s">
        <v>1462</v>
      </c>
      <c r="K294" s="90"/>
      <c r="L294" s="90"/>
      <c r="M294"/>
      <c r="O294"/>
    </row>
    <row r="295" spans="1:15">
      <c r="A295" s="133"/>
      <c r="B295" s="130" t="s">
        <v>1972</v>
      </c>
      <c r="C295" s="135" t="s">
        <v>74</v>
      </c>
      <c r="D295" s="136"/>
      <c r="E295" s="137"/>
      <c r="F295" s="137"/>
      <c r="G295" s="137"/>
      <c r="H295" s="90" t="s">
        <v>1811</v>
      </c>
      <c r="I295" s="90" t="s">
        <v>1820</v>
      </c>
      <c r="J295" s="90" t="s">
        <v>1464</v>
      </c>
      <c r="K295" s="90"/>
      <c r="L295" s="90"/>
      <c r="M295"/>
      <c r="O295"/>
    </row>
    <row r="296" spans="1:15">
      <c r="A296" s="137"/>
      <c r="B296" s="138" t="s">
        <v>1973</v>
      </c>
      <c r="C296" s="135" t="s">
        <v>74</v>
      </c>
      <c r="D296" s="136"/>
      <c r="E296" s="137"/>
      <c r="F296" s="137"/>
      <c r="G296" s="137"/>
      <c r="H296" s="90" t="s">
        <v>1811</v>
      </c>
      <c r="I296" s="90" t="s">
        <v>1820</v>
      </c>
      <c r="J296" s="90" t="s">
        <v>1974</v>
      </c>
      <c r="K296" s="90"/>
      <c r="L296" s="90"/>
      <c r="M296"/>
      <c r="O296"/>
    </row>
    <row r="297" spans="1:15">
      <c r="A297" s="133"/>
      <c r="B297" s="130" t="s">
        <v>1975</v>
      </c>
      <c r="C297" s="135" t="s">
        <v>74</v>
      </c>
      <c r="D297" s="136"/>
      <c r="E297" s="137"/>
      <c r="F297" s="137"/>
      <c r="G297" s="90"/>
      <c r="H297" s="90" t="s">
        <v>1811</v>
      </c>
      <c r="I297" s="90" t="s">
        <v>1820</v>
      </c>
      <c r="J297" s="90" t="s">
        <v>1466</v>
      </c>
      <c r="K297" s="90"/>
      <c r="L297" s="90"/>
      <c r="M297"/>
      <c r="O297"/>
    </row>
    <row r="298" spans="1:15">
      <c r="A298" s="133"/>
      <c r="B298" s="130" t="s">
        <v>1976</v>
      </c>
      <c r="C298" s="135" t="s">
        <v>74</v>
      </c>
      <c r="D298" s="136"/>
      <c r="E298" s="137"/>
      <c r="F298" s="137"/>
      <c r="G298" s="90"/>
      <c r="H298" s="90" t="s">
        <v>1811</v>
      </c>
      <c r="I298" s="90" t="s">
        <v>1820</v>
      </c>
      <c r="J298" s="90" t="s">
        <v>1693</v>
      </c>
      <c r="K298" s="90"/>
      <c r="L298" s="90"/>
      <c r="M298"/>
      <c r="O298"/>
    </row>
    <row r="299" spans="1:15">
      <c r="A299" s="137"/>
      <c r="B299" s="138" t="s">
        <v>1977</v>
      </c>
      <c r="C299" s="135" t="s">
        <v>74</v>
      </c>
      <c r="D299" s="136"/>
      <c r="E299" s="137"/>
      <c r="F299" s="137"/>
      <c r="G299" s="90"/>
      <c r="H299" s="90" t="s">
        <v>1811</v>
      </c>
      <c r="I299" s="90" t="s">
        <v>1820</v>
      </c>
      <c r="J299" s="90" t="s">
        <v>1431</v>
      </c>
      <c r="K299" s="90"/>
      <c r="L299" s="90"/>
      <c r="M299" s="92"/>
      <c r="N299" s="67"/>
      <c r="O299" s="92"/>
    </row>
    <row r="300" spans="1:15">
      <c r="A300" s="133"/>
      <c r="B300" s="130" t="s">
        <v>1978</v>
      </c>
      <c r="C300" s="135" t="s">
        <v>74</v>
      </c>
      <c r="D300" s="136"/>
      <c r="E300" s="137"/>
      <c r="F300" s="137"/>
      <c r="G300" s="90"/>
      <c r="H300" s="90" t="s">
        <v>1811</v>
      </c>
      <c r="I300" s="90" t="s">
        <v>1820</v>
      </c>
      <c r="J300" s="90" t="s">
        <v>1176</v>
      </c>
      <c r="K300" s="90"/>
      <c r="L300" s="90"/>
      <c r="M300" s="92"/>
      <c r="N300" s="67"/>
      <c r="O300" s="92"/>
    </row>
    <row r="301" spans="1:15">
      <c r="A301" s="133"/>
      <c r="B301" s="130" t="s">
        <v>1876</v>
      </c>
      <c r="C301" s="135" t="s">
        <v>74</v>
      </c>
      <c r="D301" s="136"/>
      <c r="E301" s="137"/>
      <c r="F301" s="137"/>
      <c r="G301" s="90"/>
      <c r="H301" s="90" t="s">
        <v>1811</v>
      </c>
      <c r="I301" s="90" t="s">
        <v>1820</v>
      </c>
      <c r="J301" s="90" t="s">
        <v>1877</v>
      </c>
      <c r="K301" s="90"/>
      <c r="L301" s="90"/>
      <c r="M301" s="92"/>
      <c r="N301" s="67"/>
      <c r="O301" s="92"/>
    </row>
    <row r="302" spans="1:15">
      <c r="A302" s="137"/>
      <c r="B302" s="138" t="s">
        <v>1878</v>
      </c>
      <c r="C302" s="135" t="s">
        <v>74</v>
      </c>
      <c r="D302" s="136"/>
      <c r="E302" s="137"/>
      <c r="F302" s="137"/>
      <c r="G302" s="90"/>
      <c r="H302" s="90" t="s">
        <v>1811</v>
      </c>
      <c r="I302" s="90" t="s">
        <v>1820</v>
      </c>
      <c r="J302" s="90" t="s">
        <v>632</v>
      </c>
      <c r="K302" s="90"/>
      <c r="L302" s="90"/>
      <c r="M302" s="92"/>
      <c r="N302" s="67"/>
      <c r="O302" s="92"/>
    </row>
    <row r="303" spans="1:15">
      <c r="A303" s="133"/>
      <c r="B303" s="130" t="s">
        <v>1879</v>
      </c>
      <c r="C303" s="135" t="s">
        <v>74</v>
      </c>
      <c r="D303" s="136"/>
      <c r="E303" s="137"/>
      <c r="F303" s="137"/>
      <c r="G303" s="90"/>
      <c r="H303" s="90" t="s">
        <v>1811</v>
      </c>
      <c r="I303" s="90" t="s">
        <v>1820</v>
      </c>
      <c r="J303" s="90" t="s">
        <v>632</v>
      </c>
      <c r="K303" s="90"/>
      <c r="L303" s="90"/>
      <c r="M303" s="92"/>
      <c r="N303" s="67"/>
      <c r="O303" s="92"/>
    </row>
    <row r="304" spans="1:15">
      <c r="A304" s="133"/>
      <c r="B304" s="130" t="s">
        <v>1880</v>
      </c>
      <c r="C304" s="135" t="s">
        <v>74</v>
      </c>
      <c r="D304" s="136"/>
      <c r="E304" s="137"/>
      <c r="F304" s="137"/>
      <c r="G304" s="90"/>
      <c r="H304" s="90" t="s">
        <v>1811</v>
      </c>
      <c r="I304" s="90" t="s">
        <v>1820</v>
      </c>
      <c r="J304" s="90" t="s">
        <v>632</v>
      </c>
      <c r="K304" s="90"/>
      <c r="L304" s="90"/>
      <c r="M304" s="92" t="s">
        <v>1917</v>
      </c>
      <c r="N304" s="67"/>
      <c r="O304" s="92"/>
    </row>
    <row r="305" spans="1:15">
      <c r="A305" s="137"/>
      <c r="B305" s="138" t="s">
        <v>1881</v>
      </c>
      <c r="C305" s="135" t="s">
        <v>74</v>
      </c>
      <c r="D305" s="136"/>
      <c r="E305" s="137"/>
      <c r="F305" s="137"/>
      <c r="G305" s="90"/>
      <c r="H305" s="90" t="s">
        <v>1811</v>
      </c>
      <c r="I305" s="90" t="s">
        <v>1820</v>
      </c>
      <c r="J305" s="90" t="s">
        <v>634</v>
      </c>
      <c r="K305" s="90"/>
      <c r="L305" s="90"/>
      <c r="M305" s="93">
        <f>SUM(G3:G305)</f>
        <v>69723443.579999968</v>
      </c>
      <c r="N305" s="90">
        <f>SUM(M306:M608)</f>
        <v>75516</v>
      </c>
      <c r="O305" s="93">
        <f>M305/N305</f>
        <v>923.29365406006627</v>
      </c>
    </row>
    <row r="306" spans="1:15">
      <c r="A306" s="17" t="s">
        <v>87</v>
      </c>
      <c r="B306" s="21" t="s">
        <v>88</v>
      </c>
      <c r="C306" s="19" t="s">
        <v>72</v>
      </c>
      <c r="D306" s="20"/>
      <c r="E306" s="3">
        <v>3429982.11</v>
      </c>
      <c r="F306" s="24">
        <v>3.4535981880092085E-3</v>
      </c>
      <c r="G306" s="26">
        <v>11845.78</v>
      </c>
      <c r="H306" t="s">
        <v>1806</v>
      </c>
      <c r="K306" t="s">
        <v>1809</v>
      </c>
      <c r="L306" t="s">
        <v>1814</v>
      </c>
      <c r="M306" s="90">
        <v>440</v>
      </c>
      <c r="O306"/>
    </row>
    <row r="307" spans="1:15">
      <c r="A307" s="13" t="s">
        <v>292</v>
      </c>
      <c r="B307" s="14" t="s">
        <v>293</v>
      </c>
      <c r="C307" s="15" t="s">
        <v>72</v>
      </c>
      <c r="D307" s="16"/>
      <c r="E307" s="2">
        <v>865196.41</v>
      </c>
      <c r="F307" s="23">
        <v>1.8566108012399173E-2</v>
      </c>
      <c r="G307" s="26">
        <v>16063.33</v>
      </c>
      <c r="H307" t="s">
        <v>1806</v>
      </c>
      <c r="K307" t="s">
        <v>1809</v>
      </c>
      <c r="L307" t="s">
        <v>1814</v>
      </c>
      <c r="M307" s="90">
        <v>95</v>
      </c>
      <c r="O307"/>
    </row>
    <row r="308" spans="1:15">
      <c r="A308" s="15" t="s">
        <v>296</v>
      </c>
      <c r="B308" s="16" t="s">
        <v>297</v>
      </c>
      <c r="C308" s="15" t="s">
        <v>72</v>
      </c>
      <c r="D308" s="16"/>
      <c r="E308" s="2">
        <v>1490755.82</v>
      </c>
      <c r="F308" s="23">
        <v>5.6283261734976818E-3</v>
      </c>
      <c r="G308" s="26">
        <v>8390.4599999999991</v>
      </c>
      <c r="H308" t="s">
        <v>1806</v>
      </c>
      <c r="K308" t="s">
        <v>1809</v>
      </c>
      <c r="L308" t="s">
        <v>1814</v>
      </c>
      <c r="M308" s="90">
        <v>153</v>
      </c>
      <c r="O308"/>
    </row>
    <row r="309" spans="1:15">
      <c r="A309" s="13" t="s">
        <v>300</v>
      </c>
      <c r="B309" s="14" t="s">
        <v>301</v>
      </c>
      <c r="C309" s="15" t="s">
        <v>72</v>
      </c>
      <c r="D309" s="16"/>
      <c r="E309" s="2">
        <v>802536.76</v>
      </c>
      <c r="F309" s="23">
        <v>1.4883218558113151E-2</v>
      </c>
      <c r="G309" s="26">
        <v>11944.33</v>
      </c>
      <c r="H309" t="s">
        <v>1806</v>
      </c>
      <c r="K309" t="s">
        <v>1809</v>
      </c>
      <c r="L309" t="s">
        <v>1814</v>
      </c>
      <c r="M309" s="90">
        <v>91</v>
      </c>
      <c r="O309"/>
    </row>
    <row r="310" spans="1:15">
      <c r="A310" s="13" t="s">
        <v>146</v>
      </c>
      <c r="B310" s="14" t="s">
        <v>147</v>
      </c>
      <c r="C310" s="15" t="s">
        <v>72</v>
      </c>
      <c r="D310" s="16"/>
      <c r="E310" s="2">
        <v>7954976.9199999999</v>
      </c>
      <c r="F310" s="23">
        <v>0</v>
      </c>
      <c r="G310" s="26">
        <v>0</v>
      </c>
      <c r="H310" t="s">
        <v>1806</v>
      </c>
      <c r="K310" t="s">
        <v>1809</v>
      </c>
      <c r="L310" t="s">
        <v>1814</v>
      </c>
      <c r="M310" s="90">
        <v>1041</v>
      </c>
      <c r="O310"/>
    </row>
    <row r="311" spans="1:15">
      <c r="A311" s="19" t="s">
        <v>176</v>
      </c>
      <c r="B311" s="20" t="s">
        <v>177</v>
      </c>
      <c r="C311" s="19" t="s">
        <v>72</v>
      </c>
      <c r="D311" s="20"/>
      <c r="E311" s="3">
        <v>2445648.89</v>
      </c>
      <c r="F311" s="24">
        <v>0</v>
      </c>
      <c r="G311" s="26">
        <v>0</v>
      </c>
      <c r="H311" t="s">
        <v>1806</v>
      </c>
      <c r="K311" t="s">
        <v>1809</v>
      </c>
      <c r="L311" t="s">
        <v>1814</v>
      </c>
      <c r="M311" s="90">
        <v>160</v>
      </c>
      <c r="O311"/>
    </row>
    <row r="312" spans="1:15">
      <c r="A312" s="13" t="s">
        <v>178</v>
      </c>
      <c r="B312" s="14" t="s">
        <v>179</v>
      </c>
      <c r="C312" s="15" t="s">
        <v>72</v>
      </c>
      <c r="D312" s="16"/>
      <c r="E312" s="2">
        <v>479588.19</v>
      </c>
      <c r="F312" s="23">
        <v>1.3107516263067279E-2</v>
      </c>
      <c r="G312" s="26">
        <v>6286.21</v>
      </c>
      <c r="H312" t="s">
        <v>1806</v>
      </c>
      <c r="K312" t="s">
        <v>1809</v>
      </c>
      <c r="L312" t="s">
        <v>1814</v>
      </c>
      <c r="M312" s="90">
        <v>40</v>
      </c>
      <c r="O312"/>
    </row>
    <row r="313" spans="1:15">
      <c r="A313" s="17" t="s">
        <v>180</v>
      </c>
      <c r="B313" s="21" t="s">
        <v>181</v>
      </c>
      <c r="C313" s="19" t="s">
        <v>72</v>
      </c>
      <c r="D313" s="20"/>
      <c r="E313" s="3">
        <v>1689004.98</v>
      </c>
      <c r="F313" s="24">
        <v>2.4683142142067571E-2</v>
      </c>
      <c r="G313" s="26">
        <v>41689.949999999997</v>
      </c>
      <c r="H313" t="s">
        <v>1806</v>
      </c>
      <c r="K313" t="s">
        <v>1809</v>
      </c>
      <c r="L313" t="s">
        <v>1814</v>
      </c>
      <c r="M313" s="90">
        <v>45</v>
      </c>
      <c r="O313"/>
    </row>
    <row r="314" spans="1:15">
      <c r="A314" s="15" t="s">
        <v>198</v>
      </c>
      <c r="B314" s="16" t="s">
        <v>199</v>
      </c>
      <c r="C314" s="15" t="s">
        <v>72</v>
      </c>
      <c r="D314" s="16"/>
      <c r="E314" s="2">
        <v>8436970.4700000007</v>
      </c>
      <c r="F314" s="23">
        <v>4.1608466125163529E-3</v>
      </c>
      <c r="G314" s="26">
        <v>35104.94</v>
      </c>
      <c r="H314" t="s">
        <v>1806</v>
      </c>
      <c r="K314" t="s">
        <v>1809</v>
      </c>
      <c r="L314" t="s">
        <v>1814</v>
      </c>
      <c r="M314" s="90">
        <v>873</v>
      </c>
      <c r="O314"/>
    </row>
    <row r="315" spans="1:15">
      <c r="A315" s="13" t="s">
        <v>202</v>
      </c>
      <c r="B315" s="14" t="s">
        <v>203</v>
      </c>
      <c r="C315" s="15" t="s">
        <v>72</v>
      </c>
      <c r="D315" s="16"/>
      <c r="E315" s="2">
        <v>3233072.73</v>
      </c>
      <c r="F315" s="23">
        <v>3.1134870263187673E-3</v>
      </c>
      <c r="G315" s="26">
        <v>10066.129999999999</v>
      </c>
      <c r="H315" t="s">
        <v>1806</v>
      </c>
      <c r="K315" t="s">
        <v>1809</v>
      </c>
      <c r="L315" t="s">
        <v>1814</v>
      </c>
      <c r="M315" s="90">
        <v>352</v>
      </c>
      <c r="O315"/>
    </row>
    <row r="316" spans="1:15">
      <c r="A316" s="17" t="s">
        <v>244</v>
      </c>
      <c r="B316" s="21" t="s">
        <v>245</v>
      </c>
      <c r="C316" s="19" t="s">
        <v>72</v>
      </c>
      <c r="D316" s="20"/>
      <c r="E316" s="3">
        <v>492036.1</v>
      </c>
      <c r="F316" s="24">
        <v>0</v>
      </c>
      <c r="G316" s="26">
        <v>0</v>
      </c>
      <c r="H316" t="s">
        <v>1806</v>
      </c>
      <c r="K316" t="s">
        <v>1809</v>
      </c>
      <c r="L316" t="s">
        <v>1814</v>
      </c>
      <c r="M316" s="90">
        <v>26</v>
      </c>
      <c r="O316"/>
    </row>
    <row r="317" spans="1:15">
      <c r="A317" s="15" t="s">
        <v>246</v>
      </c>
      <c r="B317" s="16" t="s">
        <v>247</v>
      </c>
      <c r="C317" s="15" t="s">
        <v>72</v>
      </c>
      <c r="D317" s="16"/>
      <c r="E317" s="2">
        <v>393282.73</v>
      </c>
      <c r="F317" s="23">
        <v>0</v>
      </c>
      <c r="G317" s="26">
        <v>0</v>
      </c>
      <c r="H317" t="s">
        <v>1806</v>
      </c>
      <c r="K317" t="s">
        <v>1809</v>
      </c>
      <c r="L317" t="s">
        <v>1814</v>
      </c>
      <c r="M317" s="90">
        <v>28</v>
      </c>
      <c r="O317"/>
    </row>
    <row r="318" spans="1:15">
      <c r="A318" s="13" t="s">
        <v>254</v>
      </c>
      <c r="B318" s="14" t="s">
        <v>255</v>
      </c>
      <c r="C318" s="15" t="s">
        <v>72</v>
      </c>
      <c r="D318" s="16"/>
      <c r="E318" s="2">
        <v>1385312.83</v>
      </c>
      <c r="F318" s="23">
        <v>0</v>
      </c>
      <c r="G318" s="26">
        <v>0</v>
      </c>
      <c r="H318" t="s">
        <v>1806</v>
      </c>
      <c r="K318" t="s">
        <v>1809</v>
      </c>
      <c r="L318" t="s">
        <v>1814</v>
      </c>
      <c r="M318" s="90">
        <v>144</v>
      </c>
      <c r="O318"/>
    </row>
    <row r="319" spans="1:15">
      <c r="A319" s="17" t="s">
        <v>276</v>
      </c>
      <c r="B319" s="18" t="s">
        <v>277</v>
      </c>
      <c r="C319" s="19" t="s">
        <v>72</v>
      </c>
      <c r="D319" s="20"/>
      <c r="E319" s="3">
        <v>1847933.73</v>
      </c>
      <c r="F319" s="24">
        <v>7.1149467032023926E-3</v>
      </c>
      <c r="G319" s="26">
        <v>13147.95</v>
      </c>
      <c r="H319" t="s">
        <v>1806</v>
      </c>
      <c r="K319" t="s">
        <v>1809</v>
      </c>
      <c r="L319" t="s">
        <v>1814</v>
      </c>
      <c r="M319" s="90">
        <v>321</v>
      </c>
      <c r="O319"/>
    </row>
    <row r="320" spans="1:15">
      <c r="A320" s="15" t="s">
        <v>282</v>
      </c>
      <c r="B320" s="16" t="s">
        <v>283</v>
      </c>
      <c r="C320" s="15" t="s">
        <v>72</v>
      </c>
      <c r="D320" s="16"/>
      <c r="E320" s="2">
        <v>967906.27</v>
      </c>
      <c r="F320" s="23">
        <v>4.0500223229259585E-2</v>
      </c>
      <c r="G320" s="26">
        <v>39200.42</v>
      </c>
      <c r="H320" t="s">
        <v>1806</v>
      </c>
      <c r="K320" t="s">
        <v>1809</v>
      </c>
      <c r="L320" t="s">
        <v>1814</v>
      </c>
      <c r="M320" s="90">
        <v>150</v>
      </c>
      <c r="O320"/>
    </row>
    <row r="321" spans="1:15">
      <c r="A321" s="13" t="s">
        <v>489</v>
      </c>
      <c r="B321" s="14" t="s">
        <v>490</v>
      </c>
      <c r="C321" s="15" t="s">
        <v>72</v>
      </c>
      <c r="D321" s="16"/>
      <c r="E321" s="2">
        <v>1607032.69</v>
      </c>
      <c r="F321" s="23">
        <v>0.43075697483166947</v>
      </c>
      <c r="G321" s="26">
        <v>692240.54</v>
      </c>
      <c r="H321" t="s">
        <v>1806</v>
      </c>
      <c r="K321" t="s">
        <v>1809</v>
      </c>
      <c r="L321" t="s">
        <v>1814</v>
      </c>
      <c r="M321" s="90">
        <v>123</v>
      </c>
      <c r="O321"/>
    </row>
    <row r="322" spans="1:15">
      <c r="A322" s="17" t="s">
        <v>495</v>
      </c>
      <c r="B322" s="21" t="s">
        <v>496</v>
      </c>
      <c r="C322" s="19" t="s">
        <v>72</v>
      </c>
      <c r="D322" s="20"/>
      <c r="E322" s="3">
        <v>2239223.5099999998</v>
      </c>
      <c r="F322" s="24">
        <v>0.30555379887021644</v>
      </c>
      <c r="G322" s="26">
        <v>684203.25</v>
      </c>
      <c r="H322" t="s">
        <v>1806</v>
      </c>
      <c r="K322" t="s">
        <v>1809</v>
      </c>
      <c r="L322" t="s">
        <v>1814</v>
      </c>
      <c r="M322" s="90">
        <v>166</v>
      </c>
      <c r="O322"/>
    </row>
    <row r="323" spans="1:15">
      <c r="A323" s="19" t="s">
        <v>320</v>
      </c>
      <c r="B323" s="20" t="s">
        <v>321</v>
      </c>
      <c r="C323" s="19" t="s">
        <v>72</v>
      </c>
      <c r="D323" s="20"/>
      <c r="E323" s="3">
        <v>1189815.74</v>
      </c>
      <c r="F323" s="24">
        <v>4.7435075955542491E-4</v>
      </c>
      <c r="G323" s="26">
        <v>564.39</v>
      </c>
      <c r="H323" t="s">
        <v>1806</v>
      </c>
      <c r="K323" t="s">
        <v>1809</v>
      </c>
      <c r="L323" t="s">
        <v>1814</v>
      </c>
      <c r="M323" s="90">
        <v>131</v>
      </c>
      <c r="O323"/>
    </row>
    <row r="324" spans="1:15">
      <c r="A324" s="17" t="s">
        <v>332</v>
      </c>
      <c r="B324" s="21" t="s">
        <v>333</v>
      </c>
      <c r="C324" s="19" t="s">
        <v>72</v>
      </c>
      <c r="D324" s="20"/>
      <c r="E324" s="3">
        <v>335000</v>
      </c>
      <c r="F324" s="24">
        <v>0</v>
      </c>
      <c r="G324" s="26">
        <v>0</v>
      </c>
      <c r="H324" t="s">
        <v>1806</v>
      </c>
      <c r="K324" t="s">
        <v>1809</v>
      </c>
      <c r="L324" t="s">
        <v>1814</v>
      </c>
      <c r="M324" s="90">
        <v>38</v>
      </c>
      <c r="O324"/>
    </row>
    <row r="325" spans="1:15">
      <c r="A325" s="17" t="s">
        <v>336</v>
      </c>
      <c r="B325" s="21" t="s">
        <v>337</v>
      </c>
      <c r="C325" s="19" t="s">
        <v>72</v>
      </c>
      <c r="D325" s="20"/>
      <c r="E325" s="3">
        <v>657459.05000000005</v>
      </c>
      <c r="F325" s="24">
        <v>4.7800087321027817E-3</v>
      </c>
      <c r="G325" s="26">
        <v>3142.6599999999994</v>
      </c>
      <c r="H325" t="s">
        <v>1806</v>
      </c>
      <c r="K325" t="s">
        <v>1809</v>
      </c>
      <c r="L325" t="s">
        <v>1814</v>
      </c>
      <c r="M325" s="90">
        <v>74</v>
      </c>
      <c r="O325"/>
    </row>
    <row r="326" spans="1:15">
      <c r="A326" s="15" t="s">
        <v>338</v>
      </c>
      <c r="B326" s="16" t="s">
        <v>339</v>
      </c>
      <c r="C326" s="15" t="s">
        <v>72</v>
      </c>
      <c r="D326" s="16"/>
      <c r="E326" s="2">
        <v>2325344.94</v>
      </c>
      <c r="F326" s="23">
        <v>3.5050713809367138E-3</v>
      </c>
      <c r="G326" s="26">
        <v>8150.5</v>
      </c>
      <c r="H326" t="s">
        <v>1806</v>
      </c>
      <c r="K326" t="s">
        <v>1809</v>
      </c>
      <c r="L326" t="s">
        <v>1814</v>
      </c>
      <c r="M326" s="90">
        <v>356</v>
      </c>
      <c r="O326"/>
    </row>
    <row r="327" spans="1:15">
      <c r="A327" s="17" t="s">
        <v>1643</v>
      </c>
      <c r="B327" s="21" t="s">
        <v>1644</v>
      </c>
      <c r="C327" s="19" t="s">
        <v>72</v>
      </c>
      <c r="D327" s="20"/>
      <c r="E327" s="3">
        <v>853100.11</v>
      </c>
      <c r="F327" s="24">
        <v>5.8582456401277457E-3</v>
      </c>
      <c r="G327" s="26">
        <v>4997.67</v>
      </c>
      <c r="H327" t="s">
        <v>1806</v>
      </c>
      <c r="K327" t="s">
        <v>1809</v>
      </c>
      <c r="L327" t="s">
        <v>1814</v>
      </c>
      <c r="M327" s="90">
        <v>57</v>
      </c>
      <c r="O327"/>
    </row>
    <row r="328" spans="1:15">
      <c r="A328" s="17" t="s">
        <v>1659</v>
      </c>
      <c r="B328" s="21" t="s">
        <v>1660</v>
      </c>
      <c r="C328" s="19" t="s">
        <v>72</v>
      </c>
      <c r="D328" s="20"/>
      <c r="E328" s="3">
        <v>2077739.09</v>
      </c>
      <c r="F328" s="24">
        <v>9.3359195547502535E-2</v>
      </c>
      <c r="G328" s="26">
        <v>193976.05</v>
      </c>
      <c r="H328" t="s">
        <v>1806</v>
      </c>
      <c r="K328" t="s">
        <v>1809</v>
      </c>
      <c r="L328" t="s">
        <v>1814</v>
      </c>
      <c r="M328" s="90">
        <v>241</v>
      </c>
      <c r="O328"/>
    </row>
    <row r="329" spans="1:15">
      <c r="A329" s="15" t="s">
        <v>1661</v>
      </c>
      <c r="B329" s="16" t="s">
        <v>1662</v>
      </c>
      <c r="C329" s="15" t="s">
        <v>72</v>
      </c>
      <c r="D329" s="16"/>
      <c r="E329" s="2">
        <v>892388.38</v>
      </c>
      <c r="F329" s="23">
        <v>2.5321811115469699E-2</v>
      </c>
      <c r="G329" s="26">
        <v>22596.89</v>
      </c>
      <c r="H329" t="s">
        <v>1806</v>
      </c>
      <c r="K329" t="s">
        <v>1809</v>
      </c>
      <c r="L329" t="s">
        <v>1814</v>
      </c>
      <c r="M329" s="90">
        <v>109</v>
      </c>
      <c r="O329"/>
    </row>
    <row r="330" spans="1:15">
      <c r="A330" s="13" t="s">
        <v>1857</v>
      </c>
      <c r="B330" s="14" t="s">
        <v>1858</v>
      </c>
      <c r="C330" s="15" t="s">
        <v>72</v>
      </c>
      <c r="D330" s="16"/>
      <c r="E330" s="2">
        <v>1901240.54</v>
      </c>
      <c r="F330" s="23">
        <v>7.7419924992762875E-3</v>
      </c>
      <c r="G330" s="26">
        <v>14719.39</v>
      </c>
      <c r="H330" t="s">
        <v>1806</v>
      </c>
      <c r="K330" t="s">
        <v>1809</v>
      </c>
      <c r="L330" t="s">
        <v>1814</v>
      </c>
      <c r="M330" s="90">
        <v>232</v>
      </c>
      <c r="O330"/>
    </row>
    <row r="331" spans="1:15">
      <c r="A331" s="13" t="s">
        <v>1861</v>
      </c>
      <c r="B331" s="22" t="s">
        <v>1862</v>
      </c>
      <c r="C331" s="15" t="s">
        <v>72</v>
      </c>
      <c r="D331" s="16"/>
      <c r="E331" s="2">
        <v>2935225.27</v>
      </c>
      <c r="F331" s="23">
        <v>7.6976715316981448E-4</v>
      </c>
      <c r="G331" s="26">
        <v>2259.44</v>
      </c>
      <c r="H331" t="s">
        <v>1806</v>
      </c>
      <c r="K331" t="s">
        <v>1809</v>
      </c>
      <c r="L331" t="s">
        <v>1814</v>
      </c>
      <c r="M331" s="90">
        <v>144</v>
      </c>
      <c r="O331"/>
    </row>
    <row r="332" spans="1:15">
      <c r="A332" s="15" t="s">
        <v>1713</v>
      </c>
      <c r="B332" s="16" t="s">
        <v>1714</v>
      </c>
      <c r="C332" s="15" t="s">
        <v>72</v>
      </c>
      <c r="D332" s="16"/>
      <c r="E332" s="2">
        <v>3812632.93</v>
      </c>
      <c r="F332" s="23">
        <v>8.5243732078870746E-2</v>
      </c>
      <c r="G332" s="26">
        <v>325003.06</v>
      </c>
      <c r="H332" t="s">
        <v>1806</v>
      </c>
      <c r="K332" t="s">
        <v>1809</v>
      </c>
      <c r="L332" t="s">
        <v>1814</v>
      </c>
      <c r="M332" s="90">
        <v>380</v>
      </c>
      <c r="O332"/>
    </row>
    <row r="333" spans="1:15">
      <c r="A333" s="17" t="s">
        <v>1723</v>
      </c>
      <c r="B333" s="21" t="s">
        <v>1724</v>
      </c>
      <c r="C333" s="19" t="s">
        <v>72</v>
      </c>
      <c r="D333" s="20"/>
      <c r="E333" s="3">
        <v>3308027.59</v>
      </c>
      <c r="F333" s="24">
        <v>5.0503472372792395E-2</v>
      </c>
      <c r="G333" s="26">
        <v>167066.88</v>
      </c>
      <c r="H333" t="s">
        <v>1806</v>
      </c>
      <c r="K333" t="s">
        <v>1809</v>
      </c>
      <c r="L333" t="s">
        <v>1814</v>
      </c>
      <c r="M333" s="90">
        <v>428</v>
      </c>
      <c r="O333"/>
    </row>
    <row r="334" spans="1:15">
      <c r="A334" s="17" t="s">
        <v>1739</v>
      </c>
      <c r="B334" s="21" t="s">
        <v>1740</v>
      </c>
      <c r="C334" s="19" t="s">
        <v>72</v>
      </c>
      <c r="D334" s="20"/>
      <c r="E334" s="3">
        <v>1459662.58</v>
      </c>
      <c r="F334" s="24">
        <v>1.9847326633529237E-3</v>
      </c>
      <c r="G334" s="26">
        <v>2897.0400000000004</v>
      </c>
      <c r="H334" t="s">
        <v>1806</v>
      </c>
      <c r="K334" t="s">
        <v>1809</v>
      </c>
      <c r="L334" t="s">
        <v>1814</v>
      </c>
      <c r="M334" s="90">
        <v>176</v>
      </c>
      <c r="O334"/>
    </row>
    <row r="335" spans="1:15">
      <c r="A335" s="15" t="s">
        <v>1741</v>
      </c>
      <c r="B335" s="16" t="s">
        <v>1742</v>
      </c>
      <c r="C335" s="15" t="s">
        <v>72</v>
      </c>
      <c r="D335" s="16"/>
      <c r="E335" s="2">
        <v>2632501.21</v>
      </c>
      <c r="F335" s="23">
        <v>1.0596348405856954E-2</v>
      </c>
      <c r="G335" s="26">
        <v>27894.9</v>
      </c>
      <c r="H335" t="s">
        <v>1806</v>
      </c>
      <c r="K335" t="s">
        <v>1809</v>
      </c>
      <c r="L335" t="s">
        <v>1814</v>
      </c>
      <c r="M335" s="90">
        <v>280</v>
      </c>
      <c r="O335"/>
    </row>
    <row r="336" spans="1:15">
      <c r="A336" s="17" t="s">
        <v>1747</v>
      </c>
      <c r="B336" s="21" t="s">
        <v>1748</v>
      </c>
      <c r="C336" s="19" t="s">
        <v>72</v>
      </c>
      <c r="D336" s="20"/>
      <c r="E336" s="3">
        <v>1059945.29</v>
      </c>
      <c r="F336" s="24">
        <v>2.1421860367906346E-4</v>
      </c>
      <c r="G336" s="26">
        <v>227.06</v>
      </c>
      <c r="H336" t="s">
        <v>1806</v>
      </c>
      <c r="K336" t="s">
        <v>1809</v>
      </c>
      <c r="L336" t="s">
        <v>1814</v>
      </c>
      <c r="M336" s="90">
        <v>147</v>
      </c>
      <c r="O336"/>
    </row>
    <row r="337" spans="1:16">
      <c r="A337" s="17" t="s">
        <v>1925</v>
      </c>
      <c r="B337" s="18" t="s">
        <v>1926</v>
      </c>
      <c r="C337" s="19" t="s">
        <v>72</v>
      </c>
      <c r="D337" s="20"/>
      <c r="E337" s="3">
        <v>1695567.74</v>
      </c>
      <c r="F337" s="24">
        <v>0.1132006852170943</v>
      </c>
      <c r="G337" s="26">
        <v>191939.43</v>
      </c>
      <c r="H337" t="s">
        <v>1806</v>
      </c>
      <c r="K337" t="s">
        <v>1809</v>
      </c>
      <c r="L337" t="s">
        <v>1814</v>
      </c>
      <c r="M337" s="90">
        <v>197</v>
      </c>
      <c r="O337"/>
    </row>
    <row r="338" spans="1:16">
      <c r="A338" s="15" t="s">
        <v>1935</v>
      </c>
      <c r="B338" s="16" t="s">
        <v>1936</v>
      </c>
      <c r="C338" s="15" t="s">
        <v>72</v>
      </c>
      <c r="D338" s="16"/>
      <c r="E338" s="2">
        <v>3716277.46</v>
      </c>
      <c r="F338" s="23">
        <v>6.3868616526818744E-3</v>
      </c>
      <c r="G338" s="26">
        <v>23735.35</v>
      </c>
      <c r="H338" t="s">
        <v>1806</v>
      </c>
      <c r="K338" t="s">
        <v>1809</v>
      </c>
      <c r="L338" t="s">
        <v>1814</v>
      </c>
      <c r="M338" s="90">
        <v>497</v>
      </c>
      <c r="O338"/>
    </row>
    <row r="339" spans="1:16">
      <c r="A339" s="17" t="s">
        <v>1937</v>
      </c>
      <c r="B339" s="21" t="s">
        <v>1938</v>
      </c>
      <c r="C339" s="19" t="s">
        <v>72</v>
      </c>
      <c r="D339" s="20"/>
      <c r="E339" s="3">
        <v>3711726.15</v>
      </c>
      <c r="F339" s="24">
        <v>4.1771804743730894E-3</v>
      </c>
      <c r="G339" s="26">
        <v>15504.550000000001</v>
      </c>
      <c r="H339" t="s">
        <v>1806</v>
      </c>
      <c r="K339" t="s">
        <v>1809</v>
      </c>
      <c r="L339" t="s">
        <v>1814</v>
      </c>
      <c r="M339" s="90">
        <v>460</v>
      </c>
      <c r="O339"/>
    </row>
    <row r="340" spans="1:16">
      <c r="A340" s="13" t="s">
        <v>1939</v>
      </c>
      <c r="B340" s="14" t="s">
        <v>1940</v>
      </c>
      <c r="C340" s="15" t="s">
        <v>72</v>
      </c>
      <c r="D340" s="16"/>
      <c r="E340" s="2">
        <v>3615626.7</v>
      </c>
      <c r="F340" s="23">
        <v>1.3364288962685223E-2</v>
      </c>
      <c r="G340" s="26">
        <v>48320.28</v>
      </c>
      <c r="H340" t="s">
        <v>1806</v>
      </c>
      <c r="K340" t="s">
        <v>1809</v>
      </c>
      <c r="L340" t="s">
        <v>1814</v>
      </c>
      <c r="M340" s="90">
        <v>460</v>
      </c>
      <c r="O340"/>
    </row>
    <row r="341" spans="1:16">
      <c r="A341" s="15" t="s">
        <v>134</v>
      </c>
      <c r="B341" s="16" t="s">
        <v>135</v>
      </c>
      <c r="C341" s="15" t="s">
        <v>72</v>
      </c>
      <c r="D341" s="16"/>
      <c r="E341" s="2">
        <v>2229418.88</v>
      </c>
      <c r="F341" s="23">
        <v>4.4792255459862257E-3</v>
      </c>
      <c r="G341" s="26">
        <v>9986.07</v>
      </c>
      <c r="H341" t="s">
        <v>1806</v>
      </c>
      <c r="K341" t="s">
        <v>1809</v>
      </c>
      <c r="L341" t="s">
        <v>1814</v>
      </c>
      <c r="M341" s="90">
        <v>273</v>
      </c>
      <c r="O341"/>
    </row>
    <row r="342" spans="1:16">
      <c r="A342" s="17" t="s">
        <v>17</v>
      </c>
      <c r="B342" s="21" t="s">
        <v>18</v>
      </c>
      <c r="C342" s="19" t="s">
        <v>72</v>
      </c>
      <c r="D342" s="20"/>
      <c r="E342" s="3">
        <v>4017568.6</v>
      </c>
      <c r="F342" s="24">
        <v>4.879384013505083E-3</v>
      </c>
      <c r="G342" s="26">
        <v>19603.259999999998</v>
      </c>
      <c r="H342" t="s">
        <v>1806</v>
      </c>
      <c r="K342" t="s">
        <v>1809</v>
      </c>
      <c r="L342" t="s">
        <v>1814</v>
      </c>
      <c r="M342" s="90">
        <v>510</v>
      </c>
      <c r="O342"/>
    </row>
    <row r="343" spans="1:16">
      <c r="A343" s="131" t="s">
        <v>31</v>
      </c>
      <c r="B343" s="130" t="s">
        <v>32</v>
      </c>
      <c r="C343" s="135" t="s">
        <v>72</v>
      </c>
      <c r="D343" s="138"/>
      <c r="E343" s="42">
        <v>0</v>
      </c>
      <c r="F343" s="139" t="s">
        <v>761</v>
      </c>
      <c r="G343" s="50">
        <v>0</v>
      </c>
      <c r="H343" s="90" t="s">
        <v>1806</v>
      </c>
      <c r="I343" s="90"/>
      <c r="J343" s="90"/>
      <c r="K343" s="90" t="s">
        <v>1809</v>
      </c>
      <c r="L343" s="90" t="s">
        <v>1814</v>
      </c>
      <c r="M343" s="90">
        <v>218</v>
      </c>
      <c r="O343"/>
    </row>
    <row r="344" spans="1:16">
      <c r="A344" s="19" t="s">
        <v>37</v>
      </c>
      <c r="B344" s="20" t="s">
        <v>38</v>
      </c>
      <c r="C344" s="19" t="s">
        <v>72</v>
      </c>
      <c r="D344" s="20"/>
      <c r="E344" s="3">
        <v>1458765.45</v>
      </c>
      <c r="F344" s="24">
        <v>1.4433889971825148E-2</v>
      </c>
      <c r="G344" s="26">
        <v>21055.66</v>
      </c>
      <c r="H344" t="s">
        <v>1806</v>
      </c>
      <c r="K344" t="s">
        <v>1809</v>
      </c>
      <c r="L344" t="s">
        <v>1814</v>
      </c>
      <c r="M344" s="90">
        <v>188</v>
      </c>
      <c r="O344"/>
    </row>
    <row r="345" spans="1:16">
      <c r="A345" s="17" t="s">
        <v>223</v>
      </c>
      <c r="B345" s="21" t="s">
        <v>224</v>
      </c>
      <c r="C345" s="19" t="s">
        <v>72</v>
      </c>
      <c r="D345" s="20"/>
      <c r="E345" s="3">
        <v>3568958.25</v>
      </c>
      <c r="F345" s="24">
        <v>7.3783911593810316E-3</v>
      </c>
      <c r="G345" s="26">
        <v>26333.17</v>
      </c>
      <c r="H345" t="s">
        <v>1806</v>
      </c>
      <c r="K345" t="s">
        <v>1809</v>
      </c>
      <c r="L345" t="s">
        <v>1814</v>
      </c>
      <c r="M345" s="90">
        <v>334</v>
      </c>
      <c r="O345"/>
    </row>
    <row r="346" spans="1:16">
      <c r="A346" s="94" t="s">
        <v>227</v>
      </c>
      <c r="B346" s="95" t="s">
        <v>63</v>
      </c>
      <c r="C346" s="77" t="s">
        <v>72</v>
      </c>
      <c r="D346" s="78"/>
      <c r="E346" s="79">
        <v>2709131.27</v>
      </c>
      <c r="F346" s="80">
        <v>7.7109478714923992E-3</v>
      </c>
      <c r="G346" s="81">
        <v>20889.97</v>
      </c>
      <c r="H346" s="69" t="s">
        <v>1806</v>
      </c>
      <c r="I346" s="69"/>
      <c r="J346" s="69"/>
      <c r="K346" s="69" t="s">
        <v>1809</v>
      </c>
      <c r="L346" s="69" t="s">
        <v>1814</v>
      </c>
      <c r="M346" s="69">
        <v>261</v>
      </c>
      <c r="N346" s="81">
        <f>SUM(G306:G346)</f>
        <v>2721046.959999999</v>
      </c>
      <c r="O346" s="69">
        <f>SUM(M306:M346)</f>
        <v>10439</v>
      </c>
      <c r="P346" s="81">
        <f>N346/O346</f>
        <v>260.66164958329335</v>
      </c>
    </row>
    <row r="347" spans="1:16">
      <c r="A347" s="135" t="s">
        <v>79</v>
      </c>
      <c r="B347" s="138" t="s">
        <v>80</v>
      </c>
      <c r="C347" s="135" t="s">
        <v>72</v>
      </c>
      <c r="D347" s="138"/>
      <c r="E347" s="42">
        <v>0</v>
      </c>
      <c r="F347" s="139" t="s">
        <v>761</v>
      </c>
      <c r="G347" s="140"/>
      <c r="H347" s="90" t="s">
        <v>1806</v>
      </c>
      <c r="I347" s="90"/>
      <c r="J347" s="90"/>
      <c r="K347" s="90" t="s">
        <v>1810</v>
      </c>
      <c r="L347" s="90" t="s">
        <v>1812</v>
      </c>
      <c r="M347" s="90">
        <v>679</v>
      </c>
      <c r="O347"/>
    </row>
    <row r="348" spans="1:16">
      <c r="A348" s="17" t="s">
        <v>107</v>
      </c>
      <c r="B348" s="21" t="s">
        <v>108</v>
      </c>
      <c r="C348" s="19" t="s">
        <v>72</v>
      </c>
      <c r="D348" s="20"/>
      <c r="E348" s="3">
        <v>1407836.57</v>
      </c>
      <c r="F348" s="24">
        <v>3.7008201882410253E-3</v>
      </c>
      <c r="G348" s="26">
        <v>5210.1499999999996</v>
      </c>
      <c r="H348" t="s">
        <v>1806</v>
      </c>
      <c r="K348" t="s">
        <v>1810</v>
      </c>
      <c r="L348" t="s">
        <v>1812</v>
      </c>
      <c r="M348" s="90">
        <v>80</v>
      </c>
      <c r="O348"/>
    </row>
    <row r="349" spans="1:16">
      <c r="A349" s="13" t="s">
        <v>150</v>
      </c>
      <c r="B349" s="22" t="s">
        <v>151</v>
      </c>
      <c r="C349" s="15" t="s">
        <v>72</v>
      </c>
      <c r="D349" s="16"/>
      <c r="E349" s="2">
        <v>1470515.3</v>
      </c>
      <c r="F349" s="23">
        <v>0</v>
      </c>
      <c r="G349" s="26">
        <v>0</v>
      </c>
      <c r="H349" t="s">
        <v>1806</v>
      </c>
      <c r="K349" t="s">
        <v>1810</v>
      </c>
      <c r="L349" t="s">
        <v>1812</v>
      </c>
      <c r="M349" s="90">
        <v>178</v>
      </c>
      <c r="O349"/>
    </row>
    <row r="350" spans="1:16">
      <c r="A350" s="15" t="s">
        <v>154</v>
      </c>
      <c r="B350" s="16" t="s">
        <v>155</v>
      </c>
      <c r="C350" s="15" t="s">
        <v>72</v>
      </c>
      <c r="D350" s="16"/>
      <c r="E350" s="2">
        <v>833238.87</v>
      </c>
      <c r="F350" s="23">
        <v>8.0378751413745265E-3</v>
      </c>
      <c r="G350" s="26">
        <v>6697.4700000000012</v>
      </c>
      <c r="H350" t="s">
        <v>1806</v>
      </c>
      <c r="K350" t="s">
        <v>1810</v>
      </c>
      <c r="L350" t="s">
        <v>1812</v>
      </c>
      <c r="M350" s="90">
        <v>88</v>
      </c>
      <c r="O350"/>
    </row>
    <row r="351" spans="1:16">
      <c r="A351" s="13" t="s">
        <v>162</v>
      </c>
      <c r="B351" s="14" t="s">
        <v>163</v>
      </c>
      <c r="C351" s="15" t="s">
        <v>72</v>
      </c>
      <c r="D351" s="16"/>
      <c r="E351" s="2">
        <v>1451418.65</v>
      </c>
      <c r="F351" s="23">
        <v>0</v>
      </c>
      <c r="G351" s="26">
        <v>0</v>
      </c>
      <c r="H351" t="s">
        <v>1806</v>
      </c>
      <c r="K351" t="s">
        <v>1810</v>
      </c>
      <c r="L351" t="s">
        <v>1812</v>
      </c>
      <c r="M351" s="90">
        <v>163</v>
      </c>
      <c r="O351"/>
    </row>
    <row r="352" spans="1:16">
      <c r="A352" s="131" t="s">
        <v>376</v>
      </c>
      <c r="B352" s="130" t="s">
        <v>377</v>
      </c>
      <c r="C352" s="135" t="s">
        <v>72</v>
      </c>
      <c r="D352" s="138"/>
      <c r="E352" s="42">
        <v>0</v>
      </c>
      <c r="F352" s="139" t="s">
        <v>761</v>
      </c>
      <c r="G352" s="50">
        <v>0</v>
      </c>
      <c r="H352" s="90" t="s">
        <v>1806</v>
      </c>
      <c r="I352" s="90"/>
      <c r="J352" s="90"/>
      <c r="K352" s="90" t="s">
        <v>1810</v>
      </c>
      <c r="L352" s="90" t="s">
        <v>1812</v>
      </c>
      <c r="M352" s="90">
        <v>388</v>
      </c>
      <c r="O352"/>
    </row>
    <row r="353" spans="1:15">
      <c r="A353" s="19" t="s">
        <v>240</v>
      </c>
      <c r="B353" s="20" t="s">
        <v>241</v>
      </c>
      <c r="C353" s="19" t="s">
        <v>72</v>
      </c>
      <c r="D353" s="20"/>
      <c r="E353" s="3">
        <v>892186</v>
      </c>
      <c r="F353" s="24">
        <v>0</v>
      </c>
      <c r="G353" s="26">
        <v>0</v>
      </c>
      <c r="H353" t="s">
        <v>1806</v>
      </c>
      <c r="K353" t="s">
        <v>1810</v>
      </c>
      <c r="L353" t="s">
        <v>1812</v>
      </c>
      <c r="M353" s="90">
        <v>65</v>
      </c>
      <c r="O353"/>
    </row>
    <row r="354" spans="1:15">
      <c r="A354" s="13" t="s">
        <v>270</v>
      </c>
      <c r="B354" s="14" t="s">
        <v>271</v>
      </c>
      <c r="C354" s="15" t="s">
        <v>72</v>
      </c>
      <c r="D354" s="16"/>
      <c r="E354" s="2">
        <v>1443280.67</v>
      </c>
      <c r="F354" s="23">
        <v>9.0453161823334065E-3</v>
      </c>
      <c r="G354" s="26">
        <v>13054.93</v>
      </c>
      <c r="H354" t="s">
        <v>1806</v>
      </c>
      <c r="K354" t="s">
        <v>1810</v>
      </c>
      <c r="L354" t="s">
        <v>1812</v>
      </c>
      <c r="M354" s="90">
        <v>220</v>
      </c>
      <c r="O354"/>
    </row>
    <row r="355" spans="1:15">
      <c r="A355" s="17" t="s">
        <v>272</v>
      </c>
      <c r="B355" s="21" t="s">
        <v>273</v>
      </c>
      <c r="C355" s="19" t="s">
        <v>72</v>
      </c>
      <c r="D355" s="20"/>
      <c r="E355" s="3">
        <v>2707072.04</v>
      </c>
      <c r="F355" s="24">
        <v>4.4016257506024843E-2</v>
      </c>
      <c r="G355" s="26">
        <v>119155.18</v>
      </c>
      <c r="H355" t="s">
        <v>1806</v>
      </c>
      <c r="K355" t="s">
        <v>1810</v>
      </c>
      <c r="L355" t="s">
        <v>1812</v>
      </c>
      <c r="M355" s="90">
        <v>207</v>
      </c>
      <c r="O355"/>
    </row>
    <row r="356" spans="1:15">
      <c r="A356" s="19" t="s">
        <v>487</v>
      </c>
      <c r="B356" s="20" t="s">
        <v>488</v>
      </c>
      <c r="C356" s="19" t="s">
        <v>72</v>
      </c>
      <c r="D356" s="20"/>
      <c r="E356" s="3">
        <v>377292.94</v>
      </c>
      <c r="F356" s="24">
        <v>0</v>
      </c>
      <c r="G356" s="26">
        <v>0</v>
      </c>
      <c r="H356" t="s">
        <v>1806</v>
      </c>
      <c r="K356" t="s">
        <v>1810</v>
      </c>
      <c r="L356" t="s">
        <v>1812</v>
      </c>
      <c r="M356" s="90">
        <v>51</v>
      </c>
      <c r="O356"/>
    </row>
    <row r="357" spans="1:15">
      <c r="A357" s="13" t="s">
        <v>350</v>
      </c>
      <c r="B357" s="14" t="s">
        <v>351</v>
      </c>
      <c r="C357" s="15" t="s">
        <v>72</v>
      </c>
      <c r="D357" s="16"/>
      <c r="E357" s="2">
        <v>853109.34</v>
      </c>
      <c r="F357" s="23">
        <v>0.11721826887981324</v>
      </c>
      <c r="G357" s="26">
        <v>100000</v>
      </c>
      <c r="H357" t="s">
        <v>1806</v>
      </c>
      <c r="I357" t="s">
        <v>1820</v>
      </c>
      <c r="J357" t="s">
        <v>1812</v>
      </c>
      <c r="K357" t="s">
        <v>1810</v>
      </c>
      <c r="L357" t="s">
        <v>1812</v>
      </c>
      <c r="M357" s="90">
        <v>86</v>
      </c>
      <c r="O357"/>
    </row>
    <row r="358" spans="1:15">
      <c r="A358" s="13" t="s">
        <v>1637</v>
      </c>
      <c r="B358" s="14" t="s">
        <v>1638</v>
      </c>
      <c r="C358" s="15" t="s">
        <v>72</v>
      </c>
      <c r="D358" s="16"/>
      <c r="E358" s="2">
        <v>2171897.73</v>
      </c>
      <c r="F358" s="23">
        <v>0</v>
      </c>
      <c r="G358" s="26">
        <v>0</v>
      </c>
      <c r="H358" t="s">
        <v>1806</v>
      </c>
      <c r="K358" t="s">
        <v>1810</v>
      </c>
      <c r="L358" t="s">
        <v>1812</v>
      </c>
      <c r="M358" s="90">
        <v>219</v>
      </c>
      <c r="O358"/>
    </row>
    <row r="359" spans="1:15">
      <c r="A359" s="19" t="s">
        <v>1651</v>
      </c>
      <c r="B359" s="20" t="s">
        <v>1652</v>
      </c>
      <c r="C359" s="19" t="s">
        <v>72</v>
      </c>
      <c r="D359" s="20"/>
      <c r="E359" s="3">
        <v>1320415.97</v>
      </c>
      <c r="F359" s="24">
        <v>1.1641831323806239E-2</v>
      </c>
      <c r="G359" s="26">
        <v>15372.06</v>
      </c>
      <c r="H359" t="s">
        <v>1811</v>
      </c>
      <c r="K359" t="s">
        <v>1810</v>
      </c>
      <c r="L359" t="s">
        <v>1812</v>
      </c>
      <c r="M359" s="90">
        <v>199</v>
      </c>
      <c r="O359"/>
    </row>
    <row r="360" spans="1:15">
      <c r="A360" s="17" t="s">
        <v>1867</v>
      </c>
      <c r="B360" s="21" t="s">
        <v>1868</v>
      </c>
      <c r="C360" s="19" t="s">
        <v>72</v>
      </c>
      <c r="D360" s="20"/>
      <c r="E360" s="3">
        <v>673623.24</v>
      </c>
      <c r="F360" s="24">
        <v>5.0050633645003097E-2</v>
      </c>
      <c r="G360" s="26">
        <v>33715.269999999997</v>
      </c>
      <c r="H360" t="s">
        <v>1806</v>
      </c>
      <c r="K360" t="s">
        <v>1810</v>
      </c>
      <c r="L360" t="s">
        <v>1812</v>
      </c>
      <c r="M360" s="90">
        <v>92</v>
      </c>
      <c r="O360"/>
    </row>
    <row r="361" spans="1:15">
      <c r="A361" s="13" t="s">
        <v>1873</v>
      </c>
      <c r="B361" s="14" t="s">
        <v>1874</v>
      </c>
      <c r="C361" s="15" t="s">
        <v>72</v>
      </c>
      <c r="D361" s="16"/>
      <c r="E361" s="2">
        <v>924919.7</v>
      </c>
      <c r="F361" s="23">
        <v>0.28688263424381599</v>
      </c>
      <c r="G361" s="26">
        <v>265343.40000000002</v>
      </c>
      <c r="H361" t="s">
        <v>1806</v>
      </c>
      <c r="K361" t="s">
        <v>1810</v>
      </c>
      <c r="L361" t="s">
        <v>1812</v>
      </c>
      <c r="M361" s="90">
        <v>71</v>
      </c>
      <c r="O361"/>
    </row>
    <row r="362" spans="1:15">
      <c r="A362" s="15" t="s">
        <v>1705</v>
      </c>
      <c r="B362" s="16" t="s">
        <v>1706</v>
      </c>
      <c r="C362" s="15" t="s">
        <v>72</v>
      </c>
      <c r="D362" s="16"/>
      <c r="E362" s="2">
        <v>4930061.96</v>
      </c>
      <c r="F362" s="23">
        <v>2.5095238356801504E-2</v>
      </c>
      <c r="G362" s="26">
        <v>123721.08</v>
      </c>
      <c r="H362" t="s">
        <v>1806</v>
      </c>
      <c r="K362" t="s">
        <v>1810</v>
      </c>
      <c r="L362" t="s">
        <v>1812</v>
      </c>
      <c r="M362" s="90">
        <v>661</v>
      </c>
      <c r="O362"/>
    </row>
    <row r="363" spans="1:15">
      <c r="A363" s="13" t="s">
        <v>1729</v>
      </c>
      <c r="B363" s="14" t="s">
        <v>1730</v>
      </c>
      <c r="C363" s="15" t="s">
        <v>72</v>
      </c>
      <c r="D363" s="16"/>
      <c r="E363" s="2">
        <v>1404805.4</v>
      </c>
      <c r="F363" s="23">
        <v>4.1513087862560895E-2</v>
      </c>
      <c r="G363" s="26">
        <v>58317.81</v>
      </c>
      <c r="H363" t="s">
        <v>1806</v>
      </c>
      <c r="K363" t="s">
        <v>1810</v>
      </c>
      <c r="L363" t="s">
        <v>1812</v>
      </c>
      <c r="M363" s="90">
        <v>189</v>
      </c>
      <c r="O363"/>
    </row>
    <row r="364" spans="1:15">
      <c r="A364" s="17" t="s">
        <v>1731</v>
      </c>
      <c r="B364" s="21" t="s">
        <v>1732</v>
      </c>
      <c r="C364" s="19" t="s">
        <v>72</v>
      </c>
      <c r="D364" s="20"/>
      <c r="E364" s="3">
        <v>4376264.95</v>
      </c>
      <c r="F364" s="24">
        <v>0.43772465604487681</v>
      </c>
      <c r="G364" s="26">
        <v>1915599.07</v>
      </c>
      <c r="H364" t="s">
        <v>1811</v>
      </c>
      <c r="K364" t="s">
        <v>1810</v>
      </c>
      <c r="L364" t="s">
        <v>1812</v>
      </c>
      <c r="M364" s="90">
        <v>147</v>
      </c>
      <c r="O364"/>
    </row>
    <row r="365" spans="1:15">
      <c r="A365" s="15" t="s">
        <v>1733</v>
      </c>
      <c r="B365" s="16" t="s">
        <v>1734</v>
      </c>
      <c r="C365" s="15" t="s">
        <v>72</v>
      </c>
      <c r="D365" s="16"/>
      <c r="E365" s="2">
        <v>2165529.86</v>
      </c>
      <c r="F365" s="23">
        <v>0.14120568626100591</v>
      </c>
      <c r="G365" s="26">
        <v>305785.13</v>
      </c>
      <c r="H365" t="s">
        <v>1806</v>
      </c>
      <c r="K365" t="s">
        <v>1810</v>
      </c>
      <c r="L365" t="s">
        <v>1812</v>
      </c>
      <c r="M365" s="90">
        <v>232</v>
      </c>
      <c r="O365"/>
    </row>
    <row r="366" spans="1:15">
      <c r="A366" s="13" t="s">
        <v>1753</v>
      </c>
      <c r="B366" s="14" t="s">
        <v>1754</v>
      </c>
      <c r="C366" s="15" t="s">
        <v>72</v>
      </c>
      <c r="D366" s="16"/>
      <c r="E366" s="2">
        <v>5661783.1399999997</v>
      </c>
      <c r="F366" s="23">
        <v>1.8061977555714013E-2</v>
      </c>
      <c r="G366" s="26">
        <v>102263</v>
      </c>
      <c r="H366" t="s">
        <v>1806</v>
      </c>
      <c r="K366" t="s">
        <v>1810</v>
      </c>
      <c r="L366" t="s">
        <v>1812</v>
      </c>
      <c r="M366" s="90">
        <v>794</v>
      </c>
      <c r="O366"/>
    </row>
    <row r="367" spans="1:15">
      <c r="A367" s="17" t="s">
        <v>1790</v>
      </c>
      <c r="B367" s="21" t="s">
        <v>1791</v>
      </c>
      <c r="C367" s="19" t="s">
        <v>72</v>
      </c>
      <c r="D367" s="20"/>
      <c r="E367" s="3">
        <v>1221188.54</v>
      </c>
      <c r="F367" s="24">
        <v>1.392240382471981E-2</v>
      </c>
      <c r="G367" s="26">
        <v>17001.88</v>
      </c>
      <c r="H367" t="s">
        <v>1806</v>
      </c>
      <c r="K367" t="s">
        <v>1810</v>
      </c>
      <c r="L367" t="s">
        <v>1812</v>
      </c>
      <c r="M367" s="90">
        <v>169</v>
      </c>
      <c r="O367"/>
    </row>
    <row r="368" spans="1:15">
      <c r="A368" s="15" t="s">
        <v>138</v>
      </c>
      <c r="B368" s="16" t="s">
        <v>139</v>
      </c>
      <c r="C368" s="15" t="s">
        <v>72</v>
      </c>
      <c r="D368" s="16"/>
      <c r="E368" s="2">
        <v>1467825.85</v>
      </c>
      <c r="F368" s="23">
        <v>1.3999453681783841E-2</v>
      </c>
      <c r="G368" s="26">
        <v>20548.759999999998</v>
      </c>
      <c r="H368" t="s">
        <v>1806</v>
      </c>
      <c r="K368" t="s">
        <v>1810</v>
      </c>
      <c r="L368" t="s">
        <v>1812</v>
      </c>
      <c r="M368" s="90">
        <v>109</v>
      </c>
      <c r="O368"/>
    </row>
    <row r="369" spans="1:16">
      <c r="A369" s="17" t="s">
        <v>140</v>
      </c>
      <c r="B369" s="21" t="s">
        <v>141</v>
      </c>
      <c r="C369" s="19" t="s">
        <v>72</v>
      </c>
      <c r="D369" s="20"/>
      <c r="E369" s="3">
        <v>1059969.8999999999</v>
      </c>
      <c r="F369" s="24">
        <v>2.3182252628117087E-2</v>
      </c>
      <c r="G369" s="26">
        <v>24572.49</v>
      </c>
      <c r="H369" t="s">
        <v>1806</v>
      </c>
      <c r="K369" t="s">
        <v>1810</v>
      </c>
      <c r="L369" t="s">
        <v>1812</v>
      </c>
      <c r="M369" s="90">
        <v>95</v>
      </c>
      <c r="O369"/>
    </row>
    <row r="370" spans="1:16">
      <c r="A370" s="13" t="s">
        <v>142</v>
      </c>
      <c r="B370" s="14" t="s">
        <v>0</v>
      </c>
      <c r="C370" s="15" t="s">
        <v>72</v>
      </c>
      <c r="D370" s="16"/>
      <c r="E370" s="2">
        <v>1167104.8400000001</v>
      </c>
      <c r="F370" s="23">
        <v>4.3401507957074356E-2</v>
      </c>
      <c r="G370" s="26">
        <v>50654.11</v>
      </c>
      <c r="H370" t="s">
        <v>1806</v>
      </c>
      <c r="K370" t="s">
        <v>1810</v>
      </c>
      <c r="L370" t="s">
        <v>1812</v>
      </c>
      <c r="M370" s="90">
        <v>98</v>
      </c>
      <c r="O370"/>
    </row>
    <row r="371" spans="1:16">
      <c r="A371" s="15" t="s">
        <v>19</v>
      </c>
      <c r="B371" s="16" t="s">
        <v>20</v>
      </c>
      <c r="C371" s="15" t="s">
        <v>72</v>
      </c>
      <c r="D371" s="16"/>
      <c r="E371" s="2">
        <v>1295931.69</v>
      </c>
      <c r="F371" s="23">
        <v>0.23488700241599927</v>
      </c>
      <c r="G371" s="26">
        <v>304397.51</v>
      </c>
      <c r="H371" t="s">
        <v>1811</v>
      </c>
      <c r="K371" t="s">
        <v>1810</v>
      </c>
      <c r="L371" t="s">
        <v>1812</v>
      </c>
      <c r="M371" s="90">
        <v>86</v>
      </c>
      <c r="O371"/>
    </row>
    <row r="372" spans="1:16">
      <c r="A372" s="17" t="s">
        <v>21</v>
      </c>
      <c r="B372" s="21" t="s">
        <v>22</v>
      </c>
      <c r="C372" s="19" t="s">
        <v>72</v>
      </c>
      <c r="D372" s="20"/>
      <c r="E372" s="3">
        <v>788059.28</v>
      </c>
      <c r="F372" s="24">
        <v>0.21561141948610768</v>
      </c>
      <c r="G372" s="26">
        <v>169914.58</v>
      </c>
      <c r="H372" t="s">
        <v>1811</v>
      </c>
      <c r="K372" t="s">
        <v>1810</v>
      </c>
      <c r="L372" t="s">
        <v>1812</v>
      </c>
      <c r="M372" s="90">
        <v>89</v>
      </c>
      <c r="O372"/>
    </row>
    <row r="373" spans="1:16">
      <c r="A373" s="17" t="s">
        <v>25</v>
      </c>
      <c r="B373" s="21" t="s">
        <v>26</v>
      </c>
      <c r="C373" s="19" t="s">
        <v>72</v>
      </c>
      <c r="D373" s="20"/>
      <c r="E373" s="3">
        <v>1809630.16</v>
      </c>
      <c r="F373" s="24">
        <v>0</v>
      </c>
      <c r="G373" s="26">
        <v>0</v>
      </c>
      <c r="H373" t="s">
        <v>1806</v>
      </c>
      <c r="K373" t="s">
        <v>1810</v>
      </c>
      <c r="L373" t="s">
        <v>1812</v>
      </c>
      <c r="M373" s="90">
        <v>221</v>
      </c>
      <c r="O373"/>
    </row>
    <row r="374" spans="1:16">
      <c r="A374" s="135" t="s">
        <v>45</v>
      </c>
      <c r="B374" s="138" t="s">
        <v>46</v>
      </c>
      <c r="C374" s="135" t="s">
        <v>72</v>
      </c>
      <c r="D374" s="138"/>
      <c r="E374" s="42">
        <v>0</v>
      </c>
      <c r="F374" s="139" t="s">
        <v>761</v>
      </c>
      <c r="G374" s="50">
        <v>0</v>
      </c>
      <c r="H374" s="90" t="s">
        <v>1811</v>
      </c>
      <c r="I374" s="90"/>
      <c r="J374" s="90"/>
      <c r="K374" s="90" t="s">
        <v>1810</v>
      </c>
      <c r="L374" s="90" t="s">
        <v>1812</v>
      </c>
      <c r="M374" s="90">
        <v>662</v>
      </c>
      <c r="O374"/>
    </row>
    <row r="375" spans="1:16">
      <c r="A375" s="17" t="s">
        <v>53</v>
      </c>
      <c r="B375" s="21" t="s">
        <v>54</v>
      </c>
      <c r="C375" s="19" t="s">
        <v>72</v>
      </c>
      <c r="D375" s="20"/>
      <c r="E375" s="3">
        <v>3404548.42</v>
      </c>
      <c r="F375" s="24">
        <v>6.6692545380218145E-4</v>
      </c>
      <c r="G375" s="26">
        <v>2270.58</v>
      </c>
      <c r="H375" t="s">
        <v>1806</v>
      </c>
      <c r="K375" t="s">
        <v>1810</v>
      </c>
      <c r="L375" t="s">
        <v>1812</v>
      </c>
      <c r="M375" s="90">
        <v>486</v>
      </c>
      <c r="N375" s="81">
        <f>SUM(G347:G375)</f>
        <v>3653594.46</v>
      </c>
      <c r="O375" s="69">
        <f>SUM(M347:M375)</f>
        <v>6824</v>
      </c>
      <c r="P375" s="81">
        <f>N375/O375</f>
        <v>535.40364302461899</v>
      </c>
    </row>
    <row r="376" spans="1:16">
      <c r="A376" s="17" t="s">
        <v>115</v>
      </c>
      <c r="B376" s="21" t="s">
        <v>116</v>
      </c>
      <c r="C376" s="19" t="s">
        <v>72</v>
      </c>
      <c r="D376" s="20"/>
      <c r="E376" s="3">
        <v>2584058.5</v>
      </c>
      <c r="F376" s="24">
        <v>3.488040228191428E-3</v>
      </c>
      <c r="G376" s="26">
        <v>9013.2999999999993</v>
      </c>
      <c r="H376" t="s">
        <v>1806</v>
      </c>
      <c r="K376" t="s">
        <v>1809</v>
      </c>
      <c r="L376" t="s">
        <v>1816</v>
      </c>
      <c r="M376" s="90">
        <v>158</v>
      </c>
      <c r="O376"/>
    </row>
    <row r="377" spans="1:16">
      <c r="A377" s="19" t="s">
        <v>172</v>
      </c>
      <c r="B377" s="20" t="s">
        <v>173</v>
      </c>
      <c r="C377" s="19" t="s">
        <v>72</v>
      </c>
      <c r="D377" s="20"/>
      <c r="E377" s="3">
        <v>1901827.32</v>
      </c>
      <c r="F377" s="24">
        <v>0</v>
      </c>
      <c r="G377" s="26">
        <v>0</v>
      </c>
      <c r="H377" t="s">
        <v>1806</v>
      </c>
      <c r="K377" t="s">
        <v>1809</v>
      </c>
      <c r="L377" t="s">
        <v>1816</v>
      </c>
      <c r="M377" s="90">
        <v>339</v>
      </c>
      <c r="O377"/>
    </row>
    <row r="378" spans="1:16">
      <c r="A378" s="131" t="s">
        <v>196</v>
      </c>
      <c r="B378" s="130" t="s">
        <v>197</v>
      </c>
      <c r="C378" s="135" t="s">
        <v>72</v>
      </c>
      <c r="D378" s="138"/>
      <c r="E378" s="42">
        <v>0</v>
      </c>
      <c r="F378" s="139" t="s">
        <v>761</v>
      </c>
      <c r="G378" s="50">
        <v>0</v>
      </c>
      <c r="H378" s="90" t="s">
        <v>1806</v>
      </c>
      <c r="I378" s="90"/>
      <c r="J378" s="90"/>
      <c r="K378" s="90" t="s">
        <v>1809</v>
      </c>
      <c r="L378" s="90" t="s">
        <v>1816</v>
      </c>
      <c r="M378" s="90">
        <v>616</v>
      </c>
      <c r="O378"/>
    </row>
    <row r="379" spans="1:16">
      <c r="A379" s="13" t="s">
        <v>234</v>
      </c>
      <c r="B379" s="14" t="s">
        <v>235</v>
      </c>
      <c r="C379" s="15" t="s">
        <v>72</v>
      </c>
      <c r="D379" s="16"/>
      <c r="E379" s="2">
        <v>1326737.23</v>
      </c>
      <c r="F379" s="23">
        <v>1.3081068057463044E-2</v>
      </c>
      <c r="G379" s="26">
        <v>17355.14</v>
      </c>
      <c r="H379" t="s">
        <v>1806</v>
      </c>
      <c r="K379" t="s">
        <v>1809</v>
      </c>
      <c r="L379" s="37" t="s">
        <v>1816</v>
      </c>
      <c r="M379" s="90">
        <v>130</v>
      </c>
      <c r="O379"/>
    </row>
    <row r="380" spans="1:16">
      <c r="A380" s="19" t="s">
        <v>324</v>
      </c>
      <c r="B380" s="20" t="s">
        <v>325</v>
      </c>
      <c r="C380" s="19" t="s">
        <v>72</v>
      </c>
      <c r="D380" s="20"/>
      <c r="E380" s="3">
        <v>161469.60999999999</v>
      </c>
      <c r="F380" s="24">
        <v>0</v>
      </c>
      <c r="G380" s="26">
        <v>0</v>
      </c>
      <c r="H380" t="s">
        <v>1806</v>
      </c>
      <c r="K380" t="s">
        <v>1809</v>
      </c>
      <c r="L380" s="37" t="s">
        <v>1816</v>
      </c>
      <c r="M380" s="90">
        <v>26</v>
      </c>
      <c r="O380"/>
    </row>
    <row r="381" spans="1:16">
      <c r="A381" s="13" t="s">
        <v>342</v>
      </c>
      <c r="B381" s="14" t="s">
        <v>343</v>
      </c>
      <c r="C381" s="15" t="s">
        <v>72</v>
      </c>
      <c r="D381" s="16"/>
      <c r="E381" s="2">
        <v>623733.16</v>
      </c>
      <c r="F381" s="23">
        <v>1.4783789914263976E-2</v>
      </c>
      <c r="G381" s="26">
        <v>9221.14</v>
      </c>
      <c r="H381" t="s">
        <v>1806</v>
      </c>
      <c r="K381" t="s">
        <v>1809</v>
      </c>
      <c r="L381" s="37" t="s">
        <v>1816</v>
      </c>
      <c r="M381" s="90">
        <v>87</v>
      </c>
      <c r="O381"/>
    </row>
    <row r="382" spans="1:16">
      <c r="A382" s="13" t="s">
        <v>1665</v>
      </c>
      <c r="B382" s="14" t="s">
        <v>1854</v>
      </c>
      <c r="C382" s="15" t="s">
        <v>72</v>
      </c>
      <c r="D382" s="16"/>
      <c r="E382" s="2">
        <v>2320667.8199999998</v>
      </c>
      <c r="F382" s="23">
        <v>5.1731527005015314E-2</v>
      </c>
      <c r="G382" s="26">
        <v>120051.69</v>
      </c>
      <c r="H382" t="s">
        <v>1806</v>
      </c>
      <c r="K382" t="s">
        <v>1809</v>
      </c>
      <c r="L382" s="37" t="s">
        <v>1816</v>
      </c>
      <c r="M382" s="90">
        <v>361</v>
      </c>
      <c r="O382"/>
    </row>
    <row r="383" spans="1:16">
      <c r="A383" s="15" t="s">
        <v>1721</v>
      </c>
      <c r="B383" s="16" t="s">
        <v>1722</v>
      </c>
      <c r="C383" s="15" t="s">
        <v>72</v>
      </c>
      <c r="D383" s="16"/>
      <c r="E383" s="2">
        <v>1138719.82</v>
      </c>
      <c r="F383" s="23">
        <v>1.3616167671517301E-4</v>
      </c>
      <c r="G383" s="26">
        <v>155.05000000000001</v>
      </c>
      <c r="H383" t="s">
        <v>1806</v>
      </c>
      <c r="K383" t="s">
        <v>1809</v>
      </c>
      <c r="L383" s="37" t="s">
        <v>1816</v>
      </c>
      <c r="M383" s="90">
        <v>73</v>
      </c>
      <c r="O383"/>
    </row>
    <row r="384" spans="1:16">
      <c r="A384" s="13" t="s">
        <v>35</v>
      </c>
      <c r="B384" s="14" t="s">
        <v>36</v>
      </c>
      <c r="C384" s="15" t="s">
        <v>72</v>
      </c>
      <c r="D384" s="16"/>
      <c r="E384" s="2">
        <v>1114230.32</v>
      </c>
      <c r="F384" s="23">
        <v>4.1690437933873489E-2</v>
      </c>
      <c r="G384" s="26">
        <v>46452.75</v>
      </c>
      <c r="H384" t="s">
        <v>1806</v>
      </c>
      <c r="K384" t="s">
        <v>1809</v>
      </c>
      <c r="L384" s="37" t="s">
        <v>1816</v>
      </c>
      <c r="M384" s="90">
        <v>124</v>
      </c>
      <c r="O384"/>
    </row>
    <row r="385" spans="1:15">
      <c r="A385" s="13" t="s">
        <v>39</v>
      </c>
      <c r="B385" s="22" t="s">
        <v>40</v>
      </c>
      <c r="C385" s="15" t="s">
        <v>72</v>
      </c>
      <c r="D385" s="16"/>
      <c r="E385" s="2">
        <v>1752311.71</v>
      </c>
      <c r="F385" s="23">
        <v>6.3269907612498923E-3</v>
      </c>
      <c r="G385" s="26">
        <v>11086.86</v>
      </c>
      <c r="H385" t="s">
        <v>1806</v>
      </c>
      <c r="K385" t="s">
        <v>1809</v>
      </c>
      <c r="L385" s="37" t="s">
        <v>1816</v>
      </c>
      <c r="M385" s="90">
        <v>139</v>
      </c>
      <c r="O385"/>
    </row>
    <row r="386" spans="1:15">
      <c r="A386" s="15" t="s">
        <v>70</v>
      </c>
      <c r="B386" s="16" t="s">
        <v>71</v>
      </c>
      <c r="C386" s="15" t="s">
        <v>72</v>
      </c>
      <c r="D386" s="16"/>
      <c r="E386" s="2">
        <v>1252639.19</v>
      </c>
      <c r="F386" s="23">
        <v>1.9529358649556544E-2</v>
      </c>
      <c r="G386" s="26">
        <v>24463.24</v>
      </c>
      <c r="H386" t="s">
        <v>1806</v>
      </c>
      <c r="M386" s="90">
        <v>131</v>
      </c>
      <c r="O386"/>
    </row>
    <row r="387" spans="1:15">
      <c r="A387" s="17" t="s">
        <v>75</v>
      </c>
      <c r="B387" s="21" t="s">
        <v>76</v>
      </c>
      <c r="C387" s="19" t="s">
        <v>72</v>
      </c>
      <c r="D387" s="20"/>
      <c r="E387" s="3">
        <v>7379049.2599999998</v>
      </c>
      <c r="F387" s="24">
        <v>0.21479738434487697</v>
      </c>
      <c r="G387" s="26">
        <v>1585000.48</v>
      </c>
      <c r="H387" t="s">
        <v>1806</v>
      </c>
      <c r="M387" s="90">
        <v>708</v>
      </c>
      <c r="O387"/>
    </row>
    <row r="388" spans="1:15">
      <c r="A388" s="13" t="s">
        <v>77</v>
      </c>
      <c r="B388" s="14" t="s">
        <v>78</v>
      </c>
      <c r="C388" s="15" t="s">
        <v>72</v>
      </c>
      <c r="D388" s="16"/>
      <c r="E388" s="2">
        <v>1296747.57</v>
      </c>
      <c r="F388" s="23">
        <v>8.7188241270427055E-2</v>
      </c>
      <c r="G388" s="26">
        <v>113061.14</v>
      </c>
      <c r="H388" t="s">
        <v>1806</v>
      </c>
      <c r="M388" s="90">
        <v>180</v>
      </c>
      <c r="O388"/>
    </row>
    <row r="389" spans="1:15">
      <c r="A389" s="135" t="s">
        <v>81</v>
      </c>
      <c r="B389" s="138" t="s">
        <v>82</v>
      </c>
      <c r="C389" s="135" t="s">
        <v>72</v>
      </c>
      <c r="D389" s="138"/>
      <c r="E389" s="42">
        <v>0</v>
      </c>
      <c r="F389" s="139" t="s">
        <v>761</v>
      </c>
      <c r="G389" s="140"/>
      <c r="H389" s="90" t="s">
        <v>1806</v>
      </c>
      <c r="I389" s="90"/>
      <c r="J389" s="90"/>
      <c r="K389" s="90"/>
      <c r="L389" s="90"/>
      <c r="M389" s="90">
        <v>505</v>
      </c>
      <c r="O389"/>
    </row>
    <row r="390" spans="1:15">
      <c r="A390" s="17" t="s">
        <v>83</v>
      </c>
      <c r="B390" s="21" t="s">
        <v>84</v>
      </c>
      <c r="C390" s="19" t="s">
        <v>72</v>
      </c>
      <c r="D390" s="20"/>
      <c r="E390" s="3">
        <v>1136684.03</v>
      </c>
      <c r="F390" s="24">
        <v>5.0960511867136906E-4</v>
      </c>
      <c r="G390" s="26">
        <v>579.26</v>
      </c>
      <c r="H390" t="s">
        <v>1806</v>
      </c>
      <c r="M390" s="90">
        <v>112</v>
      </c>
      <c r="O390"/>
    </row>
    <row r="391" spans="1:15">
      <c r="A391" s="13" t="s">
        <v>85</v>
      </c>
      <c r="B391" s="22" t="s">
        <v>86</v>
      </c>
      <c r="C391" s="15" t="s">
        <v>72</v>
      </c>
      <c r="D391" s="16"/>
      <c r="E391" s="2">
        <v>1674388.45</v>
      </c>
      <c r="F391" s="23">
        <v>2.0729777489805305E-3</v>
      </c>
      <c r="G391" s="26">
        <v>3470.9699999999993</v>
      </c>
      <c r="H391" t="s">
        <v>1806</v>
      </c>
      <c r="M391" s="90">
        <v>216</v>
      </c>
      <c r="O391"/>
    </row>
    <row r="392" spans="1:15">
      <c r="A392" s="15" t="s">
        <v>89</v>
      </c>
      <c r="B392" s="16" t="s">
        <v>90</v>
      </c>
      <c r="C392" s="15" t="s">
        <v>72</v>
      </c>
      <c r="D392" s="16"/>
      <c r="E392" s="2">
        <v>603347.98</v>
      </c>
      <c r="F392" s="23">
        <v>0.82928566363974576</v>
      </c>
      <c r="G392" s="26">
        <v>500347.83</v>
      </c>
      <c r="H392" t="s">
        <v>1811</v>
      </c>
      <c r="M392" s="90">
        <v>65</v>
      </c>
      <c r="O392"/>
    </row>
    <row r="393" spans="1:15">
      <c r="A393" s="17" t="s">
        <v>91</v>
      </c>
      <c r="B393" s="21" t="s">
        <v>92</v>
      </c>
      <c r="C393" s="19" t="s">
        <v>72</v>
      </c>
      <c r="D393" s="20"/>
      <c r="E393" s="3">
        <v>1853701.45</v>
      </c>
      <c r="F393" s="24">
        <v>1.2489389809777621E-3</v>
      </c>
      <c r="G393" s="26">
        <v>2315.16</v>
      </c>
      <c r="H393" t="s">
        <v>1806</v>
      </c>
      <c r="M393" s="90">
        <v>190</v>
      </c>
      <c r="O393"/>
    </row>
    <row r="394" spans="1:15">
      <c r="A394" s="13" t="s">
        <v>93</v>
      </c>
      <c r="B394" s="14" t="s">
        <v>94</v>
      </c>
      <c r="C394" s="15" t="s">
        <v>72</v>
      </c>
      <c r="D394" s="16"/>
      <c r="E394" s="2">
        <v>4926715.57</v>
      </c>
      <c r="F394" s="23">
        <v>1.3378422006204833E-2</v>
      </c>
      <c r="G394" s="26">
        <v>65911.679999999993</v>
      </c>
      <c r="H394" t="s">
        <v>1806</v>
      </c>
      <c r="M394" s="90">
        <v>639</v>
      </c>
      <c r="O394"/>
    </row>
    <row r="395" spans="1:15">
      <c r="A395" s="19" t="s">
        <v>95</v>
      </c>
      <c r="B395" s="20" t="s">
        <v>96</v>
      </c>
      <c r="C395" s="19" t="s">
        <v>72</v>
      </c>
      <c r="D395" s="20"/>
      <c r="E395" s="3">
        <v>7076666.7199999997</v>
      </c>
      <c r="F395" s="24">
        <v>5.1544224764621949E-3</v>
      </c>
      <c r="G395" s="26">
        <v>36476.129999999997</v>
      </c>
      <c r="H395" t="s">
        <v>1806</v>
      </c>
      <c r="M395" s="90">
        <v>912</v>
      </c>
      <c r="O395"/>
    </row>
    <row r="396" spans="1:15">
      <c r="A396" s="13" t="s">
        <v>97</v>
      </c>
      <c r="B396" s="14" t="s">
        <v>98</v>
      </c>
      <c r="C396" s="15" t="s">
        <v>72</v>
      </c>
      <c r="D396" s="16"/>
      <c r="E396" s="2">
        <v>842358.61</v>
      </c>
      <c r="F396" s="23">
        <v>1.1871428488158981E-4</v>
      </c>
      <c r="G396" s="26">
        <v>100</v>
      </c>
      <c r="H396" t="s">
        <v>1806</v>
      </c>
      <c r="M396" s="90">
        <v>96</v>
      </c>
      <c r="O396"/>
    </row>
    <row r="397" spans="1:15">
      <c r="A397" s="17" t="s">
        <v>99</v>
      </c>
      <c r="B397" s="21" t="s">
        <v>100</v>
      </c>
      <c r="C397" s="19" t="s">
        <v>72</v>
      </c>
      <c r="D397" s="20"/>
      <c r="E397" s="3">
        <v>867720.61</v>
      </c>
      <c r="F397" s="24">
        <v>1.6607188804700627E-2</v>
      </c>
      <c r="G397" s="26">
        <v>14410.4</v>
      </c>
      <c r="H397" t="s">
        <v>1806</v>
      </c>
      <c r="I397" t="s">
        <v>1820</v>
      </c>
      <c r="J397" t="s">
        <v>1760</v>
      </c>
      <c r="M397" s="90">
        <v>90</v>
      </c>
      <c r="O397"/>
    </row>
    <row r="398" spans="1:15">
      <c r="A398" s="15" t="s">
        <v>101</v>
      </c>
      <c r="B398" s="16" t="s">
        <v>102</v>
      </c>
      <c r="C398" s="15" t="s">
        <v>72</v>
      </c>
      <c r="D398" s="16"/>
      <c r="E398" s="2">
        <v>1082082.76</v>
      </c>
      <c r="F398" s="23">
        <v>9.8995200699805996E-3</v>
      </c>
      <c r="G398" s="26">
        <v>10712.1</v>
      </c>
      <c r="H398" t="s">
        <v>1806</v>
      </c>
      <c r="M398" s="90">
        <v>35</v>
      </c>
      <c r="O398"/>
    </row>
    <row r="399" spans="1:15">
      <c r="A399" s="17" t="s">
        <v>103</v>
      </c>
      <c r="B399" s="21" t="s">
        <v>104</v>
      </c>
      <c r="C399" s="19" t="s">
        <v>72</v>
      </c>
      <c r="D399" s="20"/>
      <c r="E399" s="3">
        <v>705727.13</v>
      </c>
      <c r="F399" s="24">
        <v>1.6722468923647586E-2</v>
      </c>
      <c r="G399" s="26">
        <v>11801.5</v>
      </c>
      <c r="H399" t="s">
        <v>1806</v>
      </c>
      <c r="M399" s="90">
        <v>56</v>
      </c>
      <c r="O399"/>
    </row>
    <row r="400" spans="1:15">
      <c r="A400" s="13" t="s">
        <v>105</v>
      </c>
      <c r="B400" s="14" t="s">
        <v>106</v>
      </c>
      <c r="C400" s="15" t="s">
        <v>72</v>
      </c>
      <c r="D400" s="16"/>
      <c r="E400" s="2">
        <v>968241.67</v>
      </c>
      <c r="F400" s="23">
        <v>4.5172709825636818E-3</v>
      </c>
      <c r="G400" s="26">
        <v>4373.8100000000004</v>
      </c>
      <c r="H400" t="s">
        <v>1806</v>
      </c>
      <c r="M400" s="90">
        <v>66</v>
      </c>
      <c r="O400"/>
    </row>
    <row r="401" spans="1:15">
      <c r="A401" s="15" t="s">
        <v>109</v>
      </c>
      <c r="B401" s="16" t="s">
        <v>110</v>
      </c>
      <c r="C401" s="15" t="s">
        <v>72</v>
      </c>
      <c r="D401" s="16"/>
      <c r="E401" s="2">
        <v>954583.08</v>
      </c>
      <c r="F401" s="23">
        <v>1.0778003733315699E-3</v>
      </c>
      <c r="G401" s="26">
        <v>1028.8499999999999</v>
      </c>
      <c r="H401" t="s">
        <v>1806</v>
      </c>
      <c r="M401" s="90">
        <v>60</v>
      </c>
      <c r="O401"/>
    </row>
    <row r="402" spans="1:15">
      <c r="A402" s="17" t="s">
        <v>111</v>
      </c>
      <c r="B402" s="21" t="s">
        <v>112</v>
      </c>
      <c r="C402" s="19" t="s">
        <v>72</v>
      </c>
      <c r="D402" s="20"/>
      <c r="E402" s="3">
        <v>473070.95</v>
      </c>
      <c r="F402" s="24">
        <v>8.9204378328451572E-4</v>
      </c>
      <c r="G402" s="26">
        <v>422</v>
      </c>
      <c r="H402" t="s">
        <v>1806</v>
      </c>
      <c r="M402" s="90">
        <v>33</v>
      </c>
      <c r="O402"/>
    </row>
    <row r="403" spans="1:15">
      <c r="A403" s="13" t="s">
        <v>113</v>
      </c>
      <c r="B403" s="14" t="s">
        <v>114</v>
      </c>
      <c r="C403" s="15" t="s">
        <v>72</v>
      </c>
      <c r="D403" s="16"/>
      <c r="E403" s="2">
        <v>461116.57</v>
      </c>
      <c r="F403" s="23">
        <v>1.4404817419595222E-3</v>
      </c>
      <c r="G403" s="26">
        <v>664.23</v>
      </c>
      <c r="H403" t="s">
        <v>1806</v>
      </c>
      <c r="M403" s="90">
        <v>32</v>
      </c>
      <c r="O403"/>
    </row>
    <row r="404" spans="1:15">
      <c r="A404" s="15" t="s">
        <v>117</v>
      </c>
      <c r="B404" s="16" t="s">
        <v>118</v>
      </c>
      <c r="C404" s="15" t="s">
        <v>72</v>
      </c>
      <c r="D404" s="16"/>
      <c r="E404" s="2">
        <v>1033482.79</v>
      </c>
      <c r="F404" s="23">
        <v>2.3829617907812476E-3</v>
      </c>
      <c r="G404" s="26">
        <v>2462.75</v>
      </c>
      <c r="H404" t="s">
        <v>1806</v>
      </c>
      <c r="M404" s="90">
        <v>65</v>
      </c>
      <c r="O404"/>
    </row>
    <row r="405" spans="1:15">
      <c r="A405" s="17" t="s">
        <v>119</v>
      </c>
      <c r="B405" s="21" t="s">
        <v>120</v>
      </c>
      <c r="C405" s="19" t="s">
        <v>72</v>
      </c>
      <c r="D405" s="20"/>
      <c r="E405" s="3">
        <v>1832644.46</v>
      </c>
      <c r="F405" s="24">
        <v>1.5615412931758734E-3</v>
      </c>
      <c r="G405" s="26">
        <v>2861.75</v>
      </c>
      <c r="H405" t="s">
        <v>1806</v>
      </c>
      <c r="M405" s="90">
        <v>131</v>
      </c>
      <c r="O405"/>
    </row>
    <row r="406" spans="1:15">
      <c r="A406" s="13" t="s">
        <v>121</v>
      </c>
      <c r="B406" s="14" t="s">
        <v>289</v>
      </c>
      <c r="C406" s="15" t="s">
        <v>72</v>
      </c>
      <c r="D406" s="16"/>
      <c r="E406" s="2">
        <v>1005955.83</v>
      </c>
      <c r="F406" s="23">
        <v>4.616335888226822E-3</v>
      </c>
      <c r="G406" s="26">
        <v>4643.83</v>
      </c>
      <c r="H406" t="s">
        <v>1806</v>
      </c>
      <c r="M406" s="90">
        <v>63</v>
      </c>
      <c r="O406"/>
    </row>
    <row r="407" spans="1:15">
      <c r="A407" s="19" t="s">
        <v>290</v>
      </c>
      <c r="B407" s="20" t="s">
        <v>291</v>
      </c>
      <c r="C407" s="19" t="s">
        <v>72</v>
      </c>
      <c r="D407" s="20"/>
      <c r="E407" s="3">
        <v>1289628.03</v>
      </c>
      <c r="F407" s="24">
        <v>2.147122996388346E-3</v>
      </c>
      <c r="G407" s="26">
        <v>2768.99</v>
      </c>
      <c r="H407" t="s">
        <v>1806</v>
      </c>
      <c r="M407" s="90">
        <v>72</v>
      </c>
      <c r="O407"/>
    </row>
    <row r="408" spans="1:15">
      <c r="A408" s="17" t="s">
        <v>294</v>
      </c>
      <c r="B408" s="21" t="s">
        <v>295</v>
      </c>
      <c r="C408" s="19" t="s">
        <v>72</v>
      </c>
      <c r="D408" s="20"/>
      <c r="E408" s="3">
        <v>689184.34</v>
      </c>
      <c r="F408" s="24">
        <v>0.11162224028479813</v>
      </c>
      <c r="G408" s="26">
        <v>76928.3</v>
      </c>
      <c r="H408" t="s">
        <v>1806</v>
      </c>
      <c r="M408" s="90">
        <v>61</v>
      </c>
      <c r="O408"/>
    </row>
    <row r="409" spans="1:15">
      <c r="A409" s="17" t="s">
        <v>298</v>
      </c>
      <c r="B409" s="18" t="s">
        <v>299</v>
      </c>
      <c r="C409" s="19" t="s">
        <v>72</v>
      </c>
      <c r="D409" s="20"/>
      <c r="E409" s="3">
        <v>967825.37</v>
      </c>
      <c r="F409" s="24">
        <v>3.2354876169447801E-2</v>
      </c>
      <c r="G409" s="26">
        <v>31313.87</v>
      </c>
      <c r="H409" t="s">
        <v>1806</v>
      </c>
      <c r="M409" s="90">
        <v>97</v>
      </c>
      <c r="O409"/>
    </row>
    <row r="410" spans="1:15">
      <c r="A410" s="19" t="s">
        <v>302</v>
      </c>
      <c r="B410" s="20" t="s">
        <v>303</v>
      </c>
      <c r="C410" s="19" t="s">
        <v>72</v>
      </c>
      <c r="D410" s="20"/>
      <c r="E410" s="3">
        <v>1932182.08</v>
      </c>
      <c r="F410" s="24">
        <v>4.5395566446822652E-3</v>
      </c>
      <c r="G410" s="26">
        <v>8771.25</v>
      </c>
      <c r="H410" t="s">
        <v>1806</v>
      </c>
      <c r="M410" s="90">
        <v>283</v>
      </c>
      <c r="O410"/>
    </row>
    <row r="411" spans="1:15">
      <c r="A411" s="13" t="s">
        <v>304</v>
      </c>
      <c r="B411" s="14" t="s">
        <v>305</v>
      </c>
      <c r="C411" s="15" t="s">
        <v>72</v>
      </c>
      <c r="D411" s="16"/>
      <c r="E411" s="2">
        <v>1829346.99</v>
      </c>
      <c r="F411" s="23">
        <v>3.6094847156361515E-3</v>
      </c>
      <c r="G411" s="26">
        <v>6603</v>
      </c>
      <c r="H411" t="s">
        <v>1806</v>
      </c>
      <c r="M411" s="90">
        <v>221</v>
      </c>
      <c r="O411"/>
    </row>
    <row r="412" spans="1:15">
      <c r="A412" s="17" t="s">
        <v>306</v>
      </c>
      <c r="B412" s="21" t="s">
        <v>307</v>
      </c>
      <c r="C412" s="19" t="s">
        <v>72</v>
      </c>
      <c r="D412" s="20"/>
      <c r="E412" s="3">
        <v>694149.71</v>
      </c>
      <c r="F412" s="24">
        <v>2.9780434540554665E-2</v>
      </c>
      <c r="G412" s="26">
        <v>20672.080000000002</v>
      </c>
      <c r="H412" t="s">
        <v>1806</v>
      </c>
      <c r="I412" t="s">
        <v>1820</v>
      </c>
      <c r="J412" t="s">
        <v>502</v>
      </c>
      <c r="M412" s="90">
        <v>103</v>
      </c>
      <c r="O412"/>
    </row>
    <row r="413" spans="1:15">
      <c r="A413" s="15" t="s">
        <v>308</v>
      </c>
      <c r="B413" s="16" t="s">
        <v>143</v>
      </c>
      <c r="C413" s="15" t="s">
        <v>72</v>
      </c>
      <c r="D413" s="16"/>
      <c r="E413" s="2">
        <v>559227.43000000005</v>
      </c>
      <c r="F413" s="23">
        <v>2.6680880084869942E-2</v>
      </c>
      <c r="G413" s="26">
        <v>14920.68</v>
      </c>
      <c r="H413" t="s">
        <v>1806</v>
      </c>
      <c r="I413" t="s">
        <v>1820</v>
      </c>
      <c r="J413" t="s">
        <v>1834</v>
      </c>
      <c r="M413" s="90">
        <v>39</v>
      </c>
      <c r="O413"/>
    </row>
    <row r="414" spans="1:15">
      <c r="A414" s="17" t="s">
        <v>144</v>
      </c>
      <c r="B414" s="21" t="s">
        <v>145</v>
      </c>
      <c r="C414" s="19" t="s">
        <v>72</v>
      </c>
      <c r="D414" s="20"/>
      <c r="E414" s="3">
        <v>7399000.6500000004</v>
      </c>
      <c r="F414" s="24">
        <v>9.717433934811183E-4</v>
      </c>
      <c r="G414" s="26">
        <v>7189.93</v>
      </c>
      <c r="H414" t="s">
        <v>1806</v>
      </c>
      <c r="M414" s="90">
        <v>1012</v>
      </c>
      <c r="O414"/>
    </row>
    <row r="415" spans="1:15">
      <c r="A415" s="17" t="s">
        <v>148</v>
      </c>
      <c r="B415" s="18" t="s">
        <v>149</v>
      </c>
      <c r="C415" s="19" t="s">
        <v>72</v>
      </c>
      <c r="D415" s="20"/>
      <c r="E415" s="3">
        <v>1323872.08</v>
      </c>
      <c r="F415" s="24">
        <v>3.875465822951716E-2</v>
      </c>
      <c r="G415" s="26">
        <v>51306.21</v>
      </c>
      <c r="H415" t="s">
        <v>1806</v>
      </c>
      <c r="M415" s="90">
        <v>159</v>
      </c>
      <c r="O415"/>
    </row>
    <row r="416" spans="1:15">
      <c r="A416" s="19" t="s">
        <v>156</v>
      </c>
      <c r="B416" s="20" t="s">
        <v>157</v>
      </c>
      <c r="C416" s="19" t="s">
        <v>72</v>
      </c>
      <c r="D416" s="20"/>
      <c r="E416" s="3">
        <v>1037781.35</v>
      </c>
      <c r="F416" s="24">
        <v>4.4861848789246407E-2</v>
      </c>
      <c r="G416" s="26">
        <v>46556.79</v>
      </c>
      <c r="H416" t="s">
        <v>1811</v>
      </c>
      <c r="M416" s="90">
        <v>125</v>
      </c>
      <c r="O416"/>
    </row>
    <row r="417" spans="1:15">
      <c r="A417" s="13" t="s">
        <v>158</v>
      </c>
      <c r="B417" s="14" t="s">
        <v>159</v>
      </c>
      <c r="C417" s="15" t="s">
        <v>72</v>
      </c>
      <c r="D417" s="16"/>
      <c r="E417" s="2">
        <v>561236.21</v>
      </c>
      <c r="F417" s="23">
        <v>7.4740900983562694E-3</v>
      </c>
      <c r="G417" s="26">
        <v>4194.7299999999996</v>
      </c>
      <c r="H417" t="s">
        <v>1806</v>
      </c>
      <c r="K417" t="s">
        <v>1810</v>
      </c>
      <c r="M417" s="90">
        <v>40</v>
      </c>
      <c r="O417"/>
    </row>
    <row r="418" spans="1:15">
      <c r="A418" s="17" t="s">
        <v>160</v>
      </c>
      <c r="B418" s="21" t="s">
        <v>161</v>
      </c>
      <c r="C418" s="19" t="s">
        <v>72</v>
      </c>
      <c r="D418" s="20"/>
      <c r="E418" s="3">
        <v>2556579.75</v>
      </c>
      <c r="F418" s="24">
        <v>0</v>
      </c>
      <c r="G418" s="26">
        <v>0</v>
      </c>
      <c r="H418" t="s">
        <v>1806</v>
      </c>
      <c r="M418" s="90">
        <v>298</v>
      </c>
      <c r="O418"/>
    </row>
    <row r="419" spans="1:15">
      <c r="A419" s="19" t="s">
        <v>164</v>
      </c>
      <c r="B419" s="20" t="s">
        <v>165</v>
      </c>
      <c r="C419" s="19" t="s">
        <v>72</v>
      </c>
      <c r="D419" s="20"/>
      <c r="E419" s="3">
        <v>879618.34</v>
      </c>
      <c r="F419" s="24">
        <v>1.2297606255003734E-3</v>
      </c>
      <c r="G419" s="26">
        <v>1081.72</v>
      </c>
      <c r="H419" t="s">
        <v>1806</v>
      </c>
      <c r="M419" s="90">
        <v>50</v>
      </c>
      <c r="O419"/>
    </row>
    <row r="420" spans="1:15">
      <c r="A420" s="13" t="s">
        <v>166</v>
      </c>
      <c r="B420" s="14" t="s">
        <v>167</v>
      </c>
      <c r="C420" s="15" t="s">
        <v>72</v>
      </c>
      <c r="D420" s="16"/>
      <c r="E420" s="2">
        <v>1848013</v>
      </c>
      <c r="F420" s="23">
        <v>0</v>
      </c>
      <c r="G420" s="26">
        <v>0</v>
      </c>
      <c r="H420" t="s">
        <v>1806</v>
      </c>
      <c r="M420" s="90">
        <v>204</v>
      </c>
      <c r="O420"/>
    </row>
    <row r="421" spans="1:15">
      <c r="A421" s="17" t="s">
        <v>168</v>
      </c>
      <c r="B421" s="21" t="s">
        <v>169</v>
      </c>
      <c r="C421" s="19" t="s">
        <v>72</v>
      </c>
      <c r="D421" s="20"/>
      <c r="E421" s="3">
        <v>1814426</v>
      </c>
      <c r="F421" s="24">
        <v>0</v>
      </c>
      <c r="G421" s="26">
        <v>0</v>
      </c>
      <c r="H421" t="s">
        <v>1806</v>
      </c>
      <c r="M421" s="90">
        <v>210</v>
      </c>
      <c r="O421"/>
    </row>
    <row r="422" spans="1:15">
      <c r="A422" s="15" t="s">
        <v>170</v>
      </c>
      <c r="B422" s="16" t="s">
        <v>171</v>
      </c>
      <c r="C422" s="15" t="s">
        <v>72</v>
      </c>
      <c r="D422" s="16"/>
      <c r="E422" s="2">
        <v>1697813.17</v>
      </c>
      <c r="F422" s="23">
        <v>0</v>
      </c>
      <c r="G422" s="26">
        <v>0</v>
      </c>
      <c r="H422" t="s">
        <v>1806</v>
      </c>
      <c r="M422" s="90">
        <v>172</v>
      </c>
      <c r="O422"/>
    </row>
    <row r="423" spans="1:15">
      <c r="A423" s="13" t="s">
        <v>174</v>
      </c>
      <c r="B423" s="14" t="s">
        <v>175</v>
      </c>
      <c r="C423" s="15" t="s">
        <v>72</v>
      </c>
      <c r="D423" s="16"/>
      <c r="E423" s="2">
        <v>728694.6</v>
      </c>
      <c r="F423" s="23">
        <v>6.9793298866219124E-4</v>
      </c>
      <c r="G423" s="26">
        <v>508.58</v>
      </c>
      <c r="H423" t="s">
        <v>1806</v>
      </c>
      <c r="M423" s="90">
        <v>42</v>
      </c>
      <c r="O423"/>
    </row>
    <row r="424" spans="1:15">
      <c r="A424" s="131" t="s">
        <v>182</v>
      </c>
      <c r="B424" s="130" t="s">
        <v>183</v>
      </c>
      <c r="C424" s="135" t="s">
        <v>72</v>
      </c>
      <c r="D424" s="138"/>
      <c r="E424" s="42">
        <v>0</v>
      </c>
      <c r="F424" s="139" t="s">
        <v>761</v>
      </c>
      <c r="G424" s="50">
        <v>0</v>
      </c>
      <c r="H424" s="90" t="s">
        <v>1806</v>
      </c>
      <c r="I424" s="90"/>
      <c r="J424" s="90"/>
      <c r="K424" s="90"/>
      <c r="L424" s="90"/>
      <c r="M424" s="90">
        <v>641</v>
      </c>
      <c r="O424"/>
    </row>
    <row r="425" spans="1:15">
      <c r="A425" s="135" t="s">
        <v>184</v>
      </c>
      <c r="B425" s="138" t="s">
        <v>185</v>
      </c>
      <c r="C425" s="135" t="s">
        <v>72</v>
      </c>
      <c r="D425" s="138"/>
      <c r="E425" s="42">
        <v>0</v>
      </c>
      <c r="F425" s="139" t="s">
        <v>761</v>
      </c>
      <c r="G425" s="50">
        <v>0</v>
      </c>
      <c r="H425" s="90" t="s">
        <v>1806</v>
      </c>
      <c r="I425" s="90"/>
      <c r="J425" s="90"/>
      <c r="K425" s="90"/>
      <c r="L425" s="90"/>
      <c r="M425" s="90">
        <v>576</v>
      </c>
      <c r="O425"/>
    </row>
    <row r="426" spans="1:15">
      <c r="A426" s="13" t="s">
        <v>186</v>
      </c>
      <c r="B426" s="14" t="s">
        <v>187</v>
      </c>
      <c r="C426" s="15" t="s">
        <v>72</v>
      </c>
      <c r="D426" s="16"/>
      <c r="E426" s="2">
        <v>2476348.7400000002</v>
      </c>
      <c r="F426" s="23">
        <v>1.1386158800880362E-3</v>
      </c>
      <c r="G426" s="26">
        <v>2819.6099999999997</v>
      </c>
      <c r="H426" t="s">
        <v>1806</v>
      </c>
      <c r="M426" s="90">
        <v>325</v>
      </c>
      <c r="O426"/>
    </row>
    <row r="427" spans="1:15">
      <c r="A427" s="17" t="s">
        <v>188</v>
      </c>
      <c r="B427" s="21" t="s">
        <v>189</v>
      </c>
      <c r="C427" s="19" t="s">
        <v>72</v>
      </c>
      <c r="D427" s="20"/>
      <c r="E427" s="3">
        <v>1450154.8</v>
      </c>
      <c r="F427" s="24">
        <v>4.3871040526156238E-3</v>
      </c>
      <c r="G427" s="26">
        <v>6361.98</v>
      </c>
      <c r="H427" t="s">
        <v>1806</v>
      </c>
      <c r="M427" s="90">
        <v>161</v>
      </c>
      <c r="O427"/>
    </row>
    <row r="428" spans="1:15">
      <c r="A428" s="15" t="s">
        <v>190</v>
      </c>
      <c r="B428" s="16" t="s">
        <v>191</v>
      </c>
      <c r="C428" s="15" t="s">
        <v>72</v>
      </c>
      <c r="D428" s="16"/>
      <c r="E428" s="2">
        <v>4484235.68</v>
      </c>
      <c r="F428" s="23">
        <v>5.0200305261386259E-4</v>
      </c>
      <c r="G428" s="26">
        <v>2251.1</v>
      </c>
      <c r="H428" t="s">
        <v>1806</v>
      </c>
      <c r="M428" s="90">
        <v>598</v>
      </c>
      <c r="O428"/>
    </row>
    <row r="429" spans="1:15">
      <c r="A429" s="17" t="s">
        <v>192</v>
      </c>
      <c r="B429" s="21" t="s">
        <v>193</v>
      </c>
      <c r="C429" s="19" t="s">
        <v>72</v>
      </c>
      <c r="D429" s="20"/>
      <c r="E429" s="3">
        <v>3401211.28</v>
      </c>
      <c r="F429" s="24">
        <v>7.1861457545207251E-4</v>
      </c>
      <c r="G429" s="26">
        <v>2444.16</v>
      </c>
      <c r="H429" t="s">
        <v>1806</v>
      </c>
      <c r="M429" s="90">
        <v>488</v>
      </c>
      <c r="O429"/>
    </row>
    <row r="430" spans="1:15">
      <c r="A430" s="131" t="s">
        <v>194</v>
      </c>
      <c r="B430" s="130" t="s">
        <v>195</v>
      </c>
      <c r="C430" s="135" t="s">
        <v>72</v>
      </c>
      <c r="D430" s="138"/>
      <c r="E430" s="42">
        <v>0</v>
      </c>
      <c r="F430" s="139" t="s">
        <v>761</v>
      </c>
      <c r="G430" s="50">
        <v>0</v>
      </c>
      <c r="H430" s="90" t="s">
        <v>1806</v>
      </c>
      <c r="I430" s="90"/>
      <c r="J430" s="90"/>
      <c r="K430" s="90"/>
      <c r="L430" s="90"/>
      <c r="M430" s="90">
        <v>558</v>
      </c>
      <c r="O430"/>
    </row>
    <row r="431" spans="1:15">
      <c r="A431" s="19" t="s">
        <v>200</v>
      </c>
      <c r="B431" s="20" t="s">
        <v>201</v>
      </c>
      <c r="C431" s="19" t="s">
        <v>72</v>
      </c>
      <c r="D431" s="20"/>
      <c r="E431" s="3">
        <v>1974056.5</v>
      </c>
      <c r="F431" s="24">
        <v>1.1291490390472614E-2</v>
      </c>
      <c r="G431" s="26">
        <v>22290.04</v>
      </c>
      <c r="H431" t="s">
        <v>1806</v>
      </c>
      <c r="M431" s="90">
        <v>272</v>
      </c>
      <c r="O431"/>
    </row>
    <row r="432" spans="1:15">
      <c r="A432" s="17" t="s">
        <v>204</v>
      </c>
      <c r="B432" s="21" t="s">
        <v>375</v>
      </c>
      <c r="C432" s="19" t="s">
        <v>72</v>
      </c>
      <c r="D432" s="20"/>
      <c r="E432" s="3">
        <v>1435513.58</v>
      </c>
      <c r="F432" s="24">
        <v>0</v>
      </c>
      <c r="G432" s="26">
        <v>0</v>
      </c>
      <c r="H432" t="s">
        <v>1806</v>
      </c>
      <c r="M432" s="90">
        <v>167</v>
      </c>
      <c r="O432"/>
    </row>
    <row r="433" spans="1:15">
      <c r="A433" s="17" t="s">
        <v>378</v>
      </c>
      <c r="B433" s="21" t="s">
        <v>379</v>
      </c>
      <c r="C433" s="19" t="s">
        <v>72</v>
      </c>
      <c r="D433" s="20"/>
      <c r="E433" s="3">
        <v>4655324.33</v>
      </c>
      <c r="F433" s="24">
        <v>3.9895243990443943E-3</v>
      </c>
      <c r="G433" s="26">
        <v>18572.53</v>
      </c>
      <c r="H433" t="s">
        <v>1806</v>
      </c>
      <c r="M433" s="90">
        <v>536</v>
      </c>
      <c r="O433"/>
    </row>
    <row r="434" spans="1:15">
      <c r="A434" s="15" t="s">
        <v>380</v>
      </c>
      <c r="B434" s="16" t="s">
        <v>381</v>
      </c>
      <c r="C434" s="15" t="s">
        <v>72</v>
      </c>
      <c r="D434" s="16"/>
      <c r="E434" s="2">
        <v>507647</v>
      </c>
      <c r="F434" s="23">
        <v>5.2460962046461425E-2</v>
      </c>
      <c r="G434" s="26">
        <v>26631.65</v>
      </c>
      <c r="H434" t="s">
        <v>1806</v>
      </c>
      <c r="I434" t="s">
        <v>1820</v>
      </c>
      <c r="J434" t="s">
        <v>1825</v>
      </c>
      <c r="M434" s="90">
        <v>35</v>
      </c>
      <c r="O434"/>
    </row>
    <row r="435" spans="1:15">
      <c r="A435" s="17" t="s">
        <v>382</v>
      </c>
      <c r="B435" s="21" t="s">
        <v>383</v>
      </c>
      <c r="C435" s="19" t="s">
        <v>72</v>
      </c>
      <c r="D435" s="20"/>
      <c r="E435" s="3">
        <v>1229036.3400000001</v>
      </c>
      <c r="F435" s="24">
        <v>2.3723057692500776E-3</v>
      </c>
      <c r="G435" s="26">
        <v>2915.65</v>
      </c>
      <c r="H435" t="s">
        <v>1806</v>
      </c>
      <c r="M435" s="90">
        <v>61</v>
      </c>
      <c r="O435"/>
    </row>
    <row r="436" spans="1:15">
      <c r="A436" s="13" t="s">
        <v>384</v>
      </c>
      <c r="B436" s="14" t="s">
        <v>385</v>
      </c>
      <c r="C436" s="15" t="s">
        <v>72</v>
      </c>
      <c r="D436" s="16"/>
      <c r="E436" s="2">
        <v>766545.71</v>
      </c>
      <c r="F436" s="23">
        <v>3.5640405579988178E-3</v>
      </c>
      <c r="G436" s="26">
        <v>2732</v>
      </c>
      <c r="H436" t="s">
        <v>1806</v>
      </c>
      <c r="M436" s="90">
        <v>31</v>
      </c>
      <c r="O436"/>
    </row>
    <row r="437" spans="1:15">
      <c r="A437" s="19" t="s">
        <v>386</v>
      </c>
      <c r="B437" s="20" t="s">
        <v>387</v>
      </c>
      <c r="C437" s="19" t="s">
        <v>72</v>
      </c>
      <c r="D437" s="20"/>
      <c r="E437" s="3">
        <v>1782957.04</v>
      </c>
      <c r="F437" s="24">
        <v>2.2338395769760104E-3</v>
      </c>
      <c r="G437" s="26">
        <v>3982.8399999999997</v>
      </c>
      <c r="H437" t="s">
        <v>1806</v>
      </c>
      <c r="M437" s="90">
        <v>164</v>
      </c>
      <c r="O437"/>
    </row>
    <row r="438" spans="1:15">
      <c r="A438" s="13" t="s">
        <v>388</v>
      </c>
      <c r="B438" s="14" t="s">
        <v>389</v>
      </c>
      <c r="C438" s="15" t="s">
        <v>72</v>
      </c>
      <c r="D438" s="16"/>
      <c r="E438" s="2">
        <v>806566.09</v>
      </c>
      <c r="F438" s="23">
        <v>5.5943462735955091E-3</v>
      </c>
      <c r="G438" s="26">
        <v>4512.21</v>
      </c>
      <c r="H438" t="s">
        <v>1806</v>
      </c>
      <c r="M438" s="90">
        <v>64</v>
      </c>
      <c r="O438"/>
    </row>
    <row r="439" spans="1:15">
      <c r="A439" s="17" t="s">
        <v>390</v>
      </c>
      <c r="B439" s="21" t="s">
        <v>391</v>
      </c>
      <c r="C439" s="19" t="s">
        <v>72</v>
      </c>
      <c r="D439" s="20"/>
      <c r="E439" s="3">
        <v>1937465.73</v>
      </c>
      <c r="F439" s="24">
        <v>8.0071609834358201E-4</v>
      </c>
      <c r="G439" s="26">
        <v>1551.36</v>
      </c>
      <c r="H439" t="s">
        <v>1806</v>
      </c>
      <c r="M439" s="90">
        <v>112</v>
      </c>
      <c r="O439"/>
    </row>
    <row r="440" spans="1:15">
      <c r="A440" s="15" t="s">
        <v>392</v>
      </c>
      <c r="B440" s="16" t="s">
        <v>393</v>
      </c>
      <c r="C440" s="15" t="s">
        <v>72</v>
      </c>
      <c r="D440" s="16"/>
      <c r="E440" s="2">
        <v>847373.33</v>
      </c>
      <c r="F440" s="23">
        <v>3.3901350187643979E-3</v>
      </c>
      <c r="G440" s="26">
        <v>2872.71</v>
      </c>
      <c r="H440" t="s">
        <v>1806</v>
      </c>
      <c r="M440" s="90">
        <v>41</v>
      </c>
      <c r="O440"/>
    </row>
    <row r="441" spans="1:15">
      <c r="A441" s="17" t="s">
        <v>228</v>
      </c>
      <c r="B441" s="21" t="s">
        <v>229</v>
      </c>
      <c r="C441" s="19" t="s">
        <v>72</v>
      </c>
      <c r="D441" s="20"/>
      <c r="E441" s="3">
        <v>732239.56</v>
      </c>
      <c r="F441" s="24">
        <v>1.7702007250195551E-2</v>
      </c>
      <c r="G441" s="26">
        <v>12962.11</v>
      </c>
      <c r="H441" t="s">
        <v>1806</v>
      </c>
      <c r="M441" s="90">
        <v>42</v>
      </c>
      <c r="O441"/>
    </row>
    <row r="442" spans="1:15">
      <c r="A442" s="13" t="s">
        <v>230</v>
      </c>
      <c r="B442" s="14" t="s">
        <v>231</v>
      </c>
      <c r="C442" s="15" t="s">
        <v>72</v>
      </c>
      <c r="D442" s="16"/>
      <c r="E442" s="2">
        <v>1028369.87</v>
      </c>
      <c r="F442" s="23">
        <v>0</v>
      </c>
      <c r="G442" s="26">
        <v>0</v>
      </c>
      <c r="H442" t="s">
        <v>1806</v>
      </c>
      <c r="M442" s="90">
        <v>39</v>
      </c>
      <c r="O442"/>
    </row>
    <row r="443" spans="1:15">
      <c r="A443" s="19" t="s">
        <v>232</v>
      </c>
      <c r="B443" s="20" t="s">
        <v>233</v>
      </c>
      <c r="C443" s="19" t="s">
        <v>72</v>
      </c>
      <c r="D443" s="20"/>
      <c r="E443" s="3">
        <v>1985048.31</v>
      </c>
      <c r="F443" s="24">
        <v>1.7532772288045726E-3</v>
      </c>
      <c r="G443" s="26">
        <v>3480.34</v>
      </c>
      <c r="H443" t="s">
        <v>1806</v>
      </c>
      <c r="M443" s="90">
        <v>243</v>
      </c>
      <c r="O443"/>
    </row>
    <row r="444" spans="1:15">
      <c r="A444" s="17" t="s">
        <v>236</v>
      </c>
      <c r="B444" s="21" t="s">
        <v>237</v>
      </c>
      <c r="C444" s="19" t="s">
        <v>72</v>
      </c>
      <c r="D444" s="20"/>
      <c r="E444" s="3">
        <v>3267257.76</v>
      </c>
      <c r="F444" s="24">
        <v>2.0518766783799761E-3</v>
      </c>
      <c r="G444" s="26">
        <v>6704.0100000000011</v>
      </c>
      <c r="H444" t="s">
        <v>1806</v>
      </c>
      <c r="M444" s="90">
        <v>106</v>
      </c>
      <c r="O444"/>
    </row>
    <row r="445" spans="1:15">
      <c r="A445" s="13" t="s">
        <v>238</v>
      </c>
      <c r="B445" s="14" t="s">
        <v>239</v>
      </c>
      <c r="C445" s="15" t="s">
        <v>72</v>
      </c>
      <c r="D445" s="16"/>
      <c r="E445" s="2">
        <v>1292560.5900000001</v>
      </c>
      <c r="F445" s="23">
        <v>0.12026748394054007</v>
      </c>
      <c r="G445" s="26">
        <v>155453.01</v>
      </c>
      <c r="H445" t="s">
        <v>1806</v>
      </c>
      <c r="M445" s="90">
        <v>117</v>
      </c>
      <c r="O445"/>
    </row>
    <row r="446" spans="1:15">
      <c r="A446" s="15" t="s">
        <v>242</v>
      </c>
      <c r="B446" s="16" t="s">
        <v>243</v>
      </c>
      <c r="C446" s="15" t="s">
        <v>72</v>
      </c>
      <c r="D446" s="16"/>
      <c r="E446" s="2">
        <v>2755979.36</v>
      </c>
      <c r="F446" s="23">
        <v>1.816062221888338E-3</v>
      </c>
      <c r="G446" s="26">
        <v>5005.03</v>
      </c>
      <c r="H446" t="s">
        <v>1806</v>
      </c>
      <c r="M446" s="90">
        <v>268</v>
      </c>
      <c r="O446"/>
    </row>
    <row r="447" spans="1:15">
      <c r="A447" s="17" t="s">
        <v>248</v>
      </c>
      <c r="B447" s="21" t="s">
        <v>249</v>
      </c>
      <c r="C447" s="19" t="s">
        <v>72</v>
      </c>
      <c r="D447" s="20"/>
      <c r="E447" s="3">
        <v>362918.02</v>
      </c>
      <c r="F447" s="24">
        <v>0</v>
      </c>
      <c r="G447" s="26">
        <v>0</v>
      </c>
      <c r="H447" t="s">
        <v>1806</v>
      </c>
      <c r="M447" s="90">
        <v>41</v>
      </c>
      <c r="O447"/>
    </row>
    <row r="448" spans="1:15">
      <c r="A448" s="13" t="s">
        <v>250</v>
      </c>
      <c r="B448" s="14" t="s">
        <v>251</v>
      </c>
      <c r="C448" s="15" t="s">
        <v>72</v>
      </c>
      <c r="D448" s="16"/>
      <c r="E448" s="2">
        <v>735242.95</v>
      </c>
      <c r="F448" s="23">
        <v>5.9204919951969621E-5</v>
      </c>
      <c r="G448" s="26">
        <v>43.53</v>
      </c>
      <c r="H448" t="s">
        <v>1806</v>
      </c>
      <c r="M448" s="90">
        <v>66</v>
      </c>
      <c r="O448"/>
    </row>
    <row r="449" spans="1:15">
      <c r="A449" s="19" t="s">
        <v>252</v>
      </c>
      <c r="B449" s="20" t="s">
        <v>253</v>
      </c>
      <c r="C449" s="19" t="s">
        <v>72</v>
      </c>
      <c r="D449" s="20"/>
      <c r="E449" s="3">
        <v>653845.57999999996</v>
      </c>
      <c r="F449" s="24">
        <v>1.7596066031370896E-2</v>
      </c>
      <c r="G449" s="26">
        <v>11505.11</v>
      </c>
      <c r="H449" t="s">
        <v>1806</v>
      </c>
      <c r="M449" s="90">
        <v>35</v>
      </c>
      <c r="O449"/>
    </row>
    <row r="450" spans="1:15">
      <c r="A450" s="13" t="s">
        <v>262</v>
      </c>
      <c r="B450" s="14" t="s">
        <v>263</v>
      </c>
      <c r="C450" s="15" t="s">
        <v>72</v>
      </c>
      <c r="D450" s="16"/>
      <c r="E450" s="2">
        <v>1357867.03</v>
      </c>
      <c r="F450" s="23">
        <v>7.544921390425099E-5</v>
      </c>
      <c r="G450" s="26">
        <v>102.45</v>
      </c>
      <c r="H450" t="s">
        <v>1806</v>
      </c>
      <c r="M450" s="90">
        <v>180</v>
      </c>
      <c r="O450"/>
    </row>
    <row r="451" spans="1:15">
      <c r="A451" s="17" t="s">
        <v>264</v>
      </c>
      <c r="B451" s="21" t="s">
        <v>265</v>
      </c>
      <c r="C451" s="19" t="s">
        <v>72</v>
      </c>
      <c r="D451" s="20"/>
      <c r="E451" s="3">
        <v>196282.65</v>
      </c>
      <c r="F451" s="24">
        <v>2.3746367801738972E-4</v>
      </c>
      <c r="G451" s="26">
        <v>46.61</v>
      </c>
      <c r="H451" t="s">
        <v>1806</v>
      </c>
      <c r="M451" s="90">
        <v>14</v>
      </c>
      <c r="O451"/>
    </row>
    <row r="452" spans="1:15">
      <c r="A452" s="15" t="s">
        <v>266</v>
      </c>
      <c r="B452" s="16" t="s">
        <v>267</v>
      </c>
      <c r="C452" s="15" t="s">
        <v>72</v>
      </c>
      <c r="D452" s="16"/>
      <c r="E452" s="2">
        <v>2727062.22</v>
      </c>
      <c r="F452" s="23">
        <v>0</v>
      </c>
      <c r="G452" s="26">
        <v>0</v>
      </c>
      <c r="H452" t="s">
        <v>1806</v>
      </c>
      <c r="M452" s="90">
        <v>473</v>
      </c>
      <c r="O452"/>
    </row>
    <row r="453" spans="1:15">
      <c r="A453" s="17" t="s">
        <v>268</v>
      </c>
      <c r="B453" s="21" t="s">
        <v>269</v>
      </c>
      <c r="C453" s="19" t="s">
        <v>72</v>
      </c>
      <c r="D453" s="20"/>
      <c r="E453" s="3">
        <v>1527935.84</v>
      </c>
      <c r="F453" s="24">
        <v>5.4511385766041059E-3</v>
      </c>
      <c r="G453" s="26">
        <v>8328.99</v>
      </c>
      <c r="H453" t="s">
        <v>1806</v>
      </c>
      <c r="M453" s="90">
        <v>177</v>
      </c>
      <c r="O453"/>
    </row>
    <row r="454" spans="1:15">
      <c r="A454" s="13" t="s">
        <v>274</v>
      </c>
      <c r="B454" s="14" t="s">
        <v>275</v>
      </c>
      <c r="C454" s="15" t="s">
        <v>72</v>
      </c>
      <c r="D454" s="16"/>
      <c r="E454" s="2">
        <v>1042124.02</v>
      </c>
      <c r="F454" s="23">
        <v>4.6141341219637175E-3</v>
      </c>
      <c r="G454" s="26">
        <v>4808.5</v>
      </c>
      <c r="H454" t="s">
        <v>1806</v>
      </c>
      <c r="M454" s="90">
        <v>134</v>
      </c>
      <c r="O454"/>
    </row>
    <row r="455" spans="1:15">
      <c r="A455" s="135" t="s">
        <v>278</v>
      </c>
      <c r="B455" s="138" t="s">
        <v>279</v>
      </c>
      <c r="C455" s="135" t="s">
        <v>72</v>
      </c>
      <c r="D455" s="138"/>
      <c r="E455" s="42">
        <v>0</v>
      </c>
      <c r="F455" s="139" t="s">
        <v>761</v>
      </c>
      <c r="G455" s="50">
        <v>0</v>
      </c>
      <c r="H455" s="90" t="s">
        <v>1806</v>
      </c>
      <c r="I455" s="90"/>
      <c r="J455" s="90"/>
      <c r="K455" s="90"/>
      <c r="L455" s="90"/>
      <c r="M455" s="90">
        <v>519</v>
      </c>
      <c r="O455"/>
    </row>
    <row r="456" spans="1:15">
      <c r="A456" s="131" t="s">
        <v>280</v>
      </c>
      <c r="B456" s="130" t="s">
        <v>281</v>
      </c>
      <c r="C456" s="135" t="s">
        <v>72</v>
      </c>
      <c r="D456" s="138"/>
      <c r="E456" s="42">
        <v>0</v>
      </c>
      <c r="F456" s="139" t="s">
        <v>761</v>
      </c>
      <c r="G456" s="50">
        <v>0</v>
      </c>
      <c r="H456" s="90" t="s">
        <v>1806</v>
      </c>
      <c r="I456" s="90"/>
      <c r="J456" s="90"/>
      <c r="K456" s="90"/>
      <c r="L456" s="90"/>
      <c r="M456" s="90">
        <v>235</v>
      </c>
      <c r="O456"/>
    </row>
    <row r="457" spans="1:15">
      <c r="A457" s="17" t="s">
        <v>284</v>
      </c>
      <c r="B457" s="21" t="s">
        <v>285</v>
      </c>
      <c r="C457" s="19" t="s">
        <v>72</v>
      </c>
      <c r="D457" s="20"/>
      <c r="E457" s="3">
        <v>1222466.77</v>
      </c>
      <c r="F457" s="24">
        <v>6.6802879230819503E-3</v>
      </c>
      <c r="G457" s="26">
        <v>8166.43</v>
      </c>
      <c r="H457" t="s">
        <v>1806</v>
      </c>
      <c r="M457" s="90">
        <v>122</v>
      </c>
      <c r="O457"/>
    </row>
    <row r="458" spans="1:15">
      <c r="A458" s="15" t="s">
        <v>286</v>
      </c>
      <c r="B458" s="16" t="s">
        <v>287</v>
      </c>
      <c r="C458" s="15" t="s">
        <v>72</v>
      </c>
      <c r="D458" s="16"/>
      <c r="E458" s="2">
        <v>880682.87</v>
      </c>
      <c r="F458" s="23">
        <v>9.9726022830442921E-4</v>
      </c>
      <c r="G458" s="26">
        <v>878.27</v>
      </c>
      <c r="H458" t="s">
        <v>1806</v>
      </c>
      <c r="M458" s="90">
        <v>85</v>
      </c>
      <c r="O458"/>
    </row>
    <row r="459" spans="1:15">
      <c r="A459" s="17" t="s">
        <v>288</v>
      </c>
      <c r="B459" s="21" t="s">
        <v>480</v>
      </c>
      <c r="C459" s="19" t="s">
        <v>72</v>
      </c>
      <c r="D459" s="20"/>
      <c r="E459" s="3">
        <v>825505.77</v>
      </c>
      <c r="F459" s="24">
        <v>1.0253180907505951E-2</v>
      </c>
      <c r="G459" s="26">
        <v>8464.06</v>
      </c>
      <c r="H459" t="s">
        <v>1806</v>
      </c>
      <c r="I459" t="s">
        <v>1820</v>
      </c>
      <c r="J459" t="s">
        <v>502</v>
      </c>
      <c r="M459" s="90">
        <v>70</v>
      </c>
      <c r="O459"/>
    </row>
    <row r="460" spans="1:15">
      <c r="A460" s="13" t="s">
        <v>481</v>
      </c>
      <c r="B460" s="14" t="s">
        <v>482</v>
      </c>
      <c r="C460" s="15" t="s">
        <v>72</v>
      </c>
      <c r="D460" s="16"/>
      <c r="E460" s="2">
        <v>4746775.3099999996</v>
      </c>
      <c r="F460" s="23">
        <v>6.0534211382337376E-3</v>
      </c>
      <c r="G460" s="26">
        <v>28734.23</v>
      </c>
      <c r="H460" t="s">
        <v>1806</v>
      </c>
      <c r="M460" s="90">
        <v>577</v>
      </c>
      <c r="O460"/>
    </row>
    <row r="461" spans="1:15">
      <c r="A461" s="19" t="s">
        <v>483</v>
      </c>
      <c r="B461" s="20" t="s">
        <v>484</v>
      </c>
      <c r="C461" s="19" t="s">
        <v>72</v>
      </c>
      <c r="D461" s="20"/>
      <c r="E461" s="3">
        <v>730744.86</v>
      </c>
      <c r="F461" s="24">
        <v>8.6639952554712456E-3</v>
      </c>
      <c r="G461" s="26">
        <v>6331.1699999999992</v>
      </c>
      <c r="H461" t="s">
        <v>1806</v>
      </c>
      <c r="M461" s="90">
        <v>82</v>
      </c>
      <c r="O461"/>
    </row>
    <row r="462" spans="1:15">
      <c r="A462" s="13" t="s">
        <v>485</v>
      </c>
      <c r="B462" s="14" t="s">
        <v>486</v>
      </c>
      <c r="C462" s="15" t="s">
        <v>72</v>
      </c>
      <c r="D462" s="16"/>
      <c r="E462" s="2">
        <v>500595.68</v>
      </c>
      <c r="F462" s="23">
        <v>0</v>
      </c>
      <c r="G462" s="26">
        <v>0</v>
      </c>
      <c r="H462" t="s">
        <v>1806</v>
      </c>
      <c r="M462" s="90">
        <v>63</v>
      </c>
      <c r="O462"/>
    </row>
    <row r="463" spans="1:15">
      <c r="A463" s="13" t="s">
        <v>493</v>
      </c>
      <c r="B463" s="14" t="s">
        <v>494</v>
      </c>
      <c r="C463" s="15" t="s">
        <v>72</v>
      </c>
      <c r="D463" s="16"/>
      <c r="E463" s="2">
        <v>2727743.71</v>
      </c>
      <c r="F463" s="23">
        <v>1.0261227950920653E-3</v>
      </c>
      <c r="G463" s="26">
        <v>2799</v>
      </c>
      <c r="H463" t="s">
        <v>1806</v>
      </c>
      <c r="M463" s="90">
        <v>261</v>
      </c>
      <c r="O463"/>
    </row>
    <row r="464" spans="1:15">
      <c r="A464" s="15" t="s">
        <v>497</v>
      </c>
      <c r="B464" s="16" t="s">
        <v>498</v>
      </c>
      <c r="C464" s="15" t="s">
        <v>72</v>
      </c>
      <c r="D464" s="16"/>
      <c r="E464" s="2">
        <v>871404.8</v>
      </c>
      <c r="F464" s="23">
        <v>0.26713408050999948</v>
      </c>
      <c r="G464" s="26">
        <v>232781.92</v>
      </c>
      <c r="H464" t="s">
        <v>1806</v>
      </c>
      <c r="M464" s="90">
        <v>68</v>
      </c>
      <c r="O464"/>
    </row>
    <row r="465" spans="1:15">
      <c r="A465" s="17" t="s">
        <v>499</v>
      </c>
      <c r="B465" s="21" t="s">
        <v>309</v>
      </c>
      <c r="C465" s="19" t="s">
        <v>72</v>
      </c>
      <c r="D465" s="20"/>
      <c r="E465" s="3">
        <v>729230</v>
      </c>
      <c r="F465" s="24">
        <v>1.500212552966828E-3</v>
      </c>
      <c r="G465" s="26">
        <v>1094</v>
      </c>
      <c r="H465" t="s">
        <v>1806</v>
      </c>
      <c r="M465" s="90">
        <v>54</v>
      </c>
      <c r="O465"/>
    </row>
    <row r="466" spans="1:15">
      <c r="A466" s="13" t="s">
        <v>310</v>
      </c>
      <c r="B466" s="14" t="s">
        <v>311</v>
      </c>
      <c r="C466" s="15" t="s">
        <v>72</v>
      </c>
      <c r="D466" s="16"/>
      <c r="E466" s="2">
        <v>909606</v>
      </c>
      <c r="F466" s="23">
        <v>0</v>
      </c>
      <c r="G466" s="26">
        <v>0</v>
      </c>
      <c r="H466" t="s">
        <v>1806</v>
      </c>
      <c r="M466" s="90">
        <v>88</v>
      </c>
      <c r="O466"/>
    </row>
    <row r="467" spans="1:15">
      <c r="A467" s="19" t="s">
        <v>312</v>
      </c>
      <c r="B467" s="20" t="s">
        <v>313</v>
      </c>
      <c r="C467" s="19" t="s">
        <v>72</v>
      </c>
      <c r="D467" s="20"/>
      <c r="E467" s="3">
        <v>835934</v>
      </c>
      <c r="F467" s="24">
        <v>1.1472197565836537E-3</v>
      </c>
      <c r="G467" s="26">
        <v>959</v>
      </c>
      <c r="H467" t="s">
        <v>1806</v>
      </c>
      <c r="M467" s="90">
        <v>79</v>
      </c>
      <c r="O467"/>
    </row>
    <row r="468" spans="1:15">
      <c r="A468" s="13" t="s">
        <v>314</v>
      </c>
      <c r="B468" s="14" t="s">
        <v>315</v>
      </c>
      <c r="C468" s="15" t="s">
        <v>72</v>
      </c>
      <c r="D468" s="16"/>
      <c r="E468" s="2">
        <v>277522.46999999997</v>
      </c>
      <c r="F468" s="23">
        <v>9.8190247441945887E-5</v>
      </c>
      <c r="G468" s="26">
        <v>27.25</v>
      </c>
      <c r="H468" t="s">
        <v>1806</v>
      </c>
      <c r="M468" s="90">
        <v>128</v>
      </c>
      <c r="O468"/>
    </row>
    <row r="469" spans="1:15">
      <c r="A469" s="17" t="s">
        <v>316</v>
      </c>
      <c r="B469" s="21" t="s">
        <v>317</v>
      </c>
      <c r="C469" s="19" t="s">
        <v>72</v>
      </c>
      <c r="D469" s="20"/>
      <c r="E469" s="3">
        <v>955114.24</v>
      </c>
      <c r="F469" s="24">
        <v>0</v>
      </c>
      <c r="G469" s="26">
        <v>0</v>
      </c>
      <c r="H469" t="s">
        <v>1806</v>
      </c>
      <c r="M469" s="90">
        <v>240</v>
      </c>
      <c r="O469"/>
    </row>
    <row r="470" spans="1:15">
      <c r="A470" s="15" t="s">
        <v>318</v>
      </c>
      <c r="B470" s="16" t="s">
        <v>319</v>
      </c>
      <c r="C470" s="15" t="s">
        <v>72</v>
      </c>
      <c r="D470" s="16"/>
      <c r="E470" s="2">
        <v>622949.76</v>
      </c>
      <c r="F470" s="23">
        <v>6.0197470820118786E-5</v>
      </c>
      <c r="G470" s="26">
        <v>37.5</v>
      </c>
      <c r="H470" t="s">
        <v>1806</v>
      </c>
      <c r="M470" s="90">
        <v>158</v>
      </c>
      <c r="O470"/>
    </row>
    <row r="471" spans="1:15">
      <c r="A471" s="13" t="s">
        <v>322</v>
      </c>
      <c r="B471" s="14" t="s">
        <v>323</v>
      </c>
      <c r="C471" s="15" t="s">
        <v>72</v>
      </c>
      <c r="D471" s="16"/>
      <c r="E471" s="2">
        <v>472096.61</v>
      </c>
      <c r="F471" s="23">
        <v>0</v>
      </c>
      <c r="G471" s="26">
        <v>0</v>
      </c>
      <c r="H471" t="s">
        <v>1806</v>
      </c>
      <c r="M471" s="90">
        <v>26</v>
      </c>
      <c r="O471"/>
    </row>
    <row r="472" spans="1:15">
      <c r="A472" s="13" t="s">
        <v>326</v>
      </c>
      <c r="B472" s="14" t="s">
        <v>327</v>
      </c>
      <c r="C472" s="15" t="s">
        <v>72</v>
      </c>
      <c r="D472" s="16"/>
      <c r="E472" s="2">
        <v>1657794.01</v>
      </c>
      <c r="F472" s="23">
        <v>1.2706464055808717E-3</v>
      </c>
      <c r="G472" s="26">
        <v>2106.4699999999998</v>
      </c>
      <c r="H472" t="s">
        <v>1806</v>
      </c>
      <c r="M472" s="90">
        <v>148</v>
      </c>
      <c r="O472"/>
    </row>
    <row r="473" spans="1:15">
      <c r="A473" s="19" t="s">
        <v>328</v>
      </c>
      <c r="B473" s="20" t="s">
        <v>329</v>
      </c>
      <c r="C473" s="19" t="s">
        <v>72</v>
      </c>
      <c r="D473" s="20"/>
      <c r="E473" s="3">
        <v>1344443.63</v>
      </c>
      <c r="F473" s="24">
        <v>0</v>
      </c>
      <c r="G473" s="26">
        <v>0</v>
      </c>
      <c r="H473" t="s">
        <v>1806</v>
      </c>
      <c r="M473" s="90">
        <v>216</v>
      </c>
      <c r="O473"/>
    </row>
    <row r="474" spans="1:15">
      <c r="A474" s="13" t="s">
        <v>330</v>
      </c>
      <c r="B474" s="14" t="s">
        <v>331</v>
      </c>
      <c r="C474" s="15" t="s">
        <v>72</v>
      </c>
      <c r="D474" s="16"/>
      <c r="E474" s="2">
        <v>993537.32</v>
      </c>
      <c r="F474" s="23">
        <v>1.0218166741839148E-2</v>
      </c>
      <c r="G474" s="26">
        <v>10152.129999999999</v>
      </c>
      <c r="H474" t="s">
        <v>1806</v>
      </c>
      <c r="M474" s="90">
        <v>121</v>
      </c>
      <c r="O474"/>
    </row>
    <row r="475" spans="1:15">
      <c r="A475" s="13" t="s">
        <v>334</v>
      </c>
      <c r="B475" s="14" t="s">
        <v>335</v>
      </c>
      <c r="C475" s="15" t="s">
        <v>72</v>
      </c>
      <c r="D475" s="16"/>
      <c r="E475" s="2">
        <v>78367.070000000007</v>
      </c>
      <c r="F475" s="23">
        <v>0</v>
      </c>
      <c r="G475" s="26">
        <v>0</v>
      </c>
      <c r="H475" t="s">
        <v>1806</v>
      </c>
      <c r="M475" s="90">
        <v>58</v>
      </c>
      <c r="O475"/>
    </row>
    <row r="476" spans="1:15">
      <c r="A476" s="19" t="s">
        <v>340</v>
      </c>
      <c r="B476" s="20" t="s">
        <v>341</v>
      </c>
      <c r="C476" s="19" t="s">
        <v>72</v>
      </c>
      <c r="D476" s="20"/>
      <c r="E476" s="3">
        <v>1352791.03</v>
      </c>
      <c r="F476" s="24">
        <v>7.10884370662925E-3</v>
      </c>
      <c r="G476" s="26">
        <v>9616.7800000000007</v>
      </c>
      <c r="H476" t="s">
        <v>1806</v>
      </c>
      <c r="M476" s="90">
        <v>160</v>
      </c>
      <c r="O476"/>
    </row>
    <row r="477" spans="1:15">
      <c r="A477" s="17" t="s">
        <v>344</v>
      </c>
      <c r="B477" s="21" t="s">
        <v>345</v>
      </c>
      <c r="C477" s="19" t="s">
        <v>72</v>
      </c>
      <c r="D477" s="20"/>
      <c r="E477" s="3">
        <v>136036.79999999999</v>
      </c>
      <c r="F477" s="24">
        <v>7.8287639815108861E-2</v>
      </c>
      <c r="G477" s="26">
        <v>10650</v>
      </c>
      <c r="H477" t="s">
        <v>1806</v>
      </c>
      <c r="M477" s="90">
        <v>25</v>
      </c>
      <c r="O477"/>
    </row>
    <row r="478" spans="1:15">
      <c r="A478" s="13" t="s">
        <v>346</v>
      </c>
      <c r="B478" s="14" t="s">
        <v>347</v>
      </c>
      <c r="C478" s="15" t="s">
        <v>72</v>
      </c>
      <c r="D478" s="16"/>
      <c r="E478" s="2">
        <v>925303.72</v>
      </c>
      <c r="F478" s="23">
        <v>3.2551474017633908E-5</v>
      </c>
      <c r="G478" s="26">
        <v>30.12</v>
      </c>
      <c r="H478" t="s">
        <v>1806</v>
      </c>
      <c r="M478" s="90">
        <v>114</v>
      </c>
      <c r="O478"/>
    </row>
    <row r="479" spans="1:15">
      <c r="A479" s="19" t="s">
        <v>348</v>
      </c>
      <c r="B479" s="20" t="s">
        <v>349</v>
      </c>
      <c r="C479" s="19" t="s">
        <v>72</v>
      </c>
      <c r="D479" s="20"/>
      <c r="E479" s="3">
        <v>1896048.52</v>
      </c>
      <c r="F479" s="24">
        <v>0</v>
      </c>
      <c r="G479" s="26">
        <v>0</v>
      </c>
      <c r="H479" t="s">
        <v>1806</v>
      </c>
      <c r="M479" s="90">
        <v>173</v>
      </c>
      <c r="O479"/>
    </row>
    <row r="480" spans="1:15">
      <c r="A480" s="17" t="s">
        <v>352</v>
      </c>
      <c r="B480" s="21" t="s">
        <v>353</v>
      </c>
      <c r="C480" s="19" t="s">
        <v>72</v>
      </c>
      <c r="D480" s="20"/>
      <c r="E480" s="3">
        <v>2407551.4</v>
      </c>
      <c r="F480" s="24">
        <v>4.1535977175814401E-5</v>
      </c>
      <c r="G480" s="26">
        <v>100</v>
      </c>
      <c r="H480" t="s">
        <v>1806</v>
      </c>
      <c r="M480" s="90">
        <v>310</v>
      </c>
      <c r="O480"/>
    </row>
    <row r="481" spans="1:15">
      <c r="A481" s="13" t="s">
        <v>354</v>
      </c>
      <c r="B481" s="14" t="s">
        <v>355</v>
      </c>
      <c r="C481" s="15" t="s">
        <v>72</v>
      </c>
      <c r="D481" s="16"/>
      <c r="E481" s="2">
        <v>1706352</v>
      </c>
      <c r="F481" s="23">
        <v>2.4334428066424751E-3</v>
      </c>
      <c r="G481" s="26">
        <v>4152.3100000000004</v>
      </c>
      <c r="H481" t="s">
        <v>1806</v>
      </c>
      <c r="M481" s="90">
        <v>229</v>
      </c>
      <c r="O481"/>
    </row>
    <row r="482" spans="1:15">
      <c r="A482" s="19" t="s">
        <v>356</v>
      </c>
      <c r="B482" s="20" t="s">
        <v>357</v>
      </c>
      <c r="C482" s="19" t="s">
        <v>72</v>
      </c>
      <c r="D482" s="20"/>
      <c r="E482" s="3">
        <v>438809.74</v>
      </c>
      <c r="F482" s="24">
        <v>0</v>
      </c>
      <c r="G482" s="26">
        <v>0</v>
      </c>
      <c r="H482" t="s">
        <v>1806</v>
      </c>
      <c r="I482" t="s">
        <v>1820</v>
      </c>
      <c r="J482" t="s">
        <v>564</v>
      </c>
      <c r="M482" s="90">
        <v>41</v>
      </c>
      <c r="O482"/>
    </row>
    <row r="483" spans="1:15">
      <c r="A483" s="17" t="s">
        <v>1639</v>
      </c>
      <c r="B483" s="21" t="s">
        <v>1640</v>
      </c>
      <c r="C483" s="19" t="s">
        <v>72</v>
      </c>
      <c r="D483" s="20"/>
      <c r="E483" s="3">
        <v>867175.56</v>
      </c>
      <c r="F483" s="24">
        <v>1.4363873446802396E-3</v>
      </c>
      <c r="G483" s="26">
        <v>1245.5999999999999</v>
      </c>
      <c r="H483" t="s">
        <v>1806</v>
      </c>
      <c r="M483" s="90">
        <v>54</v>
      </c>
      <c r="O483"/>
    </row>
    <row r="484" spans="1:15">
      <c r="A484" s="13" t="s">
        <v>1641</v>
      </c>
      <c r="B484" s="14" t="s">
        <v>1642</v>
      </c>
      <c r="C484" s="15" t="s">
        <v>72</v>
      </c>
      <c r="D484" s="16"/>
      <c r="E484" s="2">
        <v>805177</v>
      </c>
      <c r="F484" s="23">
        <v>0</v>
      </c>
      <c r="G484" s="26">
        <v>0</v>
      </c>
      <c r="H484" t="s">
        <v>1806</v>
      </c>
      <c r="M484" s="90">
        <v>40</v>
      </c>
      <c r="O484"/>
    </row>
    <row r="485" spans="1:15">
      <c r="A485" s="15" t="s">
        <v>1645</v>
      </c>
      <c r="B485" s="16" t="s">
        <v>1646</v>
      </c>
      <c r="C485" s="15" t="s">
        <v>72</v>
      </c>
      <c r="D485" s="16"/>
      <c r="E485" s="2">
        <v>1644918.35</v>
      </c>
      <c r="F485" s="23">
        <v>6.537795629795241E-3</v>
      </c>
      <c r="G485" s="26">
        <v>10754.14</v>
      </c>
      <c r="H485" t="s">
        <v>1806</v>
      </c>
      <c r="M485" s="90">
        <v>165</v>
      </c>
      <c r="O485"/>
    </row>
    <row r="486" spans="1:15">
      <c r="A486" s="17" t="s">
        <v>1647</v>
      </c>
      <c r="B486" s="21" t="s">
        <v>1648</v>
      </c>
      <c r="C486" s="19" t="s">
        <v>72</v>
      </c>
      <c r="D486" s="20"/>
      <c r="E486" s="3">
        <v>1737044.91</v>
      </c>
      <c r="F486" s="24">
        <v>4.7131423907744562E-3</v>
      </c>
      <c r="G486" s="26">
        <v>8186.94</v>
      </c>
      <c r="H486" t="s">
        <v>1806</v>
      </c>
      <c r="M486" s="90">
        <v>162</v>
      </c>
      <c r="O486"/>
    </row>
    <row r="487" spans="1:15">
      <c r="A487" s="13" t="s">
        <v>1649</v>
      </c>
      <c r="B487" s="14" t="s">
        <v>1650</v>
      </c>
      <c r="C487" s="15" t="s">
        <v>72</v>
      </c>
      <c r="D487" s="16"/>
      <c r="E487" s="2">
        <v>2277797.19</v>
      </c>
      <c r="F487" s="23">
        <v>5.4307995700003482E-3</v>
      </c>
      <c r="G487" s="26">
        <v>12370.26</v>
      </c>
      <c r="H487" t="s">
        <v>1806</v>
      </c>
      <c r="M487" s="90">
        <v>205</v>
      </c>
      <c r="O487"/>
    </row>
    <row r="488" spans="1:15">
      <c r="A488" s="15" t="s">
        <v>1653</v>
      </c>
      <c r="B488" s="16" t="s">
        <v>1654</v>
      </c>
      <c r="C488" s="15" t="s">
        <v>72</v>
      </c>
      <c r="D488" s="16"/>
      <c r="E488" s="2">
        <v>1580086.05</v>
      </c>
      <c r="F488" s="23">
        <v>4.9708001662314524E-2</v>
      </c>
      <c r="G488" s="26">
        <v>78542.92</v>
      </c>
      <c r="H488" t="s">
        <v>1806</v>
      </c>
      <c r="M488" s="90">
        <v>194</v>
      </c>
      <c r="O488"/>
    </row>
    <row r="489" spans="1:15">
      <c r="A489" s="17" t="s">
        <v>1655</v>
      </c>
      <c r="B489" s="21" t="s">
        <v>1656</v>
      </c>
      <c r="C489" s="19" t="s">
        <v>72</v>
      </c>
      <c r="D489" s="20"/>
      <c r="E489" s="3">
        <v>1793470.68</v>
      </c>
      <c r="F489" s="24">
        <v>1.9266370164467923E-2</v>
      </c>
      <c r="G489" s="26">
        <v>34553.67</v>
      </c>
      <c r="H489" t="s">
        <v>1806</v>
      </c>
      <c r="M489" s="90">
        <v>246</v>
      </c>
      <c r="O489"/>
    </row>
    <row r="490" spans="1:15">
      <c r="A490" s="13" t="s">
        <v>1657</v>
      </c>
      <c r="B490" s="14" t="s">
        <v>1658</v>
      </c>
      <c r="C490" s="15" t="s">
        <v>72</v>
      </c>
      <c r="D490" s="16"/>
      <c r="E490" s="2">
        <v>674599.83</v>
      </c>
      <c r="F490" s="23">
        <v>0</v>
      </c>
      <c r="G490" s="26">
        <v>0</v>
      </c>
      <c r="H490" t="s">
        <v>1806</v>
      </c>
      <c r="M490" s="90">
        <v>72</v>
      </c>
      <c r="O490"/>
    </row>
    <row r="491" spans="1:15">
      <c r="A491" s="19" t="s">
        <v>1663</v>
      </c>
      <c r="B491" s="20" t="s">
        <v>1664</v>
      </c>
      <c r="C491" s="19" t="s">
        <v>72</v>
      </c>
      <c r="D491" s="20"/>
      <c r="E491" s="3">
        <v>973476.47</v>
      </c>
      <c r="F491" s="24">
        <v>7.5297392652952364E-2</v>
      </c>
      <c r="G491" s="26">
        <v>73300.240000000005</v>
      </c>
      <c r="H491" t="s">
        <v>1806</v>
      </c>
      <c r="M491" s="90">
        <v>96</v>
      </c>
      <c r="O491"/>
    </row>
    <row r="492" spans="1:15">
      <c r="A492" s="17" t="s">
        <v>1855</v>
      </c>
      <c r="B492" s="21" t="s">
        <v>1856</v>
      </c>
      <c r="C492" s="19" t="s">
        <v>72</v>
      </c>
      <c r="D492" s="20"/>
      <c r="E492" s="3">
        <v>949235.02</v>
      </c>
      <c r="F492" s="24">
        <v>2.0075365529602988E-2</v>
      </c>
      <c r="G492" s="26">
        <v>19056.240000000002</v>
      </c>
      <c r="H492" t="s">
        <v>1806</v>
      </c>
      <c r="M492" s="90">
        <v>98</v>
      </c>
      <c r="O492"/>
    </row>
    <row r="493" spans="1:15">
      <c r="A493" s="17" t="s">
        <v>1859</v>
      </c>
      <c r="B493" s="21" t="s">
        <v>1860</v>
      </c>
      <c r="C493" s="19" t="s">
        <v>72</v>
      </c>
      <c r="D493" s="20"/>
      <c r="E493" s="3">
        <v>1312513.19</v>
      </c>
      <c r="F493" s="24">
        <v>2.0976551100412178E-3</v>
      </c>
      <c r="G493" s="26">
        <v>2753.2</v>
      </c>
      <c r="H493" t="s">
        <v>1806</v>
      </c>
      <c r="M493" s="90">
        <v>71</v>
      </c>
      <c r="O493"/>
    </row>
    <row r="494" spans="1:15">
      <c r="A494" s="19" t="s">
        <v>1863</v>
      </c>
      <c r="B494" s="20" t="s">
        <v>1864</v>
      </c>
      <c r="C494" s="19" t="s">
        <v>72</v>
      </c>
      <c r="D494" s="20"/>
      <c r="E494" s="3">
        <v>1463370.03</v>
      </c>
      <c r="F494" s="24">
        <v>2.0287145008702962E-3</v>
      </c>
      <c r="G494" s="26">
        <v>2968.7600000000007</v>
      </c>
      <c r="H494" t="s">
        <v>1806</v>
      </c>
      <c r="M494" s="90">
        <v>95</v>
      </c>
      <c r="O494"/>
    </row>
    <row r="495" spans="1:15">
      <c r="A495" s="13" t="s">
        <v>1865</v>
      </c>
      <c r="B495" s="14" t="s">
        <v>1866</v>
      </c>
      <c r="C495" s="15" t="s">
        <v>72</v>
      </c>
      <c r="D495" s="16"/>
      <c r="E495" s="2">
        <v>2894690.69</v>
      </c>
      <c r="F495" s="23">
        <v>1.4160590677824717E-2</v>
      </c>
      <c r="G495" s="26">
        <v>40990.53</v>
      </c>
      <c r="H495" t="s">
        <v>1806</v>
      </c>
      <c r="M495" s="90">
        <v>359</v>
      </c>
      <c r="O495"/>
    </row>
    <row r="496" spans="1:15">
      <c r="A496" s="13" t="s">
        <v>1869</v>
      </c>
      <c r="B496" s="14" t="s">
        <v>1870</v>
      </c>
      <c r="C496" s="15" t="s">
        <v>72</v>
      </c>
      <c r="D496" s="16"/>
      <c r="E496" s="2">
        <v>2719630.44</v>
      </c>
      <c r="F496" s="23">
        <v>1.0789094565363078E-2</v>
      </c>
      <c r="G496" s="26">
        <v>29342.35</v>
      </c>
      <c r="H496" t="s">
        <v>1806</v>
      </c>
      <c r="M496" s="90">
        <v>376</v>
      </c>
      <c r="O496"/>
    </row>
    <row r="497" spans="1:15">
      <c r="A497" s="19" t="s">
        <v>1871</v>
      </c>
      <c r="B497" s="20" t="s">
        <v>1872</v>
      </c>
      <c r="C497" s="19" t="s">
        <v>72</v>
      </c>
      <c r="D497" s="20"/>
      <c r="E497" s="3">
        <v>922346.06</v>
      </c>
      <c r="F497" s="24">
        <v>8.300030034280191E-4</v>
      </c>
      <c r="G497" s="26">
        <v>765.55</v>
      </c>
      <c r="H497" t="s">
        <v>1806</v>
      </c>
      <c r="M497" s="90">
        <v>124</v>
      </c>
      <c r="O497"/>
    </row>
    <row r="498" spans="1:15">
      <c r="A498" s="17" t="s">
        <v>1875</v>
      </c>
      <c r="B498" s="21" t="s">
        <v>1696</v>
      </c>
      <c r="C498" s="19" t="s">
        <v>72</v>
      </c>
      <c r="D498" s="20"/>
      <c r="E498" s="3">
        <v>1291038.96</v>
      </c>
      <c r="F498" s="24">
        <v>0.25452411598794816</v>
      </c>
      <c r="G498" s="26">
        <v>328600.55</v>
      </c>
      <c r="H498" t="s">
        <v>1806</v>
      </c>
      <c r="M498" s="90">
        <v>54</v>
      </c>
      <c r="O498"/>
    </row>
    <row r="499" spans="1:15">
      <c r="A499" s="13" t="s">
        <v>1697</v>
      </c>
      <c r="B499" s="14" t="s">
        <v>1698</v>
      </c>
      <c r="C499" s="15" t="s">
        <v>72</v>
      </c>
      <c r="D499" s="16"/>
      <c r="E499" s="2">
        <v>639636.15</v>
      </c>
      <c r="F499" s="23">
        <v>1.1835291047887145E-2</v>
      </c>
      <c r="G499" s="26">
        <v>7570.28</v>
      </c>
      <c r="H499" t="s">
        <v>1806</v>
      </c>
      <c r="M499" s="90">
        <v>83</v>
      </c>
      <c r="O499"/>
    </row>
    <row r="500" spans="1:15">
      <c r="A500" s="19" t="s">
        <v>1699</v>
      </c>
      <c r="B500" s="20" t="s">
        <v>1700</v>
      </c>
      <c r="C500" s="19" t="s">
        <v>72</v>
      </c>
      <c r="D500" s="20"/>
      <c r="E500" s="3">
        <v>2482620.56</v>
      </c>
      <c r="F500" s="24">
        <v>0.35997846565807862</v>
      </c>
      <c r="G500" s="26">
        <v>893689.94</v>
      </c>
      <c r="H500" t="s">
        <v>1806</v>
      </c>
      <c r="M500" s="90">
        <v>194</v>
      </c>
      <c r="O500"/>
    </row>
    <row r="501" spans="1:15">
      <c r="A501" s="13" t="s">
        <v>1701</v>
      </c>
      <c r="B501" s="14" t="s">
        <v>1702</v>
      </c>
      <c r="C501" s="15" t="s">
        <v>72</v>
      </c>
      <c r="D501" s="16"/>
      <c r="E501" s="2">
        <v>49974484.530000001</v>
      </c>
      <c r="F501" s="23">
        <v>1.0507981321643458E-2</v>
      </c>
      <c r="G501" s="26">
        <v>525130.94999999995</v>
      </c>
      <c r="H501" t="s">
        <v>1806</v>
      </c>
      <c r="M501" s="90">
        <v>6524</v>
      </c>
      <c r="O501"/>
    </row>
    <row r="502" spans="1:15">
      <c r="A502" s="17" t="s">
        <v>1703</v>
      </c>
      <c r="B502" s="21" t="s">
        <v>1704</v>
      </c>
      <c r="C502" s="19" t="s">
        <v>72</v>
      </c>
      <c r="D502" s="20"/>
      <c r="E502" s="3">
        <v>1701855.85</v>
      </c>
      <c r="F502" s="24">
        <v>0.13101131332597879</v>
      </c>
      <c r="G502" s="26">
        <v>222962.36999999997</v>
      </c>
      <c r="H502" t="s">
        <v>1806</v>
      </c>
      <c r="M502" s="90">
        <v>216</v>
      </c>
      <c r="O502"/>
    </row>
    <row r="503" spans="1:15">
      <c r="A503" s="19" t="s">
        <v>1707</v>
      </c>
      <c r="B503" s="20" t="s">
        <v>1708</v>
      </c>
      <c r="C503" s="19" t="s">
        <v>72</v>
      </c>
      <c r="D503" s="20"/>
      <c r="E503" s="3">
        <v>2347787.5099999998</v>
      </c>
      <c r="F503" s="24">
        <v>0</v>
      </c>
      <c r="G503" s="26">
        <v>0</v>
      </c>
      <c r="H503" t="s">
        <v>1806</v>
      </c>
      <c r="M503" s="90">
        <v>233</v>
      </c>
      <c r="O503"/>
    </row>
    <row r="504" spans="1:15">
      <c r="A504" s="13" t="s">
        <v>1709</v>
      </c>
      <c r="B504" s="14" t="s">
        <v>1710</v>
      </c>
      <c r="C504" s="15" t="s">
        <v>72</v>
      </c>
      <c r="D504" s="16"/>
      <c r="E504" s="2">
        <v>2980783.42</v>
      </c>
      <c r="F504" s="23">
        <v>1.3150905140233235E-4</v>
      </c>
      <c r="G504" s="26">
        <v>392</v>
      </c>
      <c r="H504" t="s">
        <v>1806</v>
      </c>
      <c r="M504" s="90">
        <v>391</v>
      </c>
      <c r="O504"/>
    </row>
    <row r="505" spans="1:15">
      <c r="A505" s="17" t="s">
        <v>1711</v>
      </c>
      <c r="B505" s="21" t="s">
        <v>1712</v>
      </c>
      <c r="C505" s="19" t="s">
        <v>72</v>
      </c>
      <c r="D505" s="20"/>
      <c r="E505" s="3">
        <v>4463813.6500000004</v>
      </c>
      <c r="F505" s="24">
        <v>1.0225740494341647E-3</v>
      </c>
      <c r="G505" s="26">
        <v>4564.58</v>
      </c>
      <c r="H505" t="s">
        <v>1806</v>
      </c>
      <c r="M505" s="90">
        <v>544</v>
      </c>
      <c r="O505"/>
    </row>
    <row r="506" spans="1:15">
      <c r="A506" s="19" t="s">
        <v>1715</v>
      </c>
      <c r="B506" s="20" t="s">
        <v>1716</v>
      </c>
      <c r="C506" s="19" t="s">
        <v>72</v>
      </c>
      <c r="D506" s="20"/>
      <c r="E506" s="3">
        <v>2056941.76</v>
      </c>
      <c r="F506" s="24">
        <v>9.4495674977204992E-3</v>
      </c>
      <c r="G506" s="26">
        <v>19437.21</v>
      </c>
      <c r="H506" t="s">
        <v>1806</v>
      </c>
      <c r="M506" s="90">
        <v>233</v>
      </c>
      <c r="O506"/>
    </row>
    <row r="507" spans="1:15">
      <c r="A507" s="13" t="s">
        <v>1717</v>
      </c>
      <c r="B507" s="14" t="s">
        <v>1718</v>
      </c>
      <c r="C507" s="15" t="s">
        <v>72</v>
      </c>
      <c r="D507" s="16"/>
      <c r="E507" s="2">
        <v>709915.45</v>
      </c>
      <c r="F507" s="23">
        <v>1.9406494111376221E-2</v>
      </c>
      <c r="G507" s="26">
        <v>13776.97</v>
      </c>
      <c r="H507" t="s">
        <v>1806</v>
      </c>
      <c r="M507" s="90">
        <v>92</v>
      </c>
      <c r="O507"/>
    </row>
    <row r="508" spans="1:15">
      <c r="A508" s="17" t="s">
        <v>1719</v>
      </c>
      <c r="B508" s="21" t="s">
        <v>1720</v>
      </c>
      <c r="C508" s="19" t="s">
        <v>72</v>
      </c>
      <c r="D508" s="20"/>
      <c r="E508" s="3">
        <v>5045707.8099999996</v>
      </c>
      <c r="F508" s="24">
        <v>1.6339521253411621E-2</v>
      </c>
      <c r="G508" s="26">
        <v>82444.45</v>
      </c>
      <c r="H508" t="s">
        <v>1806</v>
      </c>
      <c r="M508" s="90">
        <v>586</v>
      </c>
      <c r="O508"/>
    </row>
    <row r="509" spans="1:15">
      <c r="A509" s="15" t="s">
        <v>1725</v>
      </c>
      <c r="B509" s="16" t="s">
        <v>1726</v>
      </c>
      <c r="C509" s="15" t="s">
        <v>72</v>
      </c>
      <c r="D509" s="16"/>
      <c r="E509" s="2">
        <v>4302445.7699999996</v>
      </c>
      <c r="F509" s="23">
        <v>1.6633153286671178E-2</v>
      </c>
      <c r="G509" s="26">
        <v>71563.240000000005</v>
      </c>
      <c r="H509" t="s">
        <v>1806</v>
      </c>
      <c r="M509" s="90">
        <v>742</v>
      </c>
      <c r="O509"/>
    </row>
    <row r="510" spans="1:15">
      <c r="A510" s="17" t="s">
        <v>1727</v>
      </c>
      <c r="B510" s="21" t="s">
        <v>1728</v>
      </c>
      <c r="C510" s="19" t="s">
        <v>72</v>
      </c>
      <c r="D510" s="20"/>
      <c r="E510" s="3">
        <v>3950938.05</v>
      </c>
      <c r="F510" s="24">
        <v>2.4870600033832469E-3</v>
      </c>
      <c r="G510" s="26">
        <v>9826.2199999999993</v>
      </c>
      <c r="H510" t="s">
        <v>1806</v>
      </c>
      <c r="M510" s="90">
        <v>501</v>
      </c>
      <c r="O510"/>
    </row>
    <row r="511" spans="1:15">
      <c r="A511" s="17" t="s">
        <v>1735</v>
      </c>
      <c r="B511" s="21" t="s">
        <v>1736</v>
      </c>
      <c r="C511" s="19" t="s">
        <v>72</v>
      </c>
      <c r="D511" s="20"/>
      <c r="E511" s="3">
        <v>2527918.75</v>
      </c>
      <c r="F511" s="24">
        <v>8.8573060348557473E-3</v>
      </c>
      <c r="G511" s="26">
        <v>22390.549999999996</v>
      </c>
      <c r="H511" t="s">
        <v>1806</v>
      </c>
      <c r="M511" s="90">
        <v>273</v>
      </c>
      <c r="O511"/>
    </row>
    <row r="512" spans="1:15">
      <c r="A512" s="15" t="s">
        <v>1737</v>
      </c>
      <c r="B512" s="16" t="s">
        <v>1738</v>
      </c>
      <c r="C512" s="15" t="s">
        <v>72</v>
      </c>
      <c r="D512" s="16"/>
      <c r="E512" s="2">
        <v>2233116.7999999998</v>
      </c>
      <c r="F512" s="23">
        <v>3.7173201150965322E-3</v>
      </c>
      <c r="G512" s="26">
        <v>8301.2099999999991</v>
      </c>
      <c r="H512" t="s">
        <v>1806</v>
      </c>
      <c r="M512" s="90">
        <v>201</v>
      </c>
      <c r="O512"/>
    </row>
    <row r="513" spans="1:15">
      <c r="A513" s="17" t="s">
        <v>1743</v>
      </c>
      <c r="B513" s="21" t="s">
        <v>1744</v>
      </c>
      <c r="C513" s="19" t="s">
        <v>72</v>
      </c>
      <c r="D513" s="20"/>
      <c r="E513" s="3">
        <v>3024077.79</v>
      </c>
      <c r="F513" s="24">
        <v>4.4339037984866122E-3</v>
      </c>
      <c r="G513" s="26">
        <v>13408.47</v>
      </c>
      <c r="H513" t="s">
        <v>1806</v>
      </c>
      <c r="M513" s="90">
        <v>376</v>
      </c>
      <c r="O513"/>
    </row>
    <row r="514" spans="1:15">
      <c r="A514" s="13" t="s">
        <v>1745</v>
      </c>
      <c r="B514" s="14" t="s">
        <v>1746</v>
      </c>
      <c r="C514" s="15" t="s">
        <v>72</v>
      </c>
      <c r="D514" s="16"/>
      <c r="E514" s="2">
        <v>1550833.98</v>
      </c>
      <c r="F514" s="23">
        <v>1.6098783185031839E-2</v>
      </c>
      <c r="G514" s="26">
        <v>24966.540000000005</v>
      </c>
      <c r="H514" t="s">
        <v>1806</v>
      </c>
      <c r="M514" s="90">
        <v>157</v>
      </c>
      <c r="O514"/>
    </row>
    <row r="515" spans="1:15">
      <c r="A515" s="15" t="s">
        <v>1749</v>
      </c>
      <c r="B515" s="16" t="s">
        <v>1750</v>
      </c>
      <c r="C515" s="15" t="s">
        <v>72</v>
      </c>
      <c r="D515" s="16"/>
      <c r="E515" s="2">
        <v>746521.86</v>
      </c>
      <c r="F515" s="23">
        <v>1.0595001196615998E-3</v>
      </c>
      <c r="G515" s="26">
        <v>790.94</v>
      </c>
      <c r="H515" t="s">
        <v>1806</v>
      </c>
      <c r="K515" t="s">
        <v>1810</v>
      </c>
      <c r="M515" s="90">
        <v>120</v>
      </c>
      <c r="O515"/>
    </row>
    <row r="516" spans="1:15">
      <c r="A516" s="17" t="s">
        <v>1751</v>
      </c>
      <c r="B516" s="21" t="s">
        <v>1752</v>
      </c>
      <c r="C516" s="19" t="s">
        <v>72</v>
      </c>
      <c r="D516" s="20"/>
      <c r="E516" s="3">
        <v>3533925.97</v>
      </c>
      <c r="F516" s="24">
        <v>0.18344186196973444</v>
      </c>
      <c r="G516" s="26">
        <v>648269.96</v>
      </c>
      <c r="H516" t="s">
        <v>1806</v>
      </c>
      <c r="M516" s="90">
        <v>406</v>
      </c>
      <c r="O516"/>
    </row>
    <row r="517" spans="1:15">
      <c r="A517" s="17" t="s">
        <v>1755</v>
      </c>
      <c r="B517" s="21" t="s">
        <v>1756</v>
      </c>
      <c r="C517" s="19" t="s">
        <v>72</v>
      </c>
      <c r="D517" s="20"/>
      <c r="E517" s="3">
        <v>1219242.3500000001</v>
      </c>
      <c r="F517" s="24">
        <v>0</v>
      </c>
      <c r="G517" s="26">
        <v>0</v>
      </c>
      <c r="H517" t="s">
        <v>1806</v>
      </c>
      <c r="M517" s="90">
        <v>194</v>
      </c>
      <c r="O517"/>
    </row>
    <row r="518" spans="1:15">
      <c r="A518" s="15" t="s">
        <v>1757</v>
      </c>
      <c r="B518" s="16" t="s">
        <v>1758</v>
      </c>
      <c r="C518" s="15" t="s">
        <v>72</v>
      </c>
      <c r="D518" s="16"/>
      <c r="E518" s="2">
        <v>4203286.54</v>
      </c>
      <c r="F518" s="23">
        <v>0.12163504322976754</v>
      </c>
      <c r="G518" s="26">
        <v>511266.94</v>
      </c>
      <c r="H518" t="s">
        <v>1806</v>
      </c>
      <c r="M518" s="90">
        <v>437</v>
      </c>
      <c r="O518"/>
    </row>
    <row r="519" spans="1:15">
      <c r="A519" s="17" t="s">
        <v>1759</v>
      </c>
      <c r="B519" s="21" t="s">
        <v>1922</v>
      </c>
      <c r="C519" s="19" t="s">
        <v>72</v>
      </c>
      <c r="D519" s="20"/>
      <c r="E519" s="3">
        <v>2927835.44</v>
      </c>
      <c r="F519" s="24">
        <v>2.8671218625593249E-2</v>
      </c>
      <c r="G519" s="26">
        <v>83944.61</v>
      </c>
      <c r="H519" t="s">
        <v>1806</v>
      </c>
      <c r="M519" s="90">
        <v>337</v>
      </c>
      <c r="O519"/>
    </row>
    <row r="520" spans="1:15">
      <c r="A520" s="13" t="s">
        <v>1923</v>
      </c>
      <c r="B520" s="14" t="s">
        <v>1924</v>
      </c>
      <c r="C520" s="15" t="s">
        <v>72</v>
      </c>
      <c r="D520" s="16"/>
      <c r="E520" s="2">
        <v>8128870.4800000004</v>
      </c>
      <c r="F520" s="23">
        <v>2.0283366601259956E-2</v>
      </c>
      <c r="G520" s="26">
        <v>164880.85999999999</v>
      </c>
      <c r="H520" t="s">
        <v>1806</v>
      </c>
      <c r="M520" s="90">
        <v>894</v>
      </c>
      <c r="O520"/>
    </row>
    <row r="521" spans="1:15">
      <c r="A521" s="15" t="s">
        <v>1927</v>
      </c>
      <c r="B521" s="16" t="s">
        <v>1928</v>
      </c>
      <c r="C521" s="15" t="s">
        <v>72</v>
      </c>
      <c r="D521" s="16"/>
      <c r="E521" s="2">
        <v>4620528.58</v>
      </c>
      <c r="F521" s="23">
        <v>1</v>
      </c>
      <c r="G521" s="26">
        <v>4620528.58</v>
      </c>
      <c r="H521" t="s">
        <v>1806</v>
      </c>
      <c r="M521" s="90">
        <v>675</v>
      </c>
      <c r="O521"/>
    </row>
    <row r="522" spans="1:15">
      <c r="A522" s="17" t="s">
        <v>1929</v>
      </c>
      <c r="B522" s="21" t="s">
        <v>1930</v>
      </c>
      <c r="C522" s="19" t="s">
        <v>72</v>
      </c>
      <c r="D522" s="20"/>
      <c r="E522" s="3">
        <v>2616268.66</v>
      </c>
      <c r="F522" s="24">
        <v>1.1479291274314312E-2</v>
      </c>
      <c r="G522" s="26">
        <v>30032.91</v>
      </c>
      <c r="H522" t="s">
        <v>1811</v>
      </c>
      <c r="M522" s="90">
        <v>82</v>
      </c>
      <c r="O522"/>
    </row>
    <row r="523" spans="1:15">
      <c r="A523" s="13" t="s">
        <v>1931</v>
      </c>
      <c r="B523" s="14" t="s">
        <v>1932</v>
      </c>
      <c r="C523" s="15" t="s">
        <v>72</v>
      </c>
      <c r="D523" s="16"/>
      <c r="E523" s="2">
        <v>1380421.68</v>
      </c>
      <c r="F523" s="23">
        <v>1.0913165316267709E-2</v>
      </c>
      <c r="G523" s="26">
        <v>15064.770000000002</v>
      </c>
      <c r="H523" t="s">
        <v>1806</v>
      </c>
      <c r="M523" s="90">
        <v>159</v>
      </c>
      <c r="O523"/>
    </row>
    <row r="524" spans="1:15">
      <c r="A524" s="19" t="s">
        <v>1933</v>
      </c>
      <c r="B524" s="20" t="s">
        <v>1934</v>
      </c>
      <c r="C524" s="19" t="s">
        <v>72</v>
      </c>
      <c r="D524" s="20"/>
      <c r="E524" s="3">
        <v>1343802.3</v>
      </c>
      <c r="F524" s="24">
        <v>1.8921756570888441E-3</v>
      </c>
      <c r="G524" s="26">
        <v>2542.71</v>
      </c>
      <c r="H524" t="s">
        <v>1806</v>
      </c>
      <c r="M524" s="90">
        <v>119</v>
      </c>
      <c r="O524"/>
    </row>
    <row r="525" spans="1:15">
      <c r="A525" s="17" t="s">
        <v>1941</v>
      </c>
      <c r="B525" s="21" t="s">
        <v>1942</v>
      </c>
      <c r="C525" s="19" t="s">
        <v>72</v>
      </c>
      <c r="D525" s="20"/>
      <c r="E525" s="3">
        <v>2793895.69</v>
      </c>
      <c r="F525" s="24">
        <v>2.7647238326209667E-3</v>
      </c>
      <c r="G525" s="26">
        <v>7724.35</v>
      </c>
      <c r="H525" t="s">
        <v>1806</v>
      </c>
      <c r="M525" s="90">
        <v>354</v>
      </c>
      <c r="O525"/>
    </row>
    <row r="526" spans="1:15">
      <c r="A526" s="13" t="s">
        <v>1943</v>
      </c>
      <c r="B526" s="14" t="s">
        <v>1789</v>
      </c>
      <c r="C526" s="15" t="s">
        <v>72</v>
      </c>
      <c r="D526" s="16"/>
      <c r="E526" s="2">
        <v>2054278.26</v>
      </c>
      <c r="F526" s="23">
        <v>3.7675713902555735E-3</v>
      </c>
      <c r="G526" s="26">
        <v>7739.64</v>
      </c>
      <c r="H526" t="s">
        <v>1806</v>
      </c>
      <c r="M526" s="90">
        <v>250</v>
      </c>
      <c r="O526"/>
    </row>
    <row r="527" spans="1:15">
      <c r="A527" s="15" t="s">
        <v>1792</v>
      </c>
      <c r="B527" s="16" t="s">
        <v>1793</v>
      </c>
      <c r="C527" s="15" t="s">
        <v>72</v>
      </c>
      <c r="D527" s="16"/>
      <c r="E527" s="2">
        <v>1750555.55</v>
      </c>
      <c r="F527" s="23">
        <v>5.2156014129343107E-4</v>
      </c>
      <c r="G527" s="26">
        <v>913.02</v>
      </c>
      <c r="H527" t="s">
        <v>1806</v>
      </c>
      <c r="M527" s="90">
        <v>309</v>
      </c>
      <c r="O527"/>
    </row>
    <row r="528" spans="1:15">
      <c r="A528" s="17" t="s">
        <v>1794</v>
      </c>
      <c r="B528" s="21" t="s">
        <v>1795</v>
      </c>
      <c r="C528" s="19" t="s">
        <v>72</v>
      </c>
      <c r="D528" s="20"/>
      <c r="E528" s="3">
        <v>1600815.32</v>
      </c>
      <c r="F528" s="24">
        <v>3.7553070144281227E-2</v>
      </c>
      <c r="G528" s="26">
        <v>60115.53</v>
      </c>
      <c r="H528" t="s">
        <v>1806</v>
      </c>
      <c r="M528" s="90">
        <v>152</v>
      </c>
      <c r="O528"/>
    </row>
    <row r="529" spans="1:15">
      <c r="A529" s="13" t="s">
        <v>122</v>
      </c>
      <c r="B529" s="14" t="s">
        <v>123</v>
      </c>
      <c r="C529" s="15" t="s">
        <v>72</v>
      </c>
      <c r="D529" s="16"/>
      <c r="E529" s="2">
        <v>1522117.94</v>
      </c>
      <c r="F529" s="23">
        <v>6.3320783145095838E-3</v>
      </c>
      <c r="G529" s="26">
        <v>9638.17</v>
      </c>
      <c r="H529" t="s">
        <v>1806</v>
      </c>
      <c r="M529" s="90">
        <v>139</v>
      </c>
      <c r="O529"/>
    </row>
    <row r="530" spans="1:15">
      <c r="A530" s="19" t="s">
        <v>124</v>
      </c>
      <c r="B530" s="20" t="s">
        <v>125</v>
      </c>
      <c r="C530" s="19" t="s">
        <v>72</v>
      </c>
      <c r="D530" s="20"/>
      <c r="E530" s="3">
        <v>1987947.22</v>
      </c>
      <c r="F530" s="24">
        <v>5.4510768148059788E-2</v>
      </c>
      <c r="G530" s="26">
        <v>108364.53</v>
      </c>
      <c r="H530" t="s">
        <v>1806</v>
      </c>
      <c r="M530" s="90">
        <v>214</v>
      </c>
      <c r="O530"/>
    </row>
    <row r="531" spans="1:15">
      <c r="A531" s="13" t="s">
        <v>126</v>
      </c>
      <c r="B531" s="14" t="s">
        <v>127</v>
      </c>
      <c r="C531" s="15" t="s">
        <v>72</v>
      </c>
      <c r="D531" s="16"/>
      <c r="E531" s="2">
        <v>727034.75</v>
      </c>
      <c r="F531" s="23">
        <v>0</v>
      </c>
      <c r="G531" s="26">
        <v>0</v>
      </c>
      <c r="H531" t="s">
        <v>1806</v>
      </c>
      <c r="M531" s="90">
        <v>188</v>
      </c>
      <c r="O531"/>
    </row>
    <row r="532" spans="1:15">
      <c r="A532" s="17" t="s">
        <v>128</v>
      </c>
      <c r="B532" s="21" t="s">
        <v>129</v>
      </c>
      <c r="C532" s="19" t="s">
        <v>72</v>
      </c>
      <c r="D532" s="20"/>
      <c r="E532" s="3">
        <v>795520.66</v>
      </c>
      <c r="F532" s="24">
        <v>0</v>
      </c>
      <c r="G532" s="26">
        <v>0</v>
      </c>
      <c r="H532" t="s">
        <v>1806</v>
      </c>
      <c r="M532" s="90">
        <v>193</v>
      </c>
      <c r="O532"/>
    </row>
    <row r="533" spans="1:15">
      <c r="A533" s="15" t="s">
        <v>130</v>
      </c>
      <c r="B533" s="16" t="s">
        <v>131</v>
      </c>
      <c r="C533" s="15" t="s">
        <v>72</v>
      </c>
      <c r="D533" s="16"/>
      <c r="E533" s="2">
        <v>736232.83</v>
      </c>
      <c r="F533" s="23">
        <v>0</v>
      </c>
      <c r="G533" s="26">
        <v>0</v>
      </c>
      <c r="H533" t="s">
        <v>1806</v>
      </c>
      <c r="M533" s="90">
        <v>183</v>
      </c>
      <c r="O533"/>
    </row>
    <row r="534" spans="1:15">
      <c r="A534" s="17" t="s">
        <v>132</v>
      </c>
      <c r="B534" s="21" t="s">
        <v>133</v>
      </c>
      <c r="C534" s="19" t="s">
        <v>72</v>
      </c>
      <c r="D534" s="20"/>
      <c r="E534" s="3">
        <v>21756296.379999999</v>
      </c>
      <c r="F534" s="24">
        <v>5.0403509901072599E-3</v>
      </c>
      <c r="G534" s="26">
        <v>109659.37</v>
      </c>
      <c r="H534" t="s">
        <v>1806</v>
      </c>
      <c r="M534" s="90">
        <v>4389</v>
      </c>
      <c r="O534"/>
    </row>
    <row r="535" spans="1:15">
      <c r="A535" s="17" t="s">
        <v>136</v>
      </c>
      <c r="B535" s="21" t="s">
        <v>137</v>
      </c>
      <c r="C535" s="19" t="s">
        <v>72</v>
      </c>
      <c r="D535" s="20"/>
      <c r="E535" s="3">
        <v>1732192.7</v>
      </c>
      <c r="F535" s="24">
        <v>2.6788653479488743E-2</v>
      </c>
      <c r="G535" s="26">
        <v>46403.11</v>
      </c>
      <c r="H535" t="s">
        <v>1806</v>
      </c>
      <c r="M535" s="90">
        <v>244</v>
      </c>
      <c r="O535"/>
    </row>
    <row r="536" spans="1:15">
      <c r="A536" s="19" t="s">
        <v>1</v>
      </c>
      <c r="B536" s="20" t="s">
        <v>2</v>
      </c>
      <c r="C536" s="19" t="s">
        <v>72</v>
      </c>
      <c r="D536" s="20"/>
      <c r="E536" s="3">
        <v>2018903.89</v>
      </c>
      <c r="F536" s="24">
        <v>4.5458379893457933E-3</v>
      </c>
      <c r="G536" s="26">
        <v>9177.61</v>
      </c>
      <c r="H536" t="s">
        <v>1806</v>
      </c>
      <c r="M536" s="90">
        <v>192</v>
      </c>
      <c r="O536"/>
    </row>
    <row r="537" spans="1:15">
      <c r="A537" s="13" t="s">
        <v>3</v>
      </c>
      <c r="B537" s="14" t="s">
        <v>4</v>
      </c>
      <c r="C537" s="15" t="s">
        <v>72</v>
      </c>
      <c r="D537" s="16"/>
      <c r="E537" s="2">
        <v>1839838.57</v>
      </c>
      <c r="F537" s="23">
        <v>7.1659710884308721E-3</v>
      </c>
      <c r="G537" s="26">
        <v>13184.23</v>
      </c>
      <c r="H537" t="s">
        <v>1806</v>
      </c>
      <c r="M537" s="90">
        <v>224</v>
      </c>
      <c r="O537"/>
    </row>
    <row r="538" spans="1:15">
      <c r="A538" s="17" t="s">
        <v>5</v>
      </c>
      <c r="B538" s="21" t="s">
        <v>6</v>
      </c>
      <c r="C538" s="19" t="s">
        <v>72</v>
      </c>
      <c r="D538" s="20"/>
      <c r="E538" s="3">
        <v>1683615.61</v>
      </c>
      <c r="F538" s="24">
        <v>0</v>
      </c>
      <c r="G538" s="26">
        <v>0</v>
      </c>
      <c r="H538" t="s">
        <v>1806</v>
      </c>
      <c r="M538" s="90">
        <v>197</v>
      </c>
      <c r="O538"/>
    </row>
    <row r="539" spans="1:15">
      <c r="A539" s="15" t="s">
        <v>7</v>
      </c>
      <c r="B539" s="16" t="s">
        <v>8</v>
      </c>
      <c r="C539" s="15" t="s">
        <v>72</v>
      </c>
      <c r="D539" s="16"/>
      <c r="E539" s="2">
        <v>3812153.02</v>
      </c>
      <c r="F539" s="23">
        <v>3.0344558414394391E-3</v>
      </c>
      <c r="G539" s="26">
        <v>11567.81</v>
      </c>
      <c r="H539" t="s">
        <v>1806</v>
      </c>
      <c r="M539" s="90">
        <v>535</v>
      </c>
      <c r="O539"/>
    </row>
    <row r="540" spans="1:15">
      <c r="A540" s="17" t="s">
        <v>9</v>
      </c>
      <c r="B540" s="21" t="s">
        <v>10</v>
      </c>
      <c r="C540" s="19" t="s">
        <v>72</v>
      </c>
      <c r="D540" s="20"/>
      <c r="E540" s="3">
        <v>2756615</v>
      </c>
      <c r="F540" s="24">
        <v>0</v>
      </c>
      <c r="G540" s="26">
        <v>0</v>
      </c>
      <c r="H540" t="s">
        <v>1806</v>
      </c>
      <c r="K540" t="s">
        <v>1810</v>
      </c>
      <c r="M540" s="90">
        <v>328</v>
      </c>
      <c r="O540"/>
    </row>
    <row r="541" spans="1:15">
      <c r="A541" s="13" t="s">
        <v>11</v>
      </c>
      <c r="B541" s="14" t="s">
        <v>12</v>
      </c>
      <c r="C541" s="15" t="s">
        <v>72</v>
      </c>
      <c r="D541" s="16"/>
      <c r="E541" s="2">
        <v>2296101</v>
      </c>
      <c r="F541" s="23">
        <v>1.19419833883614E-3</v>
      </c>
      <c r="G541" s="26">
        <v>2742</v>
      </c>
      <c r="H541" t="s">
        <v>1806</v>
      </c>
      <c r="M541" s="90">
        <v>323</v>
      </c>
      <c r="O541"/>
    </row>
    <row r="542" spans="1:15">
      <c r="A542" s="19" t="s">
        <v>13</v>
      </c>
      <c r="B542" s="20" t="s">
        <v>14</v>
      </c>
      <c r="C542" s="19" t="s">
        <v>72</v>
      </c>
      <c r="D542" s="20"/>
      <c r="E542" s="3">
        <v>1521089.34</v>
      </c>
      <c r="F542" s="24">
        <v>6.6109200397131173E-4</v>
      </c>
      <c r="G542" s="26">
        <v>1005.58</v>
      </c>
      <c r="H542" t="s">
        <v>1811</v>
      </c>
      <c r="M542" s="90">
        <v>43</v>
      </c>
      <c r="O542"/>
    </row>
    <row r="543" spans="1:15">
      <c r="A543" s="13" t="s">
        <v>15</v>
      </c>
      <c r="B543" s="14" t="s">
        <v>16</v>
      </c>
      <c r="C543" s="15" t="s">
        <v>72</v>
      </c>
      <c r="D543" s="16"/>
      <c r="E543" s="2">
        <v>8804908.7200000007</v>
      </c>
      <c r="F543" s="23">
        <v>2.4915079414928904E-4</v>
      </c>
      <c r="G543" s="26">
        <v>2193.75</v>
      </c>
      <c r="H543" t="s">
        <v>1806</v>
      </c>
      <c r="M543" s="90">
        <v>1100</v>
      </c>
      <c r="O543"/>
    </row>
    <row r="544" spans="1:15">
      <c r="A544" s="13" t="s">
        <v>23</v>
      </c>
      <c r="B544" s="14" t="s">
        <v>24</v>
      </c>
      <c r="C544" s="15" t="s">
        <v>72</v>
      </c>
      <c r="D544" s="16"/>
      <c r="E544" s="2">
        <v>662280.16</v>
      </c>
      <c r="F544" s="23">
        <v>1.7601946584055908E-2</v>
      </c>
      <c r="G544" s="26">
        <v>11657.42</v>
      </c>
      <c r="H544" t="s">
        <v>1806</v>
      </c>
      <c r="M544" s="90">
        <v>131</v>
      </c>
      <c r="O544"/>
    </row>
    <row r="545" spans="1:15">
      <c r="A545" s="15" t="s">
        <v>27</v>
      </c>
      <c r="B545" s="16" t="s">
        <v>28</v>
      </c>
      <c r="C545" s="15" t="s">
        <v>72</v>
      </c>
      <c r="D545" s="16"/>
      <c r="E545" s="2">
        <v>17351899.23</v>
      </c>
      <c r="F545" s="23">
        <v>6.0497627728558448E-2</v>
      </c>
      <c r="G545" s="26">
        <v>1049748.74</v>
      </c>
      <c r="H545" t="s">
        <v>1806</v>
      </c>
      <c r="M545" s="90">
        <v>2125</v>
      </c>
      <c r="O545"/>
    </row>
    <row r="546" spans="1:15">
      <c r="A546" s="17" t="s">
        <v>29</v>
      </c>
      <c r="B546" s="21" t="s">
        <v>30</v>
      </c>
      <c r="C546" s="19" t="s">
        <v>72</v>
      </c>
      <c r="D546" s="20"/>
      <c r="E546" s="3">
        <v>791513.88</v>
      </c>
      <c r="F546" s="24">
        <v>0.17240185352150741</v>
      </c>
      <c r="G546" s="26">
        <v>136458.46</v>
      </c>
      <c r="H546" t="s">
        <v>1806</v>
      </c>
      <c r="M546" s="90">
        <v>85</v>
      </c>
      <c r="O546"/>
    </row>
    <row r="547" spans="1:15">
      <c r="A547" s="17" t="s">
        <v>33</v>
      </c>
      <c r="B547" s="21" t="s">
        <v>34</v>
      </c>
      <c r="C547" s="19" t="s">
        <v>72</v>
      </c>
      <c r="D547" s="20"/>
      <c r="E547" s="3">
        <v>623936.73</v>
      </c>
      <c r="F547" s="24">
        <v>5.8170802029878892E-3</v>
      </c>
      <c r="G547" s="26">
        <v>3629.49</v>
      </c>
      <c r="H547" t="s">
        <v>1806</v>
      </c>
      <c r="M547" s="90">
        <v>62</v>
      </c>
      <c r="O547"/>
    </row>
    <row r="548" spans="1:15">
      <c r="A548" s="19" t="s">
        <v>41</v>
      </c>
      <c r="B548" s="20" t="s">
        <v>42</v>
      </c>
      <c r="C548" s="19" t="s">
        <v>72</v>
      </c>
      <c r="D548" s="20"/>
      <c r="E548" s="3">
        <v>1025480.56</v>
      </c>
      <c r="F548" s="24">
        <v>5.2093625256045811E-3</v>
      </c>
      <c r="G548" s="26">
        <v>5342.1</v>
      </c>
      <c r="H548" t="s">
        <v>1806</v>
      </c>
      <c r="M548" s="90">
        <v>135</v>
      </c>
      <c r="O548"/>
    </row>
    <row r="549" spans="1:15">
      <c r="A549" s="13" t="s">
        <v>43</v>
      </c>
      <c r="B549" s="14" t="s">
        <v>44</v>
      </c>
      <c r="C549" s="15" t="s">
        <v>72</v>
      </c>
      <c r="D549" s="16"/>
      <c r="E549" s="2">
        <v>1754400.96</v>
      </c>
      <c r="F549" s="23">
        <v>7.8374330118925609E-4</v>
      </c>
      <c r="G549" s="26">
        <v>1375</v>
      </c>
      <c r="H549" t="s">
        <v>1806</v>
      </c>
      <c r="M549" s="90">
        <v>218</v>
      </c>
      <c r="O549"/>
    </row>
    <row r="550" spans="1:15">
      <c r="A550" s="13" t="s">
        <v>47</v>
      </c>
      <c r="B550" s="14" t="s">
        <v>48</v>
      </c>
      <c r="C550" s="15" t="s">
        <v>72</v>
      </c>
      <c r="D550" s="16"/>
      <c r="E550" s="2">
        <v>10894740.27</v>
      </c>
      <c r="F550" s="23">
        <v>1.4127758550043893E-2</v>
      </c>
      <c r="G550" s="26">
        <v>153918.26</v>
      </c>
      <c r="H550" t="s">
        <v>1811</v>
      </c>
      <c r="M550" s="90">
        <v>1349</v>
      </c>
      <c r="O550"/>
    </row>
    <row r="551" spans="1:15">
      <c r="A551" s="19" t="s">
        <v>49</v>
      </c>
      <c r="B551" s="20" t="s">
        <v>50</v>
      </c>
      <c r="C551" s="19" t="s">
        <v>72</v>
      </c>
      <c r="D551" s="20"/>
      <c r="E551" s="3">
        <v>836251.4</v>
      </c>
      <c r="F551" s="24">
        <v>7.544023244684553E-4</v>
      </c>
      <c r="G551" s="26">
        <v>630.87</v>
      </c>
      <c r="H551" t="s">
        <v>1806</v>
      </c>
      <c r="M551" s="90">
        <v>110</v>
      </c>
      <c r="O551"/>
    </row>
    <row r="552" spans="1:15">
      <c r="A552" s="13" t="s">
        <v>51</v>
      </c>
      <c r="B552" s="14" t="s">
        <v>52</v>
      </c>
      <c r="C552" s="15" t="s">
        <v>72</v>
      </c>
      <c r="D552" s="16"/>
      <c r="E552" s="2">
        <v>1355978.32</v>
      </c>
      <c r="F552" s="23">
        <v>4.7733875273168079E-3</v>
      </c>
      <c r="G552" s="26">
        <v>6472.61</v>
      </c>
      <c r="H552" t="s">
        <v>1806</v>
      </c>
      <c r="M552" s="90">
        <v>162</v>
      </c>
      <c r="O552"/>
    </row>
    <row r="553" spans="1:15">
      <c r="A553" s="13" t="s">
        <v>55</v>
      </c>
      <c r="B553" s="14" t="s">
        <v>56</v>
      </c>
      <c r="C553" s="15" t="s">
        <v>72</v>
      </c>
      <c r="D553" s="16"/>
      <c r="E553" s="2">
        <v>1289786.07</v>
      </c>
      <c r="F553" s="23">
        <v>3.2945773712690196E-4</v>
      </c>
      <c r="G553" s="26">
        <v>424.93</v>
      </c>
      <c r="H553" t="s">
        <v>1806</v>
      </c>
      <c r="K553" t="s">
        <v>1810</v>
      </c>
      <c r="M553" s="90">
        <v>197</v>
      </c>
      <c r="O553"/>
    </row>
    <row r="554" spans="1:15">
      <c r="A554" s="19" t="s">
        <v>57</v>
      </c>
      <c r="B554" s="20" t="s">
        <v>58</v>
      </c>
      <c r="C554" s="19" t="s">
        <v>72</v>
      </c>
      <c r="D554" s="20"/>
      <c r="E554" s="3">
        <v>2152877.73</v>
      </c>
      <c r="F554" s="24">
        <v>1.0811185268751886E-2</v>
      </c>
      <c r="G554" s="26">
        <v>23275.16</v>
      </c>
      <c r="H554" t="s">
        <v>1806</v>
      </c>
      <c r="M554" s="90">
        <v>327</v>
      </c>
      <c r="O554"/>
    </row>
    <row r="555" spans="1:15">
      <c r="A555" s="13" t="s">
        <v>59</v>
      </c>
      <c r="B555" s="14" t="s">
        <v>60</v>
      </c>
      <c r="C555" s="15" t="s">
        <v>72</v>
      </c>
      <c r="D555" s="16"/>
      <c r="E555" s="2">
        <v>1588994.83</v>
      </c>
      <c r="F555" s="23">
        <v>2.6705562031312588E-4</v>
      </c>
      <c r="G555" s="26">
        <v>424.35</v>
      </c>
      <c r="H555" t="s">
        <v>1806</v>
      </c>
      <c r="M555" s="90">
        <v>208</v>
      </c>
      <c r="O555"/>
    </row>
    <row r="556" spans="1:15">
      <c r="A556" s="17" t="s">
        <v>61</v>
      </c>
      <c r="B556" s="21" t="s">
        <v>62</v>
      </c>
      <c r="C556" s="19" t="s">
        <v>72</v>
      </c>
      <c r="D556" s="20"/>
      <c r="E556" s="3">
        <v>2560052.65</v>
      </c>
      <c r="F556" s="24">
        <v>8.3900399470299966E-2</v>
      </c>
      <c r="G556" s="26">
        <v>214789.44</v>
      </c>
      <c r="H556" t="s">
        <v>1806</v>
      </c>
      <c r="M556" s="90">
        <v>299</v>
      </c>
      <c r="O556"/>
    </row>
    <row r="557" spans="1:15">
      <c r="A557" s="15" t="s">
        <v>205</v>
      </c>
      <c r="B557" s="16" t="s">
        <v>206</v>
      </c>
      <c r="C557" s="15" t="s">
        <v>72</v>
      </c>
      <c r="D557" s="16"/>
      <c r="E557" s="2">
        <v>3148831.49</v>
      </c>
      <c r="F557" s="23">
        <v>2.073874394593278E-2</v>
      </c>
      <c r="G557" s="26">
        <v>65302.81</v>
      </c>
      <c r="H557" t="s">
        <v>1806</v>
      </c>
      <c r="M557" s="90">
        <v>413</v>
      </c>
      <c r="O557"/>
    </row>
    <row r="558" spans="1:15">
      <c r="A558" s="17" t="s">
        <v>207</v>
      </c>
      <c r="B558" s="21" t="s">
        <v>208</v>
      </c>
      <c r="C558" s="19" t="s">
        <v>72</v>
      </c>
      <c r="D558" s="20"/>
      <c r="E558" s="3">
        <v>1249926.6000000001</v>
      </c>
      <c r="F558" s="24">
        <v>1.1809437450167073E-2</v>
      </c>
      <c r="G558" s="26">
        <v>14760.93</v>
      </c>
      <c r="H558" t="s">
        <v>1806</v>
      </c>
      <c r="I558" t="s">
        <v>1820</v>
      </c>
      <c r="J558" t="s">
        <v>1828</v>
      </c>
      <c r="M558" s="90">
        <v>130</v>
      </c>
      <c r="O558"/>
    </row>
    <row r="559" spans="1:15">
      <c r="A559" s="13" t="s">
        <v>209</v>
      </c>
      <c r="B559" s="14" t="s">
        <v>210</v>
      </c>
      <c r="C559" s="15" t="s">
        <v>72</v>
      </c>
      <c r="D559" s="16"/>
      <c r="E559" s="2">
        <v>1475188.06</v>
      </c>
      <c r="F559" s="23">
        <v>5.7373701899403925E-4</v>
      </c>
      <c r="G559" s="26">
        <v>846.36999999999989</v>
      </c>
      <c r="H559" t="s">
        <v>1806</v>
      </c>
      <c r="M559" s="90">
        <v>189</v>
      </c>
      <c r="O559"/>
    </row>
    <row r="560" spans="1:15">
      <c r="A560" s="19" t="s">
        <v>211</v>
      </c>
      <c r="B560" s="20" t="s">
        <v>212</v>
      </c>
      <c r="C560" s="19" t="s">
        <v>72</v>
      </c>
      <c r="D560" s="20"/>
      <c r="E560" s="3">
        <v>2215222.09</v>
      </c>
      <c r="F560" s="24">
        <v>1.2233229400488689E-2</v>
      </c>
      <c r="G560" s="26">
        <v>27099.32</v>
      </c>
      <c r="H560" t="s">
        <v>1806</v>
      </c>
      <c r="M560" s="90">
        <v>292</v>
      </c>
      <c r="O560"/>
    </row>
    <row r="561" spans="1:15">
      <c r="A561" s="13" t="s">
        <v>213</v>
      </c>
      <c r="B561" s="14" t="s">
        <v>214</v>
      </c>
      <c r="C561" s="15" t="s">
        <v>72</v>
      </c>
      <c r="D561" s="16"/>
      <c r="E561" s="2">
        <v>4063576.73</v>
      </c>
      <c r="F561" s="23">
        <v>2.1877212098318125E-2</v>
      </c>
      <c r="G561" s="26">
        <v>88899.73</v>
      </c>
      <c r="H561" t="s">
        <v>1806</v>
      </c>
      <c r="M561" s="90">
        <v>539</v>
      </c>
      <c r="O561"/>
    </row>
    <row r="562" spans="1:15">
      <c r="A562" s="17" t="s">
        <v>215</v>
      </c>
      <c r="B562" s="21" t="s">
        <v>216</v>
      </c>
      <c r="C562" s="19" t="s">
        <v>72</v>
      </c>
      <c r="D562" s="20"/>
      <c r="E562" s="3">
        <v>2441072.21</v>
      </c>
      <c r="F562" s="24">
        <v>2.4834332942571986E-3</v>
      </c>
      <c r="G562" s="26">
        <v>6062.24</v>
      </c>
      <c r="H562" t="s">
        <v>1806</v>
      </c>
      <c r="M562" s="90">
        <v>243</v>
      </c>
      <c r="O562"/>
    </row>
    <row r="563" spans="1:15">
      <c r="A563" s="15" t="s">
        <v>217</v>
      </c>
      <c r="B563" s="16" t="s">
        <v>218</v>
      </c>
      <c r="C563" s="15" t="s">
        <v>72</v>
      </c>
      <c r="D563" s="16"/>
      <c r="E563" s="2">
        <v>981473.16</v>
      </c>
      <c r="F563" s="23">
        <v>1.8604716607838769E-2</v>
      </c>
      <c r="G563" s="26">
        <v>18260.03</v>
      </c>
      <c r="H563" t="s">
        <v>1806</v>
      </c>
      <c r="I563" t="s">
        <v>1820</v>
      </c>
      <c r="J563" t="s">
        <v>1304</v>
      </c>
      <c r="M563" s="90">
        <v>105</v>
      </c>
      <c r="O563"/>
    </row>
    <row r="564" spans="1:15">
      <c r="A564" s="17" t="s">
        <v>219</v>
      </c>
      <c r="B564" s="21" t="s">
        <v>220</v>
      </c>
      <c r="C564" s="19" t="s">
        <v>72</v>
      </c>
      <c r="D564" s="20"/>
      <c r="E564" s="3">
        <v>188740.72</v>
      </c>
      <c r="F564" s="24">
        <v>2.758228325080036E-3</v>
      </c>
      <c r="G564" s="26">
        <v>520.59</v>
      </c>
      <c r="H564" t="s">
        <v>1806</v>
      </c>
      <c r="I564" t="s">
        <v>1820</v>
      </c>
      <c r="J564" t="s">
        <v>724</v>
      </c>
      <c r="M564" s="90">
        <v>27</v>
      </c>
      <c r="O564"/>
    </row>
    <row r="565" spans="1:15">
      <c r="A565" s="13" t="s">
        <v>221</v>
      </c>
      <c r="B565" s="14" t="s">
        <v>222</v>
      </c>
      <c r="C565" s="15" t="s">
        <v>72</v>
      </c>
      <c r="D565" s="16"/>
      <c r="E565" s="2">
        <v>856255.65</v>
      </c>
      <c r="F565" s="23">
        <v>6.6060597673136517E-2</v>
      </c>
      <c r="G565" s="26">
        <v>56564.759999999995</v>
      </c>
      <c r="H565" t="s">
        <v>1811</v>
      </c>
      <c r="M565" s="90">
        <v>100</v>
      </c>
      <c r="O565"/>
    </row>
    <row r="566" spans="1:15">
      <c r="A566" s="15" t="s">
        <v>225</v>
      </c>
      <c r="B566" s="16" t="s">
        <v>226</v>
      </c>
      <c r="C566" s="15" t="s">
        <v>72</v>
      </c>
      <c r="D566" s="16"/>
      <c r="E566" s="2">
        <v>1754415.97</v>
      </c>
      <c r="F566" s="23">
        <v>4.418074238118113E-3</v>
      </c>
      <c r="G566" s="26">
        <v>7751.14</v>
      </c>
      <c r="H566" t="s">
        <v>1806</v>
      </c>
      <c r="M566" s="90">
        <v>164</v>
      </c>
      <c r="O566"/>
    </row>
    <row r="567" spans="1:15">
      <c r="A567" s="133"/>
      <c r="B567" s="134" t="s">
        <v>1819</v>
      </c>
      <c r="C567" s="135" t="s">
        <v>72</v>
      </c>
      <c r="D567" s="136"/>
      <c r="E567" s="137"/>
      <c r="F567" s="137"/>
      <c r="G567" s="90"/>
      <c r="H567" s="90" t="s">
        <v>1811</v>
      </c>
      <c r="I567" s="90" t="s">
        <v>1820</v>
      </c>
      <c r="J567" s="90" t="s">
        <v>1821</v>
      </c>
      <c r="K567" s="90"/>
      <c r="L567" s="90"/>
      <c r="M567" s="90">
        <v>118</v>
      </c>
      <c r="O567"/>
    </row>
    <row r="568" spans="1:15">
      <c r="A568" s="133"/>
      <c r="B568" s="130" t="s">
        <v>1822</v>
      </c>
      <c r="C568" s="135" t="s">
        <v>72</v>
      </c>
      <c r="D568" s="136"/>
      <c r="E568" s="137"/>
      <c r="F568" s="137"/>
      <c r="G568" s="90"/>
      <c r="H568" s="90" t="s">
        <v>1811</v>
      </c>
      <c r="I568" s="90" t="s">
        <v>1820</v>
      </c>
      <c r="J568" s="90" t="s">
        <v>1823</v>
      </c>
      <c r="K568" s="90"/>
      <c r="L568" s="90"/>
      <c r="M568" s="90">
        <v>52</v>
      </c>
      <c r="O568"/>
    </row>
    <row r="569" spans="1:15">
      <c r="A569" s="137"/>
      <c r="B569" s="138" t="s">
        <v>1824</v>
      </c>
      <c r="C569" s="135" t="s">
        <v>72</v>
      </c>
      <c r="D569" s="136"/>
      <c r="E569" s="137"/>
      <c r="F569" s="137"/>
      <c r="G569" s="90"/>
      <c r="H569" s="90" t="s">
        <v>1811</v>
      </c>
      <c r="I569" s="90" t="s">
        <v>1820</v>
      </c>
      <c r="J569" s="90" t="s">
        <v>1823</v>
      </c>
      <c r="K569" s="90"/>
      <c r="L569" s="90"/>
      <c r="M569" s="90">
        <v>32</v>
      </c>
      <c r="O569"/>
    </row>
    <row r="570" spans="1:15">
      <c r="A570" s="133"/>
      <c r="B570" s="130" t="s">
        <v>1827</v>
      </c>
      <c r="C570" s="135" t="s">
        <v>72</v>
      </c>
      <c r="D570" s="136"/>
      <c r="E570" s="137"/>
      <c r="F570" s="137"/>
      <c r="G570" s="90"/>
      <c r="H570" s="90" t="s">
        <v>1811</v>
      </c>
      <c r="I570" s="90" t="s">
        <v>1820</v>
      </c>
      <c r="J570" s="90" t="s">
        <v>1826</v>
      </c>
      <c r="K570" s="90"/>
      <c r="L570" s="90"/>
      <c r="M570" s="90">
        <v>39</v>
      </c>
      <c r="O570"/>
    </row>
    <row r="571" spans="1:15">
      <c r="A571" s="133"/>
      <c r="B571" s="130" t="s">
        <v>1829</v>
      </c>
      <c r="C571" s="135" t="s">
        <v>72</v>
      </c>
      <c r="D571" s="136"/>
      <c r="E571" s="137"/>
      <c r="F571" s="137"/>
      <c r="G571" s="90"/>
      <c r="H571" s="90" t="s">
        <v>1811</v>
      </c>
      <c r="I571" s="90" t="s">
        <v>1820</v>
      </c>
      <c r="J571" s="90" t="s">
        <v>1830</v>
      </c>
      <c r="K571" s="90"/>
      <c r="L571" s="90"/>
      <c r="M571" s="90">
        <v>27</v>
      </c>
      <c r="O571"/>
    </row>
    <row r="572" spans="1:15">
      <c r="A572" s="137"/>
      <c r="B572" s="138" t="s">
        <v>1832</v>
      </c>
      <c r="C572" s="135" t="s">
        <v>72</v>
      </c>
      <c r="D572" s="136"/>
      <c r="E572" s="137"/>
      <c r="F572" s="137"/>
      <c r="G572" s="90"/>
      <c r="H572" s="90" t="s">
        <v>1811</v>
      </c>
      <c r="I572" s="90" t="s">
        <v>1820</v>
      </c>
      <c r="J572" s="90" t="s">
        <v>1831</v>
      </c>
      <c r="K572" s="90"/>
      <c r="L572" s="90"/>
      <c r="M572" s="90">
        <v>95</v>
      </c>
      <c r="O572"/>
    </row>
    <row r="573" spans="1:15">
      <c r="A573" s="133"/>
      <c r="B573" s="130" t="s">
        <v>1833</v>
      </c>
      <c r="C573" s="135" t="s">
        <v>72</v>
      </c>
      <c r="D573" s="136"/>
      <c r="E573" s="137"/>
      <c r="F573" s="137"/>
      <c r="G573" s="90"/>
      <c r="H573" s="90" t="s">
        <v>1811</v>
      </c>
      <c r="I573" s="90" t="s">
        <v>1820</v>
      </c>
      <c r="J573" s="90" t="s">
        <v>1831</v>
      </c>
      <c r="K573" s="90"/>
      <c r="L573" s="90"/>
      <c r="M573" s="90">
        <v>79</v>
      </c>
      <c r="O573"/>
    </row>
    <row r="574" spans="1:15">
      <c r="A574" s="133"/>
      <c r="B574" s="130" t="s">
        <v>1836</v>
      </c>
      <c r="C574" s="135" t="s">
        <v>72</v>
      </c>
      <c r="D574" s="136"/>
      <c r="E574" s="137"/>
      <c r="F574" s="137"/>
      <c r="G574" s="90"/>
      <c r="H574" s="90" t="s">
        <v>1811</v>
      </c>
      <c r="I574" s="90" t="s">
        <v>1820</v>
      </c>
      <c r="J574" s="90" t="s">
        <v>1835</v>
      </c>
      <c r="K574" s="90"/>
      <c r="L574" s="90"/>
      <c r="M574" s="90">
        <v>85</v>
      </c>
      <c r="O574"/>
    </row>
    <row r="575" spans="1:15">
      <c r="A575" s="137"/>
      <c r="B575" s="138" t="s">
        <v>1838</v>
      </c>
      <c r="C575" s="135" t="s">
        <v>72</v>
      </c>
      <c r="D575" s="136"/>
      <c r="E575" s="137"/>
      <c r="F575" s="137"/>
      <c r="G575" s="90"/>
      <c r="H575" s="90" t="s">
        <v>1811</v>
      </c>
      <c r="I575" s="90" t="s">
        <v>1820</v>
      </c>
      <c r="J575" s="90" t="s">
        <v>1837</v>
      </c>
      <c r="K575" s="90"/>
      <c r="L575" s="90"/>
      <c r="M575" s="90">
        <v>73</v>
      </c>
      <c r="O575"/>
    </row>
    <row r="576" spans="1:15">
      <c r="A576" s="133"/>
      <c r="B576" s="130" t="s">
        <v>1839</v>
      </c>
      <c r="C576" s="135" t="s">
        <v>72</v>
      </c>
      <c r="D576" s="136"/>
      <c r="E576" s="137"/>
      <c r="F576" s="137"/>
      <c r="G576" s="90"/>
      <c r="H576" s="90" t="s">
        <v>1811</v>
      </c>
      <c r="I576" s="90" t="s">
        <v>1820</v>
      </c>
      <c r="J576" s="90" t="s">
        <v>702</v>
      </c>
      <c r="K576" s="90"/>
      <c r="L576" s="90"/>
      <c r="M576" s="90">
        <v>43</v>
      </c>
      <c r="O576"/>
    </row>
    <row r="577" spans="1:15">
      <c r="A577" s="133"/>
      <c r="B577" s="130" t="s">
        <v>1840</v>
      </c>
      <c r="C577" s="135" t="s">
        <v>72</v>
      </c>
      <c r="D577" s="136"/>
      <c r="E577" s="137"/>
      <c r="F577" s="137"/>
      <c r="G577" s="90"/>
      <c r="H577" s="90" t="s">
        <v>1811</v>
      </c>
      <c r="I577" s="90" t="s">
        <v>1820</v>
      </c>
      <c r="J577" s="90" t="s">
        <v>704</v>
      </c>
      <c r="K577" s="90"/>
      <c r="L577" s="90"/>
      <c r="M577" s="90">
        <v>29</v>
      </c>
      <c r="O577"/>
    </row>
    <row r="578" spans="1:15">
      <c r="A578" s="137"/>
      <c r="B578" s="138" t="s">
        <v>1841</v>
      </c>
      <c r="C578" s="135" t="s">
        <v>72</v>
      </c>
      <c r="D578" s="136"/>
      <c r="E578" s="137"/>
      <c r="F578" s="137"/>
      <c r="G578" s="90"/>
      <c r="H578" s="90" t="s">
        <v>1811</v>
      </c>
      <c r="I578" s="90" t="s">
        <v>1820</v>
      </c>
      <c r="J578" s="90" t="s">
        <v>710</v>
      </c>
      <c r="K578" s="90"/>
      <c r="L578" s="90"/>
      <c r="M578" s="90">
        <v>139</v>
      </c>
      <c r="O578"/>
    </row>
    <row r="579" spans="1:15">
      <c r="A579" s="133"/>
      <c r="B579" s="130" t="s">
        <v>1842</v>
      </c>
      <c r="C579" s="135" t="s">
        <v>72</v>
      </c>
      <c r="D579" s="136"/>
      <c r="E579" s="137"/>
      <c r="F579" s="137"/>
      <c r="G579" s="90"/>
      <c r="H579" s="90" t="s">
        <v>1811</v>
      </c>
      <c r="I579" s="90" t="s">
        <v>1820</v>
      </c>
      <c r="J579" s="90" t="s">
        <v>1166</v>
      </c>
      <c r="K579" s="90"/>
      <c r="L579" s="90"/>
      <c r="M579" s="90">
        <v>25</v>
      </c>
      <c r="O579"/>
    </row>
    <row r="580" spans="1:15">
      <c r="A580" s="133"/>
      <c r="B580" s="130" t="s">
        <v>1843</v>
      </c>
      <c r="C580" s="135" t="s">
        <v>72</v>
      </c>
      <c r="D580" s="136"/>
      <c r="E580" s="137"/>
      <c r="F580" s="137"/>
      <c r="G580" s="90"/>
      <c r="H580" s="90" t="s">
        <v>1811</v>
      </c>
      <c r="I580" s="90" t="s">
        <v>1820</v>
      </c>
      <c r="J580" s="90" t="s">
        <v>712</v>
      </c>
      <c r="K580" s="90"/>
      <c r="L580" s="90"/>
      <c r="M580" s="90">
        <v>62</v>
      </c>
      <c r="O580"/>
    </row>
    <row r="581" spans="1:15">
      <c r="A581" s="137"/>
      <c r="B581" s="138" t="s">
        <v>1844</v>
      </c>
      <c r="C581" s="135" t="s">
        <v>72</v>
      </c>
      <c r="D581" s="136"/>
      <c r="E581" s="137"/>
      <c r="F581" s="137"/>
      <c r="G581" s="90"/>
      <c r="H581" s="90" t="s">
        <v>1811</v>
      </c>
      <c r="I581" s="90" t="s">
        <v>1820</v>
      </c>
      <c r="J581" s="90" t="s">
        <v>712</v>
      </c>
      <c r="K581" s="90"/>
      <c r="L581" s="90"/>
      <c r="M581" s="90">
        <v>51</v>
      </c>
      <c r="O581"/>
    </row>
    <row r="582" spans="1:15">
      <c r="A582" s="133"/>
      <c r="B582" s="130" t="s">
        <v>1845</v>
      </c>
      <c r="C582" s="135" t="s">
        <v>72</v>
      </c>
      <c r="D582" s="136"/>
      <c r="E582" s="137"/>
      <c r="F582" s="137"/>
      <c r="G582" s="90"/>
      <c r="H582" s="90" t="s">
        <v>1811</v>
      </c>
      <c r="I582" s="90" t="s">
        <v>1820</v>
      </c>
      <c r="J582" s="90" t="s">
        <v>722</v>
      </c>
      <c r="K582" s="90"/>
      <c r="L582" s="90"/>
      <c r="M582" s="90">
        <v>160</v>
      </c>
      <c r="O582"/>
    </row>
    <row r="583" spans="1:15">
      <c r="A583" s="133"/>
      <c r="B583" s="130" t="s">
        <v>1846</v>
      </c>
      <c r="C583" s="135" t="s">
        <v>72</v>
      </c>
      <c r="D583" s="136"/>
      <c r="E583" s="137"/>
      <c r="F583" s="137"/>
      <c r="G583" s="90"/>
      <c r="H583" s="90" t="s">
        <v>1811</v>
      </c>
      <c r="I583" s="90" t="s">
        <v>1820</v>
      </c>
      <c r="J583" s="90" t="s">
        <v>724</v>
      </c>
      <c r="K583" s="90"/>
      <c r="L583" s="90"/>
      <c r="M583" s="90">
        <v>21</v>
      </c>
      <c r="O583"/>
    </row>
    <row r="584" spans="1:15">
      <c r="A584" s="137"/>
      <c r="B584" s="138" t="s">
        <v>1847</v>
      </c>
      <c r="C584" s="135" t="s">
        <v>72</v>
      </c>
      <c r="D584" s="136"/>
      <c r="E584" s="137"/>
      <c r="F584" s="137"/>
      <c r="G584" s="90"/>
      <c r="H584" s="90" t="s">
        <v>1811</v>
      </c>
      <c r="I584" s="90" t="s">
        <v>1820</v>
      </c>
      <c r="J584" s="90" t="s">
        <v>724</v>
      </c>
      <c r="K584" s="90"/>
      <c r="L584" s="90"/>
      <c r="M584" s="90">
        <v>67</v>
      </c>
      <c r="O584"/>
    </row>
    <row r="585" spans="1:15">
      <c r="A585" s="133"/>
      <c r="B585" s="130" t="s">
        <v>1848</v>
      </c>
      <c r="C585" s="135" t="s">
        <v>72</v>
      </c>
      <c r="D585" s="136"/>
      <c r="E585" s="137"/>
      <c r="F585" s="137"/>
      <c r="G585" s="90"/>
      <c r="H585" s="90" t="s">
        <v>1811</v>
      </c>
      <c r="I585" s="90" t="s">
        <v>1820</v>
      </c>
      <c r="J585" s="90" t="s">
        <v>724</v>
      </c>
      <c r="K585" s="90"/>
      <c r="L585" s="90"/>
      <c r="M585" s="90">
        <v>29</v>
      </c>
      <c r="O585"/>
    </row>
    <row r="586" spans="1:15">
      <c r="A586" s="133"/>
      <c r="B586" s="134" t="s">
        <v>1849</v>
      </c>
      <c r="C586" s="135" t="s">
        <v>72</v>
      </c>
      <c r="D586" s="136"/>
      <c r="E586" s="137"/>
      <c r="F586" s="137"/>
      <c r="G586" s="90"/>
      <c r="H586" s="90" t="s">
        <v>1811</v>
      </c>
      <c r="I586" s="90" t="s">
        <v>1820</v>
      </c>
      <c r="J586" s="90" t="s">
        <v>502</v>
      </c>
      <c r="K586" s="90"/>
      <c r="L586" s="90"/>
      <c r="M586" s="90">
        <v>45</v>
      </c>
      <c r="O586"/>
    </row>
    <row r="587" spans="1:15">
      <c r="A587" s="137"/>
      <c r="B587" s="138" t="s">
        <v>1850</v>
      </c>
      <c r="C587" s="135" t="s">
        <v>72</v>
      </c>
      <c r="D587" s="136"/>
      <c r="E587" s="137"/>
      <c r="F587" s="137"/>
      <c r="G587" s="90"/>
      <c r="H587" s="90" t="s">
        <v>1811</v>
      </c>
      <c r="I587" s="90" t="s">
        <v>1820</v>
      </c>
      <c r="J587" s="90" t="s">
        <v>510</v>
      </c>
      <c r="K587" s="90"/>
      <c r="L587" s="90"/>
      <c r="M587" s="90">
        <v>89</v>
      </c>
      <c r="O587"/>
    </row>
    <row r="588" spans="1:15">
      <c r="A588" s="133"/>
      <c r="B588" s="130" t="s">
        <v>1851</v>
      </c>
      <c r="C588" s="135" t="s">
        <v>72</v>
      </c>
      <c r="D588" s="136"/>
      <c r="E588" s="137"/>
      <c r="F588" s="137"/>
      <c r="G588" s="90"/>
      <c r="H588" s="90" t="s">
        <v>1852</v>
      </c>
      <c r="I588" s="90" t="s">
        <v>1820</v>
      </c>
      <c r="J588" s="90" t="s">
        <v>514</v>
      </c>
      <c r="K588" s="90"/>
      <c r="L588" s="90"/>
      <c r="M588" s="90">
        <v>44</v>
      </c>
      <c r="O588"/>
    </row>
    <row r="589" spans="1:15">
      <c r="A589" s="133"/>
      <c r="B589" s="130" t="s">
        <v>1853</v>
      </c>
      <c r="C589" s="135" t="s">
        <v>72</v>
      </c>
      <c r="D589" s="136"/>
      <c r="E589" s="137"/>
      <c r="F589" s="137"/>
      <c r="G589" s="90"/>
      <c r="H589" s="90" t="s">
        <v>1811</v>
      </c>
      <c r="I589" s="90" t="s">
        <v>1820</v>
      </c>
      <c r="J589" s="90" t="s">
        <v>522</v>
      </c>
      <c r="K589" s="90"/>
      <c r="L589" s="90"/>
      <c r="M589" s="90">
        <v>56</v>
      </c>
      <c r="O589"/>
    </row>
    <row r="590" spans="1:15">
      <c r="A590" s="137"/>
      <c r="B590" s="138" t="s">
        <v>1962</v>
      </c>
      <c r="C590" s="135" t="s">
        <v>72</v>
      </c>
      <c r="D590" s="136"/>
      <c r="E590" s="137"/>
      <c r="F590" s="137"/>
      <c r="G590" s="90"/>
      <c r="H590" s="90" t="s">
        <v>1811</v>
      </c>
      <c r="I590" s="90" t="s">
        <v>1820</v>
      </c>
      <c r="J590" s="90" t="s">
        <v>1963</v>
      </c>
      <c r="K590" s="90"/>
      <c r="L590" s="90"/>
      <c r="M590" s="90">
        <v>127</v>
      </c>
      <c r="O590"/>
    </row>
    <row r="591" spans="1:15">
      <c r="A591" s="133"/>
      <c r="B591" s="130" t="s">
        <v>1964</v>
      </c>
      <c r="C591" s="135" t="s">
        <v>72</v>
      </c>
      <c r="D591" s="136"/>
      <c r="E591" s="137"/>
      <c r="F591" s="137"/>
      <c r="G591" s="90"/>
      <c r="H591" s="90" t="s">
        <v>1811</v>
      </c>
      <c r="I591" s="90" t="s">
        <v>1820</v>
      </c>
      <c r="J591" s="90" t="s">
        <v>1963</v>
      </c>
      <c r="K591" s="90"/>
      <c r="L591" s="90"/>
      <c r="M591" s="90">
        <v>32</v>
      </c>
      <c r="O591"/>
    </row>
    <row r="592" spans="1:15">
      <c r="A592" s="133"/>
      <c r="B592" s="130" t="s">
        <v>1965</v>
      </c>
      <c r="C592" s="135" t="s">
        <v>72</v>
      </c>
      <c r="D592" s="136"/>
      <c r="E592" s="137"/>
      <c r="F592" s="137"/>
      <c r="G592" s="90"/>
      <c r="H592" s="90" t="s">
        <v>1811</v>
      </c>
      <c r="I592" s="90" t="s">
        <v>1820</v>
      </c>
      <c r="J592" s="90" t="s">
        <v>540</v>
      </c>
      <c r="K592" s="90"/>
      <c r="L592" s="90"/>
      <c r="M592" s="90">
        <v>141</v>
      </c>
      <c r="O592"/>
    </row>
    <row r="593" spans="1:16">
      <c r="A593" s="137"/>
      <c r="B593" s="138" t="s">
        <v>1966</v>
      </c>
      <c r="C593" s="135" t="s">
        <v>72</v>
      </c>
      <c r="D593" s="136"/>
      <c r="E593" s="137"/>
      <c r="F593" s="137"/>
      <c r="G593" s="90"/>
      <c r="H593" s="90" t="s">
        <v>1811</v>
      </c>
      <c r="I593" s="90" t="s">
        <v>1820</v>
      </c>
      <c r="J593" s="90" t="s">
        <v>534</v>
      </c>
      <c r="K593" s="90"/>
      <c r="L593" s="90"/>
      <c r="M593" s="90">
        <v>48</v>
      </c>
      <c r="O593"/>
    </row>
    <row r="594" spans="1:16">
      <c r="A594" s="133"/>
      <c r="B594" s="130" t="s">
        <v>1967</v>
      </c>
      <c r="C594" s="135" t="s">
        <v>72</v>
      </c>
      <c r="D594" s="136"/>
      <c r="E594" s="137"/>
      <c r="F594" s="137"/>
      <c r="G594" s="90"/>
      <c r="H594" s="90" t="s">
        <v>1811</v>
      </c>
      <c r="I594" s="90" t="s">
        <v>1820</v>
      </c>
      <c r="J594" s="90" t="s">
        <v>534</v>
      </c>
      <c r="K594" s="90"/>
      <c r="L594" s="90"/>
      <c r="M594" s="90">
        <v>93</v>
      </c>
      <c r="O594"/>
    </row>
    <row r="595" spans="1:16">
      <c r="A595" s="133"/>
      <c r="B595" s="134" t="s">
        <v>1968</v>
      </c>
      <c r="C595" s="135" t="s">
        <v>72</v>
      </c>
      <c r="D595" s="136"/>
      <c r="E595" s="137"/>
      <c r="F595" s="137"/>
      <c r="G595" s="90"/>
      <c r="H595" s="90" t="s">
        <v>1811</v>
      </c>
      <c r="I595" s="90" t="s">
        <v>1820</v>
      </c>
      <c r="J595" s="90" t="s">
        <v>1688</v>
      </c>
      <c r="K595" s="90"/>
      <c r="L595" s="90"/>
      <c r="M595" s="90">
        <v>26</v>
      </c>
      <c r="O595"/>
    </row>
    <row r="596" spans="1:16">
      <c r="A596" s="137"/>
      <c r="B596" s="138" t="s">
        <v>1969</v>
      </c>
      <c r="C596" s="135" t="s">
        <v>72</v>
      </c>
      <c r="D596" s="136"/>
      <c r="E596" s="137"/>
      <c r="F596" s="137"/>
      <c r="G596" s="90"/>
      <c r="H596" s="90" t="s">
        <v>1811</v>
      </c>
      <c r="I596" s="90" t="s">
        <v>1820</v>
      </c>
      <c r="J596" s="90" t="s">
        <v>1970</v>
      </c>
      <c r="K596" s="90"/>
      <c r="L596" s="90"/>
      <c r="M596" s="90">
        <v>94</v>
      </c>
      <c r="O596"/>
    </row>
    <row r="597" spans="1:16">
      <c r="A597" s="133"/>
      <c r="B597" s="130" t="s">
        <v>1971</v>
      </c>
      <c r="C597" s="135" t="s">
        <v>72</v>
      </c>
      <c r="D597" s="136"/>
      <c r="E597" s="137"/>
      <c r="F597" s="137"/>
      <c r="G597" s="90"/>
      <c r="H597" s="90" t="s">
        <v>1811</v>
      </c>
      <c r="I597" s="90" t="s">
        <v>1820</v>
      </c>
      <c r="J597" s="90" t="s">
        <v>1462</v>
      </c>
      <c r="K597" s="90"/>
      <c r="L597" s="90"/>
      <c r="M597" s="90">
        <v>83</v>
      </c>
      <c r="O597"/>
    </row>
    <row r="598" spans="1:16">
      <c r="A598" s="133"/>
      <c r="B598" s="130" t="s">
        <v>1972</v>
      </c>
      <c r="C598" s="135" t="s">
        <v>72</v>
      </c>
      <c r="D598" s="136"/>
      <c r="E598" s="137"/>
      <c r="F598" s="137"/>
      <c r="G598" s="90"/>
      <c r="H598" s="90" t="s">
        <v>1811</v>
      </c>
      <c r="I598" s="90" t="s">
        <v>1820</v>
      </c>
      <c r="J598" s="90" t="s">
        <v>1464</v>
      </c>
      <c r="K598" s="90"/>
      <c r="L598" s="90"/>
      <c r="M598" s="90">
        <v>31</v>
      </c>
      <c r="O598"/>
    </row>
    <row r="599" spans="1:16">
      <c r="A599" s="137"/>
      <c r="B599" s="138" t="s">
        <v>1973</v>
      </c>
      <c r="C599" s="135" t="s">
        <v>72</v>
      </c>
      <c r="D599" s="136"/>
      <c r="E599" s="137"/>
      <c r="F599" s="137"/>
      <c r="G599" s="90"/>
      <c r="H599" s="90" t="s">
        <v>1811</v>
      </c>
      <c r="I599" s="90" t="s">
        <v>1820</v>
      </c>
      <c r="J599" s="90" t="s">
        <v>1974</v>
      </c>
      <c r="K599" s="90"/>
      <c r="L599" s="90"/>
      <c r="M599" s="90">
        <v>34</v>
      </c>
      <c r="O599"/>
    </row>
    <row r="600" spans="1:16">
      <c r="A600" s="133"/>
      <c r="B600" s="130" t="s">
        <v>1975</v>
      </c>
      <c r="C600" s="135" t="s">
        <v>72</v>
      </c>
      <c r="D600" s="136"/>
      <c r="E600" s="137"/>
      <c r="F600" s="137"/>
      <c r="G600" s="90"/>
      <c r="H600" s="90" t="s">
        <v>1811</v>
      </c>
      <c r="I600" s="90" t="s">
        <v>1820</v>
      </c>
      <c r="J600" s="90" t="s">
        <v>1466</v>
      </c>
      <c r="K600" s="90"/>
      <c r="L600" s="90"/>
      <c r="M600" s="90">
        <v>42</v>
      </c>
      <c r="O600"/>
    </row>
    <row r="601" spans="1:16">
      <c r="A601" s="133"/>
      <c r="B601" s="130" t="s">
        <v>1976</v>
      </c>
      <c r="C601" s="135" t="s">
        <v>72</v>
      </c>
      <c r="D601" s="136"/>
      <c r="E601" s="137"/>
      <c r="F601" s="137"/>
      <c r="G601" s="90"/>
      <c r="H601" s="90" t="s">
        <v>1811</v>
      </c>
      <c r="I601" s="90" t="s">
        <v>1820</v>
      </c>
      <c r="J601" s="90" t="s">
        <v>1693</v>
      </c>
      <c r="K601" s="90"/>
      <c r="L601" s="90"/>
      <c r="M601" s="90">
        <v>25</v>
      </c>
      <c r="N601" s="69"/>
      <c r="O601" s="97"/>
      <c r="P601" s="69"/>
    </row>
    <row r="602" spans="1:16">
      <c r="A602" s="137"/>
      <c r="B602" s="138" t="s">
        <v>1977</v>
      </c>
      <c r="C602" s="135" t="s">
        <v>72</v>
      </c>
      <c r="D602" s="136"/>
      <c r="E602" s="137"/>
      <c r="F602" s="137"/>
      <c r="G602" s="90"/>
      <c r="H602" s="90" t="s">
        <v>1811</v>
      </c>
      <c r="I602" s="90" t="s">
        <v>1820</v>
      </c>
      <c r="J602" s="90" t="s">
        <v>1431</v>
      </c>
      <c r="K602" s="90"/>
      <c r="L602" s="90"/>
      <c r="M602" s="90">
        <v>147</v>
      </c>
      <c r="N602" s="69"/>
      <c r="O602" s="97"/>
      <c r="P602" s="69"/>
    </row>
    <row r="603" spans="1:16">
      <c r="A603" s="133"/>
      <c r="B603" s="130" t="s">
        <v>1978</v>
      </c>
      <c r="C603" s="135" t="s">
        <v>72</v>
      </c>
      <c r="D603" s="136"/>
      <c r="E603" s="137"/>
      <c r="F603" s="137"/>
      <c r="G603" s="90"/>
      <c r="H603" s="90" t="s">
        <v>1811</v>
      </c>
      <c r="I603" s="90" t="s">
        <v>1820</v>
      </c>
      <c r="J603" s="90" t="s">
        <v>1176</v>
      </c>
      <c r="K603" s="90"/>
      <c r="L603" s="90"/>
      <c r="M603" s="90">
        <v>37</v>
      </c>
      <c r="N603" s="69"/>
      <c r="O603" s="97"/>
      <c r="P603" s="69"/>
    </row>
    <row r="604" spans="1:16">
      <c r="A604" s="133"/>
      <c r="B604" s="130" t="s">
        <v>1876</v>
      </c>
      <c r="C604" s="135" t="s">
        <v>72</v>
      </c>
      <c r="D604" s="136"/>
      <c r="E604" s="137"/>
      <c r="F604" s="137"/>
      <c r="G604" s="90"/>
      <c r="H604" s="90" t="s">
        <v>1811</v>
      </c>
      <c r="I604" s="90" t="s">
        <v>1820</v>
      </c>
      <c r="J604" s="90" t="s">
        <v>1877</v>
      </c>
      <c r="K604" s="90"/>
      <c r="L604" s="90"/>
      <c r="M604" s="90">
        <v>31</v>
      </c>
      <c r="N604" s="69"/>
      <c r="O604" s="97"/>
      <c r="P604" s="69"/>
    </row>
    <row r="605" spans="1:16">
      <c r="A605" s="137"/>
      <c r="B605" s="138" t="s">
        <v>1878</v>
      </c>
      <c r="C605" s="135" t="s">
        <v>72</v>
      </c>
      <c r="D605" s="136"/>
      <c r="E605" s="137"/>
      <c r="F605" s="137"/>
      <c r="G605" s="90"/>
      <c r="H605" s="90" t="s">
        <v>1811</v>
      </c>
      <c r="I605" s="90" t="s">
        <v>1820</v>
      </c>
      <c r="J605" s="90" t="s">
        <v>632</v>
      </c>
      <c r="K605" s="90"/>
      <c r="L605" s="90"/>
      <c r="M605" s="90">
        <v>26</v>
      </c>
      <c r="N605" s="69"/>
      <c r="O605" s="97"/>
      <c r="P605" s="69"/>
    </row>
    <row r="606" spans="1:16">
      <c r="A606" s="133"/>
      <c r="B606" s="130" t="s">
        <v>1879</v>
      </c>
      <c r="C606" s="135" t="s">
        <v>72</v>
      </c>
      <c r="D606" s="136"/>
      <c r="E606" s="137"/>
      <c r="F606" s="137"/>
      <c r="G606" s="90"/>
      <c r="H606" s="90" t="s">
        <v>1811</v>
      </c>
      <c r="I606" s="90" t="s">
        <v>1820</v>
      </c>
      <c r="J606" s="90" t="s">
        <v>632</v>
      </c>
      <c r="K606" s="90"/>
      <c r="L606" s="90"/>
      <c r="M606" s="90">
        <v>59</v>
      </c>
      <c r="N606" s="69"/>
      <c r="O606" s="97"/>
      <c r="P606" s="69"/>
    </row>
    <row r="607" spans="1:16">
      <c r="A607" s="133"/>
      <c r="B607" s="130" t="s">
        <v>1880</v>
      </c>
      <c r="C607" s="135" t="s">
        <v>72</v>
      </c>
      <c r="D607" s="136"/>
      <c r="E607" s="137"/>
      <c r="F607" s="137"/>
      <c r="G607" s="90"/>
      <c r="H607" s="90" t="s">
        <v>1811</v>
      </c>
      <c r="I607" s="90" t="s">
        <v>1820</v>
      </c>
      <c r="J607" s="90" t="s">
        <v>632</v>
      </c>
      <c r="K607" s="90"/>
      <c r="L607" s="90"/>
      <c r="M607" s="90">
        <v>453</v>
      </c>
      <c r="N607" s="98" t="s">
        <v>1918</v>
      </c>
      <c r="O607" s="97"/>
      <c r="P607" s="69"/>
    </row>
    <row r="608" spans="1:16">
      <c r="A608" s="137"/>
      <c r="B608" s="138" t="s">
        <v>1881</v>
      </c>
      <c r="C608" s="135" t="s">
        <v>72</v>
      </c>
      <c r="D608" s="136"/>
      <c r="E608" s="137"/>
      <c r="F608" s="137"/>
      <c r="G608" s="90"/>
      <c r="H608" s="90" t="s">
        <v>1811</v>
      </c>
      <c r="I608" s="90" t="s">
        <v>1820</v>
      </c>
      <c r="J608" s="90" t="s">
        <v>634</v>
      </c>
      <c r="K608" s="90"/>
      <c r="L608" s="90"/>
      <c r="M608" s="90">
        <v>76</v>
      </c>
      <c r="N608" s="26">
        <f>SUM(G306:G608)</f>
        <v>20807180.420000006</v>
      </c>
      <c r="O608" s="90">
        <f>SUM(M306:M608)</f>
        <v>75516</v>
      </c>
      <c r="P608" s="96">
        <f>N608/O608</f>
        <v>275.53340245775735</v>
      </c>
    </row>
    <row r="609" spans="1:15">
      <c r="A609" s="13" t="s">
        <v>87</v>
      </c>
      <c r="B609" s="22" t="s">
        <v>88</v>
      </c>
      <c r="C609" s="15" t="s">
        <v>73</v>
      </c>
      <c r="D609" s="16"/>
      <c r="E609" s="2">
        <v>3429982.11</v>
      </c>
      <c r="F609" s="23">
        <v>0.86731575693262142</v>
      </c>
      <c r="G609" s="26">
        <v>2974877.53</v>
      </c>
      <c r="H609" t="s">
        <v>1806</v>
      </c>
      <c r="K609" t="s">
        <v>1809</v>
      </c>
      <c r="L609" t="s">
        <v>1814</v>
      </c>
      <c r="M609"/>
      <c r="O609"/>
    </row>
    <row r="610" spans="1:15">
      <c r="A610" s="17" t="s">
        <v>292</v>
      </c>
      <c r="B610" s="18" t="s">
        <v>293</v>
      </c>
      <c r="C610" s="19" t="s">
        <v>73</v>
      </c>
      <c r="D610" s="20"/>
      <c r="E610" s="3">
        <v>865196.41</v>
      </c>
      <c r="F610" s="24">
        <v>0.70580329846722312</v>
      </c>
      <c r="G610" s="26">
        <v>610658.48</v>
      </c>
      <c r="H610" t="s">
        <v>1806</v>
      </c>
      <c r="K610" t="s">
        <v>1809</v>
      </c>
      <c r="L610" t="s">
        <v>1814</v>
      </c>
      <c r="M610"/>
      <c r="O610"/>
    </row>
    <row r="611" spans="1:15">
      <c r="A611" s="19" t="s">
        <v>296</v>
      </c>
      <c r="B611" s="20" t="s">
        <v>297</v>
      </c>
      <c r="C611" s="19" t="s">
        <v>73</v>
      </c>
      <c r="D611" s="20"/>
      <c r="E611" s="3">
        <v>1490755.82</v>
      </c>
      <c r="F611" s="24">
        <v>0.73570675712673039</v>
      </c>
      <c r="G611" s="26">
        <v>1096759.1299999999</v>
      </c>
      <c r="H611" t="s">
        <v>1806</v>
      </c>
      <c r="K611" t="s">
        <v>1809</v>
      </c>
      <c r="L611" t="s">
        <v>1814</v>
      </c>
      <c r="M611"/>
      <c r="O611"/>
    </row>
    <row r="612" spans="1:15">
      <c r="A612" s="17" t="s">
        <v>300</v>
      </c>
      <c r="B612" s="18" t="s">
        <v>301</v>
      </c>
      <c r="C612" s="19" t="s">
        <v>73</v>
      </c>
      <c r="D612" s="20"/>
      <c r="E612" s="3">
        <v>802536.76</v>
      </c>
      <c r="F612" s="24">
        <v>0.73940061013529157</v>
      </c>
      <c r="G612" s="26">
        <v>593396.17000000004</v>
      </c>
      <c r="H612" t="s">
        <v>1806</v>
      </c>
      <c r="K612" t="s">
        <v>1809</v>
      </c>
      <c r="L612" t="s">
        <v>1814</v>
      </c>
      <c r="M612"/>
      <c r="O612"/>
    </row>
    <row r="613" spans="1:15">
      <c r="A613" s="17" t="s">
        <v>146</v>
      </c>
      <c r="B613" s="18" t="s">
        <v>147</v>
      </c>
      <c r="C613" s="19" t="s">
        <v>73</v>
      </c>
      <c r="D613" s="20"/>
      <c r="E613" s="3">
        <v>7954976.9199999999</v>
      </c>
      <c r="F613" s="24">
        <v>0.90065084186315902</v>
      </c>
      <c r="G613" s="26">
        <v>7164656.6600000001</v>
      </c>
      <c r="H613" t="s">
        <v>1806</v>
      </c>
      <c r="K613" t="s">
        <v>1809</v>
      </c>
      <c r="L613" t="s">
        <v>1814</v>
      </c>
      <c r="M613"/>
      <c r="O613"/>
    </row>
    <row r="614" spans="1:15">
      <c r="A614" s="15" t="s">
        <v>176</v>
      </c>
      <c r="B614" s="16" t="s">
        <v>177</v>
      </c>
      <c r="C614" s="15" t="s">
        <v>73</v>
      </c>
      <c r="D614" s="16"/>
      <c r="E614" s="2">
        <v>2445648.89</v>
      </c>
      <c r="F614" s="23">
        <v>0.85890210920668997</v>
      </c>
      <c r="G614" s="26">
        <v>2100572.9900000002</v>
      </c>
      <c r="H614" t="s">
        <v>1806</v>
      </c>
      <c r="K614" t="s">
        <v>1809</v>
      </c>
      <c r="L614" t="s">
        <v>1814</v>
      </c>
      <c r="M614"/>
      <c r="O614"/>
    </row>
    <row r="615" spans="1:15">
      <c r="A615" s="17" t="s">
        <v>178</v>
      </c>
      <c r="B615" s="18" t="s">
        <v>179</v>
      </c>
      <c r="C615" s="19" t="s">
        <v>73</v>
      </c>
      <c r="D615" s="20"/>
      <c r="E615" s="3">
        <v>479588.19</v>
      </c>
      <c r="F615" s="24">
        <v>0.51506993948287172</v>
      </c>
      <c r="G615" s="26">
        <v>247021.46</v>
      </c>
      <c r="H615" t="s">
        <v>1806</v>
      </c>
      <c r="K615" t="s">
        <v>1809</v>
      </c>
      <c r="L615" t="s">
        <v>1814</v>
      </c>
      <c r="M615"/>
      <c r="O615"/>
    </row>
    <row r="616" spans="1:15">
      <c r="A616" s="13" t="s">
        <v>180</v>
      </c>
      <c r="B616" s="22" t="s">
        <v>181</v>
      </c>
      <c r="C616" s="15" t="s">
        <v>73</v>
      </c>
      <c r="D616" s="16"/>
      <c r="E616" s="2">
        <v>1689004.98</v>
      </c>
      <c r="F616" s="23">
        <v>0.79769748813884489</v>
      </c>
      <c r="G616" s="26">
        <v>1347315.03</v>
      </c>
      <c r="H616" t="s">
        <v>1806</v>
      </c>
      <c r="K616" t="s">
        <v>1809</v>
      </c>
      <c r="L616" t="s">
        <v>1814</v>
      </c>
      <c r="M616"/>
      <c r="O616"/>
    </row>
    <row r="617" spans="1:15">
      <c r="A617" s="19" t="s">
        <v>198</v>
      </c>
      <c r="B617" s="20" t="s">
        <v>199</v>
      </c>
      <c r="C617" s="19" t="s">
        <v>73</v>
      </c>
      <c r="D617" s="20"/>
      <c r="E617" s="3">
        <v>8436970.4700000007</v>
      </c>
      <c r="F617" s="24">
        <v>0.94366045351347538</v>
      </c>
      <c r="G617" s="26">
        <v>7961635.3799999999</v>
      </c>
      <c r="H617" t="s">
        <v>1806</v>
      </c>
      <c r="K617" t="s">
        <v>1809</v>
      </c>
      <c r="L617" t="s">
        <v>1814</v>
      </c>
      <c r="M617"/>
      <c r="O617"/>
    </row>
    <row r="618" spans="1:15">
      <c r="A618" s="17" t="s">
        <v>202</v>
      </c>
      <c r="B618" s="18" t="s">
        <v>203</v>
      </c>
      <c r="C618" s="19" t="s">
        <v>73</v>
      </c>
      <c r="D618" s="20"/>
      <c r="E618" s="3">
        <v>3233072.73</v>
      </c>
      <c r="F618" s="24">
        <v>0.75904479575379047</v>
      </c>
      <c r="G618" s="26">
        <v>2454047.0299999998</v>
      </c>
      <c r="H618" t="s">
        <v>1806</v>
      </c>
      <c r="K618" t="s">
        <v>1809</v>
      </c>
      <c r="L618" t="s">
        <v>1814</v>
      </c>
      <c r="M618"/>
      <c r="O618"/>
    </row>
    <row r="619" spans="1:15">
      <c r="A619" s="13" t="s">
        <v>244</v>
      </c>
      <c r="B619" s="22" t="s">
        <v>245</v>
      </c>
      <c r="C619" s="15" t="s">
        <v>73</v>
      </c>
      <c r="D619" s="16"/>
      <c r="E619" s="2">
        <v>492036.1</v>
      </c>
      <c r="F619" s="23">
        <v>0.44220346840404601</v>
      </c>
      <c r="G619" s="26">
        <v>217580.07</v>
      </c>
      <c r="H619" t="s">
        <v>1806</v>
      </c>
      <c r="K619" t="s">
        <v>1809</v>
      </c>
      <c r="L619" t="s">
        <v>1814</v>
      </c>
      <c r="M619"/>
      <c r="O619"/>
    </row>
    <row r="620" spans="1:15">
      <c r="A620" s="19" t="s">
        <v>246</v>
      </c>
      <c r="B620" s="20" t="s">
        <v>247</v>
      </c>
      <c r="C620" s="19" t="s">
        <v>73</v>
      </c>
      <c r="D620" s="20"/>
      <c r="E620" s="3">
        <v>393282.73</v>
      </c>
      <c r="F620" s="24">
        <v>0.42627081540041184</v>
      </c>
      <c r="G620" s="26">
        <v>167644.95000000001</v>
      </c>
      <c r="H620" t="s">
        <v>1806</v>
      </c>
      <c r="K620" t="s">
        <v>1809</v>
      </c>
      <c r="L620" t="s">
        <v>1814</v>
      </c>
      <c r="M620"/>
      <c r="O620"/>
    </row>
    <row r="621" spans="1:15">
      <c r="A621" s="17" t="s">
        <v>254</v>
      </c>
      <c r="B621" s="18" t="s">
        <v>255</v>
      </c>
      <c r="C621" s="19" t="s">
        <v>73</v>
      </c>
      <c r="D621" s="20"/>
      <c r="E621" s="3">
        <v>1385312.83</v>
      </c>
      <c r="F621" s="24">
        <v>0.53956978078373818</v>
      </c>
      <c r="G621" s="26">
        <v>747472.94</v>
      </c>
      <c r="H621" t="s">
        <v>1806</v>
      </c>
      <c r="K621" t="s">
        <v>1809</v>
      </c>
      <c r="L621" t="s">
        <v>1814</v>
      </c>
      <c r="M621"/>
      <c r="O621"/>
    </row>
    <row r="622" spans="1:15">
      <c r="A622" s="13" t="s">
        <v>276</v>
      </c>
      <c r="B622" s="22" t="s">
        <v>277</v>
      </c>
      <c r="C622" s="15" t="s">
        <v>73</v>
      </c>
      <c r="D622" s="16"/>
      <c r="E622" s="2">
        <v>1847933.73</v>
      </c>
      <c r="F622" s="23">
        <v>0.94990620145236482</v>
      </c>
      <c r="G622" s="26">
        <v>1755363.71</v>
      </c>
      <c r="H622" t="s">
        <v>1806</v>
      </c>
      <c r="K622" t="s">
        <v>1809</v>
      </c>
      <c r="L622" t="s">
        <v>1814</v>
      </c>
      <c r="M622"/>
      <c r="O622"/>
    </row>
    <row r="623" spans="1:15">
      <c r="A623" s="19" t="s">
        <v>282</v>
      </c>
      <c r="B623" s="20" t="s">
        <v>283</v>
      </c>
      <c r="C623" s="19" t="s">
        <v>73</v>
      </c>
      <c r="D623" s="20"/>
      <c r="E623" s="3">
        <v>967906.27</v>
      </c>
      <c r="F623" s="24">
        <v>0.72073075836155076</v>
      </c>
      <c r="G623" s="26">
        <v>697599.82</v>
      </c>
      <c r="H623" t="s">
        <v>1806</v>
      </c>
      <c r="K623" t="s">
        <v>1809</v>
      </c>
      <c r="L623" t="s">
        <v>1814</v>
      </c>
      <c r="M623"/>
      <c r="O623"/>
    </row>
    <row r="624" spans="1:15">
      <c r="A624" s="17" t="s">
        <v>489</v>
      </c>
      <c r="B624" s="18" t="s">
        <v>490</v>
      </c>
      <c r="C624" s="19" t="s">
        <v>73</v>
      </c>
      <c r="D624" s="20"/>
      <c r="E624" s="3">
        <v>1607032.69</v>
      </c>
      <c r="F624" s="24">
        <v>0.47254455663873274</v>
      </c>
      <c r="G624" s="26">
        <v>759394.55</v>
      </c>
      <c r="H624" t="s">
        <v>1806</v>
      </c>
      <c r="K624" t="s">
        <v>1809</v>
      </c>
      <c r="L624" t="s">
        <v>1814</v>
      </c>
      <c r="M624"/>
      <c r="O624"/>
    </row>
    <row r="625" spans="1:15">
      <c r="A625" s="13" t="s">
        <v>495</v>
      </c>
      <c r="B625" s="22" t="s">
        <v>496</v>
      </c>
      <c r="C625" s="15" t="s">
        <v>73</v>
      </c>
      <c r="D625" s="16"/>
      <c r="E625" s="2">
        <v>2239223.5099999998</v>
      </c>
      <c r="F625" s="23">
        <v>0.51723558850987594</v>
      </c>
      <c r="G625" s="26">
        <v>1158206.0899999999</v>
      </c>
      <c r="H625" t="s">
        <v>1806</v>
      </c>
      <c r="K625" t="s">
        <v>1809</v>
      </c>
      <c r="L625" t="s">
        <v>1814</v>
      </c>
      <c r="M625"/>
      <c r="O625"/>
    </row>
    <row r="626" spans="1:15">
      <c r="A626" s="15" t="s">
        <v>320</v>
      </c>
      <c r="B626" s="16" t="s">
        <v>321</v>
      </c>
      <c r="C626" s="15" t="s">
        <v>73</v>
      </c>
      <c r="D626" s="16"/>
      <c r="E626" s="2">
        <v>1189815.74</v>
      </c>
      <c r="F626" s="23">
        <v>0.83409556340211133</v>
      </c>
      <c r="G626" s="26">
        <v>992420.03</v>
      </c>
      <c r="H626" t="s">
        <v>1806</v>
      </c>
      <c r="K626" t="s">
        <v>1809</v>
      </c>
      <c r="L626" t="s">
        <v>1814</v>
      </c>
      <c r="M626"/>
      <c r="O626"/>
    </row>
    <row r="627" spans="1:15">
      <c r="A627" s="13" t="s">
        <v>332</v>
      </c>
      <c r="B627" s="22" t="s">
        <v>333</v>
      </c>
      <c r="C627" s="15" t="s">
        <v>73</v>
      </c>
      <c r="D627" s="16"/>
      <c r="E627" s="2">
        <v>335000</v>
      </c>
      <c r="F627" s="23">
        <v>1</v>
      </c>
      <c r="G627" s="26">
        <v>335000</v>
      </c>
      <c r="H627" t="s">
        <v>1806</v>
      </c>
      <c r="K627" t="s">
        <v>1809</v>
      </c>
      <c r="L627" t="s">
        <v>1814</v>
      </c>
      <c r="M627"/>
      <c r="O627"/>
    </row>
    <row r="628" spans="1:15">
      <c r="A628" s="13" t="s">
        <v>336</v>
      </c>
      <c r="B628" s="22" t="s">
        <v>337</v>
      </c>
      <c r="C628" s="15" t="s">
        <v>73</v>
      </c>
      <c r="D628" s="16"/>
      <c r="E628" s="2">
        <v>657459.05000000005</v>
      </c>
      <c r="F628" s="23">
        <v>0.99521999126789717</v>
      </c>
      <c r="G628" s="26">
        <v>654316.39</v>
      </c>
      <c r="H628" t="s">
        <v>1806</v>
      </c>
      <c r="K628" t="s">
        <v>1809</v>
      </c>
      <c r="L628" t="s">
        <v>1814</v>
      </c>
      <c r="M628"/>
      <c r="O628"/>
    </row>
    <row r="629" spans="1:15">
      <c r="A629" s="19" t="s">
        <v>338</v>
      </c>
      <c r="B629" s="20" t="s">
        <v>339</v>
      </c>
      <c r="C629" s="19" t="s">
        <v>73</v>
      </c>
      <c r="D629" s="20"/>
      <c r="E629" s="3">
        <v>2325344.94</v>
      </c>
      <c r="F629" s="24">
        <v>0.89180590127845727</v>
      </c>
      <c r="G629" s="26">
        <v>2073756.34</v>
      </c>
      <c r="H629" t="s">
        <v>1806</v>
      </c>
      <c r="K629" t="s">
        <v>1809</v>
      </c>
      <c r="L629" t="s">
        <v>1814</v>
      </c>
      <c r="M629"/>
      <c r="O629"/>
    </row>
    <row r="630" spans="1:15">
      <c r="A630" s="13" t="s">
        <v>1643</v>
      </c>
      <c r="B630" s="22" t="s">
        <v>1644</v>
      </c>
      <c r="C630" s="15" t="s">
        <v>73</v>
      </c>
      <c r="D630" s="16"/>
      <c r="E630" s="2">
        <v>853100.11</v>
      </c>
      <c r="F630" s="23">
        <v>0.90689228723695747</v>
      </c>
      <c r="G630" s="26">
        <v>773669.91</v>
      </c>
      <c r="H630" t="s">
        <v>1806</v>
      </c>
      <c r="K630" t="s">
        <v>1809</v>
      </c>
      <c r="L630" t="s">
        <v>1814</v>
      </c>
      <c r="M630"/>
      <c r="O630"/>
    </row>
    <row r="631" spans="1:15">
      <c r="A631" s="13" t="s">
        <v>1659</v>
      </c>
      <c r="B631" s="22" t="s">
        <v>1660</v>
      </c>
      <c r="C631" s="15" t="s">
        <v>73</v>
      </c>
      <c r="D631" s="16"/>
      <c r="E631" s="2">
        <v>2077739.09</v>
      </c>
      <c r="F631" s="23">
        <v>0.78630795265058995</v>
      </c>
      <c r="G631" s="26">
        <v>1633742.77</v>
      </c>
      <c r="H631" t="s">
        <v>1806</v>
      </c>
      <c r="K631" t="s">
        <v>1809</v>
      </c>
      <c r="L631" t="s">
        <v>1814</v>
      </c>
      <c r="M631"/>
      <c r="O631"/>
    </row>
    <row r="632" spans="1:15">
      <c r="A632" s="19" t="s">
        <v>1661</v>
      </c>
      <c r="B632" s="20" t="s">
        <v>1662</v>
      </c>
      <c r="C632" s="19" t="s">
        <v>73</v>
      </c>
      <c r="D632" s="20"/>
      <c r="E632" s="3">
        <v>892388.38</v>
      </c>
      <c r="F632" s="24">
        <v>0.84745918587599711</v>
      </c>
      <c r="G632" s="26">
        <v>756262.73</v>
      </c>
      <c r="H632" t="s">
        <v>1806</v>
      </c>
      <c r="K632" t="s">
        <v>1809</v>
      </c>
      <c r="L632" t="s">
        <v>1814</v>
      </c>
      <c r="M632"/>
      <c r="O632"/>
    </row>
    <row r="633" spans="1:15">
      <c r="A633" s="17" t="s">
        <v>1857</v>
      </c>
      <c r="B633" s="18" t="s">
        <v>1858</v>
      </c>
      <c r="C633" s="19" t="s">
        <v>73</v>
      </c>
      <c r="D633" s="20"/>
      <c r="E633" s="3">
        <v>1901240.54</v>
      </c>
      <c r="F633" s="24">
        <v>0.85514340021384139</v>
      </c>
      <c r="G633" s="26">
        <v>1625833.3</v>
      </c>
      <c r="H633" t="s">
        <v>1806</v>
      </c>
      <c r="K633" t="s">
        <v>1809</v>
      </c>
      <c r="L633" t="s">
        <v>1814</v>
      </c>
      <c r="M633"/>
      <c r="O633"/>
    </row>
    <row r="634" spans="1:15">
      <c r="A634" s="17" t="s">
        <v>1861</v>
      </c>
      <c r="B634" s="18" t="s">
        <v>1862</v>
      </c>
      <c r="C634" s="19" t="s">
        <v>73</v>
      </c>
      <c r="D634" s="20"/>
      <c r="E634" s="3">
        <v>2935225.27</v>
      </c>
      <c r="F634" s="24">
        <v>0.82707425723409633</v>
      </c>
      <c r="G634" s="26">
        <v>2427649.2599999998</v>
      </c>
      <c r="H634" t="s">
        <v>1806</v>
      </c>
      <c r="K634" t="s">
        <v>1809</v>
      </c>
      <c r="L634" t="s">
        <v>1814</v>
      </c>
      <c r="M634"/>
      <c r="O634"/>
    </row>
    <row r="635" spans="1:15">
      <c r="A635" s="19" t="s">
        <v>1713</v>
      </c>
      <c r="B635" s="20" t="s">
        <v>1714</v>
      </c>
      <c r="C635" s="19" t="s">
        <v>73</v>
      </c>
      <c r="D635" s="20"/>
      <c r="E635" s="3">
        <v>3812632.93</v>
      </c>
      <c r="F635" s="24">
        <v>0.74429728014755403</v>
      </c>
      <c r="G635" s="26">
        <v>2837732.32</v>
      </c>
      <c r="H635" t="s">
        <v>1806</v>
      </c>
      <c r="K635" t="s">
        <v>1809</v>
      </c>
      <c r="L635" t="s">
        <v>1814</v>
      </c>
      <c r="M635"/>
      <c r="O635"/>
    </row>
    <row r="636" spans="1:15">
      <c r="A636" s="13" t="s">
        <v>1723</v>
      </c>
      <c r="B636" s="22" t="s">
        <v>1724</v>
      </c>
      <c r="C636" s="15" t="s">
        <v>73</v>
      </c>
      <c r="D636" s="16"/>
      <c r="E636" s="2">
        <v>3308027.59</v>
      </c>
      <c r="F636" s="23">
        <v>0.76377858142350019</v>
      </c>
      <c r="G636" s="26">
        <v>2526600.62</v>
      </c>
      <c r="H636" t="s">
        <v>1806</v>
      </c>
      <c r="K636" t="s">
        <v>1809</v>
      </c>
      <c r="L636" t="s">
        <v>1814</v>
      </c>
      <c r="M636"/>
      <c r="O636"/>
    </row>
    <row r="637" spans="1:15">
      <c r="A637" s="13" t="s">
        <v>1739</v>
      </c>
      <c r="B637" s="22" t="s">
        <v>1740</v>
      </c>
      <c r="C637" s="15" t="s">
        <v>73</v>
      </c>
      <c r="D637" s="16"/>
      <c r="E637" s="2">
        <v>1459662.58</v>
      </c>
      <c r="F637" s="23">
        <v>0.8367687071898493</v>
      </c>
      <c r="G637" s="26">
        <v>1221399.97</v>
      </c>
      <c r="H637" t="s">
        <v>1806</v>
      </c>
      <c r="K637" t="s">
        <v>1809</v>
      </c>
      <c r="L637" t="s">
        <v>1814</v>
      </c>
      <c r="M637"/>
      <c r="O637"/>
    </row>
    <row r="638" spans="1:15">
      <c r="A638" s="19" t="s">
        <v>1741</v>
      </c>
      <c r="B638" s="20" t="s">
        <v>1742</v>
      </c>
      <c r="C638" s="19" t="s">
        <v>73</v>
      </c>
      <c r="D638" s="20"/>
      <c r="E638" s="3">
        <v>2632501.21</v>
      </c>
      <c r="F638" s="24">
        <v>0.91978083839133351</v>
      </c>
      <c r="G638" s="26">
        <v>2421324.17</v>
      </c>
      <c r="H638" t="s">
        <v>1806</v>
      </c>
      <c r="K638" t="s">
        <v>1809</v>
      </c>
      <c r="L638" t="s">
        <v>1814</v>
      </c>
      <c r="M638"/>
      <c r="O638"/>
    </row>
    <row r="639" spans="1:15">
      <c r="A639" s="13" t="s">
        <v>1747</v>
      </c>
      <c r="B639" s="22" t="s">
        <v>1748</v>
      </c>
      <c r="C639" s="15" t="s">
        <v>73</v>
      </c>
      <c r="D639" s="16"/>
      <c r="E639" s="2">
        <v>1059945.29</v>
      </c>
      <c r="F639" s="23">
        <v>0.90324240225644103</v>
      </c>
      <c r="G639" s="26">
        <v>957387.53</v>
      </c>
      <c r="H639" t="s">
        <v>1806</v>
      </c>
      <c r="K639" t="s">
        <v>1809</v>
      </c>
      <c r="L639" t="s">
        <v>1814</v>
      </c>
      <c r="M639"/>
      <c r="O639"/>
    </row>
    <row r="640" spans="1:15">
      <c r="A640" s="13" t="s">
        <v>1925</v>
      </c>
      <c r="B640" s="22" t="s">
        <v>1926</v>
      </c>
      <c r="C640" s="15" t="s">
        <v>73</v>
      </c>
      <c r="D640" s="16"/>
      <c r="E640" s="2">
        <v>1695567.74</v>
      </c>
      <c r="F640" s="23">
        <v>0.7784711273169187</v>
      </c>
      <c r="G640" s="26">
        <v>1319950.53</v>
      </c>
      <c r="H640" t="s">
        <v>1806</v>
      </c>
      <c r="K640" t="s">
        <v>1809</v>
      </c>
      <c r="L640" t="s">
        <v>1814</v>
      </c>
      <c r="M640"/>
      <c r="O640"/>
    </row>
    <row r="641" spans="1:15">
      <c r="A641" s="19" t="s">
        <v>1935</v>
      </c>
      <c r="B641" s="20" t="s">
        <v>1936</v>
      </c>
      <c r="C641" s="19" t="s">
        <v>73</v>
      </c>
      <c r="D641" s="20"/>
      <c r="E641" s="3">
        <v>3716277.46</v>
      </c>
      <c r="F641" s="24">
        <v>0.83798000916756099</v>
      </c>
      <c r="G641" s="26">
        <v>3114166.22</v>
      </c>
      <c r="H641" t="s">
        <v>1806</v>
      </c>
      <c r="K641" t="s">
        <v>1809</v>
      </c>
      <c r="L641" t="s">
        <v>1814</v>
      </c>
      <c r="M641"/>
      <c r="O641"/>
    </row>
    <row r="642" spans="1:15">
      <c r="A642" s="13" t="s">
        <v>1937</v>
      </c>
      <c r="B642" s="22" t="s">
        <v>1938</v>
      </c>
      <c r="C642" s="15" t="s">
        <v>73</v>
      </c>
      <c r="D642" s="16"/>
      <c r="E642" s="2">
        <v>3711726.15</v>
      </c>
      <c r="F642" s="23">
        <v>0.87343688057374591</v>
      </c>
      <c r="G642" s="26">
        <v>3241958.51</v>
      </c>
      <c r="H642" t="s">
        <v>1806</v>
      </c>
      <c r="K642" t="s">
        <v>1809</v>
      </c>
      <c r="L642" t="s">
        <v>1814</v>
      </c>
      <c r="M642"/>
      <c r="O642"/>
    </row>
    <row r="643" spans="1:15">
      <c r="A643" s="17" t="s">
        <v>1939</v>
      </c>
      <c r="B643" s="18" t="s">
        <v>1940</v>
      </c>
      <c r="C643" s="19" t="s">
        <v>73</v>
      </c>
      <c r="D643" s="20"/>
      <c r="E643" s="3">
        <v>3615626.7</v>
      </c>
      <c r="F643" s="24">
        <v>0.85423436274546805</v>
      </c>
      <c r="G643" s="26">
        <v>3088592.57</v>
      </c>
      <c r="H643" t="s">
        <v>1806</v>
      </c>
      <c r="K643" t="s">
        <v>1809</v>
      </c>
      <c r="L643" t="s">
        <v>1814</v>
      </c>
      <c r="M643"/>
      <c r="O643"/>
    </row>
    <row r="644" spans="1:15">
      <c r="A644" s="19" t="s">
        <v>134</v>
      </c>
      <c r="B644" s="20" t="s">
        <v>135</v>
      </c>
      <c r="C644" s="19" t="s">
        <v>73</v>
      </c>
      <c r="D644" s="20"/>
      <c r="E644" s="3">
        <v>2229418.88</v>
      </c>
      <c r="F644" s="24">
        <v>0.86111612188374409</v>
      </c>
      <c r="G644" s="26">
        <v>1919788.54</v>
      </c>
      <c r="H644" t="s">
        <v>1806</v>
      </c>
      <c r="K644" t="s">
        <v>1809</v>
      </c>
      <c r="L644" t="s">
        <v>1814</v>
      </c>
      <c r="M644"/>
      <c r="O644"/>
    </row>
    <row r="645" spans="1:15">
      <c r="A645" s="13" t="s">
        <v>17</v>
      </c>
      <c r="B645" s="22" t="s">
        <v>18</v>
      </c>
      <c r="C645" s="15" t="s">
        <v>73</v>
      </c>
      <c r="D645" s="16"/>
      <c r="E645" s="2">
        <v>4017568.6</v>
      </c>
      <c r="F645" s="23">
        <v>0.8791619090212921</v>
      </c>
      <c r="G645" s="26">
        <v>3532093.28</v>
      </c>
      <c r="H645" t="s">
        <v>1806</v>
      </c>
      <c r="K645" t="s">
        <v>1809</v>
      </c>
      <c r="L645" t="s">
        <v>1814</v>
      </c>
      <c r="M645"/>
      <c r="O645"/>
    </row>
    <row r="646" spans="1:15">
      <c r="A646" s="131" t="s">
        <v>31</v>
      </c>
      <c r="B646" s="134" t="s">
        <v>32</v>
      </c>
      <c r="C646" s="135" t="s">
        <v>73</v>
      </c>
      <c r="D646" s="138"/>
      <c r="E646" s="42">
        <v>1309725.3700000001</v>
      </c>
      <c r="F646" s="139" t="s">
        <v>761</v>
      </c>
      <c r="G646" s="50">
        <v>1309725.3700000001</v>
      </c>
      <c r="H646" s="90" t="s">
        <v>1806</v>
      </c>
      <c r="I646" s="90"/>
      <c r="J646" s="90"/>
      <c r="K646" s="90" t="s">
        <v>1809</v>
      </c>
      <c r="L646" s="90" t="s">
        <v>1814</v>
      </c>
      <c r="M646"/>
      <c r="O646"/>
    </row>
    <row r="647" spans="1:15">
      <c r="A647" s="15" t="s">
        <v>37</v>
      </c>
      <c r="B647" s="16" t="s">
        <v>38</v>
      </c>
      <c r="C647" s="15" t="s">
        <v>73</v>
      </c>
      <c r="D647" s="16"/>
      <c r="E647" s="2">
        <v>1458765.45</v>
      </c>
      <c r="F647" s="23">
        <v>0.88845208803101283</v>
      </c>
      <c r="G647" s="26">
        <v>1296043.21</v>
      </c>
      <c r="H647" t="s">
        <v>1806</v>
      </c>
      <c r="K647" t="s">
        <v>1809</v>
      </c>
      <c r="L647" t="s">
        <v>1814</v>
      </c>
      <c r="M647"/>
      <c r="O647"/>
    </row>
    <row r="648" spans="1:15">
      <c r="A648" s="13" t="s">
        <v>223</v>
      </c>
      <c r="B648" s="22" t="s">
        <v>224</v>
      </c>
      <c r="C648" s="15" t="s">
        <v>73</v>
      </c>
      <c r="D648" s="16"/>
      <c r="E648" s="2">
        <v>3568958.25</v>
      </c>
      <c r="F648" s="23">
        <v>0.91061078677510443</v>
      </c>
      <c r="G648" s="26">
        <v>3249931.88</v>
      </c>
      <c r="H648" t="s">
        <v>1806</v>
      </c>
      <c r="K648" t="s">
        <v>1809</v>
      </c>
      <c r="L648" t="s">
        <v>1814</v>
      </c>
      <c r="M648" s="100" t="s">
        <v>1919</v>
      </c>
      <c r="N648" s="68"/>
      <c r="O648" s="99"/>
    </row>
    <row r="649" spans="1:15">
      <c r="A649" s="13" t="s">
        <v>227</v>
      </c>
      <c r="B649" s="22" t="s">
        <v>63</v>
      </c>
      <c r="C649" s="15" t="s">
        <v>73</v>
      </c>
      <c r="D649" s="16"/>
      <c r="E649" s="2">
        <v>2709131.27</v>
      </c>
      <c r="F649" s="23">
        <v>0.94134542620372919</v>
      </c>
      <c r="G649" s="26">
        <v>2550228.33</v>
      </c>
      <c r="H649" t="s">
        <v>1806</v>
      </c>
      <c r="K649" t="s">
        <v>1809</v>
      </c>
      <c r="L649" t="s">
        <v>1814</v>
      </c>
      <c r="M649" s="88">
        <f>SUM(G609:G649)</f>
        <v>77913775.769999981</v>
      </c>
      <c r="N649" s="68">
        <f>SUM(M306:M346)</f>
        <v>10439</v>
      </c>
      <c r="O649" s="99">
        <f>M649/N649</f>
        <v>7463.7202576875161</v>
      </c>
    </row>
    <row r="650" spans="1:15">
      <c r="A650" s="135" t="s">
        <v>79</v>
      </c>
      <c r="B650" s="138" t="s">
        <v>80</v>
      </c>
      <c r="C650" s="135" t="s">
        <v>73</v>
      </c>
      <c r="D650" s="138"/>
      <c r="E650" s="42">
        <v>4188670.25</v>
      </c>
      <c r="F650" s="139" t="s">
        <v>761</v>
      </c>
      <c r="G650" s="50">
        <v>4188670.25</v>
      </c>
      <c r="H650" s="90" t="s">
        <v>1806</v>
      </c>
      <c r="I650" s="90"/>
      <c r="J650" s="90"/>
      <c r="K650" s="90" t="s">
        <v>1810</v>
      </c>
      <c r="L650" s="90" t="s">
        <v>1812</v>
      </c>
      <c r="M650"/>
      <c r="O650"/>
    </row>
    <row r="651" spans="1:15">
      <c r="A651" s="13" t="s">
        <v>107</v>
      </c>
      <c r="B651" s="22" t="s">
        <v>108</v>
      </c>
      <c r="C651" s="15" t="s">
        <v>73</v>
      </c>
      <c r="D651" s="16"/>
      <c r="E651" s="2">
        <v>1407836.57</v>
      </c>
      <c r="F651" s="23">
        <v>0.93661472368202503</v>
      </c>
      <c r="G651" s="26">
        <v>1318600.46</v>
      </c>
      <c r="H651" t="s">
        <v>1806</v>
      </c>
      <c r="K651" t="s">
        <v>1810</v>
      </c>
      <c r="L651" t="s">
        <v>1812</v>
      </c>
      <c r="M651"/>
      <c r="O651"/>
    </row>
    <row r="652" spans="1:15">
      <c r="A652" s="17" t="s">
        <v>150</v>
      </c>
      <c r="B652" s="18" t="s">
        <v>151</v>
      </c>
      <c r="C652" s="19" t="s">
        <v>73</v>
      </c>
      <c r="D652" s="20"/>
      <c r="E652" s="3">
        <v>1470515.3</v>
      </c>
      <c r="F652" s="24">
        <v>0.87032706154094419</v>
      </c>
      <c r="G652" s="26">
        <v>1279829.26</v>
      </c>
      <c r="H652" t="s">
        <v>1806</v>
      </c>
      <c r="K652" t="s">
        <v>1810</v>
      </c>
      <c r="L652" t="s">
        <v>1812</v>
      </c>
      <c r="M652"/>
      <c r="O652"/>
    </row>
    <row r="653" spans="1:15">
      <c r="A653" s="19" t="s">
        <v>154</v>
      </c>
      <c r="B653" s="20" t="s">
        <v>155</v>
      </c>
      <c r="C653" s="19" t="s">
        <v>73</v>
      </c>
      <c r="D653" s="20"/>
      <c r="E653" s="3">
        <v>833238.87</v>
      </c>
      <c r="F653" s="24">
        <v>0.65494137353433834</v>
      </c>
      <c r="G653" s="26">
        <v>545722.61</v>
      </c>
      <c r="H653" t="s">
        <v>1806</v>
      </c>
      <c r="K653" t="s">
        <v>1810</v>
      </c>
      <c r="L653" t="s">
        <v>1812</v>
      </c>
      <c r="M653"/>
      <c r="O653"/>
    </row>
    <row r="654" spans="1:15">
      <c r="A654" s="17" t="s">
        <v>162</v>
      </c>
      <c r="B654" s="18" t="s">
        <v>163</v>
      </c>
      <c r="C654" s="19" t="s">
        <v>73</v>
      </c>
      <c r="D654" s="20"/>
      <c r="E654" s="3">
        <v>1451418.65</v>
      </c>
      <c r="F654" s="24">
        <v>0.84068055071498493</v>
      </c>
      <c r="G654" s="26">
        <v>1220179.43</v>
      </c>
      <c r="H654" t="s">
        <v>1806</v>
      </c>
      <c r="K654" t="s">
        <v>1810</v>
      </c>
      <c r="L654" t="s">
        <v>1812</v>
      </c>
      <c r="M654"/>
      <c r="O654"/>
    </row>
    <row r="655" spans="1:15">
      <c r="A655" s="131" t="s">
        <v>376</v>
      </c>
      <c r="B655" s="134" t="s">
        <v>377</v>
      </c>
      <c r="C655" s="135" t="s">
        <v>73</v>
      </c>
      <c r="D655" s="138"/>
      <c r="E655" s="42">
        <v>2697486.51</v>
      </c>
      <c r="F655" s="139" t="s">
        <v>761</v>
      </c>
      <c r="G655" s="50">
        <v>2697486.51</v>
      </c>
      <c r="H655" s="90" t="s">
        <v>1806</v>
      </c>
      <c r="I655" s="90"/>
      <c r="J655" s="90"/>
      <c r="K655" s="90" t="s">
        <v>1810</v>
      </c>
      <c r="L655" s="90" t="s">
        <v>1812</v>
      </c>
      <c r="M655"/>
      <c r="O655"/>
    </row>
    <row r="656" spans="1:15">
      <c r="A656" s="15" t="s">
        <v>240</v>
      </c>
      <c r="B656" s="16" t="s">
        <v>241</v>
      </c>
      <c r="C656" s="15" t="s">
        <v>73</v>
      </c>
      <c r="D656" s="16"/>
      <c r="E656" s="2">
        <v>892186</v>
      </c>
      <c r="F656" s="23">
        <v>0.58733358290759996</v>
      </c>
      <c r="G656" s="26">
        <v>524010.8</v>
      </c>
      <c r="H656" t="s">
        <v>1806</v>
      </c>
      <c r="K656" t="s">
        <v>1810</v>
      </c>
      <c r="L656" t="s">
        <v>1812</v>
      </c>
      <c r="M656"/>
      <c r="O656"/>
    </row>
    <row r="657" spans="1:15">
      <c r="A657" s="17" t="s">
        <v>270</v>
      </c>
      <c r="B657" s="18" t="s">
        <v>271</v>
      </c>
      <c r="C657" s="19" t="s">
        <v>73</v>
      </c>
      <c r="D657" s="20"/>
      <c r="E657" s="3">
        <v>1443280.67</v>
      </c>
      <c r="F657" s="24">
        <v>0.82157237649417147</v>
      </c>
      <c r="G657" s="26">
        <v>1185759.53</v>
      </c>
      <c r="H657" t="s">
        <v>1806</v>
      </c>
      <c r="K657" t="s">
        <v>1810</v>
      </c>
      <c r="L657" t="s">
        <v>1812</v>
      </c>
      <c r="M657"/>
      <c r="O657"/>
    </row>
    <row r="658" spans="1:15">
      <c r="A658" s="13" t="s">
        <v>272</v>
      </c>
      <c r="B658" s="22" t="s">
        <v>273</v>
      </c>
      <c r="C658" s="15" t="s">
        <v>73</v>
      </c>
      <c r="D658" s="16"/>
      <c r="E658" s="2">
        <v>2707072.04</v>
      </c>
      <c r="F658" s="23">
        <v>0.83894454098088944</v>
      </c>
      <c r="G658" s="26">
        <v>2271083.31</v>
      </c>
      <c r="H658" t="s">
        <v>1806</v>
      </c>
      <c r="K658" t="s">
        <v>1810</v>
      </c>
      <c r="L658" t="s">
        <v>1812</v>
      </c>
      <c r="M658"/>
      <c r="O658"/>
    </row>
    <row r="659" spans="1:15">
      <c r="A659" s="15" t="s">
        <v>487</v>
      </c>
      <c r="B659" s="16" t="s">
        <v>488</v>
      </c>
      <c r="C659" s="15" t="s">
        <v>73</v>
      </c>
      <c r="D659" s="16"/>
      <c r="E659" s="2">
        <v>377292.94</v>
      </c>
      <c r="F659" s="23">
        <v>0.91400774687170128</v>
      </c>
      <c r="G659" s="26">
        <v>344848.67</v>
      </c>
      <c r="H659" t="s">
        <v>1806</v>
      </c>
      <c r="K659" t="s">
        <v>1810</v>
      </c>
      <c r="L659" t="s">
        <v>1812</v>
      </c>
      <c r="M659"/>
      <c r="O659"/>
    </row>
    <row r="660" spans="1:15">
      <c r="A660" s="17" t="s">
        <v>350</v>
      </c>
      <c r="B660" s="18" t="s">
        <v>351</v>
      </c>
      <c r="C660" s="19" t="s">
        <v>73</v>
      </c>
      <c r="D660" s="20"/>
      <c r="E660" s="3">
        <v>853109.34</v>
      </c>
      <c r="F660" s="24">
        <v>0.87612775403443599</v>
      </c>
      <c r="G660" s="26">
        <v>747432.77</v>
      </c>
      <c r="H660" t="s">
        <v>1806</v>
      </c>
      <c r="I660" t="s">
        <v>1820</v>
      </c>
      <c r="J660" t="s">
        <v>1812</v>
      </c>
      <c r="K660" t="s">
        <v>1810</v>
      </c>
      <c r="L660" t="s">
        <v>1812</v>
      </c>
      <c r="M660"/>
      <c r="O660"/>
    </row>
    <row r="661" spans="1:15">
      <c r="A661" s="17" t="s">
        <v>1637</v>
      </c>
      <c r="B661" s="18" t="s">
        <v>1638</v>
      </c>
      <c r="C661" s="19" t="s">
        <v>73</v>
      </c>
      <c r="D661" s="20"/>
      <c r="E661" s="3">
        <v>2171897.73</v>
      </c>
      <c r="F661" s="24">
        <v>0.77656513780692615</v>
      </c>
      <c r="G661" s="26">
        <v>1686620.06</v>
      </c>
      <c r="H661" t="s">
        <v>1806</v>
      </c>
      <c r="K661" t="s">
        <v>1810</v>
      </c>
      <c r="L661" t="s">
        <v>1812</v>
      </c>
      <c r="M661"/>
      <c r="O661"/>
    </row>
    <row r="662" spans="1:15">
      <c r="A662" s="15" t="s">
        <v>1651</v>
      </c>
      <c r="B662" s="16" t="s">
        <v>1652</v>
      </c>
      <c r="C662" s="15" t="s">
        <v>73</v>
      </c>
      <c r="D662" s="16"/>
      <c r="E662" s="2">
        <v>1320415.97</v>
      </c>
      <c r="F662" s="23">
        <v>0.88564367333424487</v>
      </c>
      <c r="G662" s="26">
        <v>1169418.05</v>
      </c>
      <c r="H662" t="s">
        <v>1811</v>
      </c>
      <c r="K662" t="s">
        <v>1810</v>
      </c>
      <c r="L662" t="s">
        <v>1812</v>
      </c>
      <c r="M662"/>
      <c r="O662"/>
    </row>
    <row r="663" spans="1:15">
      <c r="A663" s="13" t="s">
        <v>1867</v>
      </c>
      <c r="B663" s="22" t="s">
        <v>1868</v>
      </c>
      <c r="C663" s="15" t="s">
        <v>73</v>
      </c>
      <c r="D663" s="16"/>
      <c r="E663" s="2">
        <v>673623.24</v>
      </c>
      <c r="F663" s="23">
        <v>0.84200901382202897</v>
      </c>
      <c r="G663" s="26">
        <v>567196.84</v>
      </c>
      <c r="H663" t="s">
        <v>1806</v>
      </c>
      <c r="K663" t="s">
        <v>1810</v>
      </c>
      <c r="L663" t="s">
        <v>1812</v>
      </c>
      <c r="M663"/>
      <c r="O663"/>
    </row>
    <row r="664" spans="1:15">
      <c r="A664" s="17" t="s">
        <v>1873</v>
      </c>
      <c r="B664" s="18" t="s">
        <v>1874</v>
      </c>
      <c r="C664" s="19" t="s">
        <v>73</v>
      </c>
      <c r="D664" s="20"/>
      <c r="E664" s="3">
        <v>924919.7</v>
      </c>
      <c r="F664" s="24">
        <v>0.52470483653878286</v>
      </c>
      <c r="G664" s="26">
        <v>485309.84000000008</v>
      </c>
      <c r="H664" t="s">
        <v>1806</v>
      </c>
      <c r="K664" t="s">
        <v>1810</v>
      </c>
      <c r="L664" t="s">
        <v>1812</v>
      </c>
      <c r="M664"/>
      <c r="O664"/>
    </row>
    <row r="665" spans="1:15">
      <c r="A665" s="19" t="s">
        <v>1705</v>
      </c>
      <c r="B665" s="20" t="s">
        <v>1706</v>
      </c>
      <c r="C665" s="19" t="s">
        <v>73</v>
      </c>
      <c r="D665" s="20"/>
      <c r="E665" s="3">
        <v>4930061.96</v>
      </c>
      <c r="F665" s="24">
        <v>0.85622963651353379</v>
      </c>
      <c r="G665" s="26">
        <v>4221265.16</v>
      </c>
      <c r="H665" t="s">
        <v>1806</v>
      </c>
      <c r="K665" t="s">
        <v>1810</v>
      </c>
      <c r="L665" t="s">
        <v>1812</v>
      </c>
      <c r="M665"/>
      <c r="O665"/>
    </row>
    <row r="666" spans="1:15">
      <c r="A666" s="17" t="s">
        <v>1729</v>
      </c>
      <c r="B666" s="18" t="s">
        <v>1730</v>
      </c>
      <c r="C666" s="19" t="s">
        <v>73</v>
      </c>
      <c r="D666" s="20"/>
      <c r="E666" s="3">
        <v>1404805.4</v>
      </c>
      <c r="F666" s="24">
        <v>0.87412188905310295</v>
      </c>
      <c r="G666" s="26">
        <v>1227971.1499999999</v>
      </c>
      <c r="H666" t="s">
        <v>1806</v>
      </c>
      <c r="K666" t="s">
        <v>1810</v>
      </c>
      <c r="L666" t="s">
        <v>1812</v>
      </c>
      <c r="M666"/>
      <c r="O666"/>
    </row>
    <row r="667" spans="1:15">
      <c r="A667" s="13" t="s">
        <v>1731</v>
      </c>
      <c r="B667" s="22" t="s">
        <v>1732</v>
      </c>
      <c r="C667" s="15" t="s">
        <v>73</v>
      </c>
      <c r="D667" s="16"/>
      <c r="E667" s="2">
        <v>4376264.95</v>
      </c>
      <c r="F667" s="23">
        <v>0.49595247655195096</v>
      </c>
      <c r="G667" s="26">
        <v>2170419.44</v>
      </c>
      <c r="H667" t="s">
        <v>1811</v>
      </c>
      <c r="K667" t="s">
        <v>1810</v>
      </c>
      <c r="L667" t="s">
        <v>1812</v>
      </c>
      <c r="M667"/>
      <c r="O667"/>
    </row>
    <row r="668" spans="1:15">
      <c r="A668" s="19" t="s">
        <v>1733</v>
      </c>
      <c r="B668" s="20" t="s">
        <v>1734</v>
      </c>
      <c r="C668" s="19" t="s">
        <v>73</v>
      </c>
      <c r="D668" s="20"/>
      <c r="E668" s="3">
        <v>2165529.86</v>
      </c>
      <c r="F668" s="24">
        <v>0.85879431373899418</v>
      </c>
      <c r="G668" s="26">
        <v>1859744.73</v>
      </c>
      <c r="H668" t="s">
        <v>1806</v>
      </c>
      <c r="K668" t="s">
        <v>1810</v>
      </c>
      <c r="L668" t="s">
        <v>1812</v>
      </c>
      <c r="M668"/>
      <c r="O668"/>
    </row>
    <row r="669" spans="1:15">
      <c r="A669" s="17" t="s">
        <v>1753</v>
      </c>
      <c r="B669" s="18" t="s">
        <v>1754</v>
      </c>
      <c r="C669" s="19" t="s">
        <v>73</v>
      </c>
      <c r="D669" s="20"/>
      <c r="E669" s="3">
        <v>5661783.1399999997</v>
      </c>
      <c r="F669" s="24">
        <v>0.87776794114371548</v>
      </c>
      <c r="G669" s="26">
        <v>4969731.7300000004</v>
      </c>
      <c r="H669" t="s">
        <v>1806</v>
      </c>
      <c r="K669" t="s">
        <v>1810</v>
      </c>
      <c r="L669" t="s">
        <v>1812</v>
      </c>
      <c r="M669"/>
      <c r="O669"/>
    </row>
    <row r="670" spans="1:15">
      <c r="A670" s="13" t="s">
        <v>1790</v>
      </c>
      <c r="B670" s="22" t="s">
        <v>1791</v>
      </c>
      <c r="C670" s="15" t="s">
        <v>73</v>
      </c>
      <c r="D670" s="16"/>
      <c r="E670" s="2">
        <v>1221188.54</v>
      </c>
      <c r="F670" s="23">
        <v>0.9035593717576158</v>
      </c>
      <c r="G670" s="26">
        <v>1103416.3500000001</v>
      </c>
      <c r="H670" t="s">
        <v>1806</v>
      </c>
      <c r="K670" t="s">
        <v>1810</v>
      </c>
      <c r="L670" t="s">
        <v>1812</v>
      </c>
      <c r="M670"/>
      <c r="O670"/>
    </row>
    <row r="671" spans="1:15">
      <c r="A671" s="19" t="s">
        <v>138</v>
      </c>
      <c r="B671" s="20" t="s">
        <v>139</v>
      </c>
      <c r="C671" s="19" t="s">
        <v>73</v>
      </c>
      <c r="D671" s="20"/>
      <c r="E671" s="3">
        <v>1467825.85</v>
      </c>
      <c r="F671" s="24">
        <v>0.7389041962982188</v>
      </c>
      <c r="G671" s="26">
        <v>1084582.68</v>
      </c>
      <c r="H671" t="s">
        <v>1806</v>
      </c>
      <c r="K671" t="s">
        <v>1810</v>
      </c>
      <c r="L671" t="s">
        <v>1812</v>
      </c>
      <c r="M671"/>
      <c r="O671"/>
    </row>
    <row r="672" spans="1:15">
      <c r="A672" s="13" t="s">
        <v>140</v>
      </c>
      <c r="B672" s="22" t="s">
        <v>141</v>
      </c>
      <c r="C672" s="15" t="s">
        <v>73</v>
      </c>
      <c r="D672" s="16"/>
      <c r="E672" s="2">
        <v>1059969.8999999999</v>
      </c>
      <c r="F672" s="23">
        <v>0.85195183372659933</v>
      </c>
      <c r="G672" s="26">
        <v>903043.3</v>
      </c>
      <c r="H672" t="s">
        <v>1806</v>
      </c>
      <c r="K672" t="s">
        <v>1810</v>
      </c>
      <c r="L672" t="s">
        <v>1812</v>
      </c>
      <c r="M672"/>
      <c r="O672"/>
    </row>
    <row r="673" spans="1:15">
      <c r="A673" s="17" t="s">
        <v>142</v>
      </c>
      <c r="B673" s="18" t="s">
        <v>0</v>
      </c>
      <c r="C673" s="19" t="s">
        <v>73</v>
      </c>
      <c r="D673" s="20"/>
      <c r="E673" s="3">
        <v>1167104.8400000001</v>
      </c>
      <c r="F673" s="24">
        <v>0.88649377034543009</v>
      </c>
      <c r="G673" s="26">
        <v>1034631.17</v>
      </c>
      <c r="H673" t="s">
        <v>1806</v>
      </c>
      <c r="K673" t="s">
        <v>1810</v>
      </c>
      <c r="L673" t="s">
        <v>1812</v>
      </c>
      <c r="M673"/>
      <c r="O673"/>
    </row>
    <row r="674" spans="1:15">
      <c r="A674" s="19" t="s">
        <v>19</v>
      </c>
      <c r="B674" s="20" t="s">
        <v>20</v>
      </c>
      <c r="C674" s="19" t="s">
        <v>73</v>
      </c>
      <c r="D674" s="20"/>
      <c r="E674" s="3">
        <v>1295931.69</v>
      </c>
      <c r="F674" s="24">
        <v>0.71537174154603789</v>
      </c>
      <c r="G674" s="26">
        <v>927072.91</v>
      </c>
      <c r="H674" t="s">
        <v>1811</v>
      </c>
      <c r="K674" t="s">
        <v>1810</v>
      </c>
      <c r="L674" t="s">
        <v>1812</v>
      </c>
      <c r="M674"/>
      <c r="O674"/>
    </row>
    <row r="675" spans="1:15">
      <c r="A675" s="13" t="s">
        <v>21</v>
      </c>
      <c r="B675" s="22" t="s">
        <v>22</v>
      </c>
      <c r="C675" s="15" t="s">
        <v>73</v>
      </c>
      <c r="D675" s="16"/>
      <c r="E675" s="2">
        <v>788059.28</v>
      </c>
      <c r="F675" s="23">
        <v>0.65859177497408572</v>
      </c>
      <c r="G675" s="26">
        <v>519009.36000000004</v>
      </c>
      <c r="H675" t="s">
        <v>1811</v>
      </c>
      <c r="K675" t="s">
        <v>1810</v>
      </c>
      <c r="L675" t="s">
        <v>1812</v>
      </c>
      <c r="M675"/>
      <c r="O675"/>
    </row>
    <row r="676" spans="1:15">
      <c r="A676" s="13" t="s">
        <v>25</v>
      </c>
      <c r="B676" s="22" t="s">
        <v>26</v>
      </c>
      <c r="C676" s="15" t="s">
        <v>73</v>
      </c>
      <c r="D676" s="16"/>
      <c r="E676" s="2">
        <v>1809630.16</v>
      </c>
      <c r="F676" s="23">
        <v>0.91645172956224386</v>
      </c>
      <c r="G676" s="26">
        <v>1658438.69</v>
      </c>
      <c r="H676" t="s">
        <v>1806</v>
      </c>
      <c r="K676" t="s">
        <v>1810</v>
      </c>
      <c r="L676" t="s">
        <v>1812</v>
      </c>
      <c r="M676"/>
      <c r="O676"/>
    </row>
    <row r="677" spans="1:15">
      <c r="A677" s="29" t="s">
        <v>45</v>
      </c>
      <c r="B677" s="30" t="s">
        <v>46</v>
      </c>
      <c r="C677" s="29" t="s">
        <v>73</v>
      </c>
      <c r="D677" s="30"/>
      <c r="E677" s="31">
        <v>4420349.82</v>
      </c>
      <c r="F677" s="32" t="s">
        <v>761</v>
      </c>
      <c r="G677" s="46">
        <v>4420349.82</v>
      </c>
      <c r="H677" s="34" t="s">
        <v>1811</v>
      </c>
      <c r="I677" s="34"/>
      <c r="J677" s="34"/>
      <c r="K677" s="34" t="s">
        <v>1810</v>
      </c>
      <c r="L677" s="34" t="s">
        <v>1812</v>
      </c>
      <c r="M677" s="100" t="s">
        <v>1920</v>
      </c>
      <c r="N677" s="68"/>
      <c r="O677" s="99"/>
    </row>
    <row r="678" spans="1:15">
      <c r="A678" s="13" t="s">
        <v>53</v>
      </c>
      <c r="B678" s="22" t="s">
        <v>54</v>
      </c>
      <c r="C678" s="15" t="s">
        <v>73</v>
      </c>
      <c r="D678" s="16"/>
      <c r="E678" s="2">
        <v>3404548.42</v>
      </c>
      <c r="F678" s="23">
        <v>0.89766342932493814</v>
      </c>
      <c r="G678" s="26">
        <v>3056138.61</v>
      </c>
      <c r="H678" t="s">
        <v>1806</v>
      </c>
      <c r="K678" t="s">
        <v>1810</v>
      </c>
      <c r="L678" t="s">
        <v>1812</v>
      </c>
      <c r="M678" s="101">
        <f>SUM(G650:G678)</f>
        <v>49387983.489999995</v>
      </c>
      <c r="N678" s="68">
        <f>SUM(M347:M375)</f>
        <v>6824</v>
      </c>
      <c r="O678" s="99">
        <f>M678/N678</f>
        <v>7237.3950014654156</v>
      </c>
    </row>
    <row r="679" spans="1:15">
      <c r="A679" s="13" t="s">
        <v>115</v>
      </c>
      <c r="B679" s="22" t="s">
        <v>116</v>
      </c>
      <c r="C679" s="15" t="s">
        <v>73</v>
      </c>
      <c r="D679" s="16"/>
      <c r="E679" s="2">
        <v>2584058.5</v>
      </c>
      <c r="F679" s="23">
        <v>0.90632727548544278</v>
      </c>
      <c r="G679" s="26">
        <v>2342002.7000000002</v>
      </c>
      <c r="H679" t="s">
        <v>1806</v>
      </c>
      <c r="K679" t="s">
        <v>1809</v>
      </c>
      <c r="L679" t="s">
        <v>1816</v>
      </c>
      <c r="M679"/>
    </row>
    <row r="680" spans="1:15">
      <c r="A680" s="15" t="s">
        <v>172</v>
      </c>
      <c r="B680" s="16" t="s">
        <v>173</v>
      </c>
      <c r="C680" s="15" t="s">
        <v>73</v>
      </c>
      <c r="D680" s="16"/>
      <c r="E680" s="2">
        <v>1901827.32</v>
      </c>
      <c r="F680" s="23">
        <v>0.79957877563773772</v>
      </c>
      <c r="G680" s="26">
        <v>1520660.76</v>
      </c>
      <c r="H680" t="s">
        <v>1806</v>
      </c>
      <c r="K680" t="s">
        <v>1809</v>
      </c>
      <c r="L680" t="s">
        <v>1816</v>
      </c>
      <c r="M680"/>
      <c r="O680" s="93"/>
    </row>
    <row r="681" spans="1:15">
      <c r="A681" s="27" t="s">
        <v>196</v>
      </c>
      <c r="B681" s="35" t="s">
        <v>197</v>
      </c>
      <c r="C681" s="29" t="s">
        <v>73</v>
      </c>
      <c r="D681" s="30"/>
      <c r="E681" s="31">
        <v>4003679.25</v>
      </c>
      <c r="F681" s="32" t="s">
        <v>761</v>
      </c>
      <c r="G681" s="46">
        <v>4003679.25</v>
      </c>
      <c r="H681" s="34" t="s">
        <v>1806</v>
      </c>
      <c r="I681" s="34"/>
      <c r="J681" s="34"/>
      <c r="K681" s="34" t="s">
        <v>1809</v>
      </c>
      <c r="L681" s="34" t="s">
        <v>1816</v>
      </c>
      <c r="M681"/>
      <c r="O681" s="93"/>
    </row>
    <row r="682" spans="1:15">
      <c r="A682" s="17" t="s">
        <v>234</v>
      </c>
      <c r="B682" s="18" t="s">
        <v>235</v>
      </c>
      <c r="C682" s="19" t="s">
        <v>73</v>
      </c>
      <c r="D682" s="20"/>
      <c r="E682" s="3">
        <v>1326737.23</v>
      </c>
      <c r="F682" s="24">
        <v>0.68326285680548815</v>
      </c>
      <c r="G682" s="26">
        <v>906510.27</v>
      </c>
      <c r="H682" t="s">
        <v>1806</v>
      </c>
      <c r="K682" t="s">
        <v>1809</v>
      </c>
      <c r="L682" s="37" t="s">
        <v>1816</v>
      </c>
      <c r="M682"/>
      <c r="O682" s="93"/>
    </row>
    <row r="683" spans="1:15">
      <c r="A683" s="15" t="s">
        <v>324</v>
      </c>
      <c r="B683" s="16" t="s">
        <v>325</v>
      </c>
      <c r="C683" s="15" t="s">
        <v>73</v>
      </c>
      <c r="D683" s="16"/>
      <c r="E683" s="2">
        <v>161469.60999999999</v>
      </c>
      <c r="F683" s="23">
        <v>0.83628628322072507</v>
      </c>
      <c r="G683" s="26">
        <v>135034.82</v>
      </c>
      <c r="H683" t="s">
        <v>1806</v>
      </c>
      <c r="K683" t="s">
        <v>1809</v>
      </c>
      <c r="L683" s="37" t="s">
        <v>1816</v>
      </c>
      <c r="M683"/>
      <c r="O683" s="93"/>
    </row>
    <row r="684" spans="1:15">
      <c r="A684" s="17" t="s">
        <v>342</v>
      </c>
      <c r="B684" s="21" t="s">
        <v>343</v>
      </c>
      <c r="C684" s="19" t="s">
        <v>73</v>
      </c>
      <c r="D684" s="20"/>
      <c r="E684" s="3">
        <v>623733.16</v>
      </c>
      <c r="F684" s="24">
        <v>0.93843833795849485</v>
      </c>
      <c r="G684" s="26">
        <v>585335.11</v>
      </c>
      <c r="H684" t="s">
        <v>1806</v>
      </c>
      <c r="K684" t="s">
        <v>1809</v>
      </c>
      <c r="L684" s="37" t="s">
        <v>1816</v>
      </c>
      <c r="M684"/>
      <c r="O684" s="93"/>
    </row>
    <row r="685" spans="1:15">
      <c r="A685" s="17" t="s">
        <v>1665</v>
      </c>
      <c r="B685" s="18" t="s">
        <v>1854</v>
      </c>
      <c r="C685" s="19" t="s">
        <v>73</v>
      </c>
      <c r="D685" s="20"/>
      <c r="E685" s="3">
        <v>2320667.8199999998</v>
      </c>
      <c r="F685" s="24">
        <v>0.88339016568084272</v>
      </c>
      <c r="G685" s="26">
        <v>2050055.13</v>
      </c>
      <c r="H685" t="s">
        <v>1806</v>
      </c>
      <c r="K685" t="s">
        <v>1809</v>
      </c>
      <c r="L685" s="37" t="s">
        <v>1816</v>
      </c>
      <c r="M685"/>
      <c r="O685" s="93"/>
    </row>
    <row r="686" spans="1:15">
      <c r="A686" s="19" t="s">
        <v>1721</v>
      </c>
      <c r="B686" s="20" t="s">
        <v>1722</v>
      </c>
      <c r="C686" s="19" t="s">
        <v>73</v>
      </c>
      <c r="D686" s="20"/>
      <c r="E686" s="3">
        <v>1138719.82</v>
      </c>
      <c r="F686" s="24">
        <v>0.82045656323080418</v>
      </c>
      <c r="G686" s="26">
        <v>934270.15</v>
      </c>
      <c r="H686" t="s">
        <v>1806</v>
      </c>
      <c r="K686" t="s">
        <v>1809</v>
      </c>
      <c r="L686" s="37" t="s">
        <v>1816</v>
      </c>
      <c r="M686"/>
      <c r="O686" s="93"/>
    </row>
    <row r="687" spans="1:15">
      <c r="A687" s="17" t="s">
        <v>35</v>
      </c>
      <c r="B687" s="18" t="s">
        <v>36</v>
      </c>
      <c r="C687" s="19" t="s">
        <v>73</v>
      </c>
      <c r="D687" s="20"/>
      <c r="E687" s="3">
        <v>1114230.32</v>
      </c>
      <c r="F687" s="24">
        <v>0.78858123336654484</v>
      </c>
      <c r="G687" s="26">
        <v>878661.12</v>
      </c>
      <c r="H687" t="s">
        <v>1806</v>
      </c>
      <c r="K687" t="s">
        <v>1809</v>
      </c>
      <c r="L687" s="37" t="s">
        <v>1816</v>
      </c>
      <c r="M687"/>
      <c r="O687" s="93"/>
    </row>
    <row r="688" spans="1:15">
      <c r="A688" s="17" t="s">
        <v>39</v>
      </c>
      <c r="B688" s="18" t="s">
        <v>40</v>
      </c>
      <c r="C688" s="19" t="s">
        <v>73</v>
      </c>
      <c r="D688" s="20"/>
      <c r="E688" s="3">
        <v>1752311.71</v>
      </c>
      <c r="F688" s="24">
        <v>0.72672006511900789</v>
      </c>
      <c r="G688" s="26">
        <v>1273440.08</v>
      </c>
      <c r="H688" t="s">
        <v>1806</v>
      </c>
      <c r="K688" t="s">
        <v>1809</v>
      </c>
      <c r="L688" s="37" t="s">
        <v>1816</v>
      </c>
      <c r="M688"/>
      <c r="O688" s="93"/>
    </row>
    <row r="689" spans="1:15">
      <c r="A689" s="19" t="s">
        <v>70</v>
      </c>
      <c r="B689" s="20" t="s">
        <v>71</v>
      </c>
      <c r="C689" s="19" t="s">
        <v>73</v>
      </c>
      <c r="D689" s="20"/>
      <c r="E689" s="3">
        <v>1252639.19</v>
      </c>
      <c r="F689" s="24">
        <v>0.76300447697153728</v>
      </c>
      <c r="G689" s="26">
        <v>955769.31</v>
      </c>
      <c r="H689" t="s">
        <v>1806</v>
      </c>
      <c r="M689"/>
      <c r="O689" s="93"/>
    </row>
    <row r="690" spans="1:15">
      <c r="A690" s="13" t="s">
        <v>75</v>
      </c>
      <c r="B690" s="22" t="s">
        <v>76</v>
      </c>
      <c r="C690" s="15" t="s">
        <v>73</v>
      </c>
      <c r="D690" s="16"/>
      <c r="E690" s="2">
        <v>7379049.2599999998</v>
      </c>
      <c r="F690" s="23">
        <v>0.77968002886052012</v>
      </c>
      <c r="G690" s="26">
        <v>5753297.3399999999</v>
      </c>
      <c r="H690" t="s">
        <v>1806</v>
      </c>
      <c r="M690"/>
      <c r="O690" s="93"/>
    </row>
    <row r="691" spans="1:15">
      <c r="A691" s="17" t="s">
        <v>77</v>
      </c>
      <c r="B691" s="18" t="s">
        <v>78</v>
      </c>
      <c r="C691" s="19" t="s">
        <v>73</v>
      </c>
      <c r="D691" s="20"/>
      <c r="E691" s="3">
        <v>1296747.57</v>
      </c>
      <c r="F691" s="24">
        <v>0.91281175872957288</v>
      </c>
      <c r="G691" s="26">
        <v>1183686.43</v>
      </c>
      <c r="H691" t="s">
        <v>1806</v>
      </c>
      <c r="M691"/>
      <c r="O691" s="93"/>
    </row>
    <row r="692" spans="1:15">
      <c r="A692" s="29" t="s">
        <v>81</v>
      </c>
      <c r="B692" s="30" t="s">
        <v>82</v>
      </c>
      <c r="C692" s="29" t="s">
        <v>73</v>
      </c>
      <c r="D692" s="30"/>
      <c r="E692" s="45">
        <v>3161899.64</v>
      </c>
      <c r="F692" s="32" t="s">
        <v>761</v>
      </c>
      <c r="G692" s="40">
        <v>3161899.64</v>
      </c>
      <c r="H692" s="34" t="s">
        <v>1806</v>
      </c>
      <c r="I692" s="34"/>
      <c r="J692" s="34"/>
      <c r="K692" s="34"/>
      <c r="L692" s="34"/>
      <c r="M692"/>
      <c r="O692" s="93"/>
    </row>
    <row r="693" spans="1:15">
      <c r="A693" s="13" t="s">
        <v>83</v>
      </c>
      <c r="B693" s="22" t="s">
        <v>84</v>
      </c>
      <c r="C693" s="15" t="s">
        <v>73</v>
      </c>
      <c r="D693" s="16"/>
      <c r="E693" s="2">
        <v>1136684.03</v>
      </c>
      <c r="F693" s="23">
        <v>0.69867386981763091</v>
      </c>
      <c r="G693" s="26">
        <v>794171.43</v>
      </c>
      <c r="H693" t="s">
        <v>1806</v>
      </c>
      <c r="M693"/>
      <c r="O693" s="93"/>
    </row>
    <row r="694" spans="1:15">
      <c r="A694" s="17" t="s">
        <v>85</v>
      </c>
      <c r="B694" s="18" t="s">
        <v>86</v>
      </c>
      <c r="C694" s="19" t="s">
        <v>73</v>
      </c>
      <c r="D694" s="20"/>
      <c r="E694" s="3">
        <v>1674388.45</v>
      </c>
      <c r="F694" s="24">
        <v>0.83561365345060767</v>
      </c>
      <c r="G694" s="26">
        <v>1399141.85</v>
      </c>
      <c r="H694" t="s">
        <v>1806</v>
      </c>
      <c r="M694"/>
      <c r="O694" s="93"/>
    </row>
    <row r="695" spans="1:15">
      <c r="A695" s="19" t="s">
        <v>89</v>
      </c>
      <c r="B695" s="20" t="s">
        <v>90</v>
      </c>
      <c r="C695" s="19" t="s">
        <v>73</v>
      </c>
      <c r="D695" s="20"/>
      <c r="E695" s="3">
        <v>603347.98</v>
      </c>
      <c r="F695" s="24">
        <v>4.972254982937044E-3</v>
      </c>
      <c r="G695" s="26">
        <v>3000</v>
      </c>
      <c r="H695" t="s">
        <v>1811</v>
      </c>
      <c r="M695"/>
      <c r="O695" s="93"/>
    </row>
    <row r="696" spans="1:15">
      <c r="A696" s="13" t="s">
        <v>91</v>
      </c>
      <c r="B696" s="22" t="s">
        <v>92</v>
      </c>
      <c r="C696" s="15" t="s">
        <v>73</v>
      </c>
      <c r="D696" s="16"/>
      <c r="E696" s="2">
        <v>1853701.45</v>
      </c>
      <c r="F696" s="23">
        <v>0.82349873546249863</v>
      </c>
      <c r="G696" s="26">
        <v>1526520.8</v>
      </c>
      <c r="H696" t="s">
        <v>1806</v>
      </c>
      <c r="M696"/>
      <c r="O696" s="93"/>
    </row>
    <row r="697" spans="1:15">
      <c r="A697" s="17" t="s">
        <v>93</v>
      </c>
      <c r="B697" s="18" t="s">
        <v>94</v>
      </c>
      <c r="C697" s="19" t="s">
        <v>73</v>
      </c>
      <c r="D697" s="20"/>
      <c r="E697" s="3">
        <v>4926715.57</v>
      </c>
      <c r="F697" s="24">
        <v>0.82697826820150688</v>
      </c>
      <c r="G697" s="26">
        <v>4074286.71</v>
      </c>
      <c r="H697" t="s">
        <v>1806</v>
      </c>
      <c r="M697"/>
      <c r="O697" s="93"/>
    </row>
    <row r="698" spans="1:15">
      <c r="A698" s="15" t="s">
        <v>95</v>
      </c>
      <c r="B698" s="16" t="s">
        <v>96</v>
      </c>
      <c r="C698" s="15" t="s">
        <v>73</v>
      </c>
      <c r="D698" s="16"/>
      <c r="E698" s="2">
        <v>7076666.7199999997</v>
      </c>
      <c r="F698" s="23">
        <v>0.89244895088121379</v>
      </c>
      <c r="G698" s="26">
        <v>6315563.79</v>
      </c>
      <c r="H698" t="s">
        <v>1806</v>
      </c>
      <c r="M698"/>
      <c r="O698" s="93"/>
    </row>
    <row r="699" spans="1:15">
      <c r="A699" s="17" t="s">
        <v>97</v>
      </c>
      <c r="B699" s="18" t="s">
        <v>98</v>
      </c>
      <c r="C699" s="19" t="s">
        <v>73</v>
      </c>
      <c r="D699" s="20"/>
      <c r="E699" s="3">
        <v>842358.61</v>
      </c>
      <c r="F699" s="24">
        <v>0.71872420227294886</v>
      </c>
      <c r="G699" s="26">
        <v>605423.52</v>
      </c>
      <c r="H699" t="s">
        <v>1806</v>
      </c>
      <c r="M699"/>
      <c r="O699" s="93"/>
    </row>
    <row r="700" spans="1:15">
      <c r="A700" s="13" t="s">
        <v>99</v>
      </c>
      <c r="B700" s="22" t="s">
        <v>100</v>
      </c>
      <c r="C700" s="15" t="s">
        <v>73</v>
      </c>
      <c r="D700" s="16"/>
      <c r="E700" s="2">
        <v>867720.61</v>
      </c>
      <c r="F700" s="23">
        <v>0.81976522373947081</v>
      </c>
      <c r="G700" s="26">
        <v>711327.18</v>
      </c>
      <c r="H700" t="s">
        <v>1806</v>
      </c>
      <c r="I700" t="s">
        <v>1820</v>
      </c>
      <c r="J700" t="s">
        <v>1760</v>
      </c>
      <c r="M700"/>
      <c r="O700" s="93"/>
    </row>
    <row r="701" spans="1:15">
      <c r="A701" s="19" t="s">
        <v>101</v>
      </c>
      <c r="B701" s="20" t="s">
        <v>102</v>
      </c>
      <c r="C701" s="19" t="s">
        <v>73</v>
      </c>
      <c r="D701" s="20"/>
      <c r="E701" s="3">
        <v>1082082.76</v>
      </c>
      <c r="F701" s="24">
        <v>0.72734357213121104</v>
      </c>
      <c r="G701" s="26">
        <v>787045.94</v>
      </c>
      <c r="H701" t="s">
        <v>1806</v>
      </c>
      <c r="M701"/>
      <c r="O701" s="93"/>
    </row>
    <row r="702" spans="1:15">
      <c r="A702" s="13" t="s">
        <v>103</v>
      </c>
      <c r="B702" s="22" t="s">
        <v>104</v>
      </c>
      <c r="C702" s="15" t="s">
        <v>73</v>
      </c>
      <c r="D702" s="16"/>
      <c r="E702" s="2">
        <v>705727.13</v>
      </c>
      <c r="F702" s="23">
        <v>0.58630825202936443</v>
      </c>
      <c r="G702" s="49">
        <v>413773.64</v>
      </c>
      <c r="H702" t="s">
        <v>1806</v>
      </c>
      <c r="M702"/>
      <c r="O702" s="93"/>
    </row>
    <row r="703" spans="1:15">
      <c r="A703" s="17" t="s">
        <v>105</v>
      </c>
      <c r="B703" s="18" t="s">
        <v>106</v>
      </c>
      <c r="C703" s="19" t="s">
        <v>73</v>
      </c>
      <c r="D703" s="20"/>
      <c r="E703" s="3">
        <v>968241.67</v>
      </c>
      <c r="F703" s="24">
        <v>0.91151727646673164</v>
      </c>
      <c r="G703" s="49">
        <v>882569.01</v>
      </c>
      <c r="H703" t="s">
        <v>1806</v>
      </c>
      <c r="M703"/>
      <c r="O703" s="93"/>
    </row>
    <row r="704" spans="1:15">
      <c r="A704" s="19" t="s">
        <v>109</v>
      </c>
      <c r="B704" s="20" t="s">
        <v>110</v>
      </c>
      <c r="C704" s="19" t="s">
        <v>73</v>
      </c>
      <c r="D704" s="20"/>
      <c r="E704" s="3">
        <v>954583.08</v>
      </c>
      <c r="F704" s="24">
        <v>0.94689250096492394</v>
      </c>
      <c r="G704" s="49">
        <v>903887.56</v>
      </c>
      <c r="H704" t="s">
        <v>1806</v>
      </c>
      <c r="M704"/>
      <c r="O704" s="93"/>
    </row>
    <row r="705" spans="1:15">
      <c r="A705" s="13" t="s">
        <v>111</v>
      </c>
      <c r="B705" s="22" t="s">
        <v>112</v>
      </c>
      <c r="C705" s="15" t="s">
        <v>73</v>
      </c>
      <c r="D705" s="16"/>
      <c r="E705" s="2">
        <v>473070.95</v>
      </c>
      <c r="F705" s="23">
        <v>0.95733910526528843</v>
      </c>
      <c r="G705" s="26">
        <v>452889.32</v>
      </c>
      <c r="H705" t="s">
        <v>1806</v>
      </c>
      <c r="M705"/>
      <c r="O705" s="93"/>
    </row>
    <row r="706" spans="1:15">
      <c r="A706" s="17" t="s">
        <v>113</v>
      </c>
      <c r="B706" s="18" t="s">
        <v>114</v>
      </c>
      <c r="C706" s="19" t="s">
        <v>73</v>
      </c>
      <c r="D706" s="20"/>
      <c r="E706" s="3">
        <v>461116.57</v>
      </c>
      <c r="F706" s="24">
        <v>0.95381113717080257</v>
      </c>
      <c r="G706" s="26">
        <v>439818.12</v>
      </c>
      <c r="H706" t="s">
        <v>1806</v>
      </c>
      <c r="M706"/>
      <c r="O706" s="93"/>
    </row>
    <row r="707" spans="1:15">
      <c r="A707" s="19" t="s">
        <v>117</v>
      </c>
      <c r="B707" s="20" t="s">
        <v>118</v>
      </c>
      <c r="C707" s="19" t="s">
        <v>73</v>
      </c>
      <c r="D707" s="20"/>
      <c r="E707" s="3">
        <v>1033482.79</v>
      </c>
      <c r="F707" s="24">
        <v>0.95258195833140102</v>
      </c>
      <c r="G707" s="26">
        <v>984477.06</v>
      </c>
      <c r="H707" t="s">
        <v>1806</v>
      </c>
      <c r="M707"/>
      <c r="O707" s="93"/>
    </row>
    <row r="708" spans="1:15">
      <c r="A708" s="13" t="s">
        <v>119</v>
      </c>
      <c r="B708" s="22" t="s">
        <v>120</v>
      </c>
      <c r="C708" s="15" t="s">
        <v>73</v>
      </c>
      <c r="D708" s="16"/>
      <c r="E708" s="2">
        <v>1832644.46</v>
      </c>
      <c r="F708" s="23">
        <v>0.89187225109664758</v>
      </c>
      <c r="G708" s="26">
        <v>1634484.74</v>
      </c>
      <c r="H708" t="s">
        <v>1806</v>
      </c>
      <c r="M708"/>
      <c r="O708" s="93"/>
    </row>
    <row r="709" spans="1:15">
      <c r="A709" s="17" t="s">
        <v>121</v>
      </c>
      <c r="B709" s="18" t="s">
        <v>289</v>
      </c>
      <c r="C709" s="19" t="s">
        <v>73</v>
      </c>
      <c r="D709" s="20"/>
      <c r="E709" s="3">
        <v>1005955.83</v>
      </c>
      <c r="F709" s="24">
        <v>0.86952384380534875</v>
      </c>
      <c r="G709" s="26">
        <v>874702.58</v>
      </c>
      <c r="H709" t="s">
        <v>1806</v>
      </c>
      <c r="M709"/>
      <c r="O709" s="93"/>
    </row>
    <row r="710" spans="1:15">
      <c r="A710" s="15" t="s">
        <v>290</v>
      </c>
      <c r="B710" s="16" t="s">
        <v>291</v>
      </c>
      <c r="C710" s="15" t="s">
        <v>73</v>
      </c>
      <c r="D710" s="16"/>
      <c r="E710" s="2">
        <v>1289628.03</v>
      </c>
      <c r="F710" s="23">
        <v>0.93578245969110951</v>
      </c>
      <c r="G710" s="26">
        <v>1206811.29</v>
      </c>
      <c r="H710" t="s">
        <v>1806</v>
      </c>
      <c r="M710"/>
      <c r="O710" s="93"/>
    </row>
    <row r="711" spans="1:15">
      <c r="A711" s="13" t="s">
        <v>294</v>
      </c>
      <c r="B711" s="14" t="s">
        <v>295</v>
      </c>
      <c r="C711" s="15" t="s">
        <v>73</v>
      </c>
      <c r="D711" s="16"/>
      <c r="E711" s="2">
        <v>689184.34</v>
      </c>
      <c r="F711" s="23">
        <v>0.85220041418816928</v>
      </c>
      <c r="G711" s="26">
        <v>587323.18000000005</v>
      </c>
      <c r="H711" t="s">
        <v>1806</v>
      </c>
      <c r="M711"/>
      <c r="O711" s="93"/>
    </row>
    <row r="712" spans="1:15">
      <c r="A712" s="13" t="s">
        <v>298</v>
      </c>
      <c r="B712" s="22" t="s">
        <v>299</v>
      </c>
      <c r="C712" s="15" t="s">
        <v>73</v>
      </c>
      <c r="D712" s="16"/>
      <c r="E712" s="2">
        <v>967825.37</v>
      </c>
      <c r="F712" s="23">
        <v>0.71907983771907114</v>
      </c>
      <c r="G712" s="26">
        <v>695943.71</v>
      </c>
      <c r="H712" t="s">
        <v>1806</v>
      </c>
      <c r="M712"/>
      <c r="O712" s="93"/>
    </row>
    <row r="713" spans="1:15">
      <c r="A713" s="15" t="s">
        <v>302</v>
      </c>
      <c r="B713" s="16" t="s">
        <v>303</v>
      </c>
      <c r="C713" s="15" t="s">
        <v>73</v>
      </c>
      <c r="D713" s="16"/>
      <c r="E713" s="2">
        <v>1932182.08</v>
      </c>
      <c r="F713" s="23">
        <v>0.879374339296222</v>
      </c>
      <c r="G713" s="26">
        <v>1699111.34</v>
      </c>
      <c r="H713" t="s">
        <v>1806</v>
      </c>
      <c r="M713"/>
      <c r="O713" s="93"/>
    </row>
    <row r="714" spans="1:15">
      <c r="A714" s="17" t="s">
        <v>304</v>
      </c>
      <c r="B714" s="21" t="s">
        <v>305</v>
      </c>
      <c r="C714" s="19" t="s">
        <v>73</v>
      </c>
      <c r="D714" s="20"/>
      <c r="E714" s="3">
        <v>1829346.99</v>
      </c>
      <c r="F714" s="24">
        <v>0.80667363166569073</v>
      </c>
      <c r="G714" s="26">
        <v>1475685.98</v>
      </c>
      <c r="H714" t="s">
        <v>1806</v>
      </c>
      <c r="M714"/>
      <c r="O714" s="93"/>
    </row>
    <row r="715" spans="1:15">
      <c r="A715" s="13" t="s">
        <v>306</v>
      </c>
      <c r="B715" s="22" t="s">
        <v>307</v>
      </c>
      <c r="C715" s="15" t="s">
        <v>73</v>
      </c>
      <c r="D715" s="16"/>
      <c r="E715" s="2">
        <v>694149.71</v>
      </c>
      <c r="F715" s="23">
        <v>0.6936194210900124</v>
      </c>
      <c r="G715" s="26">
        <v>481475.72</v>
      </c>
      <c r="H715" t="s">
        <v>1806</v>
      </c>
      <c r="I715" t="s">
        <v>1820</v>
      </c>
      <c r="J715" t="s">
        <v>502</v>
      </c>
      <c r="M715"/>
      <c r="O715" s="93"/>
    </row>
    <row r="716" spans="1:15">
      <c r="A716" s="19" t="s">
        <v>308</v>
      </c>
      <c r="B716" s="20" t="s">
        <v>143</v>
      </c>
      <c r="C716" s="19" t="s">
        <v>73</v>
      </c>
      <c r="D716" s="20"/>
      <c r="E716" s="3">
        <v>559227.43000000005</v>
      </c>
      <c r="F716" s="24">
        <v>0.6748453486982926</v>
      </c>
      <c r="G716" s="26">
        <v>377392.03</v>
      </c>
      <c r="H716" t="s">
        <v>1806</v>
      </c>
      <c r="I716" t="s">
        <v>1820</v>
      </c>
      <c r="J716" t="s">
        <v>1834</v>
      </c>
      <c r="M716"/>
      <c r="O716" s="93"/>
    </row>
    <row r="717" spans="1:15">
      <c r="A717" s="13" t="s">
        <v>144</v>
      </c>
      <c r="B717" s="22" t="s">
        <v>145</v>
      </c>
      <c r="C717" s="15" t="s">
        <v>73</v>
      </c>
      <c r="D717" s="16"/>
      <c r="E717" s="2">
        <v>7399000.6500000004</v>
      </c>
      <c r="F717" s="23">
        <v>0.94383182815371147</v>
      </c>
      <c r="G717" s="26">
        <v>6983412.3099999996</v>
      </c>
      <c r="H717" t="s">
        <v>1806</v>
      </c>
      <c r="M717"/>
      <c r="O717" s="93"/>
    </row>
    <row r="718" spans="1:15">
      <c r="A718" s="13" t="s">
        <v>148</v>
      </c>
      <c r="B718" s="22" t="s">
        <v>149</v>
      </c>
      <c r="C718" s="15" t="s">
        <v>73</v>
      </c>
      <c r="D718" s="16"/>
      <c r="E718" s="2">
        <v>1323872.08</v>
      </c>
      <c r="F718" s="23">
        <v>0.68323731851796432</v>
      </c>
      <c r="G718" s="26">
        <v>904518.80999999994</v>
      </c>
      <c r="H718" t="s">
        <v>1806</v>
      </c>
      <c r="M718"/>
      <c r="O718" s="93"/>
    </row>
    <row r="719" spans="1:15">
      <c r="A719" s="15" t="s">
        <v>156</v>
      </c>
      <c r="B719" s="16" t="s">
        <v>157</v>
      </c>
      <c r="C719" s="15" t="s">
        <v>73</v>
      </c>
      <c r="D719" s="16"/>
      <c r="E719" s="2">
        <v>1037781.35</v>
      </c>
      <c r="F719" s="23">
        <v>0.76055608438135847</v>
      </c>
      <c r="G719" s="26">
        <v>789290.92</v>
      </c>
      <c r="H719" t="s">
        <v>1811</v>
      </c>
      <c r="M719"/>
      <c r="O719" s="93"/>
    </row>
    <row r="720" spans="1:15">
      <c r="A720" s="17" t="s">
        <v>158</v>
      </c>
      <c r="B720" s="18" t="s">
        <v>159</v>
      </c>
      <c r="C720" s="19" t="s">
        <v>73</v>
      </c>
      <c r="D720" s="20"/>
      <c r="E720" s="3">
        <v>561236.21</v>
      </c>
      <c r="F720" s="24">
        <v>0.44800336385993345</v>
      </c>
      <c r="G720" s="26">
        <v>251435.71</v>
      </c>
      <c r="H720" t="s">
        <v>1806</v>
      </c>
      <c r="K720" t="s">
        <v>1810</v>
      </c>
      <c r="M720"/>
      <c r="O720" s="93"/>
    </row>
    <row r="721" spans="1:15">
      <c r="A721" s="13" t="s">
        <v>160</v>
      </c>
      <c r="B721" s="22" t="s">
        <v>161</v>
      </c>
      <c r="C721" s="15" t="s">
        <v>73</v>
      </c>
      <c r="D721" s="16"/>
      <c r="E721" s="2">
        <v>2556579.75</v>
      </c>
      <c r="F721" s="23">
        <v>0.80127507854976943</v>
      </c>
      <c r="G721" s="26">
        <v>2048523.64</v>
      </c>
      <c r="H721" t="s">
        <v>1806</v>
      </c>
      <c r="M721"/>
      <c r="O721" s="93"/>
    </row>
    <row r="722" spans="1:15">
      <c r="A722" s="15" t="s">
        <v>164</v>
      </c>
      <c r="B722" s="16" t="s">
        <v>165</v>
      </c>
      <c r="C722" s="15" t="s">
        <v>73</v>
      </c>
      <c r="D722" s="16"/>
      <c r="E722" s="2">
        <v>879618.34</v>
      </c>
      <c r="F722" s="23">
        <v>0.6237741359508262</v>
      </c>
      <c r="G722" s="26">
        <v>548683.17000000004</v>
      </c>
      <c r="H722" t="s">
        <v>1806</v>
      </c>
      <c r="M722"/>
      <c r="O722" s="93"/>
    </row>
    <row r="723" spans="1:15">
      <c r="A723" s="17" t="s">
        <v>166</v>
      </c>
      <c r="B723" s="18" t="s">
        <v>167</v>
      </c>
      <c r="C723" s="19" t="s">
        <v>73</v>
      </c>
      <c r="D723" s="20"/>
      <c r="E723" s="3">
        <v>1848013</v>
      </c>
      <c r="F723" s="24">
        <v>1</v>
      </c>
      <c r="G723" s="49">
        <v>1848013</v>
      </c>
      <c r="H723" t="s">
        <v>1806</v>
      </c>
      <c r="M723"/>
      <c r="O723" s="93"/>
    </row>
    <row r="724" spans="1:15">
      <c r="A724" s="13" t="s">
        <v>168</v>
      </c>
      <c r="B724" s="22" t="s">
        <v>169</v>
      </c>
      <c r="C724" s="15" t="s">
        <v>73</v>
      </c>
      <c r="D724" s="16"/>
      <c r="E724" s="2">
        <v>1814426</v>
      </c>
      <c r="F724" s="23">
        <v>1</v>
      </c>
      <c r="G724" s="49">
        <v>1814426</v>
      </c>
      <c r="H724" t="s">
        <v>1806</v>
      </c>
      <c r="M724"/>
      <c r="O724" s="93"/>
    </row>
    <row r="725" spans="1:15">
      <c r="A725" s="19" t="s">
        <v>170</v>
      </c>
      <c r="B725" s="20" t="s">
        <v>171</v>
      </c>
      <c r="C725" s="19" t="s">
        <v>73</v>
      </c>
      <c r="D725" s="20"/>
      <c r="E725" s="3">
        <v>1697813.17</v>
      </c>
      <c r="F725" s="24">
        <v>1</v>
      </c>
      <c r="G725" s="49">
        <v>1697813.17</v>
      </c>
      <c r="H725" t="s">
        <v>1806</v>
      </c>
      <c r="M725"/>
      <c r="O725" s="93"/>
    </row>
    <row r="726" spans="1:15">
      <c r="A726" s="17" t="s">
        <v>174</v>
      </c>
      <c r="B726" s="18" t="s">
        <v>175</v>
      </c>
      <c r="C726" s="19" t="s">
        <v>73</v>
      </c>
      <c r="D726" s="20"/>
      <c r="E726" s="3">
        <v>728694.6</v>
      </c>
      <c r="F726" s="24">
        <v>0.72035006160331083</v>
      </c>
      <c r="G726" s="26">
        <v>524915.19999999995</v>
      </c>
      <c r="H726" t="s">
        <v>1806</v>
      </c>
      <c r="M726"/>
      <c r="O726" s="93"/>
    </row>
    <row r="727" spans="1:15">
      <c r="A727" s="27" t="s">
        <v>182</v>
      </c>
      <c r="B727" s="35" t="s">
        <v>183</v>
      </c>
      <c r="C727" s="29" t="s">
        <v>73</v>
      </c>
      <c r="D727" s="30"/>
      <c r="E727" s="31">
        <v>4180342.98</v>
      </c>
      <c r="F727" s="32" t="s">
        <v>761</v>
      </c>
      <c r="G727" s="46">
        <v>4180342.98</v>
      </c>
      <c r="H727" s="34" t="s">
        <v>1806</v>
      </c>
      <c r="I727" s="34"/>
      <c r="J727" s="34"/>
      <c r="K727" s="34"/>
      <c r="L727" s="34"/>
      <c r="M727"/>
      <c r="O727" s="93"/>
    </row>
    <row r="728" spans="1:15">
      <c r="A728" s="29" t="s">
        <v>184</v>
      </c>
      <c r="B728" s="30" t="s">
        <v>185</v>
      </c>
      <c r="C728" s="29" t="s">
        <v>73</v>
      </c>
      <c r="D728" s="30"/>
      <c r="E728" s="31">
        <v>3763530.03</v>
      </c>
      <c r="F728" s="32" t="s">
        <v>761</v>
      </c>
      <c r="G728" s="46">
        <v>3763530.03</v>
      </c>
      <c r="H728" s="34" t="s">
        <v>1806</v>
      </c>
      <c r="I728" s="34"/>
      <c r="J728" s="34"/>
      <c r="K728" s="34"/>
      <c r="L728" s="34"/>
      <c r="M728"/>
      <c r="O728" s="93"/>
    </row>
    <row r="729" spans="1:15">
      <c r="A729" s="17" t="s">
        <v>186</v>
      </c>
      <c r="B729" s="18" t="s">
        <v>187</v>
      </c>
      <c r="C729" s="19" t="s">
        <v>73</v>
      </c>
      <c r="D729" s="20"/>
      <c r="E729" s="3">
        <v>2476348.7400000002</v>
      </c>
      <c r="F729" s="24">
        <v>0.87954130402489261</v>
      </c>
      <c r="G729" s="26">
        <v>2178051</v>
      </c>
      <c r="H729" t="s">
        <v>1806</v>
      </c>
      <c r="M729"/>
      <c r="O729" s="93"/>
    </row>
    <row r="730" spans="1:15">
      <c r="A730" s="13" t="s">
        <v>188</v>
      </c>
      <c r="B730" s="22" t="s">
        <v>189</v>
      </c>
      <c r="C730" s="15" t="s">
        <v>73</v>
      </c>
      <c r="D730" s="16"/>
      <c r="E730" s="2">
        <v>1450154.8</v>
      </c>
      <c r="F730" s="23">
        <v>0.65121844923038563</v>
      </c>
      <c r="G730" s="26">
        <v>944367.56</v>
      </c>
      <c r="H730" t="s">
        <v>1806</v>
      </c>
      <c r="M730"/>
      <c r="O730" s="93"/>
    </row>
    <row r="731" spans="1:15">
      <c r="A731" s="19" t="s">
        <v>190</v>
      </c>
      <c r="B731" s="20" t="s">
        <v>191</v>
      </c>
      <c r="C731" s="19" t="s">
        <v>73</v>
      </c>
      <c r="D731" s="20"/>
      <c r="E731" s="3">
        <v>4484235.68</v>
      </c>
      <c r="F731" s="24">
        <v>0.85045115425333762</v>
      </c>
      <c r="G731" s="26">
        <v>3813623.41</v>
      </c>
      <c r="H731" t="s">
        <v>1806</v>
      </c>
      <c r="M731"/>
      <c r="O731" s="93"/>
    </row>
    <row r="732" spans="1:15">
      <c r="A732" s="13" t="s">
        <v>192</v>
      </c>
      <c r="B732" s="22" t="s">
        <v>193</v>
      </c>
      <c r="C732" s="15" t="s">
        <v>73</v>
      </c>
      <c r="D732" s="16"/>
      <c r="E732" s="2">
        <v>3401211.28</v>
      </c>
      <c r="F732" s="23">
        <v>0.89213177900550777</v>
      </c>
      <c r="G732" s="26">
        <v>3034328.67</v>
      </c>
      <c r="H732" t="s">
        <v>1806</v>
      </c>
      <c r="M732"/>
      <c r="O732" s="93"/>
    </row>
    <row r="733" spans="1:15">
      <c r="A733" s="27" t="s">
        <v>194</v>
      </c>
      <c r="B733" s="35" t="s">
        <v>195</v>
      </c>
      <c r="C733" s="29" t="s">
        <v>73</v>
      </c>
      <c r="D733" s="30"/>
      <c r="E733" s="31">
        <v>3519361.23</v>
      </c>
      <c r="F733" s="32" t="s">
        <v>761</v>
      </c>
      <c r="G733" s="46">
        <v>3519361.23</v>
      </c>
      <c r="H733" s="34" t="s">
        <v>1806</v>
      </c>
      <c r="I733" s="34"/>
      <c r="J733" s="34"/>
      <c r="K733" s="34"/>
      <c r="L733" s="34"/>
      <c r="M733"/>
      <c r="O733" s="93"/>
    </row>
    <row r="734" spans="1:15">
      <c r="A734" s="15" t="s">
        <v>200</v>
      </c>
      <c r="B734" s="16" t="s">
        <v>201</v>
      </c>
      <c r="C734" s="15" t="s">
        <v>73</v>
      </c>
      <c r="D734" s="16"/>
      <c r="E734" s="2">
        <v>1974056.5</v>
      </c>
      <c r="F734" s="23">
        <v>0.9253068288572287</v>
      </c>
      <c r="G734" s="26">
        <v>1826607.96</v>
      </c>
      <c r="H734" t="s">
        <v>1806</v>
      </c>
      <c r="M734"/>
      <c r="O734" s="93"/>
    </row>
    <row r="735" spans="1:15">
      <c r="A735" s="13" t="s">
        <v>204</v>
      </c>
      <c r="B735" s="22" t="s">
        <v>375</v>
      </c>
      <c r="C735" s="15" t="s">
        <v>73</v>
      </c>
      <c r="D735" s="16"/>
      <c r="E735" s="2">
        <v>1435513.58</v>
      </c>
      <c r="F735" s="23">
        <v>0.68147250129114068</v>
      </c>
      <c r="G735" s="26">
        <v>978263.03</v>
      </c>
      <c r="H735" t="s">
        <v>1806</v>
      </c>
      <c r="M735"/>
      <c r="O735" s="93"/>
    </row>
    <row r="736" spans="1:15">
      <c r="A736" s="13" t="s">
        <v>378</v>
      </c>
      <c r="B736" s="22" t="s">
        <v>379</v>
      </c>
      <c r="C736" s="15" t="s">
        <v>73</v>
      </c>
      <c r="D736" s="16"/>
      <c r="E736" s="2">
        <v>4655324.33</v>
      </c>
      <c r="F736" s="23">
        <v>0.83508666301666667</v>
      </c>
      <c r="G736" s="26">
        <v>3887599.26</v>
      </c>
      <c r="H736" t="s">
        <v>1806</v>
      </c>
      <c r="M736"/>
      <c r="O736" s="93"/>
    </row>
    <row r="737" spans="1:15">
      <c r="A737" s="19" t="s">
        <v>380</v>
      </c>
      <c r="B737" s="20" t="s">
        <v>381</v>
      </c>
      <c r="C737" s="19" t="s">
        <v>73</v>
      </c>
      <c r="D737" s="20"/>
      <c r="E737" s="3">
        <v>507647</v>
      </c>
      <c r="F737" s="24">
        <v>0.55257389485213149</v>
      </c>
      <c r="G737" s="26">
        <v>280512.48</v>
      </c>
      <c r="H737" t="s">
        <v>1806</v>
      </c>
      <c r="I737" t="s">
        <v>1820</v>
      </c>
      <c r="J737" t="s">
        <v>1825</v>
      </c>
      <c r="M737"/>
      <c r="O737" s="93"/>
    </row>
    <row r="738" spans="1:15">
      <c r="A738" s="13" t="s">
        <v>382</v>
      </c>
      <c r="B738" s="22" t="s">
        <v>383</v>
      </c>
      <c r="C738" s="15" t="s">
        <v>73</v>
      </c>
      <c r="D738" s="16"/>
      <c r="E738" s="2">
        <v>1229036.3400000001</v>
      </c>
      <c r="F738" s="23">
        <v>0.7034559450048482</v>
      </c>
      <c r="G738" s="26">
        <v>864572.91999999993</v>
      </c>
      <c r="H738" t="s">
        <v>1806</v>
      </c>
      <c r="M738"/>
      <c r="O738" s="93"/>
    </row>
    <row r="739" spans="1:15">
      <c r="A739" s="17" t="s">
        <v>384</v>
      </c>
      <c r="B739" s="18" t="s">
        <v>385</v>
      </c>
      <c r="C739" s="19" t="s">
        <v>73</v>
      </c>
      <c r="D739" s="20"/>
      <c r="E739" s="3">
        <v>766545.71</v>
      </c>
      <c r="F739" s="24">
        <v>0.54223118670900916</v>
      </c>
      <c r="G739" s="26">
        <v>415644.99</v>
      </c>
      <c r="H739" t="s">
        <v>1806</v>
      </c>
      <c r="M739"/>
      <c r="O739" s="93"/>
    </row>
    <row r="740" spans="1:15">
      <c r="A740" s="15" t="s">
        <v>386</v>
      </c>
      <c r="B740" s="16" t="s">
        <v>387</v>
      </c>
      <c r="C740" s="15" t="s">
        <v>73</v>
      </c>
      <c r="D740" s="16"/>
      <c r="E740" s="2">
        <v>1782957.04</v>
      </c>
      <c r="F740" s="23">
        <v>0.7642940179871075</v>
      </c>
      <c r="G740" s="26">
        <v>1362703.4</v>
      </c>
      <c r="H740" t="s">
        <v>1806</v>
      </c>
      <c r="M740"/>
      <c r="O740" s="93"/>
    </row>
    <row r="741" spans="1:15">
      <c r="A741" s="17" t="s">
        <v>388</v>
      </c>
      <c r="B741" s="21" t="s">
        <v>389</v>
      </c>
      <c r="C741" s="19" t="s">
        <v>73</v>
      </c>
      <c r="D741" s="20"/>
      <c r="E741" s="3">
        <v>806566.09</v>
      </c>
      <c r="F741" s="24">
        <v>0.91754504581267482</v>
      </c>
      <c r="G741" s="26">
        <v>740060.72</v>
      </c>
      <c r="H741" t="s">
        <v>1806</v>
      </c>
      <c r="M741"/>
      <c r="O741" s="93"/>
    </row>
    <row r="742" spans="1:15">
      <c r="A742" s="13" t="s">
        <v>390</v>
      </c>
      <c r="B742" s="22" t="s">
        <v>391</v>
      </c>
      <c r="C742" s="15" t="s">
        <v>73</v>
      </c>
      <c r="D742" s="16"/>
      <c r="E742" s="2">
        <v>1937465.73</v>
      </c>
      <c r="F742" s="23">
        <v>0.95978459448673703</v>
      </c>
      <c r="G742" s="26">
        <v>1859549.76</v>
      </c>
      <c r="H742" t="s">
        <v>1806</v>
      </c>
      <c r="M742"/>
      <c r="O742" s="93"/>
    </row>
    <row r="743" spans="1:15">
      <c r="A743" s="19" t="s">
        <v>392</v>
      </c>
      <c r="B743" s="20" t="s">
        <v>393</v>
      </c>
      <c r="C743" s="19" t="s">
        <v>73</v>
      </c>
      <c r="D743" s="20"/>
      <c r="E743" s="3">
        <v>847373.33</v>
      </c>
      <c r="F743" s="24">
        <v>0.60335091027705579</v>
      </c>
      <c r="G743" s="26">
        <v>511263.47</v>
      </c>
      <c r="H743" t="s">
        <v>1806</v>
      </c>
      <c r="M743"/>
      <c r="O743" s="93"/>
    </row>
    <row r="744" spans="1:15">
      <c r="A744" s="13" t="s">
        <v>228</v>
      </c>
      <c r="B744" s="22" t="s">
        <v>229</v>
      </c>
      <c r="C744" s="15" t="s">
        <v>73</v>
      </c>
      <c r="D744" s="16"/>
      <c r="E744" s="2">
        <v>732239.56</v>
      </c>
      <c r="F744" s="23">
        <v>0.88395428949509369</v>
      </c>
      <c r="G744" s="26">
        <v>647266.30000000005</v>
      </c>
      <c r="H744" t="s">
        <v>1806</v>
      </c>
      <c r="M744"/>
      <c r="O744" s="93"/>
    </row>
    <row r="745" spans="1:15">
      <c r="A745" s="17" t="s">
        <v>230</v>
      </c>
      <c r="B745" s="18" t="s">
        <v>231</v>
      </c>
      <c r="C745" s="19" t="s">
        <v>73</v>
      </c>
      <c r="D745" s="20"/>
      <c r="E745" s="3">
        <v>1028369.87</v>
      </c>
      <c r="F745" s="24">
        <v>0.67001650874893881</v>
      </c>
      <c r="G745" s="26">
        <v>689024.79</v>
      </c>
      <c r="H745" t="s">
        <v>1806</v>
      </c>
      <c r="M745"/>
      <c r="O745" s="93"/>
    </row>
    <row r="746" spans="1:15">
      <c r="A746" s="15" t="s">
        <v>232</v>
      </c>
      <c r="B746" s="16" t="s">
        <v>233</v>
      </c>
      <c r="C746" s="15" t="s">
        <v>73</v>
      </c>
      <c r="D746" s="16"/>
      <c r="E746" s="2">
        <v>1985048.31</v>
      </c>
      <c r="F746" s="23">
        <v>0.96836332915242751</v>
      </c>
      <c r="G746" s="26">
        <v>1922247.99</v>
      </c>
      <c r="H746" t="s">
        <v>1806</v>
      </c>
      <c r="M746"/>
      <c r="O746" s="93"/>
    </row>
    <row r="747" spans="1:15">
      <c r="A747" s="13" t="s">
        <v>236</v>
      </c>
      <c r="B747" s="22" t="s">
        <v>237</v>
      </c>
      <c r="C747" s="15" t="s">
        <v>73</v>
      </c>
      <c r="D747" s="16"/>
      <c r="E747" s="2">
        <v>3267257.76</v>
      </c>
      <c r="F747" s="23">
        <v>0.93845877345165452</v>
      </c>
      <c r="G747" s="26">
        <v>3066186.71</v>
      </c>
      <c r="H747" t="s">
        <v>1806</v>
      </c>
      <c r="M747"/>
      <c r="O747" s="93"/>
    </row>
    <row r="748" spans="1:15">
      <c r="A748" s="17" t="s">
        <v>238</v>
      </c>
      <c r="B748" s="18" t="s">
        <v>239</v>
      </c>
      <c r="C748" s="19" t="s">
        <v>73</v>
      </c>
      <c r="D748" s="20"/>
      <c r="E748" s="3">
        <v>1292560.5900000001</v>
      </c>
      <c r="F748" s="24">
        <v>0.55289864593504279</v>
      </c>
      <c r="G748" s="26">
        <v>714655</v>
      </c>
      <c r="H748" t="s">
        <v>1806</v>
      </c>
      <c r="M748"/>
      <c r="O748" s="93"/>
    </row>
    <row r="749" spans="1:15">
      <c r="A749" s="19" t="s">
        <v>242</v>
      </c>
      <c r="B749" s="20" t="s">
        <v>243</v>
      </c>
      <c r="C749" s="19" t="s">
        <v>73</v>
      </c>
      <c r="D749" s="20"/>
      <c r="E749" s="3">
        <v>2755979.36</v>
      </c>
      <c r="F749" s="24">
        <v>0.71667649934794864</v>
      </c>
      <c r="G749" s="26">
        <v>1975145.64</v>
      </c>
      <c r="H749" t="s">
        <v>1806</v>
      </c>
      <c r="M749"/>
      <c r="O749" s="93"/>
    </row>
    <row r="750" spans="1:15">
      <c r="A750" s="13" t="s">
        <v>248</v>
      </c>
      <c r="B750" s="22" t="s">
        <v>249</v>
      </c>
      <c r="C750" s="15" t="s">
        <v>73</v>
      </c>
      <c r="D750" s="16"/>
      <c r="E750" s="2">
        <v>362918.02</v>
      </c>
      <c r="F750" s="23">
        <v>0.7313194864228566</v>
      </c>
      <c r="G750" s="26">
        <v>265409.02</v>
      </c>
      <c r="H750" t="s">
        <v>1806</v>
      </c>
      <c r="M750"/>
      <c r="O750" s="93"/>
    </row>
    <row r="751" spans="1:15">
      <c r="A751" s="17" t="s">
        <v>250</v>
      </c>
      <c r="B751" s="18" t="s">
        <v>251</v>
      </c>
      <c r="C751" s="19" t="s">
        <v>73</v>
      </c>
      <c r="D751" s="20"/>
      <c r="E751" s="3">
        <v>735242.95</v>
      </c>
      <c r="F751" s="24">
        <v>0.61645763485389427</v>
      </c>
      <c r="G751" s="26">
        <v>453246.13</v>
      </c>
      <c r="H751" t="s">
        <v>1806</v>
      </c>
      <c r="M751"/>
      <c r="O751" s="93"/>
    </row>
    <row r="752" spans="1:15">
      <c r="A752" s="15" t="s">
        <v>252</v>
      </c>
      <c r="B752" s="16" t="s">
        <v>253</v>
      </c>
      <c r="C752" s="15" t="s">
        <v>73</v>
      </c>
      <c r="D752" s="16"/>
      <c r="E752" s="2">
        <v>653845.57999999996</v>
      </c>
      <c r="F752" s="23">
        <v>0.34247982528229376</v>
      </c>
      <c r="G752" s="26">
        <v>223928.92</v>
      </c>
      <c r="H752" t="s">
        <v>1806</v>
      </c>
      <c r="M752"/>
      <c r="O752" s="93"/>
    </row>
    <row r="753" spans="1:15">
      <c r="A753" s="17" t="s">
        <v>262</v>
      </c>
      <c r="B753" s="18" t="s">
        <v>263</v>
      </c>
      <c r="C753" s="19" t="s">
        <v>73</v>
      </c>
      <c r="D753" s="20"/>
      <c r="E753" s="3">
        <v>1357867.03</v>
      </c>
      <c r="F753" s="24">
        <v>0.78949657537527818</v>
      </c>
      <c r="G753" s="26">
        <v>1072031.3700000001</v>
      </c>
      <c r="H753" t="s">
        <v>1806</v>
      </c>
      <c r="M753"/>
      <c r="O753" s="93"/>
    </row>
    <row r="754" spans="1:15">
      <c r="A754" s="13" t="s">
        <v>264</v>
      </c>
      <c r="B754" s="22" t="s">
        <v>265</v>
      </c>
      <c r="C754" s="15" t="s">
        <v>73</v>
      </c>
      <c r="D754" s="16"/>
      <c r="E754" s="2">
        <v>196282.65</v>
      </c>
      <c r="F754" s="23">
        <v>0.99497046733371497</v>
      </c>
      <c r="G754" s="26">
        <v>195295.44</v>
      </c>
      <c r="H754" t="s">
        <v>1806</v>
      </c>
      <c r="M754"/>
      <c r="O754" s="93"/>
    </row>
    <row r="755" spans="1:15">
      <c r="A755" s="19" t="s">
        <v>266</v>
      </c>
      <c r="B755" s="20" t="s">
        <v>267</v>
      </c>
      <c r="C755" s="19" t="s">
        <v>73</v>
      </c>
      <c r="D755" s="20"/>
      <c r="E755" s="3">
        <v>2727062.22</v>
      </c>
      <c r="F755" s="24">
        <v>0.83799315733984236</v>
      </c>
      <c r="G755" s="26">
        <v>2285259.48</v>
      </c>
      <c r="H755" t="s">
        <v>1806</v>
      </c>
      <c r="M755"/>
      <c r="O755" s="93"/>
    </row>
    <row r="756" spans="1:15">
      <c r="A756" s="13" t="s">
        <v>268</v>
      </c>
      <c r="B756" s="22" t="s">
        <v>269</v>
      </c>
      <c r="C756" s="15" t="s">
        <v>73</v>
      </c>
      <c r="D756" s="16"/>
      <c r="E756" s="2">
        <v>1527935.84</v>
      </c>
      <c r="F756" s="23">
        <v>0.69312511185024617</v>
      </c>
      <c r="G756" s="26">
        <v>1059050.7</v>
      </c>
      <c r="H756" t="s">
        <v>1806</v>
      </c>
      <c r="M756"/>
      <c r="O756" s="93"/>
    </row>
    <row r="757" spans="1:15">
      <c r="A757" s="17" t="s">
        <v>274</v>
      </c>
      <c r="B757" s="18" t="s">
        <v>275</v>
      </c>
      <c r="C757" s="19" t="s">
        <v>73</v>
      </c>
      <c r="D757" s="20"/>
      <c r="E757" s="3">
        <v>1042124.02</v>
      </c>
      <c r="F757" s="24">
        <v>0.85803320222865609</v>
      </c>
      <c r="G757" s="26">
        <v>894177.01</v>
      </c>
      <c r="H757" t="s">
        <v>1806</v>
      </c>
      <c r="M757"/>
      <c r="O757" s="93"/>
    </row>
    <row r="758" spans="1:15">
      <c r="A758" s="29" t="s">
        <v>278</v>
      </c>
      <c r="B758" s="30" t="s">
        <v>279</v>
      </c>
      <c r="C758" s="29" t="s">
        <v>73</v>
      </c>
      <c r="D758" s="30"/>
      <c r="E758" s="45">
        <v>3463623.58</v>
      </c>
      <c r="F758" s="32" t="s">
        <v>761</v>
      </c>
      <c r="G758" s="40">
        <v>3463623.58</v>
      </c>
      <c r="H758" s="34" t="s">
        <v>1806</v>
      </c>
      <c r="I758" s="34"/>
      <c r="J758" s="34"/>
      <c r="K758" s="34"/>
      <c r="L758" s="34"/>
      <c r="M758"/>
      <c r="O758" s="93"/>
    </row>
    <row r="759" spans="1:15">
      <c r="A759" s="27" t="s">
        <v>280</v>
      </c>
      <c r="B759" s="35" t="s">
        <v>281</v>
      </c>
      <c r="C759" s="29" t="s">
        <v>73</v>
      </c>
      <c r="D759" s="30"/>
      <c r="E759" s="31">
        <v>1505871.88</v>
      </c>
      <c r="F759" s="32" t="s">
        <v>761</v>
      </c>
      <c r="G759" s="46">
        <v>1505871.88</v>
      </c>
      <c r="H759" s="34" t="s">
        <v>1806</v>
      </c>
      <c r="I759" s="34"/>
      <c r="J759" s="34"/>
      <c r="K759" s="34"/>
      <c r="L759" s="34"/>
      <c r="M759"/>
      <c r="O759" s="93"/>
    </row>
    <row r="760" spans="1:15">
      <c r="A760" s="13" t="s">
        <v>284</v>
      </c>
      <c r="B760" s="22" t="s">
        <v>285</v>
      </c>
      <c r="C760" s="15" t="s">
        <v>73</v>
      </c>
      <c r="D760" s="16"/>
      <c r="E760" s="2">
        <v>1222466.77</v>
      </c>
      <c r="F760" s="23">
        <v>0.6763137864270945</v>
      </c>
      <c r="G760" s="26">
        <v>826771.13000000012</v>
      </c>
      <c r="H760" t="s">
        <v>1806</v>
      </c>
      <c r="M760"/>
      <c r="O760" s="93"/>
    </row>
    <row r="761" spans="1:15">
      <c r="A761" s="19" t="s">
        <v>286</v>
      </c>
      <c r="B761" s="20" t="s">
        <v>287</v>
      </c>
      <c r="C761" s="19" t="s">
        <v>73</v>
      </c>
      <c r="D761" s="20"/>
      <c r="E761" s="3">
        <v>880682.87</v>
      </c>
      <c r="F761" s="24">
        <v>0.75484531679377387</v>
      </c>
      <c r="G761" s="26">
        <v>664779.34</v>
      </c>
      <c r="H761" t="s">
        <v>1806</v>
      </c>
      <c r="M761"/>
      <c r="O761" s="93"/>
    </row>
    <row r="762" spans="1:15">
      <c r="A762" s="13" t="s">
        <v>288</v>
      </c>
      <c r="B762" s="22" t="s">
        <v>480</v>
      </c>
      <c r="C762" s="15" t="s">
        <v>73</v>
      </c>
      <c r="D762" s="16"/>
      <c r="E762" s="2">
        <v>825505.77</v>
      </c>
      <c r="F762" s="23">
        <v>0.72825040338603575</v>
      </c>
      <c r="G762" s="26">
        <v>601174.91</v>
      </c>
      <c r="H762" t="s">
        <v>1806</v>
      </c>
      <c r="M762"/>
      <c r="O762" s="93"/>
    </row>
    <row r="763" spans="1:15">
      <c r="A763" s="17" t="s">
        <v>481</v>
      </c>
      <c r="B763" s="18" t="s">
        <v>482</v>
      </c>
      <c r="C763" s="19" t="s">
        <v>73</v>
      </c>
      <c r="D763" s="20"/>
      <c r="E763" s="3">
        <v>4746775.3099999996</v>
      </c>
      <c r="F763" s="24">
        <v>0.80517927021913338</v>
      </c>
      <c r="G763" s="26">
        <v>3822005.08</v>
      </c>
      <c r="H763" t="s">
        <v>1806</v>
      </c>
      <c r="M763"/>
      <c r="O763" s="93"/>
    </row>
    <row r="764" spans="1:15">
      <c r="A764" s="15" t="s">
        <v>483</v>
      </c>
      <c r="B764" s="16" t="s">
        <v>484</v>
      </c>
      <c r="C764" s="15" t="s">
        <v>73</v>
      </c>
      <c r="D764" s="16"/>
      <c r="E764" s="2">
        <v>730744.86</v>
      </c>
      <c r="F764" s="23">
        <v>0.77665394731616721</v>
      </c>
      <c r="G764" s="26">
        <v>567535.88</v>
      </c>
      <c r="H764" t="s">
        <v>1806</v>
      </c>
      <c r="M764"/>
      <c r="O764" s="93"/>
    </row>
    <row r="765" spans="1:15">
      <c r="A765" s="17" t="s">
        <v>485</v>
      </c>
      <c r="B765" s="18" t="s">
        <v>486</v>
      </c>
      <c r="C765" s="19" t="s">
        <v>73</v>
      </c>
      <c r="D765" s="20"/>
      <c r="E765" s="3">
        <v>500595.68</v>
      </c>
      <c r="F765" s="24">
        <v>0.90095669623037899</v>
      </c>
      <c r="G765" s="26">
        <v>451015.03</v>
      </c>
      <c r="H765" t="s">
        <v>1806</v>
      </c>
      <c r="M765"/>
      <c r="O765" s="93"/>
    </row>
    <row r="766" spans="1:15">
      <c r="A766" s="17" t="s">
        <v>493</v>
      </c>
      <c r="B766" s="18" t="s">
        <v>494</v>
      </c>
      <c r="C766" s="19" t="s">
        <v>73</v>
      </c>
      <c r="D766" s="20"/>
      <c r="E766" s="3">
        <v>2727743.71</v>
      </c>
      <c r="F766" s="24">
        <v>0.88385341377984517</v>
      </c>
      <c r="G766" s="26">
        <v>2410925.59</v>
      </c>
      <c r="H766" t="s">
        <v>1806</v>
      </c>
      <c r="M766"/>
      <c r="O766" s="93"/>
    </row>
    <row r="767" spans="1:15">
      <c r="A767" s="19" t="s">
        <v>497</v>
      </c>
      <c r="B767" s="20" t="s">
        <v>498</v>
      </c>
      <c r="C767" s="19" t="s">
        <v>73</v>
      </c>
      <c r="D767" s="20"/>
      <c r="E767" s="3">
        <v>871404.8</v>
      </c>
      <c r="F767" s="24">
        <v>0.52577297026594294</v>
      </c>
      <c r="G767" s="26">
        <v>458161.08999999997</v>
      </c>
      <c r="H767" t="s">
        <v>1806</v>
      </c>
      <c r="M767"/>
      <c r="O767" s="93"/>
    </row>
    <row r="768" spans="1:15">
      <c r="A768" s="13" t="s">
        <v>499</v>
      </c>
      <c r="B768" s="22" t="s">
        <v>309</v>
      </c>
      <c r="C768" s="15" t="s">
        <v>73</v>
      </c>
      <c r="D768" s="16"/>
      <c r="E768" s="2">
        <v>729230</v>
      </c>
      <c r="F768" s="23">
        <v>0.99849978744703316</v>
      </c>
      <c r="G768" s="26">
        <v>728136</v>
      </c>
      <c r="H768" t="s">
        <v>1806</v>
      </c>
      <c r="M768"/>
      <c r="O768" s="93"/>
    </row>
    <row r="769" spans="1:15">
      <c r="A769" s="17" t="s">
        <v>310</v>
      </c>
      <c r="B769" s="18" t="s">
        <v>311</v>
      </c>
      <c r="C769" s="19" t="s">
        <v>73</v>
      </c>
      <c r="D769" s="20"/>
      <c r="E769" s="3">
        <v>909606</v>
      </c>
      <c r="F769" s="24">
        <v>1</v>
      </c>
      <c r="G769" s="26">
        <v>909606</v>
      </c>
      <c r="H769" t="s">
        <v>1806</v>
      </c>
      <c r="M769"/>
      <c r="O769" s="93"/>
    </row>
    <row r="770" spans="1:15">
      <c r="A770" s="15" t="s">
        <v>312</v>
      </c>
      <c r="B770" s="16" t="s">
        <v>313</v>
      </c>
      <c r="C770" s="15" t="s">
        <v>73</v>
      </c>
      <c r="D770" s="16"/>
      <c r="E770" s="2">
        <v>835934</v>
      </c>
      <c r="F770" s="23">
        <v>0.99885278024341639</v>
      </c>
      <c r="G770" s="26">
        <v>834975</v>
      </c>
      <c r="H770" t="s">
        <v>1806</v>
      </c>
      <c r="M770"/>
      <c r="O770" s="93"/>
    </row>
    <row r="771" spans="1:15">
      <c r="A771" s="17" t="s">
        <v>314</v>
      </c>
      <c r="B771" s="18" t="s">
        <v>315</v>
      </c>
      <c r="C771" s="19" t="s">
        <v>73</v>
      </c>
      <c r="D771" s="20"/>
      <c r="E771" s="3">
        <v>277522.46999999997</v>
      </c>
      <c r="F771" s="24">
        <v>0.94122382234490787</v>
      </c>
      <c r="G771" s="26">
        <v>261210.76</v>
      </c>
      <c r="H771" t="s">
        <v>1806</v>
      </c>
      <c r="M771"/>
      <c r="O771" s="93"/>
    </row>
    <row r="772" spans="1:15">
      <c r="A772" s="13" t="s">
        <v>316</v>
      </c>
      <c r="B772" s="22" t="s">
        <v>317</v>
      </c>
      <c r="C772" s="15" t="s">
        <v>73</v>
      </c>
      <c r="D772" s="16"/>
      <c r="E772" s="2">
        <v>955114.24</v>
      </c>
      <c r="F772" s="23">
        <v>0.80284671496469362</v>
      </c>
      <c r="G772" s="26">
        <v>766810.33</v>
      </c>
      <c r="H772" t="s">
        <v>1806</v>
      </c>
      <c r="M772"/>
      <c r="O772" s="93"/>
    </row>
    <row r="773" spans="1:15">
      <c r="A773" s="19" t="s">
        <v>318</v>
      </c>
      <c r="B773" s="20" t="s">
        <v>319</v>
      </c>
      <c r="C773" s="19" t="s">
        <v>73</v>
      </c>
      <c r="D773" s="20"/>
      <c r="E773" s="3">
        <v>622949.76</v>
      </c>
      <c r="F773" s="24">
        <v>0.7780976591113864</v>
      </c>
      <c r="G773" s="26">
        <v>484715.75</v>
      </c>
      <c r="H773" t="s">
        <v>1806</v>
      </c>
      <c r="M773"/>
      <c r="O773" s="93"/>
    </row>
    <row r="774" spans="1:15">
      <c r="A774" s="17" t="s">
        <v>322</v>
      </c>
      <c r="B774" s="18" t="s">
        <v>323</v>
      </c>
      <c r="C774" s="19" t="s">
        <v>73</v>
      </c>
      <c r="D774" s="20"/>
      <c r="E774" s="3">
        <v>472096.61</v>
      </c>
      <c r="F774" s="24">
        <v>0.98586107195304795</v>
      </c>
      <c r="G774" s="26">
        <v>465421.67</v>
      </c>
      <c r="H774" t="s">
        <v>1806</v>
      </c>
      <c r="M774"/>
      <c r="O774" s="93"/>
    </row>
    <row r="775" spans="1:15">
      <c r="A775" s="17" t="s">
        <v>326</v>
      </c>
      <c r="B775" s="18" t="s">
        <v>327</v>
      </c>
      <c r="C775" s="19" t="s">
        <v>73</v>
      </c>
      <c r="D775" s="20"/>
      <c r="E775" s="3">
        <v>1657794.01</v>
      </c>
      <c r="F775" s="24">
        <v>0.94485401717671791</v>
      </c>
      <c r="G775" s="26">
        <v>1566373.33</v>
      </c>
      <c r="H775" t="s">
        <v>1806</v>
      </c>
      <c r="M775"/>
      <c r="O775" s="93"/>
    </row>
    <row r="776" spans="1:15">
      <c r="A776" s="15" t="s">
        <v>328</v>
      </c>
      <c r="B776" s="16" t="s">
        <v>329</v>
      </c>
      <c r="C776" s="15" t="s">
        <v>73</v>
      </c>
      <c r="D776" s="16"/>
      <c r="E776" s="2">
        <v>1344443.63</v>
      </c>
      <c r="F776" s="23">
        <v>0.80088339590704904</v>
      </c>
      <c r="G776" s="26">
        <v>1076742.58</v>
      </c>
      <c r="H776" t="s">
        <v>1806</v>
      </c>
      <c r="M776"/>
      <c r="O776" s="93"/>
    </row>
    <row r="777" spans="1:15">
      <c r="A777" s="17" t="s">
        <v>330</v>
      </c>
      <c r="B777" s="18" t="s">
        <v>331</v>
      </c>
      <c r="C777" s="19" t="s">
        <v>73</v>
      </c>
      <c r="D777" s="20"/>
      <c r="E777" s="3">
        <v>993537.32</v>
      </c>
      <c r="F777" s="24">
        <v>0.87316983724375852</v>
      </c>
      <c r="G777" s="26">
        <v>867526.82</v>
      </c>
      <c r="H777" t="s">
        <v>1806</v>
      </c>
      <c r="M777"/>
      <c r="O777" s="93"/>
    </row>
    <row r="778" spans="1:15">
      <c r="A778" s="17" t="s">
        <v>334</v>
      </c>
      <c r="B778" s="18" t="s">
        <v>335</v>
      </c>
      <c r="C778" s="19" t="s">
        <v>73</v>
      </c>
      <c r="D778" s="20"/>
      <c r="E778" s="3">
        <v>78367.070000000007</v>
      </c>
      <c r="F778" s="24">
        <v>1</v>
      </c>
      <c r="G778" s="26">
        <v>78367.070000000007</v>
      </c>
      <c r="H778" t="s">
        <v>1806</v>
      </c>
      <c r="M778"/>
      <c r="O778" s="93"/>
    </row>
    <row r="779" spans="1:15">
      <c r="A779" s="15" t="s">
        <v>340</v>
      </c>
      <c r="B779" s="16" t="s">
        <v>341</v>
      </c>
      <c r="C779" s="15" t="s">
        <v>73</v>
      </c>
      <c r="D779" s="16"/>
      <c r="E779" s="2">
        <v>1352791.03</v>
      </c>
      <c r="F779" s="23">
        <v>0.7711274150006745</v>
      </c>
      <c r="G779" s="26">
        <v>1043174.2499999999</v>
      </c>
      <c r="H779" t="s">
        <v>1806</v>
      </c>
      <c r="M779"/>
      <c r="O779" s="93"/>
    </row>
    <row r="780" spans="1:15">
      <c r="A780" s="13" t="s">
        <v>344</v>
      </c>
      <c r="B780" s="22" t="s">
        <v>345</v>
      </c>
      <c r="C780" s="15" t="s">
        <v>73</v>
      </c>
      <c r="D780" s="16"/>
      <c r="E780" s="2">
        <v>136036.79999999999</v>
      </c>
      <c r="F780" s="23">
        <v>0.92171236018489122</v>
      </c>
      <c r="G780" s="26">
        <v>125386.8</v>
      </c>
      <c r="H780" t="s">
        <v>1806</v>
      </c>
      <c r="M780"/>
      <c r="O780" s="93"/>
    </row>
    <row r="781" spans="1:15">
      <c r="A781" s="17" t="s">
        <v>346</v>
      </c>
      <c r="B781" s="18" t="s">
        <v>347</v>
      </c>
      <c r="C781" s="19" t="s">
        <v>73</v>
      </c>
      <c r="D781" s="20"/>
      <c r="E781" s="3">
        <v>925303.72</v>
      </c>
      <c r="F781" s="24">
        <v>0.81860539802001442</v>
      </c>
      <c r="G781" s="26">
        <v>757458.62</v>
      </c>
      <c r="H781" t="s">
        <v>1806</v>
      </c>
      <c r="M781"/>
      <c r="O781" s="93"/>
    </row>
    <row r="782" spans="1:15">
      <c r="A782" s="15" t="s">
        <v>348</v>
      </c>
      <c r="B782" s="16" t="s">
        <v>349</v>
      </c>
      <c r="C782" s="15" t="s">
        <v>73</v>
      </c>
      <c r="D782" s="16"/>
      <c r="E782" s="2">
        <v>1896048.52</v>
      </c>
      <c r="F782" s="23">
        <v>0.99176155576440628</v>
      </c>
      <c r="G782" s="26">
        <v>1880428.03</v>
      </c>
      <c r="H782" t="s">
        <v>1806</v>
      </c>
      <c r="M782"/>
      <c r="O782" s="93"/>
    </row>
    <row r="783" spans="1:15">
      <c r="A783" s="13" t="s">
        <v>352</v>
      </c>
      <c r="B783" s="22" t="s">
        <v>353</v>
      </c>
      <c r="C783" s="15" t="s">
        <v>73</v>
      </c>
      <c r="D783" s="16"/>
      <c r="E783" s="2">
        <v>2407551.4</v>
      </c>
      <c r="F783" s="23">
        <v>0.96674428633174769</v>
      </c>
      <c r="G783" s="26">
        <v>2327486.56</v>
      </c>
      <c r="H783" t="s">
        <v>1806</v>
      </c>
      <c r="M783"/>
      <c r="O783" s="93"/>
    </row>
    <row r="784" spans="1:15">
      <c r="A784" s="17" t="s">
        <v>354</v>
      </c>
      <c r="B784" s="18" t="s">
        <v>355</v>
      </c>
      <c r="C784" s="19" t="s">
        <v>73</v>
      </c>
      <c r="D784" s="20"/>
      <c r="E784" s="3">
        <v>1706352</v>
      </c>
      <c r="F784" s="24">
        <v>0.83330917067521826</v>
      </c>
      <c r="G784" s="26">
        <v>1421918.77</v>
      </c>
      <c r="H784" t="s">
        <v>1806</v>
      </c>
      <c r="M784"/>
      <c r="O784" s="93"/>
    </row>
    <row r="785" spans="1:15">
      <c r="A785" s="15" t="s">
        <v>356</v>
      </c>
      <c r="B785" s="16" t="s">
        <v>357</v>
      </c>
      <c r="C785" s="15" t="s">
        <v>73</v>
      </c>
      <c r="D785" s="16"/>
      <c r="E785" s="2">
        <v>438809.74</v>
      </c>
      <c r="F785" s="23">
        <v>1</v>
      </c>
      <c r="G785" s="26">
        <v>438809.74</v>
      </c>
      <c r="H785" t="s">
        <v>1806</v>
      </c>
      <c r="I785" t="s">
        <v>1820</v>
      </c>
      <c r="J785" t="s">
        <v>564</v>
      </c>
      <c r="M785"/>
      <c r="O785" s="93"/>
    </row>
    <row r="786" spans="1:15">
      <c r="A786" s="22" t="s">
        <v>1639</v>
      </c>
      <c r="B786" s="22" t="s">
        <v>1640</v>
      </c>
      <c r="C786" s="15" t="s">
        <v>73</v>
      </c>
      <c r="D786" s="22"/>
      <c r="E786" s="43">
        <v>867175.56</v>
      </c>
      <c r="F786" s="47">
        <v>0.85944335193210475</v>
      </c>
      <c r="G786" s="26">
        <v>745288.27</v>
      </c>
      <c r="H786" t="s">
        <v>1806</v>
      </c>
      <c r="M786"/>
      <c r="O786" s="93"/>
    </row>
    <row r="787" spans="1:15">
      <c r="A787" s="18" t="s">
        <v>1641</v>
      </c>
      <c r="B787" s="21" t="s">
        <v>1642</v>
      </c>
      <c r="C787" s="19" t="s">
        <v>73</v>
      </c>
      <c r="D787" s="18"/>
      <c r="E787" s="44">
        <v>805177</v>
      </c>
      <c r="F787" s="48">
        <v>0.94991654008994286</v>
      </c>
      <c r="G787" s="26">
        <v>764850.95</v>
      </c>
      <c r="H787" t="s">
        <v>1806</v>
      </c>
      <c r="M787"/>
      <c r="O787" s="93"/>
    </row>
    <row r="788" spans="1:15">
      <c r="A788" s="18" t="s">
        <v>1645</v>
      </c>
      <c r="B788" s="18" t="s">
        <v>1646</v>
      </c>
      <c r="C788" s="19" t="s">
        <v>73</v>
      </c>
      <c r="D788" s="18"/>
      <c r="E788" s="44">
        <v>1644918.35</v>
      </c>
      <c r="F788" s="48">
        <v>0.83124952676222497</v>
      </c>
      <c r="G788" s="26">
        <v>1367337.6</v>
      </c>
      <c r="H788" t="s">
        <v>1806</v>
      </c>
      <c r="M788"/>
      <c r="O788" s="93"/>
    </row>
    <row r="789" spans="1:15">
      <c r="A789" s="22" t="s">
        <v>1647</v>
      </c>
      <c r="B789" s="22" t="s">
        <v>1648</v>
      </c>
      <c r="C789" s="13" t="s">
        <v>73</v>
      </c>
      <c r="D789" s="22"/>
      <c r="E789" s="43">
        <v>1737044.91</v>
      </c>
      <c r="F789" s="47">
        <v>0.91679186924418665</v>
      </c>
      <c r="G789" s="26">
        <v>1592508.65</v>
      </c>
      <c r="H789" t="s">
        <v>1806</v>
      </c>
      <c r="M789"/>
      <c r="O789" s="93"/>
    </row>
    <row r="790" spans="1:15">
      <c r="A790" s="18" t="s">
        <v>1649</v>
      </c>
      <c r="B790" s="18" t="s">
        <v>1650</v>
      </c>
      <c r="C790" s="17" t="s">
        <v>73</v>
      </c>
      <c r="D790" s="18"/>
      <c r="E790" s="44">
        <v>2277797.19</v>
      </c>
      <c r="F790" s="48">
        <v>0.94899625370070817</v>
      </c>
      <c r="G790" s="26">
        <v>2161621</v>
      </c>
      <c r="H790" t="s">
        <v>1806</v>
      </c>
      <c r="M790"/>
      <c r="O790" s="93"/>
    </row>
    <row r="791" spans="1:15">
      <c r="A791" s="18" t="s">
        <v>1653</v>
      </c>
      <c r="B791" s="18" t="s">
        <v>1654</v>
      </c>
      <c r="C791" s="17" t="s">
        <v>73</v>
      </c>
      <c r="D791" s="18"/>
      <c r="E791" s="44">
        <v>1580086.05</v>
      </c>
      <c r="F791" s="48">
        <v>0.81877668624439792</v>
      </c>
      <c r="G791" s="26">
        <v>1293737.6200000001</v>
      </c>
      <c r="H791" t="s">
        <v>1806</v>
      </c>
      <c r="M791"/>
      <c r="O791" s="93"/>
    </row>
    <row r="792" spans="1:15">
      <c r="A792" s="22" t="s">
        <v>1655</v>
      </c>
      <c r="B792" s="22" t="s">
        <v>1656</v>
      </c>
      <c r="C792" s="13" t="s">
        <v>73</v>
      </c>
      <c r="D792" s="22"/>
      <c r="E792" s="43">
        <v>1793470.68</v>
      </c>
      <c r="F792" s="47">
        <v>0.88400735383084161</v>
      </c>
      <c r="G792" s="26">
        <v>1585441.27</v>
      </c>
      <c r="H792" t="s">
        <v>1806</v>
      </c>
      <c r="M792"/>
      <c r="O792" s="93"/>
    </row>
    <row r="793" spans="1:15">
      <c r="A793" s="18" t="s">
        <v>1657</v>
      </c>
      <c r="B793" s="18" t="s">
        <v>1658</v>
      </c>
      <c r="C793" s="17" t="s">
        <v>73</v>
      </c>
      <c r="D793" s="18"/>
      <c r="E793" s="44">
        <v>674599.83</v>
      </c>
      <c r="F793" s="48">
        <v>0.98883117121449615</v>
      </c>
      <c r="G793" s="26">
        <v>667065.34</v>
      </c>
      <c r="H793" t="s">
        <v>1806</v>
      </c>
      <c r="M793"/>
      <c r="O793" s="93"/>
    </row>
    <row r="794" spans="1:15">
      <c r="A794" s="22" t="s">
        <v>1663</v>
      </c>
      <c r="B794" s="22" t="s">
        <v>1664</v>
      </c>
      <c r="C794" s="13" t="s">
        <v>73</v>
      </c>
      <c r="D794" s="22"/>
      <c r="E794" s="43">
        <v>973476.47</v>
      </c>
      <c r="F794" s="47">
        <v>0.72468359712895791</v>
      </c>
      <c r="G794" s="26">
        <v>705462.43</v>
      </c>
      <c r="H794" t="s">
        <v>1806</v>
      </c>
      <c r="M794"/>
      <c r="O794" s="93"/>
    </row>
    <row r="795" spans="1:15">
      <c r="A795" s="22" t="s">
        <v>1855</v>
      </c>
      <c r="B795" s="22" t="s">
        <v>1856</v>
      </c>
      <c r="C795" s="13" t="s">
        <v>73</v>
      </c>
      <c r="D795" s="22"/>
      <c r="E795" s="43">
        <v>949235.02</v>
      </c>
      <c r="F795" s="47">
        <v>0.70916313222409344</v>
      </c>
      <c r="G795" s="26">
        <v>673162.48</v>
      </c>
      <c r="H795" t="s">
        <v>1806</v>
      </c>
      <c r="M795"/>
      <c r="O795" s="93"/>
    </row>
    <row r="796" spans="1:15">
      <c r="A796" s="22" t="s">
        <v>1859</v>
      </c>
      <c r="B796" s="22" t="s">
        <v>1860</v>
      </c>
      <c r="C796" s="13" t="s">
        <v>73</v>
      </c>
      <c r="D796" s="22"/>
      <c r="E796" s="43">
        <v>1312513.19</v>
      </c>
      <c r="F796" s="47">
        <v>0.94586798019149809</v>
      </c>
      <c r="G796" s="26">
        <v>1241464.2</v>
      </c>
      <c r="H796" t="s">
        <v>1806</v>
      </c>
      <c r="M796"/>
      <c r="O796" s="93"/>
    </row>
    <row r="797" spans="1:15">
      <c r="A797" s="22" t="s">
        <v>1863</v>
      </c>
      <c r="B797" s="22" t="s">
        <v>1864</v>
      </c>
      <c r="C797" s="13" t="s">
        <v>73</v>
      </c>
      <c r="D797" s="22"/>
      <c r="E797" s="43">
        <v>1463370.03</v>
      </c>
      <c r="F797" s="47">
        <v>0.85461273250211356</v>
      </c>
      <c r="G797" s="26">
        <v>1250614.6599999999</v>
      </c>
      <c r="H797" t="s">
        <v>1806</v>
      </c>
      <c r="M797"/>
      <c r="O797" s="93"/>
    </row>
    <row r="798" spans="1:15">
      <c r="A798" s="18" t="s">
        <v>1865</v>
      </c>
      <c r="B798" s="18" t="s">
        <v>1866</v>
      </c>
      <c r="C798" s="17" t="s">
        <v>73</v>
      </c>
      <c r="D798" s="18"/>
      <c r="E798" s="44">
        <v>2894690.69</v>
      </c>
      <c r="F798" s="48">
        <v>0.84480108304766754</v>
      </c>
      <c r="G798" s="26">
        <v>2445437.83</v>
      </c>
      <c r="H798" t="s">
        <v>1806</v>
      </c>
      <c r="M798"/>
      <c r="O798" s="93"/>
    </row>
    <row r="799" spans="1:15">
      <c r="A799" s="18" t="s">
        <v>1869</v>
      </c>
      <c r="B799" s="18" t="s">
        <v>1870</v>
      </c>
      <c r="C799" s="17" t="s">
        <v>73</v>
      </c>
      <c r="D799" s="18"/>
      <c r="E799" s="44">
        <v>2719630.44</v>
      </c>
      <c r="F799" s="48">
        <v>0.85898928973599809</v>
      </c>
      <c r="G799" s="26">
        <v>2336133.42</v>
      </c>
      <c r="H799" t="s">
        <v>1806</v>
      </c>
      <c r="M799"/>
      <c r="O799" s="93"/>
    </row>
    <row r="800" spans="1:15">
      <c r="A800" s="22" t="s">
        <v>1871</v>
      </c>
      <c r="B800" s="22" t="s">
        <v>1872</v>
      </c>
      <c r="C800" s="13" t="s">
        <v>73</v>
      </c>
      <c r="D800" s="22"/>
      <c r="E800" s="43">
        <v>922346.06</v>
      </c>
      <c r="F800" s="47">
        <v>0.84042017808370095</v>
      </c>
      <c r="G800" s="26">
        <v>775158.24</v>
      </c>
      <c r="H800" t="s">
        <v>1806</v>
      </c>
      <c r="M800"/>
      <c r="O800" s="93"/>
    </row>
    <row r="801" spans="1:15">
      <c r="A801" s="22" t="s">
        <v>1875</v>
      </c>
      <c r="B801" s="22" t="s">
        <v>1696</v>
      </c>
      <c r="C801" s="13" t="s">
        <v>73</v>
      </c>
      <c r="D801" s="22"/>
      <c r="E801" s="43">
        <v>1291038.96</v>
      </c>
      <c r="F801" s="47">
        <v>0.68964780117867241</v>
      </c>
      <c r="G801" s="26">
        <v>890362.17999999993</v>
      </c>
      <c r="H801" t="s">
        <v>1806</v>
      </c>
      <c r="M801"/>
      <c r="O801" s="93"/>
    </row>
    <row r="802" spans="1:15">
      <c r="A802" s="18" t="s">
        <v>1697</v>
      </c>
      <c r="B802" s="18" t="s">
        <v>1698</v>
      </c>
      <c r="C802" s="17" t="s">
        <v>73</v>
      </c>
      <c r="D802" s="18"/>
      <c r="E802" s="44">
        <v>639636.15</v>
      </c>
      <c r="F802" s="48">
        <v>0.83126514972613719</v>
      </c>
      <c r="G802" s="26">
        <v>531707.24</v>
      </c>
      <c r="H802" t="s">
        <v>1806</v>
      </c>
      <c r="M802"/>
      <c r="O802" s="93"/>
    </row>
    <row r="803" spans="1:15">
      <c r="A803" s="22" t="s">
        <v>1699</v>
      </c>
      <c r="B803" s="22" t="s">
        <v>1700</v>
      </c>
      <c r="C803" s="13" t="s">
        <v>73</v>
      </c>
      <c r="D803" s="22"/>
      <c r="E803" s="43">
        <v>2482620.56</v>
      </c>
      <c r="F803" s="47">
        <v>0.51802844571624751</v>
      </c>
      <c r="G803" s="26">
        <v>1286068.07</v>
      </c>
      <c r="H803" t="s">
        <v>1806</v>
      </c>
      <c r="M803"/>
      <c r="O803" s="93"/>
    </row>
    <row r="804" spans="1:15">
      <c r="A804" s="18" t="s">
        <v>1701</v>
      </c>
      <c r="B804" s="18" t="s">
        <v>1702</v>
      </c>
      <c r="C804" s="17" t="s">
        <v>73</v>
      </c>
      <c r="D804" s="18"/>
      <c r="E804" s="44">
        <v>49974484.530000001</v>
      </c>
      <c r="F804" s="48">
        <v>0.88634403189110789</v>
      </c>
      <c r="G804" s="26">
        <v>44294586.109999999</v>
      </c>
      <c r="H804" t="s">
        <v>1806</v>
      </c>
      <c r="M804"/>
      <c r="O804" s="93"/>
    </row>
    <row r="805" spans="1:15">
      <c r="A805" s="22" t="s">
        <v>1703</v>
      </c>
      <c r="B805" s="22" t="s">
        <v>1704</v>
      </c>
      <c r="C805" s="13" t="s">
        <v>73</v>
      </c>
      <c r="D805" s="22"/>
      <c r="E805" s="43">
        <v>1701855.85</v>
      </c>
      <c r="F805" s="47">
        <v>0.80701544728362273</v>
      </c>
      <c r="G805" s="26">
        <v>1373423.96</v>
      </c>
      <c r="H805" t="s">
        <v>1806</v>
      </c>
      <c r="M805"/>
      <c r="O805" s="93"/>
    </row>
    <row r="806" spans="1:15">
      <c r="A806" s="22" t="s">
        <v>1707</v>
      </c>
      <c r="B806" s="22" t="s">
        <v>1708</v>
      </c>
      <c r="C806" s="13" t="s">
        <v>73</v>
      </c>
      <c r="D806" s="22"/>
      <c r="E806" s="43">
        <v>2347787.5099999998</v>
      </c>
      <c r="F806" s="47">
        <v>0.94337056508150519</v>
      </c>
      <c r="G806" s="26">
        <v>2214833.63</v>
      </c>
      <c r="H806" t="s">
        <v>1806</v>
      </c>
      <c r="M806"/>
      <c r="O806" s="93"/>
    </row>
    <row r="807" spans="1:15">
      <c r="A807" s="18" t="s">
        <v>1709</v>
      </c>
      <c r="B807" s="18" t="s">
        <v>1710</v>
      </c>
      <c r="C807" s="17" t="s">
        <v>73</v>
      </c>
      <c r="D807" s="18"/>
      <c r="E807" s="44">
        <v>2980783.42</v>
      </c>
      <c r="F807" s="48">
        <v>0.84727307360022819</v>
      </c>
      <c r="G807" s="26">
        <v>2525537.5299999998</v>
      </c>
      <c r="H807" t="s">
        <v>1806</v>
      </c>
      <c r="M807"/>
      <c r="O807" s="93"/>
    </row>
    <row r="808" spans="1:15">
      <c r="A808" s="22" t="s">
        <v>1711</v>
      </c>
      <c r="B808" s="22" t="s">
        <v>1712</v>
      </c>
      <c r="C808" s="13" t="s">
        <v>73</v>
      </c>
      <c r="D808" s="22"/>
      <c r="E808" s="43">
        <v>4463813.6500000004</v>
      </c>
      <c r="F808" s="47">
        <v>0.77719343189875312</v>
      </c>
      <c r="G808" s="26">
        <v>3469246.65</v>
      </c>
      <c r="H808" t="s">
        <v>1806</v>
      </c>
      <c r="M808"/>
      <c r="O808" s="93"/>
    </row>
    <row r="809" spans="1:15">
      <c r="A809" s="22" t="s">
        <v>1715</v>
      </c>
      <c r="B809" s="22" t="s">
        <v>1716</v>
      </c>
      <c r="C809" s="13" t="s">
        <v>73</v>
      </c>
      <c r="D809" s="22"/>
      <c r="E809" s="43">
        <v>2056941.76</v>
      </c>
      <c r="F809" s="47">
        <v>0.80783731086289967</v>
      </c>
      <c r="G809" s="26">
        <v>1661674.3</v>
      </c>
      <c r="H809" t="s">
        <v>1806</v>
      </c>
      <c r="M809"/>
      <c r="O809" s="93"/>
    </row>
    <row r="810" spans="1:15">
      <c r="A810" s="18" t="s">
        <v>1717</v>
      </c>
      <c r="B810" s="18" t="s">
        <v>1718</v>
      </c>
      <c r="C810" s="17" t="s">
        <v>73</v>
      </c>
      <c r="D810" s="18"/>
      <c r="E810" s="44">
        <v>709915.45</v>
      </c>
      <c r="F810" s="48">
        <v>0.85781651885446353</v>
      </c>
      <c r="G810" s="26">
        <v>608977.19999999995</v>
      </c>
      <c r="H810" t="s">
        <v>1806</v>
      </c>
      <c r="M810"/>
      <c r="O810" s="93"/>
    </row>
    <row r="811" spans="1:15">
      <c r="A811" s="22" t="s">
        <v>1719</v>
      </c>
      <c r="B811" s="22" t="s">
        <v>1720</v>
      </c>
      <c r="C811" s="13" t="s">
        <v>73</v>
      </c>
      <c r="D811" s="22"/>
      <c r="E811" s="43">
        <v>5045707.8099999996</v>
      </c>
      <c r="F811" s="47">
        <v>0.81223635302021191</v>
      </c>
      <c r="G811" s="26">
        <v>4098307.31</v>
      </c>
      <c r="H811" t="s">
        <v>1806</v>
      </c>
      <c r="M811"/>
      <c r="O811" s="93"/>
    </row>
    <row r="812" spans="1:15">
      <c r="A812" s="18" t="s">
        <v>1725</v>
      </c>
      <c r="B812" s="18" t="s">
        <v>1726</v>
      </c>
      <c r="C812" s="17" t="s">
        <v>73</v>
      </c>
      <c r="D812" s="18"/>
      <c r="E812" s="44">
        <v>4302445.7699999996</v>
      </c>
      <c r="F812" s="48">
        <v>0.8534989065068449</v>
      </c>
      <c r="G812" s="26">
        <v>3672132.76</v>
      </c>
      <c r="H812" t="s">
        <v>1806</v>
      </c>
      <c r="M812"/>
      <c r="O812" s="93"/>
    </row>
    <row r="813" spans="1:15">
      <c r="A813" s="22" t="s">
        <v>1727</v>
      </c>
      <c r="B813" s="22" t="s">
        <v>1728</v>
      </c>
      <c r="C813" s="13" t="s">
        <v>73</v>
      </c>
      <c r="D813" s="22"/>
      <c r="E813" s="43">
        <v>3950938.05</v>
      </c>
      <c r="F813" s="47">
        <v>0.80693861043961446</v>
      </c>
      <c r="G813" s="26">
        <v>3188164.46</v>
      </c>
      <c r="H813" t="s">
        <v>1806</v>
      </c>
      <c r="M813"/>
      <c r="O813" s="93"/>
    </row>
    <row r="814" spans="1:15">
      <c r="A814" s="22" t="s">
        <v>1735</v>
      </c>
      <c r="B814" s="22" t="s">
        <v>1736</v>
      </c>
      <c r="C814" s="13" t="s">
        <v>73</v>
      </c>
      <c r="D814" s="22"/>
      <c r="E814" s="43">
        <v>2527918.75</v>
      </c>
      <c r="F814" s="47">
        <v>0.92447532184331482</v>
      </c>
      <c r="G814" s="26">
        <v>2336998.5</v>
      </c>
      <c r="H814" t="s">
        <v>1806</v>
      </c>
      <c r="M814"/>
      <c r="O814" s="93"/>
    </row>
    <row r="815" spans="1:15">
      <c r="A815" s="18" t="s">
        <v>1737</v>
      </c>
      <c r="B815" s="18" t="s">
        <v>1738</v>
      </c>
      <c r="C815" s="17" t="s">
        <v>73</v>
      </c>
      <c r="D815" s="18"/>
      <c r="E815" s="44">
        <v>2233116.7999999998</v>
      </c>
      <c r="F815" s="48">
        <v>0.93249153828407016</v>
      </c>
      <c r="G815" s="26">
        <v>2082362.52</v>
      </c>
      <c r="H815" t="s">
        <v>1806</v>
      </c>
      <c r="M815"/>
      <c r="O815" s="93"/>
    </row>
    <row r="816" spans="1:15">
      <c r="A816" s="22" t="s">
        <v>1743</v>
      </c>
      <c r="B816" s="22" t="s">
        <v>1744</v>
      </c>
      <c r="C816" s="13" t="s">
        <v>73</v>
      </c>
      <c r="D816" s="22"/>
      <c r="E816" s="43">
        <v>3024077.79</v>
      </c>
      <c r="F816" s="47">
        <v>0.87704338782898839</v>
      </c>
      <c r="G816" s="26">
        <v>2652247.4300000002</v>
      </c>
      <c r="H816" t="s">
        <v>1806</v>
      </c>
      <c r="M816"/>
      <c r="O816" s="93"/>
    </row>
    <row r="817" spans="1:15">
      <c r="A817" s="18" t="s">
        <v>1745</v>
      </c>
      <c r="B817" s="18" t="s">
        <v>1746</v>
      </c>
      <c r="C817" s="17" t="s">
        <v>73</v>
      </c>
      <c r="D817" s="18"/>
      <c r="E817" s="44">
        <v>1550833.98</v>
      </c>
      <c r="F817" s="48">
        <v>0.89226973863443459</v>
      </c>
      <c r="G817" s="26">
        <v>1383762.23</v>
      </c>
      <c r="H817" t="s">
        <v>1806</v>
      </c>
      <c r="M817"/>
      <c r="O817" s="93"/>
    </row>
    <row r="818" spans="1:15">
      <c r="A818" s="18" t="s">
        <v>1749</v>
      </c>
      <c r="B818" s="18" t="s">
        <v>1750</v>
      </c>
      <c r="C818" s="17" t="s">
        <v>73</v>
      </c>
      <c r="D818" s="18"/>
      <c r="E818" s="44">
        <v>746521.86</v>
      </c>
      <c r="F818" s="48">
        <v>0.83389149515326988</v>
      </c>
      <c r="G818" s="26">
        <v>622518.23</v>
      </c>
      <c r="H818" t="s">
        <v>1806</v>
      </c>
      <c r="K818" t="s">
        <v>1810</v>
      </c>
      <c r="M818"/>
      <c r="O818" s="93"/>
    </row>
    <row r="819" spans="1:15">
      <c r="A819" s="22" t="s">
        <v>1751</v>
      </c>
      <c r="B819" s="22" t="s">
        <v>1752</v>
      </c>
      <c r="C819" s="13" t="s">
        <v>73</v>
      </c>
      <c r="D819" s="22"/>
      <c r="E819" s="43">
        <v>3533925.97</v>
      </c>
      <c r="F819" s="47">
        <v>0.75706388099578659</v>
      </c>
      <c r="G819" s="26">
        <v>2675407.71</v>
      </c>
      <c r="H819" t="s">
        <v>1806</v>
      </c>
      <c r="M819"/>
      <c r="O819" s="93"/>
    </row>
    <row r="820" spans="1:15">
      <c r="A820" s="22" t="s">
        <v>1755</v>
      </c>
      <c r="B820" s="22" t="s">
        <v>1756</v>
      </c>
      <c r="C820" s="13" t="s">
        <v>73</v>
      </c>
      <c r="D820" s="22"/>
      <c r="E820" s="43">
        <v>1219242.3500000001</v>
      </c>
      <c r="F820" s="47">
        <v>1</v>
      </c>
      <c r="G820" s="26">
        <v>1219242.3500000001</v>
      </c>
      <c r="H820" t="s">
        <v>1806</v>
      </c>
      <c r="M820"/>
      <c r="O820" s="93"/>
    </row>
    <row r="821" spans="1:15">
      <c r="A821" s="18" t="s">
        <v>1757</v>
      </c>
      <c r="B821" s="18" t="s">
        <v>1758</v>
      </c>
      <c r="C821" s="17" t="s">
        <v>73</v>
      </c>
      <c r="D821" s="18"/>
      <c r="E821" s="44">
        <v>4203286.54</v>
      </c>
      <c r="F821" s="48">
        <v>0.67535831854090056</v>
      </c>
      <c r="G821" s="26">
        <v>2838724.53</v>
      </c>
      <c r="H821" t="s">
        <v>1806</v>
      </c>
      <c r="M821"/>
      <c r="O821" s="93"/>
    </row>
    <row r="822" spans="1:15">
      <c r="A822" s="22" t="s">
        <v>1759</v>
      </c>
      <c r="B822" s="22" t="s">
        <v>1922</v>
      </c>
      <c r="C822" s="13" t="s">
        <v>73</v>
      </c>
      <c r="D822" s="22"/>
      <c r="E822" s="43">
        <v>2927835.44</v>
      </c>
      <c r="F822" s="47">
        <v>0.80970395658575678</v>
      </c>
      <c r="G822" s="26">
        <v>2370679.94</v>
      </c>
      <c r="H822" t="s">
        <v>1806</v>
      </c>
      <c r="M822"/>
      <c r="O822" s="93"/>
    </row>
    <row r="823" spans="1:15">
      <c r="A823" s="18" t="s">
        <v>1923</v>
      </c>
      <c r="B823" s="18" t="s">
        <v>1924</v>
      </c>
      <c r="C823" s="17" t="s">
        <v>73</v>
      </c>
      <c r="D823" s="18"/>
      <c r="E823" s="44">
        <v>8128870.4800000004</v>
      </c>
      <c r="F823" s="48">
        <v>0.79401401410937478</v>
      </c>
      <c r="G823" s="26">
        <v>6454437.0800000001</v>
      </c>
      <c r="H823" t="s">
        <v>1806</v>
      </c>
      <c r="M823"/>
      <c r="O823" s="93"/>
    </row>
    <row r="824" spans="1:15">
      <c r="A824" s="18" t="s">
        <v>1927</v>
      </c>
      <c r="B824" s="18" t="s">
        <v>1928</v>
      </c>
      <c r="C824" s="17" t="s">
        <v>73</v>
      </c>
      <c r="D824" s="18"/>
      <c r="E824" s="44">
        <v>4620528.58</v>
      </c>
      <c r="F824" s="48">
        <v>0</v>
      </c>
      <c r="G824" s="26">
        <v>0</v>
      </c>
      <c r="H824" t="s">
        <v>1806</v>
      </c>
      <c r="M824"/>
      <c r="O824" s="93"/>
    </row>
    <row r="825" spans="1:15">
      <c r="A825" s="22" t="s">
        <v>1929</v>
      </c>
      <c r="B825" s="22" t="s">
        <v>1930</v>
      </c>
      <c r="C825" s="13" t="s">
        <v>73</v>
      </c>
      <c r="D825" s="22"/>
      <c r="E825" s="43">
        <v>2616268.66</v>
      </c>
      <c r="F825" s="47">
        <v>0.96901804037204642</v>
      </c>
      <c r="G825" s="26">
        <v>2535211.5299999998</v>
      </c>
      <c r="H825" t="s">
        <v>1811</v>
      </c>
      <c r="M825"/>
      <c r="O825" s="93"/>
    </row>
    <row r="826" spans="1:15">
      <c r="A826" s="18" t="s">
        <v>1931</v>
      </c>
      <c r="B826" s="21" t="s">
        <v>1932</v>
      </c>
      <c r="C826" s="17" t="s">
        <v>73</v>
      </c>
      <c r="D826" s="18"/>
      <c r="E826" s="44">
        <v>1380421.68</v>
      </c>
      <c r="F826" s="48">
        <v>0.80817391972574648</v>
      </c>
      <c r="G826" s="26">
        <v>1115620.8</v>
      </c>
      <c r="H826" t="s">
        <v>1806</v>
      </c>
      <c r="M826"/>
      <c r="O826" s="93"/>
    </row>
    <row r="827" spans="1:15">
      <c r="A827" s="22" t="s">
        <v>1933</v>
      </c>
      <c r="B827" s="22" t="s">
        <v>1934</v>
      </c>
      <c r="C827" s="13" t="s">
        <v>73</v>
      </c>
      <c r="D827" s="22"/>
      <c r="E827" s="43">
        <v>1343802.3</v>
      </c>
      <c r="F827" s="47">
        <v>0.8249708681105844</v>
      </c>
      <c r="G827" s="26">
        <v>1108597.75</v>
      </c>
      <c r="H827" t="s">
        <v>1806</v>
      </c>
      <c r="M827"/>
      <c r="O827" s="93"/>
    </row>
    <row r="828" spans="1:15">
      <c r="A828" s="22" t="s">
        <v>1941</v>
      </c>
      <c r="B828" s="22" t="s">
        <v>1942</v>
      </c>
      <c r="C828" s="13" t="s">
        <v>73</v>
      </c>
      <c r="D828" s="22"/>
      <c r="E828" s="43">
        <v>2793895.69</v>
      </c>
      <c r="F828" s="47">
        <v>0.86010676368522554</v>
      </c>
      <c r="G828" s="26">
        <v>2403048.58</v>
      </c>
      <c r="H828" t="s">
        <v>1806</v>
      </c>
      <c r="M828"/>
      <c r="O828" s="93"/>
    </row>
    <row r="829" spans="1:15">
      <c r="A829" s="18" t="s">
        <v>1943</v>
      </c>
      <c r="B829" s="18" t="s">
        <v>1789</v>
      </c>
      <c r="C829" s="17" t="s">
        <v>73</v>
      </c>
      <c r="D829" s="18"/>
      <c r="E829" s="44">
        <v>2054278.26</v>
      </c>
      <c r="F829" s="48">
        <v>0.85722268705701044</v>
      </c>
      <c r="G829" s="26">
        <v>1760973.93</v>
      </c>
      <c r="H829" t="s">
        <v>1806</v>
      </c>
      <c r="M829"/>
      <c r="O829" s="93"/>
    </row>
    <row r="830" spans="1:15">
      <c r="A830" s="18" t="s">
        <v>1792</v>
      </c>
      <c r="B830" s="18" t="s">
        <v>1793</v>
      </c>
      <c r="C830" s="17" t="s">
        <v>73</v>
      </c>
      <c r="D830" s="18"/>
      <c r="E830" s="44">
        <v>1750555.55</v>
      </c>
      <c r="F830" s="48">
        <v>0.94287036478219721</v>
      </c>
      <c r="G830" s="26">
        <v>1650546.95</v>
      </c>
      <c r="H830" t="s">
        <v>1806</v>
      </c>
      <c r="M830"/>
      <c r="O830" s="93"/>
    </row>
    <row r="831" spans="1:15">
      <c r="A831" s="22" t="s">
        <v>1794</v>
      </c>
      <c r="B831" s="22" t="s">
        <v>1795</v>
      </c>
      <c r="C831" s="13" t="s">
        <v>73</v>
      </c>
      <c r="D831" s="22"/>
      <c r="E831" s="43">
        <v>1600815.32</v>
      </c>
      <c r="F831" s="47">
        <v>0.63044487855101228</v>
      </c>
      <c r="G831" s="26">
        <v>1009225.82</v>
      </c>
      <c r="H831" t="s">
        <v>1806</v>
      </c>
      <c r="M831"/>
      <c r="O831" s="93"/>
    </row>
    <row r="832" spans="1:15">
      <c r="A832" s="18" t="s">
        <v>122</v>
      </c>
      <c r="B832" s="18" t="s">
        <v>123</v>
      </c>
      <c r="C832" s="17" t="s">
        <v>73</v>
      </c>
      <c r="D832" s="18"/>
      <c r="E832" s="44">
        <v>1522117.94</v>
      </c>
      <c r="F832" s="48">
        <v>0.93738269059492196</v>
      </c>
      <c r="G832" s="26">
        <v>1426807.01</v>
      </c>
      <c r="H832" t="s">
        <v>1806</v>
      </c>
      <c r="M832"/>
      <c r="O832" s="93"/>
    </row>
    <row r="833" spans="1:15">
      <c r="A833" s="22" t="s">
        <v>124</v>
      </c>
      <c r="B833" s="22" t="s">
        <v>125</v>
      </c>
      <c r="C833" s="13" t="s">
        <v>73</v>
      </c>
      <c r="D833" s="22"/>
      <c r="E833" s="43">
        <v>1987947.22</v>
      </c>
      <c r="F833" s="47">
        <v>0.87894988982655187</v>
      </c>
      <c r="G833" s="26">
        <v>1747305.99</v>
      </c>
      <c r="H833" t="s">
        <v>1806</v>
      </c>
      <c r="M833"/>
      <c r="O833" s="93"/>
    </row>
    <row r="834" spans="1:15">
      <c r="A834" s="18" t="s">
        <v>126</v>
      </c>
      <c r="B834" s="18" t="s">
        <v>127</v>
      </c>
      <c r="C834" s="17" t="s">
        <v>73</v>
      </c>
      <c r="D834" s="18"/>
      <c r="E834" s="44">
        <v>727034.75</v>
      </c>
      <c r="F834" s="48">
        <v>0.88243439532979673</v>
      </c>
      <c r="G834" s="26">
        <v>641560.47</v>
      </c>
      <c r="H834" t="s">
        <v>1806</v>
      </c>
      <c r="M834"/>
      <c r="O834" s="93"/>
    </row>
    <row r="835" spans="1:15">
      <c r="A835" s="22" t="s">
        <v>128</v>
      </c>
      <c r="B835" s="22" t="s">
        <v>129</v>
      </c>
      <c r="C835" s="13" t="s">
        <v>73</v>
      </c>
      <c r="D835" s="22"/>
      <c r="E835" s="43">
        <v>795520.66</v>
      </c>
      <c r="F835" s="47">
        <v>0.8047301876484263</v>
      </c>
      <c r="G835" s="26">
        <v>640179.49</v>
      </c>
      <c r="H835" t="s">
        <v>1806</v>
      </c>
      <c r="M835"/>
      <c r="O835" s="93"/>
    </row>
    <row r="836" spans="1:15">
      <c r="A836" s="18" t="s">
        <v>130</v>
      </c>
      <c r="B836" s="18" t="s">
        <v>131</v>
      </c>
      <c r="C836" s="17" t="s">
        <v>73</v>
      </c>
      <c r="D836" s="18"/>
      <c r="E836" s="44">
        <v>736232.83</v>
      </c>
      <c r="F836" s="48">
        <v>0.85996256102841828</v>
      </c>
      <c r="G836" s="26">
        <v>633132.67000000004</v>
      </c>
      <c r="H836" t="s">
        <v>1806</v>
      </c>
      <c r="M836"/>
      <c r="O836" s="93"/>
    </row>
    <row r="837" spans="1:15">
      <c r="A837" s="22" t="s">
        <v>132</v>
      </c>
      <c r="B837" s="14" t="s">
        <v>133</v>
      </c>
      <c r="C837" s="13" t="s">
        <v>73</v>
      </c>
      <c r="D837" s="22"/>
      <c r="E837" s="43">
        <v>21756296.379999999</v>
      </c>
      <c r="F837" s="47">
        <v>0.92799035678516528</v>
      </c>
      <c r="G837" s="26">
        <v>20189633.239999998</v>
      </c>
      <c r="H837" t="s">
        <v>1806</v>
      </c>
      <c r="M837"/>
      <c r="O837" s="93"/>
    </row>
    <row r="838" spans="1:15">
      <c r="A838" s="22" t="s">
        <v>136</v>
      </c>
      <c r="B838" s="22" t="s">
        <v>137</v>
      </c>
      <c r="C838" s="13" t="s">
        <v>73</v>
      </c>
      <c r="D838" s="22"/>
      <c r="E838" s="43">
        <v>1732192.7</v>
      </c>
      <c r="F838" s="47">
        <v>0.80118374820538152</v>
      </c>
      <c r="G838" s="26">
        <v>1387804.64</v>
      </c>
      <c r="H838" t="s">
        <v>1806</v>
      </c>
      <c r="M838"/>
      <c r="O838" s="93"/>
    </row>
    <row r="839" spans="1:15">
      <c r="A839" s="22" t="s">
        <v>1</v>
      </c>
      <c r="B839" s="22" t="s">
        <v>2</v>
      </c>
      <c r="C839" s="13" t="s">
        <v>73</v>
      </c>
      <c r="D839" s="22"/>
      <c r="E839" s="43">
        <v>2018903.89</v>
      </c>
      <c r="F839" s="47">
        <v>0.9142538825857629</v>
      </c>
      <c r="G839" s="26">
        <v>1845790.72</v>
      </c>
      <c r="H839" t="s">
        <v>1806</v>
      </c>
      <c r="M839"/>
      <c r="O839" s="93"/>
    </row>
    <row r="840" spans="1:15">
      <c r="A840" s="18" t="s">
        <v>3</v>
      </c>
      <c r="B840" s="21" t="s">
        <v>4</v>
      </c>
      <c r="C840" s="17" t="s">
        <v>73</v>
      </c>
      <c r="D840" s="18"/>
      <c r="E840" s="44">
        <v>1839838.57</v>
      </c>
      <c r="F840" s="48">
        <v>0.81790883425169192</v>
      </c>
      <c r="G840" s="26">
        <v>1504820.22</v>
      </c>
      <c r="H840" t="s">
        <v>1806</v>
      </c>
      <c r="M840"/>
      <c r="O840" s="93"/>
    </row>
    <row r="841" spans="1:15">
      <c r="A841" s="22" t="s">
        <v>5</v>
      </c>
      <c r="B841" s="22" t="s">
        <v>6</v>
      </c>
      <c r="C841" s="13" t="s">
        <v>73</v>
      </c>
      <c r="D841" s="22"/>
      <c r="E841" s="43">
        <v>1683615.61</v>
      </c>
      <c r="F841" s="47">
        <v>0.81907134966514117</v>
      </c>
      <c r="G841" s="26">
        <v>1379001.31</v>
      </c>
      <c r="H841" t="s">
        <v>1806</v>
      </c>
      <c r="M841"/>
      <c r="O841" s="93"/>
    </row>
    <row r="842" spans="1:15">
      <c r="A842" s="18" t="s">
        <v>7</v>
      </c>
      <c r="B842" s="18" t="s">
        <v>8</v>
      </c>
      <c r="C842" s="17" t="s">
        <v>73</v>
      </c>
      <c r="D842" s="18"/>
      <c r="E842" s="44">
        <v>3812153.02</v>
      </c>
      <c r="F842" s="48">
        <v>0.89296704831643925</v>
      </c>
      <c r="G842" s="26">
        <v>3404127.03</v>
      </c>
      <c r="H842" t="s">
        <v>1806</v>
      </c>
      <c r="M842"/>
      <c r="O842" s="93"/>
    </row>
    <row r="843" spans="1:15">
      <c r="A843" s="22" t="s">
        <v>9</v>
      </c>
      <c r="B843" s="14" t="s">
        <v>10</v>
      </c>
      <c r="C843" s="13" t="s">
        <v>73</v>
      </c>
      <c r="D843" s="22"/>
      <c r="E843" s="43">
        <v>2756615</v>
      </c>
      <c r="F843" s="47">
        <v>1</v>
      </c>
      <c r="G843" s="26">
        <v>2756615</v>
      </c>
      <c r="H843" t="s">
        <v>1806</v>
      </c>
      <c r="K843" t="s">
        <v>1810</v>
      </c>
      <c r="M843"/>
      <c r="O843" s="93"/>
    </row>
    <row r="844" spans="1:15">
      <c r="A844" s="18" t="s">
        <v>11</v>
      </c>
      <c r="B844" s="18" t="s">
        <v>12</v>
      </c>
      <c r="C844" s="17" t="s">
        <v>73</v>
      </c>
      <c r="D844" s="18"/>
      <c r="E844" s="44">
        <v>2296101</v>
      </c>
      <c r="F844" s="48">
        <v>0.99880580166116384</v>
      </c>
      <c r="G844" s="26">
        <v>2293359</v>
      </c>
      <c r="H844" t="s">
        <v>1806</v>
      </c>
      <c r="M844"/>
      <c r="O844" s="93"/>
    </row>
    <row r="845" spans="1:15">
      <c r="A845" s="22" t="s">
        <v>13</v>
      </c>
      <c r="B845" s="22" t="s">
        <v>14</v>
      </c>
      <c r="C845" s="13" t="s">
        <v>73</v>
      </c>
      <c r="D845" s="22"/>
      <c r="E845" s="43">
        <v>1521089.34</v>
      </c>
      <c r="F845" s="47">
        <v>0.96254124691978971</v>
      </c>
      <c r="G845" s="26">
        <v>1464111.23</v>
      </c>
      <c r="H845" t="s">
        <v>1811</v>
      </c>
      <c r="M845"/>
      <c r="O845" s="93"/>
    </row>
    <row r="846" spans="1:15">
      <c r="A846" s="18" t="s">
        <v>15</v>
      </c>
      <c r="B846" s="18" t="s">
        <v>16</v>
      </c>
      <c r="C846" s="17" t="s">
        <v>73</v>
      </c>
      <c r="D846" s="18"/>
      <c r="E846" s="44">
        <v>8804908.7200000007</v>
      </c>
      <c r="F846" s="48">
        <v>0.94707408846369046</v>
      </c>
      <c r="G846" s="26">
        <v>8338900.9000000004</v>
      </c>
      <c r="H846" t="s">
        <v>1806</v>
      </c>
      <c r="M846"/>
      <c r="O846" s="93"/>
    </row>
    <row r="847" spans="1:15">
      <c r="A847" s="18" t="s">
        <v>23</v>
      </c>
      <c r="B847" s="18" t="s">
        <v>24</v>
      </c>
      <c r="C847" s="17" t="s">
        <v>73</v>
      </c>
      <c r="D847" s="18"/>
      <c r="E847" s="44">
        <v>662280.16</v>
      </c>
      <c r="F847" s="48">
        <v>0.79702885860267958</v>
      </c>
      <c r="G847" s="26">
        <v>527856.4</v>
      </c>
      <c r="H847" t="s">
        <v>1806</v>
      </c>
      <c r="M847"/>
      <c r="O847" s="93"/>
    </row>
    <row r="848" spans="1:15">
      <c r="A848" s="18" t="s">
        <v>27</v>
      </c>
      <c r="B848" s="18" t="s">
        <v>28</v>
      </c>
      <c r="C848" s="17" t="s">
        <v>73</v>
      </c>
      <c r="D848" s="18"/>
      <c r="E848" s="44">
        <v>17351899.23</v>
      </c>
      <c r="F848" s="48">
        <v>0.86398032291938331</v>
      </c>
      <c r="G848" s="26">
        <v>14991699.5</v>
      </c>
      <c r="H848" t="s">
        <v>1806</v>
      </c>
      <c r="M848"/>
      <c r="O848" s="93"/>
    </row>
    <row r="849" spans="1:15">
      <c r="A849" s="22" t="s">
        <v>29</v>
      </c>
      <c r="B849" s="22" t="s">
        <v>30</v>
      </c>
      <c r="C849" s="13" t="s">
        <v>73</v>
      </c>
      <c r="D849" s="22"/>
      <c r="E849" s="43">
        <v>791513.88</v>
      </c>
      <c r="F849" s="47">
        <v>0.82759814647849261</v>
      </c>
      <c r="G849" s="26">
        <v>655055.42000000004</v>
      </c>
      <c r="H849" t="s">
        <v>1806</v>
      </c>
      <c r="M849"/>
      <c r="O849" s="93"/>
    </row>
    <row r="850" spans="1:15">
      <c r="A850" s="22" t="s">
        <v>33</v>
      </c>
      <c r="B850" s="22" t="s">
        <v>34</v>
      </c>
      <c r="C850" s="13" t="s">
        <v>73</v>
      </c>
      <c r="D850" s="22"/>
      <c r="E850" s="43">
        <v>623936.73</v>
      </c>
      <c r="F850" s="47">
        <v>0.87635366489804178</v>
      </c>
      <c r="G850" s="26">
        <v>546789.24</v>
      </c>
      <c r="H850" t="s">
        <v>1806</v>
      </c>
      <c r="M850"/>
      <c r="O850" s="93"/>
    </row>
    <row r="851" spans="1:15">
      <c r="A851" s="22" t="s">
        <v>41</v>
      </c>
      <c r="B851" s="22" t="s">
        <v>42</v>
      </c>
      <c r="C851" s="13" t="s">
        <v>73</v>
      </c>
      <c r="D851" s="22"/>
      <c r="E851" s="43">
        <v>1025480.56</v>
      </c>
      <c r="F851" s="47">
        <v>0.84919995948046056</v>
      </c>
      <c r="G851" s="26">
        <v>870838.05</v>
      </c>
      <c r="H851" t="s">
        <v>1806</v>
      </c>
      <c r="M851"/>
      <c r="O851" s="93"/>
    </row>
    <row r="852" spans="1:15">
      <c r="A852" s="18" t="s">
        <v>43</v>
      </c>
      <c r="B852" s="18" t="s">
        <v>44</v>
      </c>
      <c r="C852" s="17" t="s">
        <v>73</v>
      </c>
      <c r="D852" s="18"/>
      <c r="E852" s="44">
        <v>1754400.96</v>
      </c>
      <c r="F852" s="48">
        <v>0.81678476167728498</v>
      </c>
      <c r="G852" s="26">
        <v>1432967.97</v>
      </c>
      <c r="H852" t="s">
        <v>1806</v>
      </c>
      <c r="M852"/>
      <c r="O852" s="93"/>
    </row>
    <row r="853" spans="1:15">
      <c r="A853" s="18" t="s">
        <v>47</v>
      </c>
      <c r="B853" s="18" t="s">
        <v>48</v>
      </c>
      <c r="C853" s="17" t="s">
        <v>73</v>
      </c>
      <c r="D853" s="18"/>
      <c r="E853" s="44">
        <v>10894740.27</v>
      </c>
      <c r="F853" s="48">
        <v>0.88895601822364512</v>
      </c>
      <c r="G853" s="26">
        <v>9684944.9299999997</v>
      </c>
      <c r="H853" t="s">
        <v>1811</v>
      </c>
      <c r="M853"/>
      <c r="O853" s="93"/>
    </row>
    <row r="854" spans="1:15">
      <c r="A854" s="22" t="s">
        <v>49</v>
      </c>
      <c r="B854" s="22" t="s">
        <v>50</v>
      </c>
      <c r="C854" s="13" t="s">
        <v>73</v>
      </c>
      <c r="D854" s="22"/>
      <c r="E854" s="43">
        <v>836251.4</v>
      </c>
      <c r="F854" s="47">
        <v>0.84376906274835539</v>
      </c>
      <c r="G854" s="26">
        <v>705603.06</v>
      </c>
      <c r="H854" t="s">
        <v>1806</v>
      </c>
      <c r="M854"/>
      <c r="O854" s="93"/>
    </row>
    <row r="855" spans="1:15">
      <c r="A855" s="18" t="s">
        <v>51</v>
      </c>
      <c r="B855" s="18" t="s">
        <v>52</v>
      </c>
      <c r="C855" s="17" t="s">
        <v>73</v>
      </c>
      <c r="D855" s="18"/>
      <c r="E855" s="44">
        <v>1355978.32</v>
      </c>
      <c r="F855" s="48">
        <v>0.83244243905020532</v>
      </c>
      <c r="G855" s="26">
        <v>1128773.8999999999</v>
      </c>
      <c r="H855" t="s">
        <v>1806</v>
      </c>
      <c r="M855"/>
      <c r="O855" s="93"/>
    </row>
    <row r="856" spans="1:15">
      <c r="A856" s="18" t="s">
        <v>55</v>
      </c>
      <c r="B856" s="18" t="s">
        <v>56</v>
      </c>
      <c r="C856" s="17" t="s">
        <v>73</v>
      </c>
      <c r="D856" s="18"/>
      <c r="E856" s="44">
        <v>1289786.07</v>
      </c>
      <c r="F856" s="48">
        <v>0.93692415983373112</v>
      </c>
      <c r="G856" s="26">
        <v>1208431.73</v>
      </c>
      <c r="H856" t="s">
        <v>1806</v>
      </c>
      <c r="K856" t="s">
        <v>1810</v>
      </c>
      <c r="M856"/>
      <c r="O856" s="93"/>
    </row>
    <row r="857" spans="1:15">
      <c r="A857" s="22" t="s">
        <v>57</v>
      </c>
      <c r="B857" s="22" t="s">
        <v>58</v>
      </c>
      <c r="C857" s="13" t="s">
        <v>73</v>
      </c>
      <c r="D857" s="22"/>
      <c r="E857" s="43">
        <v>2152877.73</v>
      </c>
      <c r="F857" s="47">
        <v>0.88026395721042638</v>
      </c>
      <c r="G857" s="26">
        <v>1895100.67</v>
      </c>
      <c r="H857" t="s">
        <v>1806</v>
      </c>
      <c r="M857"/>
      <c r="O857" s="93"/>
    </row>
    <row r="858" spans="1:15">
      <c r="A858" s="18" t="s">
        <v>59</v>
      </c>
      <c r="B858" s="18" t="s">
        <v>60</v>
      </c>
      <c r="C858" s="17" t="s">
        <v>73</v>
      </c>
      <c r="D858" s="18"/>
      <c r="E858" s="44">
        <v>1588994.83</v>
      </c>
      <c r="F858" s="48">
        <v>0.82710331411210436</v>
      </c>
      <c r="G858" s="26">
        <v>1314262.8899999999</v>
      </c>
      <c r="H858" t="s">
        <v>1806</v>
      </c>
      <c r="M858"/>
      <c r="O858" s="93"/>
    </row>
    <row r="859" spans="1:15">
      <c r="A859" s="22" t="s">
        <v>61</v>
      </c>
      <c r="B859" s="14" t="s">
        <v>62</v>
      </c>
      <c r="C859" s="13" t="s">
        <v>73</v>
      </c>
      <c r="D859" s="22"/>
      <c r="E859" s="43">
        <v>2560052.65</v>
      </c>
      <c r="F859" s="47">
        <v>0.74742049152778167</v>
      </c>
      <c r="G859" s="26">
        <v>1913435.81</v>
      </c>
      <c r="H859" t="s">
        <v>1806</v>
      </c>
      <c r="M859"/>
      <c r="O859" s="93"/>
    </row>
    <row r="860" spans="1:15">
      <c r="A860" s="18" t="s">
        <v>205</v>
      </c>
      <c r="B860" s="21" t="s">
        <v>206</v>
      </c>
      <c r="C860" s="17" t="s">
        <v>73</v>
      </c>
      <c r="D860" s="18"/>
      <c r="E860" s="44">
        <v>3148831.49</v>
      </c>
      <c r="F860" s="48">
        <v>0.83809753503195561</v>
      </c>
      <c r="G860" s="26">
        <v>2639027.91</v>
      </c>
      <c r="H860" t="s">
        <v>1806</v>
      </c>
      <c r="M860"/>
      <c r="O860" s="93"/>
    </row>
    <row r="861" spans="1:15">
      <c r="A861" s="22" t="s">
        <v>207</v>
      </c>
      <c r="B861" s="22" t="s">
        <v>208</v>
      </c>
      <c r="C861" s="13" t="s">
        <v>73</v>
      </c>
      <c r="D861" s="22"/>
      <c r="E861" s="43">
        <v>1249926.6000000001</v>
      </c>
      <c r="F861" s="47">
        <v>0.75990940588031319</v>
      </c>
      <c r="G861" s="26">
        <v>949830.98</v>
      </c>
      <c r="H861" t="s">
        <v>1806</v>
      </c>
      <c r="I861" t="s">
        <v>1820</v>
      </c>
      <c r="J861" t="s">
        <v>1828</v>
      </c>
      <c r="M861"/>
      <c r="O861" s="93"/>
    </row>
    <row r="862" spans="1:15">
      <c r="A862" s="18" t="s">
        <v>209</v>
      </c>
      <c r="B862" s="18" t="s">
        <v>210</v>
      </c>
      <c r="C862" s="17" t="s">
        <v>73</v>
      </c>
      <c r="D862" s="18"/>
      <c r="E862" s="44">
        <v>1475188.06</v>
      </c>
      <c r="F862" s="48">
        <v>0.82541331035447785</v>
      </c>
      <c r="G862" s="26">
        <v>1217639.8600000001</v>
      </c>
      <c r="H862" t="s">
        <v>1806</v>
      </c>
      <c r="M862"/>
      <c r="O862" s="93"/>
    </row>
    <row r="863" spans="1:15">
      <c r="A863" s="22" t="s">
        <v>211</v>
      </c>
      <c r="B863" s="22" t="s">
        <v>212</v>
      </c>
      <c r="C863" s="13" t="s">
        <v>73</v>
      </c>
      <c r="D863" s="22"/>
      <c r="E863" s="43">
        <v>2215222.09</v>
      </c>
      <c r="F863" s="47">
        <v>0.94477008849257194</v>
      </c>
      <c r="G863" s="26">
        <v>2092875.57</v>
      </c>
      <c r="H863" t="s">
        <v>1806</v>
      </c>
      <c r="M863"/>
      <c r="O863" s="93"/>
    </row>
    <row r="864" spans="1:15">
      <c r="A864" s="18" t="s">
        <v>213</v>
      </c>
      <c r="B864" s="18" t="s">
        <v>214</v>
      </c>
      <c r="C864" s="17" t="s">
        <v>73</v>
      </c>
      <c r="D864" s="18"/>
      <c r="E864" s="44">
        <v>4063576.73</v>
      </c>
      <c r="F864" s="48">
        <v>0.97812278790168183</v>
      </c>
      <c r="G864" s="26">
        <v>3974677</v>
      </c>
      <c r="H864" t="s">
        <v>1806</v>
      </c>
      <c r="M864"/>
      <c r="O864" s="93"/>
    </row>
    <row r="865" spans="1:15">
      <c r="A865" s="22" t="s">
        <v>215</v>
      </c>
      <c r="B865" s="22" t="s">
        <v>216</v>
      </c>
      <c r="C865" s="13" t="s">
        <v>73</v>
      </c>
      <c r="D865" s="22"/>
      <c r="E865" s="43">
        <v>2441072.21</v>
      </c>
      <c r="F865" s="47">
        <v>0.93807627263922677</v>
      </c>
      <c r="G865" s="26">
        <v>2289911.92</v>
      </c>
      <c r="H865" t="s">
        <v>1806</v>
      </c>
      <c r="M865"/>
      <c r="O865" s="93"/>
    </row>
    <row r="866" spans="1:15">
      <c r="A866" s="18" t="s">
        <v>217</v>
      </c>
      <c r="B866" s="21" t="s">
        <v>218</v>
      </c>
      <c r="C866" s="17" t="s">
        <v>73</v>
      </c>
      <c r="D866" s="18"/>
      <c r="E866" s="44">
        <v>981473.16</v>
      </c>
      <c r="F866" s="48">
        <v>0.72193913076543015</v>
      </c>
      <c r="G866" s="26">
        <v>708563.88</v>
      </c>
      <c r="H866" t="s">
        <v>1806</v>
      </c>
      <c r="M866"/>
      <c r="O866" s="93"/>
    </row>
    <row r="867" spans="1:15">
      <c r="A867" s="22" t="s">
        <v>219</v>
      </c>
      <c r="B867" s="22" t="s">
        <v>220</v>
      </c>
      <c r="C867" s="13" t="s">
        <v>73</v>
      </c>
      <c r="D867" s="22"/>
      <c r="E867" s="43">
        <v>188740.72</v>
      </c>
      <c r="F867" s="47">
        <v>0.92313539971660585</v>
      </c>
      <c r="G867" s="26">
        <v>174233.24</v>
      </c>
      <c r="H867" t="s">
        <v>1806</v>
      </c>
      <c r="M867"/>
      <c r="O867" s="93"/>
    </row>
    <row r="868" spans="1:15">
      <c r="A868" s="18" t="s">
        <v>221</v>
      </c>
      <c r="B868" s="18" t="s">
        <v>222</v>
      </c>
      <c r="C868" s="17" t="s">
        <v>73</v>
      </c>
      <c r="D868" s="18"/>
      <c r="E868" s="44">
        <v>856255.65</v>
      </c>
      <c r="F868" s="48">
        <v>0.8693675889905077</v>
      </c>
      <c r="G868" s="26">
        <v>744400.91</v>
      </c>
      <c r="H868" t="s">
        <v>1811</v>
      </c>
      <c r="M868"/>
      <c r="O868" s="93"/>
    </row>
    <row r="869" spans="1:15">
      <c r="A869" s="18" t="s">
        <v>225</v>
      </c>
      <c r="B869" s="21" t="s">
        <v>226</v>
      </c>
      <c r="C869" s="17" t="s">
        <v>73</v>
      </c>
      <c r="D869" s="18"/>
      <c r="E869" s="44">
        <v>1754415.97</v>
      </c>
      <c r="F869" s="48">
        <v>0.95210570843127929</v>
      </c>
      <c r="G869" s="26">
        <v>1670389.46</v>
      </c>
      <c r="H869" t="s">
        <v>1806</v>
      </c>
      <c r="M869"/>
      <c r="O869" s="93"/>
    </row>
    <row r="870" spans="1:15">
      <c r="A870" s="90"/>
      <c r="B870" s="130" t="s">
        <v>1819</v>
      </c>
      <c r="C870" s="131" t="s">
        <v>73</v>
      </c>
      <c r="D870" s="90"/>
      <c r="E870" s="132">
        <v>372285.72</v>
      </c>
      <c r="F870" s="90"/>
      <c r="G870" s="132">
        <v>372285.72</v>
      </c>
      <c r="H870" s="90" t="s">
        <v>1811</v>
      </c>
      <c r="I870" s="90" t="s">
        <v>1820</v>
      </c>
      <c r="J870" s="90" t="s">
        <v>1821</v>
      </c>
      <c r="K870" s="90"/>
      <c r="L870" s="90"/>
      <c r="M870"/>
      <c r="O870" s="93"/>
    </row>
    <row r="871" spans="1:15">
      <c r="A871" s="90"/>
      <c r="B871" s="130" t="s">
        <v>1822</v>
      </c>
      <c r="C871" s="131" t="s">
        <v>73</v>
      </c>
      <c r="D871" s="90"/>
      <c r="E871" s="132">
        <v>297781.03999999998</v>
      </c>
      <c r="F871" s="90"/>
      <c r="G871" s="132">
        <v>297781.03999999998</v>
      </c>
      <c r="H871" s="90" t="s">
        <v>1811</v>
      </c>
      <c r="I871" s="90" t="s">
        <v>1820</v>
      </c>
      <c r="J871" s="90" t="s">
        <v>1823</v>
      </c>
      <c r="K871" s="90"/>
      <c r="L871" s="90"/>
      <c r="M871"/>
      <c r="O871" s="93"/>
    </row>
    <row r="872" spans="1:15">
      <c r="A872" s="90"/>
      <c r="B872" s="130" t="s">
        <v>1824</v>
      </c>
      <c r="C872" s="131" t="s">
        <v>73</v>
      </c>
      <c r="D872" s="90"/>
      <c r="E872" s="132">
        <v>188315.36</v>
      </c>
      <c r="F872" s="90"/>
      <c r="G872" s="132">
        <v>188315.36</v>
      </c>
      <c r="H872" s="90" t="s">
        <v>1811</v>
      </c>
      <c r="I872" s="90" t="s">
        <v>1820</v>
      </c>
      <c r="J872" s="90" t="s">
        <v>1823</v>
      </c>
      <c r="K872" s="90"/>
      <c r="L872" s="90"/>
      <c r="M872"/>
      <c r="O872" s="93"/>
    </row>
    <row r="873" spans="1:15">
      <c r="A873" s="90"/>
      <c r="B873" s="130" t="s">
        <v>1827</v>
      </c>
      <c r="C873" s="131" t="s">
        <v>73</v>
      </c>
      <c r="D873" s="90"/>
      <c r="E873" s="132">
        <v>291367.83</v>
      </c>
      <c r="F873" s="90"/>
      <c r="G873" s="132">
        <v>291367.83</v>
      </c>
      <c r="H873" s="90" t="s">
        <v>1811</v>
      </c>
      <c r="I873" s="90" t="s">
        <v>1820</v>
      </c>
      <c r="J873" s="90" t="s">
        <v>1826</v>
      </c>
      <c r="K873" s="90"/>
      <c r="L873" s="90"/>
      <c r="M873"/>
      <c r="O873" s="93"/>
    </row>
    <row r="874" spans="1:15">
      <c r="A874" s="90"/>
      <c r="B874" s="130" t="s">
        <v>1829</v>
      </c>
      <c r="C874" s="131" t="s">
        <v>73</v>
      </c>
      <c r="D874" s="90"/>
      <c r="E874" s="132">
        <v>185647.31</v>
      </c>
      <c r="F874" s="90"/>
      <c r="G874" s="132">
        <v>185647.31</v>
      </c>
      <c r="H874" s="90" t="s">
        <v>1811</v>
      </c>
      <c r="I874" s="90" t="s">
        <v>1820</v>
      </c>
      <c r="J874" s="90" t="s">
        <v>1830</v>
      </c>
      <c r="K874" s="90"/>
      <c r="L874" s="90"/>
      <c r="M874"/>
      <c r="O874" s="93"/>
    </row>
    <row r="875" spans="1:15">
      <c r="A875" s="90"/>
      <c r="B875" s="130" t="s">
        <v>1832</v>
      </c>
      <c r="C875" s="131" t="s">
        <v>73</v>
      </c>
      <c r="D875" s="90"/>
      <c r="E875" s="132">
        <v>669984.64</v>
      </c>
      <c r="F875" s="90"/>
      <c r="G875" s="132">
        <v>669984.64</v>
      </c>
      <c r="H875" s="90" t="s">
        <v>1811</v>
      </c>
      <c r="I875" s="90" t="s">
        <v>1820</v>
      </c>
      <c r="J875" s="90" t="s">
        <v>1831</v>
      </c>
      <c r="K875" s="90"/>
      <c r="L875" s="90"/>
      <c r="M875"/>
      <c r="O875" s="93"/>
    </row>
    <row r="876" spans="1:15">
      <c r="A876" s="90"/>
      <c r="B876" s="130" t="s">
        <v>1833</v>
      </c>
      <c r="C876" s="131" t="s">
        <v>73</v>
      </c>
      <c r="D876" s="90"/>
      <c r="E876" s="132">
        <v>228192.03</v>
      </c>
      <c r="F876" s="90"/>
      <c r="G876" s="132">
        <v>228192.03</v>
      </c>
      <c r="H876" s="90" t="s">
        <v>1811</v>
      </c>
      <c r="I876" s="90" t="s">
        <v>1820</v>
      </c>
      <c r="J876" s="90" t="s">
        <v>1831</v>
      </c>
      <c r="K876" s="90"/>
      <c r="L876" s="90"/>
      <c r="M876"/>
      <c r="O876" s="93"/>
    </row>
    <row r="877" spans="1:15">
      <c r="A877" s="90"/>
      <c r="B877" s="130" t="s">
        <v>1836</v>
      </c>
      <c r="C877" s="131" t="s">
        <v>73</v>
      </c>
      <c r="D877" s="90"/>
      <c r="E877" s="132">
        <v>601757.28</v>
      </c>
      <c r="F877" s="90"/>
      <c r="G877" s="132">
        <v>601757.28</v>
      </c>
      <c r="H877" s="90" t="s">
        <v>1811</v>
      </c>
      <c r="I877" s="90" t="s">
        <v>1820</v>
      </c>
      <c r="J877" s="90" t="s">
        <v>1835</v>
      </c>
      <c r="K877" s="90"/>
      <c r="L877" s="90"/>
      <c r="M877"/>
      <c r="O877" s="93"/>
    </row>
    <row r="878" spans="1:15">
      <c r="A878" s="90"/>
      <c r="B878" s="130" t="s">
        <v>1838</v>
      </c>
      <c r="C878" s="131" t="s">
        <v>73</v>
      </c>
      <c r="D878" s="90"/>
      <c r="E878" s="132">
        <v>519208.75</v>
      </c>
      <c r="F878" s="90"/>
      <c r="G878" s="132">
        <v>519208.75</v>
      </c>
      <c r="H878" s="90" t="s">
        <v>1811</v>
      </c>
      <c r="I878" s="90" t="s">
        <v>1820</v>
      </c>
      <c r="J878" s="90" t="s">
        <v>1837</v>
      </c>
      <c r="K878" s="90"/>
      <c r="L878" s="90"/>
      <c r="M878"/>
      <c r="O878" s="93"/>
    </row>
    <row r="879" spans="1:15">
      <c r="A879" s="90"/>
      <c r="B879" s="130" t="s">
        <v>1839</v>
      </c>
      <c r="C879" s="131" t="s">
        <v>73</v>
      </c>
      <c r="D879" s="90"/>
      <c r="E879" s="132">
        <v>340957.16</v>
      </c>
      <c r="F879" s="90"/>
      <c r="G879" s="132">
        <v>340957.16</v>
      </c>
      <c r="H879" s="90" t="s">
        <v>1811</v>
      </c>
      <c r="I879" s="90" t="s">
        <v>1820</v>
      </c>
      <c r="J879" s="90" t="s">
        <v>702</v>
      </c>
      <c r="K879" s="90"/>
      <c r="L879" s="90"/>
      <c r="M879"/>
      <c r="O879" s="93"/>
    </row>
    <row r="880" spans="1:15">
      <c r="A880" s="90"/>
      <c r="B880" s="130" t="s">
        <v>1840</v>
      </c>
      <c r="C880" s="131" t="s">
        <v>73</v>
      </c>
      <c r="D880" s="90"/>
      <c r="E880" s="132">
        <v>200661.09</v>
      </c>
      <c r="F880" s="90"/>
      <c r="G880" s="132">
        <v>200661.09</v>
      </c>
      <c r="H880" s="90" t="s">
        <v>1811</v>
      </c>
      <c r="I880" s="90" t="s">
        <v>1820</v>
      </c>
      <c r="J880" s="90" t="s">
        <v>704</v>
      </c>
      <c r="K880" s="90"/>
      <c r="L880" s="90"/>
      <c r="M880"/>
      <c r="O880" s="93"/>
    </row>
    <row r="881" spans="1:15">
      <c r="A881" s="90"/>
      <c r="B881" s="130" t="s">
        <v>1841</v>
      </c>
      <c r="C881" s="131" t="s">
        <v>73</v>
      </c>
      <c r="D881" s="90"/>
      <c r="E881" s="132">
        <v>874096.98</v>
      </c>
      <c r="F881" s="90"/>
      <c r="G881" s="132">
        <v>874096.98</v>
      </c>
      <c r="H881" s="90" t="s">
        <v>1811</v>
      </c>
      <c r="I881" s="90" t="s">
        <v>1820</v>
      </c>
      <c r="J881" s="90" t="s">
        <v>710</v>
      </c>
      <c r="K881" s="90"/>
      <c r="L881" s="90"/>
      <c r="M881"/>
      <c r="O881" s="93"/>
    </row>
    <row r="882" spans="1:15">
      <c r="A882" s="90"/>
      <c r="B882" s="130" t="s">
        <v>1842</v>
      </c>
      <c r="C882" s="131" t="s">
        <v>73</v>
      </c>
      <c r="D882" s="90"/>
      <c r="E882" s="132">
        <v>197530.86</v>
      </c>
      <c r="F882" s="90"/>
      <c r="G882" s="132">
        <v>197530.86</v>
      </c>
      <c r="H882" s="90" t="s">
        <v>1811</v>
      </c>
      <c r="I882" s="90" t="s">
        <v>1820</v>
      </c>
      <c r="J882" s="90" t="s">
        <v>1166</v>
      </c>
      <c r="K882" s="90"/>
      <c r="L882" s="90"/>
      <c r="M882"/>
      <c r="O882" s="93"/>
    </row>
    <row r="883" spans="1:15">
      <c r="A883" s="90"/>
      <c r="B883" s="130" t="s">
        <v>1843</v>
      </c>
      <c r="C883" s="131" t="s">
        <v>73</v>
      </c>
      <c r="D883" s="90"/>
      <c r="E883" s="132">
        <v>436023.34</v>
      </c>
      <c r="F883" s="90"/>
      <c r="G883" s="132">
        <v>436023.34</v>
      </c>
      <c r="H883" s="90" t="s">
        <v>1811</v>
      </c>
      <c r="I883" s="90" t="s">
        <v>1820</v>
      </c>
      <c r="J883" s="90" t="s">
        <v>712</v>
      </c>
      <c r="K883" s="90"/>
      <c r="L883" s="90"/>
      <c r="M883"/>
      <c r="O883" s="93"/>
    </row>
    <row r="884" spans="1:15">
      <c r="A884" s="90"/>
      <c r="B884" s="130" t="s">
        <v>1844</v>
      </c>
      <c r="C884" s="131" t="s">
        <v>73</v>
      </c>
      <c r="D884" s="90"/>
      <c r="E884" s="132">
        <v>374478.11</v>
      </c>
      <c r="F884" s="90"/>
      <c r="G884" s="132">
        <v>374478.11</v>
      </c>
      <c r="H884" s="90" t="s">
        <v>1811</v>
      </c>
      <c r="I884" s="90" t="s">
        <v>1820</v>
      </c>
      <c r="J884" s="90" t="s">
        <v>712</v>
      </c>
      <c r="K884" s="90"/>
      <c r="L884" s="90"/>
      <c r="M884"/>
      <c r="O884" s="93"/>
    </row>
    <row r="885" spans="1:15">
      <c r="A885" s="90"/>
      <c r="B885" s="130" t="s">
        <v>1845</v>
      </c>
      <c r="C885" s="131" t="s">
        <v>73</v>
      </c>
      <c r="D885" s="90"/>
      <c r="E885" s="132">
        <v>1218957.6399999999</v>
      </c>
      <c r="F885" s="90"/>
      <c r="G885" s="132">
        <v>1218957.6399999999</v>
      </c>
      <c r="H885" s="90" t="s">
        <v>1811</v>
      </c>
      <c r="I885" s="90" t="s">
        <v>1820</v>
      </c>
      <c r="J885" s="90" t="s">
        <v>722</v>
      </c>
      <c r="K885" s="90"/>
      <c r="L885" s="90"/>
      <c r="M885"/>
      <c r="O885" s="93"/>
    </row>
    <row r="886" spans="1:15">
      <c r="A886" s="90"/>
      <c r="B886" s="130" t="s">
        <v>1846</v>
      </c>
      <c r="C886" s="131" t="s">
        <v>73</v>
      </c>
      <c r="D886" s="90"/>
      <c r="E886" s="132">
        <v>122038.26</v>
      </c>
      <c r="F886" s="90"/>
      <c r="G886" s="132">
        <v>122038.26</v>
      </c>
      <c r="H886" s="90" t="s">
        <v>1811</v>
      </c>
      <c r="I886" s="90" t="s">
        <v>1820</v>
      </c>
      <c r="J886" s="90" t="s">
        <v>724</v>
      </c>
      <c r="K886" s="90"/>
      <c r="L886" s="90"/>
      <c r="M886"/>
      <c r="O886" s="93"/>
    </row>
    <row r="887" spans="1:15">
      <c r="A887" s="90"/>
      <c r="B887" s="130" t="s">
        <v>1847</v>
      </c>
      <c r="C887" s="131" t="s">
        <v>73</v>
      </c>
      <c r="D887" s="90"/>
      <c r="E887" s="132">
        <v>398456.73</v>
      </c>
      <c r="F887" s="90"/>
      <c r="G887" s="132">
        <v>398456.73</v>
      </c>
      <c r="H887" s="90" t="s">
        <v>1811</v>
      </c>
      <c r="I887" s="90" t="s">
        <v>1820</v>
      </c>
      <c r="J887" s="90" t="s">
        <v>724</v>
      </c>
      <c r="K887" s="90"/>
      <c r="L887" s="90"/>
      <c r="M887"/>
      <c r="O887" s="93"/>
    </row>
    <row r="888" spans="1:15">
      <c r="A888" s="90"/>
      <c r="B888" s="130" t="s">
        <v>1848</v>
      </c>
      <c r="C888" s="131" t="s">
        <v>73</v>
      </c>
      <c r="D888" s="90"/>
      <c r="E888" s="132">
        <v>171616.93</v>
      </c>
      <c r="F888" s="90"/>
      <c r="G888" s="132">
        <v>171616.93</v>
      </c>
      <c r="H888" s="90" t="s">
        <v>1811</v>
      </c>
      <c r="I888" s="90" t="s">
        <v>1820</v>
      </c>
      <c r="J888" s="90" t="s">
        <v>724</v>
      </c>
      <c r="K888" s="90"/>
      <c r="L888" s="90"/>
      <c r="M888"/>
      <c r="O888" s="93"/>
    </row>
    <row r="889" spans="1:15">
      <c r="A889" s="90"/>
      <c r="B889" s="130" t="s">
        <v>1849</v>
      </c>
      <c r="C889" s="131" t="s">
        <v>73</v>
      </c>
      <c r="D889" s="90"/>
      <c r="E889" s="132">
        <v>331057.44</v>
      </c>
      <c r="F889" s="90"/>
      <c r="G889" s="132">
        <v>331057.44</v>
      </c>
      <c r="H889" s="90" t="s">
        <v>1811</v>
      </c>
      <c r="I889" s="90" t="s">
        <v>1820</v>
      </c>
      <c r="J889" s="90" t="s">
        <v>502</v>
      </c>
      <c r="K889" s="90"/>
      <c r="L889" s="90"/>
      <c r="M889"/>
      <c r="O889" s="93"/>
    </row>
    <row r="890" spans="1:15">
      <c r="A890" s="90"/>
      <c r="B890" s="130" t="s">
        <v>1850</v>
      </c>
      <c r="C890" s="131" t="s">
        <v>73</v>
      </c>
      <c r="D890" s="90"/>
      <c r="E890" s="132">
        <v>611523.31000000006</v>
      </c>
      <c r="F890" s="90"/>
      <c r="G890" s="132">
        <v>611523.31000000006</v>
      </c>
      <c r="H890" s="90" t="s">
        <v>1811</v>
      </c>
      <c r="I890" s="90" t="s">
        <v>1820</v>
      </c>
      <c r="J890" s="90" t="s">
        <v>510</v>
      </c>
      <c r="K890" s="90"/>
      <c r="L890" s="90"/>
      <c r="M890"/>
      <c r="O890" s="93"/>
    </row>
    <row r="891" spans="1:15">
      <c r="A891" s="90"/>
      <c r="B891" s="130" t="s">
        <v>1851</v>
      </c>
      <c r="C891" s="131" t="s">
        <v>73</v>
      </c>
      <c r="D891" s="90"/>
      <c r="E891" s="132">
        <v>269158.82</v>
      </c>
      <c r="F891" s="90"/>
      <c r="G891" s="132">
        <v>269158.82</v>
      </c>
      <c r="H891" s="90" t="s">
        <v>1852</v>
      </c>
      <c r="I891" s="90" t="s">
        <v>1820</v>
      </c>
      <c r="J891" s="90" t="s">
        <v>514</v>
      </c>
      <c r="K891" s="90"/>
      <c r="L891" s="90"/>
      <c r="M891"/>
      <c r="O891" s="93"/>
    </row>
    <row r="892" spans="1:15">
      <c r="A892" s="90"/>
      <c r="B892" s="130" t="s">
        <v>1853</v>
      </c>
      <c r="C892" s="131" t="s">
        <v>73</v>
      </c>
      <c r="D892" s="90"/>
      <c r="E892" s="132">
        <v>484111.6</v>
      </c>
      <c r="F892" s="90"/>
      <c r="G892" s="132">
        <v>484111.6</v>
      </c>
      <c r="H892" s="90" t="s">
        <v>1811</v>
      </c>
      <c r="I892" s="90" t="s">
        <v>1820</v>
      </c>
      <c r="J892" s="90" t="s">
        <v>522</v>
      </c>
      <c r="K892" s="90"/>
      <c r="L892" s="90"/>
      <c r="M892"/>
      <c r="O892" s="93"/>
    </row>
    <row r="893" spans="1:15">
      <c r="A893" s="90"/>
      <c r="B893" s="130" t="s">
        <v>1962</v>
      </c>
      <c r="C893" s="131" t="s">
        <v>73</v>
      </c>
      <c r="D893" s="90"/>
      <c r="E893" s="132">
        <v>983332.98</v>
      </c>
      <c r="F893" s="90"/>
      <c r="G893" s="132">
        <v>983332.98</v>
      </c>
      <c r="H893" s="90" t="s">
        <v>1811</v>
      </c>
      <c r="I893" s="90" t="s">
        <v>1820</v>
      </c>
      <c r="J893" s="90" t="s">
        <v>1963</v>
      </c>
      <c r="K893" s="90"/>
      <c r="L893" s="90"/>
      <c r="M893"/>
      <c r="O893" s="93"/>
    </row>
    <row r="894" spans="1:15">
      <c r="A894" s="90"/>
      <c r="B894" s="130" t="s">
        <v>1964</v>
      </c>
      <c r="C894" s="131" t="s">
        <v>73</v>
      </c>
      <c r="D894" s="90"/>
      <c r="E894" s="132">
        <v>474662.16</v>
      </c>
      <c r="F894" s="90"/>
      <c r="G894" s="132">
        <v>474662.16</v>
      </c>
      <c r="H894" s="90" t="s">
        <v>1811</v>
      </c>
      <c r="I894" s="90" t="s">
        <v>1820</v>
      </c>
      <c r="J894" s="90" t="s">
        <v>1963</v>
      </c>
      <c r="K894" s="90"/>
      <c r="L894" s="90"/>
      <c r="M894"/>
      <c r="O894" s="93"/>
    </row>
    <row r="895" spans="1:15">
      <c r="A895" s="90"/>
      <c r="B895" s="130" t="s">
        <v>1965</v>
      </c>
      <c r="C895" s="131" t="s">
        <v>73</v>
      </c>
      <c r="D895" s="90"/>
      <c r="E895" s="132">
        <v>908656.08</v>
      </c>
      <c r="F895" s="90"/>
      <c r="G895" s="132">
        <v>908656.08</v>
      </c>
      <c r="H895" s="90" t="s">
        <v>1811</v>
      </c>
      <c r="I895" s="90" t="s">
        <v>1820</v>
      </c>
      <c r="J895" s="90" t="s">
        <v>540</v>
      </c>
      <c r="K895" s="90"/>
      <c r="L895" s="90"/>
      <c r="M895"/>
      <c r="O895" s="93"/>
    </row>
    <row r="896" spans="1:15">
      <c r="A896" s="90"/>
      <c r="B896" s="130" t="s">
        <v>1966</v>
      </c>
      <c r="C896" s="131" t="s">
        <v>73</v>
      </c>
      <c r="D896" s="90"/>
      <c r="E896" s="132">
        <v>339155.6</v>
      </c>
      <c r="F896" s="90"/>
      <c r="G896" s="132">
        <v>339155.6</v>
      </c>
      <c r="H896" s="90" t="s">
        <v>1811</v>
      </c>
      <c r="I896" s="90" t="s">
        <v>1820</v>
      </c>
      <c r="J896" s="90" t="s">
        <v>534</v>
      </c>
      <c r="K896" s="90"/>
      <c r="L896" s="90"/>
      <c r="M896"/>
      <c r="O896" s="93"/>
    </row>
    <row r="897" spans="1:15">
      <c r="A897" s="90"/>
      <c r="B897" s="130" t="s">
        <v>1967</v>
      </c>
      <c r="C897" s="131" t="s">
        <v>73</v>
      </c>
      <c r="D897" s="90"/>
      <c r="E897" s="132">
        <v>465321.22</v>
      </c>
      <c r="F897" s="90"/>
      <c r="G897" s="132">
        <v>465321.22</v>
      </c>
      <c r="H897" s="90" t="s">
        <v>1811</v>
      </c>
      <c r="I897" s="90" t="s">
        <v>1820</v>
      </c>
      <c r="J897" s="90" t="s">
        <v>534</v>
      </c>
      <c r="K897" s="90"/>
      <c r="L897" s="90"/>
      <c r="M897"/>
      <c r="O897" s="93"/>
    </row>
    <row r="898" spans="1:15">
      <c r="A898" s="90"/>
      <c r="B898" s="130" t="s">
        <v>1968</v>
      </c>
      <c r="C898" s="131" t="s">
        <v>73</v>
      </c>
      <c r="D898" s="90"/>
      <c r="E898" s="132">
        <v>155796.85999999999</v>
      </c>
      <c r="F898" s="90"/>
      <c r="G898" s="132">
        <v>155796.85999999999</v>
      </c>
      <c r="H898" s="90" t="s">
        <v>1811</v>
      </c>
      <c r="I898" s="90" t="s">
        <v>1820</v>
      </c>
      <c r="J898" s="90" t="s">
        <v>1688</v>
      </c>
      <c r="K898" s="90"/>
      <c r="L898" s="90"/>
      <c r="M898"/>
      <c r="O898" s="93"/>
    </row>
    <row r="899" spans="1:15">
      <c r="A899" s="90"/>
      <c r="B899" s="130" t="s">
        <v>1969</v>
      </c>
      <c r="C899" s="131" t="s">
        <v>73</v>
      </c>
      <c r="D899" s="90"/>
      <c r="E899" s="132">
        <v>323350.53999999998</v>
      </c>
      <c r="F899" s="90"/>
      <c r="G899" s="132">
        <v>323350.53999999998</v>
      </c>
      <c r="H899" s="90" t="s">
        <v>1811</v>
      </c>
      <c r="I899" s="90" t="s">
        <v>1820</v>
      </c>
      <c r="J899" s="90" t="s">
        <v>1970</v>
      </c>
      <c r="K899" s="90"/>
      <c r="L899" s="90"/>
      <c r="M899"/>
      <c r="O899" s="93"/>
    </row>
    <row r="900" spans="1:15">
      <c r="A900" s="90"/>
      <c r="B900" s="130" t="s">
        <v>1971</v>
      </c>
      <c r="C900" s="131" t="s">
        <v>73</v>
      </c>
      <c r="D900" s="90"/>
      <c r="E900" s="132">
        <v>266587.78999999998</v>
      </c>
      <c r="F900" s="90"/>
      <c r="G900" s="132">
        <v>266587.78999999998</v>
      </c>
      <c r="H900" s="90" t="s">
        <v>1811</v>
      </c>
      <c r="I900" s="90" t="s">
        <v>1820</v>
      </c>
      <c r="J900" s="90" t="s">
        <v>1462</v>
      </c>
      <c r="K900" s="90"/>
      <c r="L900" s="90"/>
      <c r="M900"/>
      <c r="O900" s="93"/>
    </row>
    <row r="901" spans="1:15">
      <c r="A901" s="90"/>
      <c r="B901" s="130" t="s">
        <v>1972</v>
      </c>
      <c r="C901" s="131" t="s">
        <v>73</v>
      </c>
      <c r="D901" s="90"/>
      <c r="E901" s="132">
        <v>230247.25</v>
      </c>
      <c r="F901" s="90"/>
      <c r="G901" s="132">
        <v>230247.25</v>
      </c>
      <c r="H901" s="90" t="s">
        <v>1811</v>
      </c>
      <c r="I901" s="90" t="s">
        <v>1820</v>
      </c>
      <c r="J901" s="90" t="s">
        <v>1464</v>
      </c>
      <c r="K901" s="90"/>
      <c r="L901" s="90"/>
      <c r="M901"/>
      <c r="O901" s="93"/>
    </row>
    <row r="902" spans="1:15">
      <c r="A902" s="90"/>
      <c r="B902" s="130" t="s">
        <v>1973</v>
      </c>
      <c r="C902" s="131" t="s">
        <v>73</v>
      </c>
      <c r="D902" s="90"/>
      <c r="E902" s="132">
        <v>243315.84</v>
      </c>
      <c r="F902" s="90"/>
      <c r="G902" s="132">
        <v>243315.84</v>
      </c>
      <c r="H902" s="90" t="s">
        <v>1811</v>
      </c>
      <c r="I902" s="90" t="s">
        <v>1820</v>
      </c>
      <c r="J902" s="90" t="s">
        <v>1974</v>
      </c>
      <c r="K902" s="90"/>
      <c r="L902" s="90"/>
      <c r="M902"/>
      <c r="O902" s="93"/>
    </row>
    <row r="903" spans="1:15">
      <c r="A903" s="90"/>
      <c r="B903" s="130" t="s">
        <v>1975</v>
      </c>
      <c r="C903" s="131" t="s">
        <v>73</v>
      </c>
      <c r="D903" s="90"/>
      <c r="E903" s="132">
        <v>310082.45</v>
      </c>
      <c r="F903" s="90"/>
      <c r="G903" s="132">
        <v>310082.45</v>
      </c>
      <c r="H903" s="90" t="s">
        <v>1811</v>
      </c>
      <c r="I903" s="90" t="s">
        <v>1820</v>
      </c>
      <c r="J903" s="90" t="s">
        <v>1466</v>
      </c>
      <c r="K903" s="90"/>
      <c r="L903" s="90"/>
      <c r="M903"/>
      <c r="O903" s="93"/>
    </row>
    <row r="904" spans="1:15">
      <c r="A904" s="90"/>
      <c r="B904" s="130" t="s">
        <v>1976</v>
      </c>
      <c r="C904" s="131" t="s">
        <v>73</v>
      </c>
      <c r="D904" s="90"/>
      <c r="E904" s="132">
        <v>161206.19</v>
      </c>
      <c r="F904" s="90"/>
      <c r="G904" s="132">
        <v>161206.19</v>
      </c>
      <c r="H904" s="90" t="s">
        <v>1811</v>
      </c>
      <c r="I904" s="90" t="s">
        <v>1820</v>
      </c>
      <c r="J904" s="90" t="s">
        <v>1693</v>
      </c>
      <c r="K904" s="90"/>
      <c r="L904" s="90"/>
      <c r="M904" s="99"/>
      <c r="N904" s="68"/>
      <c r="O904" s="99"/>
    </row>
    <row r="905" spans="1:15">
      <c r="A905" s="90"/>
      <c r="B905" s="130" t="s">
        <v>1977</v>
      </c>
      <c r="C905" s="131" t="s">
        <v>73</v>
      </c>
      <c r="D905" s="90"/>
      <c r="E905" s="132">
        <v>886726.79</v>
      </c>
      <c r="F905" s="90"/>
      <c r="G905" s="132">
        <v>886726.79</v>
      </c>
      <c r="H905" s="90" t="s">
        <v>1811</v>
      </c>
      <c r="I905" s="90" t="s">
        <v>1820</v>
      </c>
      <c r="J905" s="90" t="s">
        <v>1431</v>
      </c>
      <c r="K905" s="90"/>
      <c r="L905" s="90"/>
      <c r="M905" s="99"/>
      <c r="N905" s="68"/>
      <c r="O905" s="99"/>
    </row>
    <row r="906" spans="1:15">
      <c r="A906" s="90"/>
      <c r="B906" s="130" t="s">
        <v>1978</v>
      </c>
      <c r="C906" s="131" t="s">
        <v>73</v>
      </c>
      <c r="D906" s="90"/>
      <c r="E906" s="132">
        <v>260342.32</v>
      </c>
      <c r="F906" s="90"/>
      <c r="G906" s="132">
        <v>260342.32</v>
      </c>
      <c r="H906" s="90" t="s">
        <v>1811</v>
      </c>
      <c r="I906" s="90" t="s">
        <v>1820</v>
      </c>
      <c r="J906" s="90" t="s">
        <v>1176</v>
      </c>
      <c r="K906" s="90"/>
      <c r="L906" s="90"/>
      <c r="M906" s="99"/>
      <c r="N906" s="68"/>
      <c r="O906" s="99"/>
    </row>
    <row r="907" spans="1:15">
      <c r="A907" s="90"/>
      <c r="B907" s="130" t="s">
        <v>1876</v>
      </c>
      <c r="C907" s="131" t="s">
        <v>73</v>
      </c>
      <c r="D907" s="90"/>
      <c r="E907" s="132">
        <v>201395.61</v>
      </c>
      <c r="F907" s="90"/>
      <c r="G907" s="132">
        <v>201395.61</v>
      </c>
      <c r="H907" s="90" t="s">
        <v>1811</v>
      </c>
      <c r="I907" s="90" t="s">
        <v>1820</v>
      </c>
      <c r="J907" s="90" t="s">
        <v>1877</v>
      </c>
      <c r="K907" s="90"/>
      <c r="L907" s="90"/>
      <c r="M907" s="99"/>
      <c r="N907" s="68"/>
      <c r="O907" s="99"/>
    </row>
    <row r="908" spans="1:15">
      <c r="A908" s="90"/>
      <c r="B908" s="130" t="s">
        <v>1878</v>
      </c>
      <c r="C908" s="131" t="s">
        <v>73</v>
      </c>
      <c r="D908" s="90"/>
      <c r="E908" s="132">
        <v>142460.24</v>
      </c>
      <c r="F908" s="90"/>
      <c r="G908" s="132">
        <v>142460.24</v>
      </c>
      <c r="H908" s="90" t="s">
        <v>1811</v>
      </c>
      <c r="I908" s="90" t="s">
        <v>1820</v>
      </c>
      <c r="J908" s="90" t="s">
        <v>632</v>
      </c>
      <c r="K908" s="90"/>
      <c r="L908" s="90"/>
      <c r="M908" s="99"/>
      <c r="N908" s="68"/>
      <c r="O908" s="99"/>
    </row>
    <row r="909" spans="1:15">
      <c r="A909" s="90"/>
      <c r="B909" s="130" t="s">
        <v>1879</v>
      </c>
      <c r="C909" s="131" t="s">
        <v>73</v>
      </c>
      <c r="D909" s="90"/>
      <c r="E909" s="132">
        <v>316949</v>
      </c>
      <c r="F909" s="90"/>
      <c r="G909" s="132">
        <v>316949</v>
      </c>
      <c r="H909" s="90" t="s">
        <v>1811</v>
      </c>
      <c r="I909" s="90" t="s">
        <v>1820</v>
      </c>
      <c r="J909" s="90" t="s">
        <v>632</v>
      </c>
      <c r="K909" s="90"/>
      <c r="L909" s="90"/>
      <c r="M909" s="99"/>
      <c r="N909" s="68"/>
      <c r="O909" s="99"/>
    </row>
    <row r="910" spans="1:15">
      <c r="A910" s="90"/>
      <c r="B910" s="130" t="s">
        <v>1880</v>
      </c>
      <c r="C910" s="131" t="s">
        <v>73</v>
      </c>
      <c r="D910" s="90"/>
      <c r="E910" s="132">
        <v>2607934.75</v>
      </c>
      <c r="F910" s="90"/>
      <c r="G910" s="132">
        <v>2607934.75</v>
      </c>
      <c r="H910" s="90" t="s">
        <v>1811</v>
      </c>
      <c r="I910" s="90" t="s">
        <v>1820</v>
      </c>
      <c r="J910" s="90" t="s">
        <v>632</v>
      </c>
      <c r="K910" s="90"/>
      <c r="L910" s="90"/>
      <c r="M910" s="100" t="s">
        <v>1921</v>
      </c>
      <c r="N910" s="68"/>
      <c r="O910" s="99"/>
    </row>
    <row r="911" spans="1:15">
      <c r="A911" s="90"/>
      <c r="B911" s="130" t="s">
        <v>1881</v>
      </c>
      <c r="C911" s="131" t="s">
        <v>73</v>
      </c>
      <c r="D911" s="90"/>
      <c r="E911" s="132">
        <v>499407.22</v>
      </c>
      <c r="F911" s="90"/>
      <c r="G911" s="132">
        <v>499407.22</v>
      </c>
      <c r="H911" s="90" t="s">
        <v>1811</v>
      </c>
      <c r="I911" s="90" t="s">
        <v>1820</v>
      </c>
      <c r="J911" s="90" t="s">
        <v>634</v>
      </c>
      <c r="K911" s="90"/>
      <c r="L911" s="90"/>
      <c r="M911" s="89">
        <f>SUM(G609:G911)</f>
        <v>527946148.34000015</v>
      </c>
      <c r="N911" s="90">
        <f>SUM(M306:M608)</f>
        <v>75516</v>
      </c>
      <c r="O911" s="93">
        <f>M911/N911</f>
        <v>6991.182641294562</v>
      </c>
    </row>
  </sheetData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261"/>
  <sheetViews>
    <sheetView topLeftCell="A246" workbookViewId="0">
      <selection activeCell="G277" sqref="G277"/>
    </sheetView>
  </sheetViews>
  <sheetFormatPr baseColWidth="10" defaultColWidth="8.83203125" defaultRowHeight="12"/>
  <cols>
    <col min="2" max="2" width="14.6640625" customWidth="1"/>
    <col min="7" max="7" width="14.1640625" customWidth="1"/>
  </cols>
  <sheetData>
    <row r="1" spans="1:11">
      <c r="A1" s="13" t="s">
        <v>1869</v>
      </c>
      <c r="B1" s="14" t="s">
        <v>1870</v>
      </c>
      <c r="C1" s="15" t="s">
        <v>72</v>
      </c>
      <c r="D1" s="16"/>
      <c r="E1" s="2">
        <v>2719630.44</v>
      </c>
      <c r="F1" s="23">
        <v>1.0789094565363078E-2</v>
      </c>
      <c r="G1" s="26">
        <v>29342.35</v>
      </c>
      <c r="H1" t="s">
        <v>1806</v>
      </c>
      <c r="K1">
        <v>376</v>
      </c>
    </row>
    <row r="2" spans="1:11">
      <c r="A2" s="17" t="s">
        <v>188</v>
      </c>
      <c r="B2" s="21" t="s">
        <v>189</v>
      </c>
      <c r="C2" s="19" t="s">
        <v>72</v>
      </c>
      <c r="D2" s="20"/>
      <c r="E2" s="3">
        <v>1450154.8</v>
      </c>
      <c r="F2" s="24">
        <v>4.3871040526156238E-3</v>
      </c>
      <c r="G2" s="26">
        <v>6361.98</v>
      </c>
      <c r="H2" t="s">
        <v>1806</v>
      </c>
      <c r="K2">
        <v>161</v>
      </c>
    </row>
    <row r="3" spans="1:11">
      <c r="A3" s="17" t="s">
        <v>483</v>
      </c>
      <c r="B3" s="21" t="s">
        <v>484</v>
      </c>
      <c r="C3" s="19" t="s">
        <v>72</v>
      </c>
      <c r="D3" s="20"/>
      <c r="E3" s="3">
        <v>730744.86</v>
      </c>
      <c r="F3" s="24">
        <v>8.6639952554712456E-3</v>
      </c>
      <c r="G3" s="26">
        <v>6331.1699999999992</v>
      </c>
      <c r="H3" t="s">
        <v>1806</v>
      </c>
      <c r="K3">
        <v>82</v>
      </c>
    </row>
    <row r="4" spans="1:11">
      <c r="A4" s="13" t="s">
        <v>314</v>
      </c>
      <c r="B4" s="14" t="s">
        <v>315</v>
      </c>
      <c r="C4" s="15" t="s">
        <v>72</v>
      </c>
      <c r="D4" s="16"/>
      <c r="E4" s="2">
        <v>277522.46999999997</v>
      </c>
      <c r="F4" s="23">
        <v>9.8190247441945887E-5</v>
      </c>
      <c r="G4" s="26">
        <v>27.25</v>
      </c>
      <c r="H4" t="s">
        <v>1806</v>
      </c>
      <c r="K4">
        <v>128</v>
      </c>
    </row>
    <row r="5" spans="1:11">
      <c r="A5" s="17" t="s">
        <v>328</v>
      </c>
      <c r="B5" s="21" t="s">
        <v>329</v>
      </c>
      <c r="C5" s="19" t="s">
        <v>72</v>
      </c>
      <c r="D5" s="20"/>
      <c r="E5" s="3">
        <v>1344443.63</v>
      </c>
      <c r="F5" s="24">
        <v>0</v>
      </c>
      <c r="G5" s="26">
        <v>0</v>
      </c>
      <c r="H5" t="s">
        <v>1806</v>
      </c>
      <c r="K5">
        <v>216</v>
      </c>
    </row>
    <row r="6" spans="1:11">
      <c r="A6" s="13" t="s">
        <v>1792</v>
      </c>
      <c r="B6" s="14" t="s">
        <v>1793</v>
      </c>
      <c r="C6" s="15" t="s">
        <v>72</v>
      </c>
      <c r="D6" s="16"/>
      <c r="E6" s="2">
        <v>1750555.55</v>
      </c>
      <c r="F6" s="23">
        <v>5.2156014129343107E-4</v>
      </c>
      <c r="G6" s="26">
        <v>913.02</v>
      </c>
      <c r="H6" t="s">
        <v>1806</v>
      </c>
      <c r="K6">
        <v>309</v>
      </c>
    </row>
    <row r="7" spans="1:11">
      <c r="A7" s="17" t="s">
        <v>1747</v>
      </c>
      <c r="B7" s="21" t="s">
        <v>1748</v>
      </c>
      <c r="C7" s="19" t="s">
        <v>72</v>
      </c>
      <c r="D7" s="20"/>
      <c r="E7" s="3">
        <v>1059945.29</v>
      </c>
      <c r="F7" s="24">
        <v>2.1421860367906346E-4</v>
      </c>
      <c r="G7" s="26">
        <v>227.06</v>
      </c>
      <c r="H7" t="s">
        <v>1806</v>
      </c>
      <c r="I7" t="s">
        <v>1809</v>
      </c>
      <c r="J7" t="s">
        <v>1814</v>
      </c>
      <c r="K7">
        <v>147</v>
      </c>
    </row>
    <row r="8" spans="1:11">
      <c r="A8" s="13" t="s">
        <v>266</v>
      </c>
      <c r="B8" s="14" t="s">
        <v>267</v>
      </c>
      <c r="C8" s="15" t="s">
        <v>72</v>
      </c>
      <c r="D8" s="16"/>
      <c r="E8" s="2">
        <v>2727062.22</v>
      </c>
      <c r="F8" s="23">
        <v>0</v>
      </c>
      <c r="G8" s="26">
        <v>0</v>
      </c>
      <c r="H8" t="s">
        <v>1806</v>
      </c>
      <c r="K8">
        <v>473</v>
      </c>
    </row>
    <row r="9" spans="1:11">
      <c r="A9" s="13" t="s">
        <v>1749</v>
      </c>
      <c r="B9" s="14" t="s">
        <v>1750</v>
      </c>
      <c r="C9" s="15" t="s">
        <v>72</v>
      </c>
      <c r="D9" s="16"/>
      <c r="E9" s="2">
        <v>746521.86</v>
      </c>
      <c r="F9" s="23">
        <v>1.0595001196615998E-3</v>
      </c>
      <c r="G9" s="26">
        <v>790.94</v>
      </c>
      <c r="H9" t="s">
        <v>1806</v>
      </c>
      <c r="I9" t="s">
        <v>1810</v>
      </c>
      <c r="K9">
        <v>120</v>
      </c>
    </row>
    <row r="10" spans="1:11">
      <c r="A10" s="13" t="s">
        <v>213</v>
      </c>
      <c r="B10" s="14" t="s">
        <v>214</v>
      </c>
      <c r="C10" s="15" t="s">
        <v>72</v>
      </c>
      <c r="D10" s="16"/>
      <c r="E10" s="2">
        <v>4063576.73</v>
      </c>
      <c r="F10" s="23">
        <v>2.1877212098318125E-2</v>
      </c>
      <c r="G10" s="26">
        <v>88899.73</v>
      </c>
      <c r="H10" t="s">
        <v>1806</v>
      </c>
      <c r="K10">
        <v>539</v>
      </c>
    </row>
    <row r="11" spans="1:11">
      <c r="A11" s="13" t="s">
        <v>81</v>
      </c>
      <c r="B11" s="14" t="s">
        <v>82</v>
      </c>
      <c r="C11" s="15" t="s">
        <v>72</v>
      </c>
      <c r="D11" s="16"/>
      <c r="E11" s="2">
        <v>0</v>
      </c>
      <c r="F11" s="23" t="s">
        <v>761</v>
      </c>
      <c r="G11" s="26"/>
      <c r="H11" t="s">
        <v>1806</v>
      </c>
    </row>
    <row r="12" spans="1:11">
      <c r="A12" s="13" t="s">
        <v>27</v>
      </c>
      <c r="B12" s="14" t="s">
        <v>28</v>
      </c>
      <c r="C12" s="15" t="s">
        <v>72</v>
      </c>
      <c r="D12" s="16"/>
      <c r="E12" s="2">
        <v>17351899.23</v>
      </c>
      <c r="F12" s="23">
        <v>6.0497627728558448E-2</v>
      </c>
      <c r="G12" s="26">
        <v>1049748.74</v>
      </c>
      <c r="H12" t="s">
        <v>1806</v>
      </c>
      <c r="K12">
        <v>2125</v>
      </c>
    </row>
    <row r="13" spans="1:11">
      <c r="A13" s="27" t="s">
        <v>196</v>
      </c>
      <c r="B13" s="28" t="s">
        <v>197</v>
      </c>
      <c r="C13" s="29" t="s">
        <v>72</v>
      </c>
      <c r="D13" s="30"/>
      <c r="E13" s="31">
        <v>0</v>
      </c>
      <c r="F13" s="32" t="s">
        <v>761</v>
      </c>
      <c r="G13" s="33"/>
      <c r="H13" s="34" t="s">
        <v>1806</v>
      </c>
      <c r="I13" s="34" t="s">
        <v>1809</v>
      </c>
      <c r="J13" s="34"/>
      <c r="K13" s="34">
        <v>616</v>
      </c>
    </row>
    <row r="14" spans="1:11">
      <c r="A14" s="13" t="s">
        <v>150</v>
      </c>
      <c r="B14" s="14" t="s">
        <v>151</v>
      </c>
      <c r="C14" s="15" t="s">
        <v>72</v>
      </c>
      <c r="D14" s="16"/>
      <c r="E14" s="2">
        <v>1470515.3</v>
      </c>
      <c r="F14" s="23">
        <v>0</v>
      </c>
      <c r="G14" s="26">
        <v>0</v>
      </c>
      <c r="H14" t="s">
        <v>1806</v>
      </c>
      <c r="I14" t="s">
        <v>1810</v>
      </c>
      <c r="J14" t="s">
        <v>1812</v>
      </c>
      <c r="K14">
        <v>178</v>
      </c>
    </row>
    <row r="15" spans="1:11">
      <c r="A15" s="13" t="s">
        <v>59</v>
      </c>
      <c r="B15" s="14" t="s">
        <v>60</v>
      </c>
      <c r="C15" s="15" t="s">
        <v>72</v>
      </c>
      <c r="D15" s="16"/>
      <c r="E15" s="2">
        <v>1588994.83</v>
      </c>
      <c r="F15" s="23">
        <v>2.6705562031312588E-4</v>
      </c>
      <c r="G15" s="26">
        <v>424.35</v>
      </c>
      <c r="H15" t="s">
        <v>1806</v>
      </c>
      <c r="K15">
        <v>208</v>
      </c>
    </row>
    <row r="16" spans="1:11">
      <c r="A16" s="17" t="s">
        <v>336</v>
      </c>
      <c r="B16" s="21" t="s">
        <v>337</v>
      </c>
      <c r="C16" s="19" t="s">
        <v>72</v>
      </c>
      <c r="D16" s="20"/>
      <c r="E16" s="3">
        <v>657459.05000000005</v>
      </c>
      <c r="F16" s="24">
        <v>4.7800087321027817E-3</v>
      </c>
      <c r="G16" s="26">
        <v>3142.6599999999994</v>
      </c>
      <c r="H16" t="s">
        <v>1806</v>
      </c>
      <c r="I16" t="s">
        <v>1809</v>
      </c>
      <c r="J16" t="s">
        <v>1814</v>
      </c>
      <c r="K16">
        <v>74</v>
      </c>
    </row>
    <row r="17" spans="1:11">
      <c r="A17" s="17" t="s">
        <v>200</v>
      </c>
      <c r="B17" s="21" t="s">
        <v>201</v>
      </c>
      <c r="C17" s="19" t="s">
        <v>72</v>
      </c>
      <c r="D17" s="20"/>
      <c r="E17" s="3">
        <v>1974056.5</v>
      </c>
      <c r="F17" s="24">
        <v>1.1291490390472614E-2</v>
      </c>
      <c r="G17" s="26">
        <v>22290.04</v>
      </c>
      <c r="H17" t="s">
        <v>1806</v>
      </c>
      <c r="K17">
        <v>272</v>
      </c>
    </row>
    <row r="18" spans="1:11">
      <c r="A18" s="13" t="s">
        <v>318</v>
      </c>
      <c r="B18" s="14" t="s">
        <v>319</v>
      </c>
      <c r="C18" s="15" t="s">
        <v>72</v>
      </c>
      <c r="D18" s="16"/>
      <c r="E18" s="2">
        <v>622949.76</v>
      </c>
      <c r="F18" s="23">
        <v>6.0197470820118786E-5</v>
      </c>
      <c r="G18" s="26">
        <v>37.5</v>
      </c>
      <c r="H18" t="s">
        <v>1806</v>
      </c>
      <c r="K18">
        <v>158</v>
      </c>
    </row>
    <row r="19" spans="1:11">
      <c r="A19" s="17" t="s">
        <v>324</v>
      </c>
      <c r="B19" s="21" t="s">
        <v>325</v>
      </c>
      <c r="C19" s="19" t="s">
        <v>72</v>
      </c>
      <c r="D19" s="20"/>
      <c r="E19" s="3">
        <v>161469.60999999999</v>
      </c>
      <c r="F19" s="24">
        <v>0</v>
      </c>
      <c r="G19" s="26">
        <v>0</v>
      </c>
      <c r="H19" t="s">
        <v>1806</v>
      </c>
      <c r="I19" t="s">
        <v>1809</v>
      </c>
      <c r="K19">
        <v>26</v>
      </c>
    </row>
    <row r="20" spans="1:11">
      <c r="A20" s="17" t="s">
        <v>103</v>
      </c>
      <c r="B20" s="21" t="s">
        <v>104</v>
      </c>
      <c r="C20" s="19" t="s">
        <v>72</v>
      </c>
      <c r="D20" s="20"/>
      <c r="E20" s="3">
        <v>705727.13</v>
      </c>
      <c r="F20" s="24">
        <v>1.6722468923647586E-2</v>
      </c>
      <c r="G20" s="26">
        <v>11801.5</v>
      </c>
      <c r="H20" t="s">
        <v>1806</v>
      </c>
      <c r="K20">
        <v>56</v>
      </c>
    </row>
    <row r="21" spans="1:11">
      <c r="A21" s="13" t="s">
        <v>101</v>
      </c>
      <c r="B21" s="14" t="s">
        <v>102</v>
      </c>
      <c r="C21" s="15" t="s">
        <v>72</v>
      </c>
      <c r="D21" s="16"/>
      <c r="E21" s="2">
        <v>1082082.76</v>
      </c>
      <c r="F21" s="23">
        <v>9.8995200699805996E-3</v>
      </c>
      <c r="G21" s="26">
        <v>10712.1</v>
      </c>
      <c r="H21" t="s">
        <v>1806</v>
      </c>
      <c r="K21">
        <v>35</v>
      </c>
    </row>
    <row r="22" spans="1:11">
      <c r="A22" s="13" t="s">
        <v>1931</v>
      </c>
      <c r="B22" s="14" t="s">
        <v>1932</v>
      </c>
      <c r="C22" s="15" t="s">
        <v>72</v>
      </c>
      <c r="D22" s="16"/>
      <c r="E22" s="2">
        <v>1380421.68</v>
      </c>
      <c r="F22" s="23">
        <v>1.0913165316267709E-2</v>
      </c>
      <c r="G22" s="26">
        <v>15064.770000000002</v>
      </c>
      <c r="H22" t="s">
        <v>1806</v>
      </c>
      <c r="K22">
        <v>159</v>
      </c>
    </row>
    <row r="23" spans="1:11">
      <c r="A23" s="27" t="s">
        <v>278</v>
      </c>
      <c r="B23" s="28" t="s">
        <v>279</v>
      </c>
      <c r="C23" s="29" t="s">
        <v>72</v>
      </c>
      <c r="D23" s="30"/>
      <c r="E23" s="31">
        <v>0</v>
      </c>
      <c r="F23" s="32" t="s">
        <v>761</v>
      </c>
      <c r="G23" s="33"/>
      <c r="H23" s="34" t="s">
        <v>1806</v>
      </c>
      <c r="I23" s="34"/>
      <c r="J23" s="34"/>
      <c r="K23" s="34">
        <v>519</v>
      </c>
    </row>
    <row r="24" spans="1:11">
      <c r="A24" s="17" t="s">
        <v>144</v>
      </c>
      <c r="B24" s="21" t="s">
        <v>145</v>
      </c>
      <c r="C24" s="19" t="s">
        <v>72</v>
      </c>
      <c r="D24" s="20"/>
      <c r="E24" s="3">
        <v>7399000.6500000004</v>
      </c>
      <c r="F24" s="24">
        <v>9.717433934811183E-4</v>
      </c>
      <c r="G24" s="26">
        <v>7189.93</v>
      </c>
      <c r="H24" t="s">
        <v>1806</v>
      </c>
      <c r="K24">
        <v>1012</v>
      </c>
    </row>
    <row r="25" spans="1:11">
      <c r="A25" s="17" t="s">
        <v>164</v>
      </c>
      <c r="B25" s="21" t="s">
        <v>165</v>
      </c>
      <c r="C25" s="19" t="s">
        <v>72</v>
      </c>
      <c r="D25" s="20"/>
      <c r="E25" s="3">
        <v>879618.34</v>
      </c>
      <c r="F25" s="24">
        <v>1.2297606255003734E-3</v>
      </c>
      <c r="G25" s="26">
        <v>1081.72</v>
      </c>
      <c r="H25" t="s">
        <v>1806</v>
      </c>
      <c r="K25">
        <v>50</v>
      </c>
    </row>
    <row r="26" spans="1:11">
      <c r="A26" s="17" t="s">
        <v>284</v>
      </c>
      <c r="B26" s="21" t="s">
        <v>285</v>
      </c>
      <c r="C26" s="19" t="s">
        <v>72</v>
      </c>
      <c r="D26" s="20"/>
      <c r="E26" s="3">
        <v>1222466.77</v>
      </c>
      <c r="F26" s="24">
        <v>6.6802879230819503E-3</v>
      </c>
      <c r="G26" s="26">
        <v>8166.43</v>
      </c>
      <c r="H26" t="s">
        <v>1806</v>
      </c>
      <c r="K26">
        <v>122</v>
      </c>
    </row>
    <row r="27" spans="1:11">
      <c r="A27" s="17" t="s">
        <v>148</v>
      </c>
      <c r="B27" s="21" t="s">
        <v>149</v>
      </c>
      <c r="C27" s="19" t="s">
        <v>72</v>
      </c>
      <c r="D27" s="20"/>
      <c r="E27" s="3">
        <v>1323872.08</v>
      </c>
      <c r="F27" s="24">
        <v>3.875465822951716E-2</v>
      </c>
      <c r="G27" s="26">
        <v>51306.21</v>
      </c>
      <c r="H27" t="s">
        <v>1806</v>
      </c>
      <c r="K27">
        <v>159</v>
      </c>
    </row>
    <row r="28" spans="1:11">
      <c r="A28" s="13" t="s">
        <v>304</v>
      </c>
      <c r="B28" s="14" t="s">
        <v>305</v>
      </c>
      <c r="C28" s="15" t="s">
        <v>72</v>
      </c>
      <c r="D28" s="16"/>
      <c r="E28" s="2">
        <v>1829346.99</v>
      </c>
      <c r="F28" s="23">
        <v>3.6094847156361515E-3</v>
      </c>
      <c r="G28" s="26">
        <v>6603</v>
      </c>
      <c r="H28" t="s">
        <v>1806</v>
      </c>
      <c r="K28">
        <v>221</v>
      </c>
    </row>
    <row r="29" spans="1:11">
      <c r="A29" s="17" t="s">
        <v>1711</v>
      </c>
      <c r="B29" s="21" t="s">
        <v>1712</v>
      </c>
      <c r="C29" s="19" t="s">
        <v>72</v>
      </c>
      <c r="D29" s="20"/>
      <c r="E29" s="3">
        <v>4463813.6500000004</v>
      </c>
      <c r="F29" s="24">
        <v>1.0225740494341647E-3</v>
      </c>
      <c r="G29" s="26">
        <v>4564.58</v>
      </c>
      <c r="H29" t="s">
        <v>1806</v>
      </c>
      <c r="K29">
        <v>544</v>
      </c>
    </row>
    <row r="30" spans="1:11">
      <c r="A30" s="17" t="s">
        <v>312</v>
      </c>
      <c r="B30" s="21" t="s">
        <v>313</v>
      </c>
      <c r="C30" s="19" t="s">
        <v>72</v>
      </c>
      <c r="D30" s="20"/>
      <c r="E30" s="3">
        <v>835934</v>
      </c>
      <c r="F30" s="24">
        <v>1.1472197565836537E-3</v>
      </c>
      <c r="G30" s="26">
        <v>959</v>
      </c>
      <c r="H30" t="s">
        <v>1806</v>
      </c>
      <c r="K30">
        <v>79</v>
      </c>
    </row>
    <row r="31" spans="1:11">
      <c r="A31" s="13" t="s">
        <v>262</v>
      </c>
      <c r="B31" s="14" t="s">
        <v>263</v>
      </c>
      <c r="C31" s="15" t="s">
        <v>72</v>
      </c>
      <c r="D31" s="16"/>
      <c r="E31" s="2">
        <v>1357867.03</v>
      </c>
      <c r="F31" s="23">
        <v>7.544921390425099E-5</v>
      </c>
      <c r="G31" s="26">
        <v>102.45</v>
      </c>
      <c r="H31" t="s">
        <v>1806</v>
      </c>
      <c r="K31">
        <v>180</v>
      </c>
    </row>
    <row r="32" spans="1:11">
      <c r="A32" s="13" t="s">
        <v>1713</v>
      </c>
      <c r="B32" s="14" t="s">
        <v>1714</v>
      </c>
      <c r="C32" s="15" t="s">
        <v>72</v>
      </c>
      <c r="D32" s="16"/>
      <c r="E32" s="2">
        <v>3812632.93</v>
      </c>
      <c r="F32" s="23">
        <v>8.5243732078870746E-2</v>
      </c>
      <c r="G32" s="26">
        <v>325003.06</v>
      </c>
      <c r="H32" t="s">
        <v>1806</v>
      </c>
      <c r="I32" t="s">
        <v>1809</v>
      </c>
      <c r="J32" t="s">
        <v>1814</v>
      </c>
      <c r="K32">
        <v>380</v>
      </c>
    </row>
    <row r="33" spans="1:11">
      <c r="A33" s="17" t="s">
        <v>1790</v>
      </c>
      <c r="B33" s="21" t="s">
        <v>1791</v>
      </c>
      <c r="C33" s="19" t="s">
        <v>72</v>
      </c>
      <c r="D33" s="20"/>
      <c r="E33" s="3">
        <v>1221188.54</v>
      </c>
      <c r="F33" s="24">
        <v>1.392240382471981E-2</v>
      </c>
      <c r="G33" s="26">
        <v>17001.88</v>
      </c>
      <c r="H33" t="s">
        <v>1806</v>
      </c>
      <c r="I33" t="s">
        <v>1810</v>
      </c>
      <c r="J33" t="s">
        <v>1812</v>
      </c>
      <c r="K33">
        <v>169</v>
      </c>
    </row>
    <row r="34" spans="1:11">
      <c r="A34" s="17" t="s">
        <v>176</v>
      </c>
      <c r="B34" s="21" t="s">
        <v>177</v>
      </c>
      <c r="C34" s="19" t="s">
        <v>72</v>
      </c>
      <c r="D34" s="20"/>
      <c r="E34" s="3">
        <v>2445648.89</v>
      </c>
      <c r="F34" s="24">
        <v>0</v>
      </c>
      <c r="G34" s="26">
        <v>0</v>
      </c>
      <c r="H34" t="s">
        <v>1806</v>
      </c>
      <c r="I34" t="s">
        <v>1809</v>
      </c>
      <c r="J34" t="s">
        <v>1814</v>
      </c>
      <c r="K34">
        <v>160</v>
      </c>
    </row>
    <row r="35" spans="1:11">
      <c r="A35" s="17" t="s">
        <v>320</v>
      </c>
      <c r="B35" s="21" t="s">
        <v>321</v>
      </c>
      <c r="C35" s="19" t="s">
        <v>72</v>
      </c>
      <c r="D35" s="20"/>
      <c r="E35" s="3">
        <v>1189815.74</v>
      </c>
      <c r="F35" s="24">
        <v>4.7435075955542491E-4</v>
      </c>
      <c r="G35" s="26">
        <v>564.39</v>
      </c>
      <c r="H35" t="s">
        <v>1806</v>
      </c>
      <c r="I35" t="s">
        <v>1809</v>
      </c>
      <c r="J35" t="s">
        <v>1814</v>
      </c>
      <c r="K35">
        <v>131</v>
      </c>
    </row>
    <row r="36" spans="1:11">
      <c r="A36" s="13" t="s">
        <v>489</v>
      </c>
      <c r="B36" s="14" t="s">
        <v>490</v>
      </c>
      <c r="C36" s="15" t="s">
        <v>72</v>
      </c>
      <c r="D36" s="16"/>
      <c r="E36" s="2">
        <v>1607032.69</v>
      </c>
      <c r="F36" s="23">
        <v>0.43075697483166947</v>
      </c>
      <c r="G36" s="26">
        <v>692240.54</v>
      </c>
      <c r="H36" t="s">
        <v>1806</v>
      </c>
      <c r="I36" t="s">
        <v>1809</v>
      </c>
      <c r="J36" t="s">
        <v>1814</v>
      </c>
      <c r="K36">
        <v>123</v>
      </c>
    </row>
    <row r="37" spans="1:11">
      <c r="A37" s="17" t="s">
        <v>495</v>
      </c>
      <c r="B37" s="21" t="s">
        <v>496</v>
      </c>
      <c r="C37" s="19" t="s">
        <v>72</v>
      </c>
      <c r="D37" s="20"/>
      <c r="E37" s="3">
        <v>2239223.5099999998</v>
      </c>
      <c r="F37" s="24">
        <v>0.30555379887021644</v>
      </c>
      <c r="G37" s="26">
        <v>684203.25</v>
      </c>
      <c r="H37" t="s">
        <v>1806</v>
      </c>
      <c r="I37" t="s">
        <v>1809</v>
      </c>
      <c r="J37" t="s">
        <v>1814</v>
      </c>
      <c r="K37">
        <v>166</v>
      </c>
    </row>
    <row r="38" spans="1:11">
      <c r="A38" s="13" t="s">
        <v>1637</v>
      </c>
      <c r="B38" s="14" t="s">
        <v>1638</v>
      </c>
      <c r="C38" s="15" t="s">
        <v>72</v>
      </c>
      <c r="D38" s="16"/>
      <c r="E38" s="2">
        <v>2171897.73</v>
      </c>
      <c r="F38" s="23">
        <v>0</v>
      </c>
      <c r="G38" s="26">
        <v>0</v>
      </c>
      <c r="H38" t="s">
        <v>1806</v>
      </c>
      <c r="I38" t="s">
        <v>1810</v>
      </c>
      <c r="J38" t="s">
        <v>1812</v>
      </c>
      <c r="K38">
        <v>219</v>
      </c>
    </row>
    <row r="39" spans="1:11">
      <c r="A39" s="13" t="s">
        <v>190</v>
      </c>
      <c r="B39" s="14" t="s">
        <v>191</v>
      </c>
      <c r="C39" s="15" t="s">
        <v>72</v>
      </c>
      <c r="D39" s="16"/>
      <c r="E39" s="2">
        <v>4484235.68</v>
      </c>
      <c r="F39" s="23">
        <v>5.0200305261386259E-4</v>
      </c>
      <c r="G39" s="26">
        <v>2251.1</v>
      </c>
      <c r="H39" t="s">
        <v>1806</v>
      </c>
      <c r="K39">
        <v>598</v>
      </c>
    </row>
    <row r="40" spans="1:11">
      <c r="A40" s="13" t="s">
        <v>186</v>
      </c>
      <c r="B40" s="14" t="s">
        <v>187</v>
      </c>
      <c r="C40" s="15" t="s">
        <v>72</v>
      </c>
      <c r="D40" s="16"/>
      <c r="E40" s="2">
        <v>2476348.7400000002</v>
      </c>
      <c r="F40" s="23">
        <v>1.1386158800880362E-3</v>
      </c>
      <c r="G40" s="26">
        <v>2819.6099999999997</v>
      </c>
      <c r="H40" t="s">
        <v>1806</v>
      </c>
      <c r="K40">
        <v>325</v>
      </c>
    </row>
    <row r="41" spans="1:11">
      <c r="A41" s="17" t="s">
        <v>192</v>
      </c>
      <c r="B41" s="21" t="s">
        <v>193</v>
      </c>
      <c r="C41" s="19" t="s">
        <v>72</v>
      </c>
      <c r="D41" s="20"/>
      <c r="E41" s="3">
        <v>3401211.28</v>
      </c>
      <c r="F41" s="24">
        <v>7.1861457545207251E-4</v>
      </c>
      <c r="G41" s="26">
        <v>2444.16</v>
      </c>
      <c r="H41" t="s">
        <v>1806</v>
      </c>
      <c r="K41">
        <v>488</v>
      </c>
    </row>
    <row r="42" spans="1:11">
      <c r="A42" s="13" t="s">
        <v>310</v>
      </c>
      <c r="B42" s="14" t="s">
        <v>311</v>
      </c>
      <c r="C42" s="15" t="s">
        <v>72</v>
      </c>
      <c r="D42" s="16"/>
      <c r="E42" s="2">
        <v>909606</v>
      </c>
      <c r="F42" s="23">
        <v>0</v>
      </c>
      <c r="G42" s="26">
        <v>0</v>
      </c>
      <c r="H42" t="s">
        <v>1806</v>
      </c>
      <c r="K42">
        <v>88</v>
      </c>
    </row>
    <row r="43" spans="1:11">
      <c r="A43" s="13" t="s">
        <v>380</v>
      </c>
      <c r="B43" s="14" t="s">
        <v>381</v>
      </c>
      <c r="C43" s="15" t="s">
        <v>72</v>
      </c>
      <c r="D43" s="16"/>
      <c r="E43" s="2">
        <v>507647</v>
      </c>
      <c r="F43" s="23">
        <v>5.2460962046461425E-2</v>
      </c>
      <c r="G43" s="26">
        <v>26631.65</v>
      </c>
      <c r="H43" t="s">
        <v>1806</v>
      </c>
      <c r="K43">
        <v>35</v>
      </c>
    </row>
    <row r="44" spans="1:11">
      <c r="A44" s="17" t="s">
        <v>29</v>
      </c>
      <c r="B44" s="21" t="s">
        <v>30</v>
      </c>
      <c r="C44" s="19" t="s">
        <v>72</v>
      </c>
      <c r="D44" s="20"/>
      <c r="E44" s="3">
        <v>791513.88</v>
      </c>
      <c r="F44" s="24">
        <v>0.17240185352150741</v>
      </c>
      <c r="G44" s="26">
        <v>136458.46</v>
      </c>
      <c r="H44" t="s">
        <v>1806</v>
      </c>
      <c r="K44">
        <v>85</v>
      </c>
    </row>
    <row r="45" spans="1:11">
      <c r="A45" s="13" t="s">
        <v>1753</v>
      </c>
      <c r="B45" s="14" t="s">
        <v>1754</v>
      </c>
      <c r="C45" s="15" t="s">
        <v>72</v>
      </c>
      <c r="D45" s="16"/>
      <c r="E45" s="2">
        <v>5661783.1399999997</v>
      </c>
      <c r="F45" s="23">
        <v>1.8061977555714013E-2</v>
      </c>
      <c r="G45" s="26">
        <v>102263</v>
      </c>
      <c r="H45" t="s">
        <v>1806</v>
      </c>
      <c r="I45" t="s">
        <v>1810</v>
      </c>
      <c r="J45" t="s">
        <v>1812</v>
      </c>
      <c r="K45">
        <v>794</v>
      </c>
    </row>
    <row r="46" spans="1:11">
      <c r="A46" s="13" t="s">
        <v>350</v>
      </c>
      <c r="B46" s="14" t="s">
        <v>351</v>
      </c>
      <c r="C46" s="15" t="s">
        <v>72</v>
      </c>
      <c r="D46" s="16"/>
      <c r="E46" s="2">
        <v>853109.34</v>
      </c>
      <c r="F46" s="23">
        <v>0.11721826887981324</v>
      </c>
      <c r="G46" s="26">
        <v>100000</v>
      </c>
      <c r="H46" t="s">
        <v>1806</v>
      </c>
      <c r="I46" t="s">
        <v>1810</v>
      </c>
      <c r="J46" t="s">
        <v>1812</v>
      </c>
      <c r="K46">
        <v>86</v>
      </c>
    </row>
    <row r="47" spans="1:11">
      <c r="A47" s="13" t="s">
        <v>1705</v>
      </c>
      <c r="B47" s="14" t="s">
        <v>1706</v>
      </c>
      <c r="C47" s="15" t="s">
        <v>72</v>
      </c>
      <c r="D47" s="16"/>
      <c r="E47" s="2">
        <v>4930061.96</v>
      </c>
      <c r="F47" s="23">
        <v>2.5095238356801504E-2</v>
      </c>
      <c r="G47" s="26">
        <v>123721.08</v>
      </c>
      <c r="H47" t="s">
        <v>1806</v>
      </c>
      <c r="I47" t="s">
        <v>1810</v>
      </c>
      <c r="J47" t="s">
        <v>1812</v>
      </c>
      <c r="K47">
        <v>661</v>
      </c>
    </row>
    <row r="48" spans="1:11">
      <c r="A48" s="17" t="s">
        <v>1855</v>
      </c>
      <c r="B48" s="21" t="s">
        <v>1856</v>
      </c>
      <c r="C48" s="19" t="s">
        <v>72</v>
      </c>
      <c r="D48" s="20"/>
      <c r="E48" s="3">
        <v>949235.02</v>
      </c>
      <c r="F48" s="24">
        <v>2.0075365529602988E-2</v>
      </c>
      <c r="G48" s="26">
        <v>19056.240000000002</v>
      </c>
      <c r="H48" t="s">
        <v>1806</v>
      </c>
      <c r="K48">
        <v>98</v>
      </c>
    </row>
    <row r="49" spans="1:11">
      <c r="A49" s="13" t="s">
        <v>51</v>
      </c>
      <c r="B49" s="14" t="s">
        <v>52</v>
      </c>
      <c r="C49" s="15" t="s">
        <v>72</v>
      </c>
      <c r="D49" s="16"/>
      <c r="E49" s="2">
        <v>1355978.32</v>
      </c>
      <c r="F49" s="23">
        <v>4.7733875273168079E-3</v>
      </c>
      <c r="G49" s="26">
        <v>6472.61</v>
      </c>
      <c r="H49" t="s">
        <v>1806</v>
      </c>
      <c r="K49">
        <v>162</v>
      </c>
    </row>
    <row r="50" spans="1:11">
      <c r="A50" s="13" t="s">
        <v>1923</v>
      </c>
      <c r="B50" s="14" t="s">
        <v>1924</v>
      </c>
      <c r="C50" s="15" t="s">
        <v>72</v>
      </c>
      <c r="D50" s="16"/>
      <c r="E50" s="2">
        <v>8128870.4800000004</v>
      </c>
      <c r="F50" s="23">
        <v>2.0283366601259956E-2</v>
      </c>
      <c r="G50" s="26">
        <v>164880.85999999999</v>
      </c>
      <c r="H50" t="s">
        <v>1806</v>
      </c>
      <c r="K50">
        <v>894</v>
      </c>
    </row>
    <row r="51" spans="1:11">
      <c r="A51" s="17" t="s">
        <v>356</v>
      </c>
      <c r="B51" s="21" t="s">
        <v>357</v>
      </c>
      <c r="C51" s="19" t="s">
        <v>72</v>
      </c>
      <c r="D51" s="20"/>
      <c r="E51" s="3">
        <v>438809.74</v>
      </c>
      <c r="F51" s="24">
        <v>0</v>
      </c>
      <c r="G51" s="26">
        <v>0</v>
      </c>
      <c r="H51" t="s">
        <v>1806</v>
      </c>
      <c r="K51">
        <v>41</v>
      </c>
    </row>
    <row r="52" spans="1:11">
      <c r="A52" s="17" t="s">
        <v>1794</v>
      </c>
      <c r="B52" s="21" t="s">
        <v>1795</v>
      </c>
      <c r="C52" s="19" t="s">
        <v>72</v>
      </c>
      <c r="D52" s="20"/>
      <c r="E52" s="3">
        <v>1600815.32</v>
      </c>
      <c r="F52" s="24">
        <v>3.7553070144281227E-2</v>
      </c>
      <c r="G52" s="26">
        <v>60115.53</v>
      </c>
      <c r="H52" t="s">
        <v>1806</v>
      </c>
      <c r="K52">
        <v>152</v>
      </c>
    </row>
    <row r="53" spans="1:11">
      <c r="A53" s="17" t="s">
        <v>25</v>
      </c>
      <c r="B53" s="21" t="s">
        <v>26</v>
      </c>
      <c r="C53" s="19" t="s">
        <v>72</v>
      </c>
      <c r="D53" s="20"/>
      <c r="E53" s="3">
        <v>1809630.16</v>
      </c>
      <c r="F53" s="24">
        <v>0</v>
      </c>
      <c r="G53" s="26">
        <v>0</v>
      </c>
      <c r="H53" t="s">
        <v>1806</v>
      </c>
      <c r="I53" t="s">
        <v>1810</v>
      </c>
      <c r="J53" t="s">
        <v>1812</v>
      </c>
      <c r="K53">
        <v>221</v>
      </c>
    </row>
    <row r="54" spans="1:11">
      <c r="A54" s="17" t="s">
        <v>1715</v>
      </c>
      <c r="B54" s="21" t="s">
        <v>1716</v>
      </c>
      <c r="C54" s="19" t="s">
        <v>72</v>
      </c>
      <c r="D54" s="20"/>
      <c r="E54" s="3">
        <v>2056941.76</v>
      </c>
      <c r="F54" s="24">
        <v>9.4495674977204992E-3</v>
      </c>
      <c r="G54" s="26">
        <v>19437.21</v>
      </c>
      <c r="H54" t="s">
        <v>1806</v>
      </c>
      <c r="K54">
        <v>233</v>
      </c>
    </row>
    <row r="55" spans="1:11">
      <c r="A55" s="17" t="s">
        <v>172</v>
      </c>
      <c r="B55" s="21" t="s">
        <v>173</v>
      </c>
      <c r="C55" s="19" t="s">
        <v>72</v>
      </c>
      <c r="D55" s="20"/>
      <c r="E55" s="3">
        <v>1901827.32</v>
      </c>
      <c r="F55" s="24">
        <v>0</v>
      </c>
      <c r="G55" s="26">
        <v>0</v>
      </c>
      <c r="H55" t="s">
        <v>1806</v>
      </c>
      <c r="I55" t="s">
        <v>1809</v>
      </c>
      <c r="K55">
        <v>339</v>
      </c>
    </row>
    <row r="56" spans="1:11">
      <c r="A56" s="13" t="s">
        <v>1701</v>
      </c>
      <c r="B56" s="14" t="s">
        <v>1702</v>
      </c>
      <c r="C56" s="15" t="s">
        <v>72</v>
      </c>
      <c r="D56" s="16"/>
      <c r="E56" s="2">
        <v>49974484.530000001</v>
      </c>
      <c r="F56" s="23">
        <v>1.0507981321643458E-2</v>
      </c>
      <c r="G56" s="26">
        <v>525130.94999999995</v>
      </c>
      <c r="H56" t="s">
        <v>1806</v>
      </c>
      <c r="K56">
        <v>6524</v>
      </c>
    </row>
    <row r="57" spans="1:11">
      <c r="A57" s="13" t="s">
        <v>334</v>
      </c>
      <c r="B57" s="14" t="s">
        <v>335</v>
      </c>
      <c r="C57" s="15" t="s">
        <v>72</v>
      </c>
      <c r="D57" s="16"/>
      <c r="E57" s="2">
        <v>78367.070000000007</v>
      </c>
      <c r="F57" s="23">
        <v>0</v>
      </c>
      <c r="G57" s="26">
        <v>0</v>
      </c>
      <c r="H57" t="s">
        <v>1806</v>
      </c>
      <c r="K57">
        <v>58</v>
      </c>
    </row>
    <row r="58" spans="1:11">
      <c r="A58" s="17" t="s">
        <v>1655</v>
      </c>
      <c r="B58" s="21" t="s">
        <v>1656</v>
      </c>
      <c r="C58" s="19" t="s">
        <v>72</v>
      </c>
      <c r="D58" s="20"/>
      <c r="E58" s="3">
        <v>1793470.68</v>
      </c>
      <c r="F58" s="24">
        <v>1.9266370164467923E-2</v>
      </c>
      <c r="G58" s="26">
        <v>34553.67</v>
      </c>
      <c r="H58" t="s">
        <v>1806</v>
      </c>
      <c r="K58">
        <v>246</v>
      </c>
    </row>
    <row r="59" spans="1:11">
      <c r="A59" s="27" t="s">
        <v>376</v>
      </c>
      <c r="B59" s="28" t="s">
        <v>377</v>
      </c>
      <c r="C59" s="29" t="s">
        <v>72</v>
      </c>
      <c r="D59" s="30"/>
      <c r="E59" s="31">
        <v>0</v>
      </c>
      <c r="F59" s="32" t="s">
        <v>761</v>
      </c>
      <c r="G59" s="33"/>
      <c r="H59" s="34" t="s">
        <v>1806</v>
      </c>
      <c r="I59" s="34" t="s">
        <v>1810</v>
      </c>
      <c r="J59" s="34" t="s">
        <v>1812</v>
      </c>
      <c r="K59" s="34">
        <v>388</v>
      </c>
    </row>
    <row r="60" spans="1:11">
      <c r="A60" s="17" t="s">
        <v>136</v>
      </c>
      <c r="B60" s="21" t="s">
        <v>137</v>
      </c>
      <c r="C60" s="19" t="s">
        <v>72</v>
      </c>
      <c r="D60" s="20"/>
      <c r="E60" s="3">
        <v>1732192.7</v>
      </c>
      <c r="F60" s="24">
        <v>2.6788653479488743E-2</v>
      </c>
      <c r="G60" s="26">
        <v>46403.11</v>
      </c>
      <c r="H60" t="s">
        <v>1806</v>
      </c>
      <c r="K60">
        <v>244</v>
      </c>
    </row>
    <row r="61" spans="1:11">
      <c r="A61" s="17" t="s">
        <v>378</v>
      </c>
      <c r="B61" s="21" t="s">
        <v>379</v>
      </c>
      <c r="C61" s="19" t="s">
        <v>72</v>
      </c>
      <c r="D61" s="20"/>
      <c r="E61" s="3">
        <v>4655324.33</v>
      </c>
      <c r="F61" s="24">
        <v>3.9895243990443943E-3</v>
      </c>
      <c r="G61" s="26">
        <v>18572.53</v>
      </c>
      <c r="H61" t="s">
        <v>1806</v>
      </c>
      <c r="K61">
        <v>536</v>
      </c>
    </row>
    <row r="62" spans="1:11">
      <c r="A62" s="13" t="s">
        <v>308</v>
      </c>
      <c r="B62" s="14" t="s">
        <v>143</v>
      </c>
      <c r="C62" s="15" t="s">
        <v>72</v>
      </c>
      <c r="D62" s="16"/>
      <c r="E62" s="2">
        <v>559227.43000000005</v>
      </c>
      <c r="F62" s="23">
        <v>2.6680880084869942E-2</v>
      </c>
      <c r="G62" s="26">
        <v>14920.68</v>
      </c>
      <c r="H62" t="s">
        <v>1806</v>
      </c>
      <c r="K62">
        <v>39</v>
      </c>
    </row>
    <row r="63" spans="1:11">
      <c r="A63" s="13" t="s">
        <v>130</v>
      </c>
      <c r="B63" s="14" t="s">
        <v>131</v>
      </c>
      <c r="C63" s="15" t="s">
        <v>72</v>
      </c>
      <c r="D63" s="16"/>
      <c r="E63" s="2">
        <v>736232.83</v>
      </c>
      <c r="F63" s="23">
        <v>0</v>
      </c>
      <c r="G63" s="26">
        <v>0</v>
      </c>
      <c r="H63" t="s">
        <v>1806</v>
      </c>
      <c r="K63">
        <v>183</v>
      </c>
    </row>
    <row r="64" spans="1:11">
      <c r="A64" s="17" t="s">
        <v>128</v>
      </c>
      <c r="B64" s="21" t="s">
        <v>129</v>
      </c>
      <c r="C64" s="19" t="s">
        <v>72</v>
      </c>
      <c r="D64" s="20"/>
      <c r="E64" s="3">
        <v>795520.66</v>
      </c>
      <c r="F64" s="24">
        <v>0</v>
      </c>
      <c r="G64" s="26">
        <v>0</v>
      </c>
      <c r="H64" t="s">
        <v>1806</v>
      </c>
      <c r="K64">
        <v>193</v>
      </c>
    </row>
    <row r="65" spans="1:11">
      <c r="A65" s="13" t="s">
        <v>126</v>
      </c>
      <c r="B65" s="14" t="s">
        <v>127</v>
      </c>
      <c r="C65" s="15" t="s">
        <v>72</v>
      </c>
      <c r="D65" s="16"/>
      <c r="E65" s="2">
        <v>727034.75</v>
      </c>
      <c r="F65" s="23">
        <v>0</v>
      </c>
      <c r="G65" s="26">
        <v>0</v>
      </c>
      <c r="H65" t="s">
        <v>1806</v>
      </c>
      <c r="K65">
        <v>188</v>
      </c>
    </row>
    <row r="66" spans="1:11">
      <c r="A66" s="13" t="s">
        <v>217</v>
      </c>
      <c r="B66" s="14" t="s">
        <v>218</v>
      </c>
      <c r="C66" s="15" t="s">
        <v>72</v>
      </c>
      <c r="D66" s="16"/>
      <c r="E66" s="2">
        <v>981473.16</v>
      </c>
      <c r="F66" s="23">
        <v>1.8604716607838769E-2</v>
      </c>
      <c r="G66" s="26">
        <v>18260.03</v>
      </c>
      <c r="H66" t="s">
        <v>1806</v>
      </c>
      <c r="K66">
        <v>105</v>
      </c>
    </row>
    <row r="67" spans="1:11">
      <c r="A67" s="13" t="s">
        <v>154</v>
      </c>
      <c r="B67" s="14" t="s">
        <v>155</v>
      </c>
      <c r="C67" s="15" t="s">
        <v>72</v>
      </c>
      <c r="D67" s="16"/>
      <c r="E67" s="2">
        <v>833238.87</v>
      </c>
      <c r="F67" s="23">
        <v>8.0378751413745265E-3</v>
      </c>
      <c r="G67" s="26">
        <v>6697.4700000000012</v>
      </c>
      <c r="H67" t="s">
        <v>1806</v>
      </c>
      <c r="I67" t="s">
        <v>1810</v>
      </c>
      <c r="J67" t="s">
        <v>1812</v>
      </c>
      <c r="K67">
        <v>88</v>
      </c>
    </row>
    <row r="68" spans="1:11">
      <c r="A68" s="13" t="s">
        <v>85</v>
      </c>
      <c r="B68" s="14" t="s">
        <v>86</v>
      </c>
      <c r="C68" s="15" t="s">
        <v>72</v>
      </c>
      <c r="D68" s="16"/>
      <c r="E68" s="2">
        <v>1674388.45</v>
      </c>
      <c r="F68" s="23">
        <v>2.0729777489805305E-3</v>
      </c>
      <c r="G68" s="26">
        <v>3470.9699999999993</v>
      </c>
      <c r="H68" t="s">
        <v>1806</v>
      </c>
      <c r="K68">
        <v>216</v>
      </c>
    </row>
    <row r="69" spans="1:11">
      <c r="A69" s="17" t="s">
        <v>1755</v>
      </c>
      <c r="B69" s="21" t="s">
        <v>1756</v>
      </c>
      <c r="C69" s="19" t="s">
        <v>72</v>
      </c>
      <c r="D69" s="20"/>
      <c r="E69" s="3">
        <v>1219242.3500000001</v>
      </c>
      <c r="F69" s="24">
        <v>0</v>
      </c>
      <c r="G69" s="26">
        <v>0</v>
      </c>
      <c r="H69" t="s">
        <v>1806</v>
      </c>
      <c r="K69">
        <v>194</v>
      </c>
    </row>
    <row r="70" spans="1:11">
      <c r="A70" s="13" t="s">
        <v>77</v>
      </c>
      <c r="B70" s="14" t="s">
        <v>78</v>
      </c>
      <c r="C70" s="15" t="s">
        <v>72</v>
      </c>
      <c r="D70" s="16"/>
      <c r="E70" s="2">
        <v>1296747.57</v>
      </c>
      <c r="F70" s="23">
        <v>8.7188241270427055E-2</v>
      </c>
      <c r="G70" s="26">
        <v>113061.14</v>
      </c>
      <c r="H70" t="s">
        <v>1806</v>
      </c>
      <c r="K70">
        <v>180</v>
      </c>
    </row>
    <row r="71" spans="1:11">
      <c r="A71" s="17" t="s">
        <v>1703</v>
      </c>
      <c r="B71" s="21" t="s">
        <v>1704</v>
      </c>
      <c r="C71" s="19" t="s">
        <v>72</v>
      </c>
      <c r="D71" s="20"/>
      <c r="E71" s="3">
        <v>1701855.85</v>
      </c>
      <c r="F71" s="24">
        <v>0.13101131332597879</v>
      </c>
      <c r="G71" s="26">
        <v>222962.36999999997</v>
      </c>
      <c r="H71" t="s">
        <v>1806</v>
      </c>
      <c r="K71">
        <v>216</v>
      </c>
    </row>
    <row r="72" spans="1:11">
      <c r="A72" s="13" t="s">
        <v>23</v>
      </c>
      <c r="B72" s="14" t="s">
        <v>24</v>
      </c>
      <c r="C72" s="15" t="s">
        <v>72</v>
      </c>
      <c r="D72" s="16"/>
      <c r="E72" s="2">
        <v>662280.16</v>
      </c>
      <c r="F72" s="23">
        <v>1.7601946584055908E-2</v>
      </c>
      <c r="G72" s="26">
        <v>11657.42</v>
      </c>
      <c r="H72" t="s">
        <v>1806</v>
      </c>
      <c r="K72">
        <v>131</v>
      </c>
    </row>
    <row r="73" spans="1:11">
      <c r="A73" s="13" t="s">
        <v>7</v>
      </c>
      <c r="B73" s="14" t="s">
        <v>8</v>
      </c>
      <c r="C73" s="15" t="s">
        <v>72</v>
      </c>
      <c r="D73" s="16"/>
      <c r="E73" s="2">
        <v>3812153.02</v>
      </c>
      <c r="F73" s="23">
        <v>3.0344558414394391E-3</v>
      </c>
      <c r="G73" s="26">
        <v>11567.81</v>
      </c>
      <c r="H73" t="s">
        <v>1806</v>
      </c>
      <c r="K73">
        <v>535</v>
      </c>
    </row>
    <row r="74" spans="1:11">
      <c r="A74" s="27" t="s">
        <v>31</v>
      </c>
      <c r="B74" s="28" t="s">
        <v>32</v>
      </c>
      <c r="C74" s="29" t="s">
        <v>72</v>
      </c>
      <c r="D74" s="30"/>
      <c r="E74" s="31">
        <v>0</v>
      </c>
      <c r="F74" s="32" t="s">
        <v>761</v>
      </c>
      <c r="G74" s="33"/>
      <c r="H74" s="34" t="s">
        <v>1806</v>
      </c>
      <c r="I74" s="34" t="s">
        <v>1809</v>
      </c>
      <c r="J74" s="34" t="s">
        <v>1814</v>
      </c>
      <c r="K74" s="34">
        <v>218</v>
      </c>
    </row>
    <row r="75" spans="1:11">
      <c r="A75" s="13" t="s">
        <v>146</v>
      </c>
      <c r="B75" s="14" t="s">
        <v>147</v>
      </c>
      <c r="C75" s="15" t="s">
        <v>72</v>
      </c>
      <c r="D75" s="16"/>
      <c r="E75" s="2">
        <v>7954976.9199999999</v>
      </c>
      <c r="F75" s="23">
        <v>0</v>
      </c>
      <c r="G75" s="26">
        <v>0</v>
      </c>
      <c r="H75" t="s">
        <v>1806</v>
      </c>
      <c r="I75" t="s">
        <v>1809</v>
      </c>
      <c r="J75" t="s">
        <v>1814</v>
      </c>
      <c r="K75">
        <v>1041</v>
      </c>
    </row>
    <row r="76" spans="1:11">
      <c r="A76" s="13" t="s">
        <v>354</v>
      </c>
      <c r="B76" s="14" t="s">
        <v>355</v>
      </c>
      <c r="C76" s="15" t="s">
        <v>72</v>
      </c>
      <c r="D76" s="16"/>
      <c r="E76" s="2">
        <v>1706352</v>
      </c>
      <c r="F76" s="23">
        <v>2.4334428066424751E-3</v>
      </c>
      <c r="G76" s="26">
        <v>4152.3100000000004</v>
      </c>
      <c r="H76" t="s">
        <v>1806</v>
      </c>
      <c r="K76">
        <v>229</v>
      </c>
    </row>
    <row r="77" spans="1:11">
      <c r="A77" s="17" t="s">
        <v>57</v>
      </c>
      <c r="B77" s="21" t="s">
        <v>58</v>
      </c>
      <c r="C77" s="19" t="s">
        <v>72</v>
      </c>
      <c r="D77" s="20"/>
      <c r="E77" s="3">
        <v>2152877.73</v>
      </c>
      <c r="F77" s="24">
        <v>1.0811185268751886E-2</v>
      </c>
      <c r="G77" s="26">
        <v>23275.16</v>
      </c>
      <c r="H77" t="s">
        <v>1806</v>
      </c>
      <c r="K77">
        <v>327</v>
      </c>
    </row>
    <row r="78" spans="1:11">
      <c r="A78" s="13" t="s">
        <v>89</v>
      </c>
      <c r="B78" s="14" t="s">
        <v>90</v>
      </c>
      <c r="C78" s="15" t="s">
        <v>72</v>
      </c>
      <c r="D78" s="16"/>
      <c r="E78" s="2">
        <v>603347.98</v>
      </c>
      <c r="F78" s="23">
        <v>0.82928566363974576</v>
      </c>
      <c r="G78" s="26">
        <v>500347.83</v>
      </c>
      <c r="H78" t="s">
        <v>1811</v>
      </c>
      <c r="K78">
        <v>65</v>
      </c>
    </row>
    <row r="79" spans="1:11">
      <c r="A79" s="13" t="s">
        <v>1927</v>
      </c>
      <c r="B79" s="14" t="s">
        <v>1928</v>
      </c>
      <c r="C79" s="15" t="s">
        <v>72</v>
      </c>
      <c r="D79" s="16"/>
      <c r="E79" s="2">
        <v>4620528.58</v>
      </c>
      <c r="F79" s="23">
        <v>1</v>
      </c>
      <c r="G79" s="26">
        <v>4620528.58</v>
      </c>
      <c r="H79" t="s">
        <v>1806</v>
      </c>
      <c r="K79">
        <v>675</v>
      </c>
    </row>
    <row r="80" spans="1:11">
      <c r="A80" s="17" t="s">
        <v>352</v>
      </c>
      <c r="B80" s="21" t="s">
        <v>353</v>
      </c>
      <c r="C80" s="19" t="s">
        <v>72</v>
      </c>
      <c r="D80" s="20"/>
      <c r="E80" s="3">
        <v>2407551.4</v>
      </c>
      <c r="F80" s="24">
        <v>4.1535977175814401E-5</v>
      </c>
      <c r="G80" s="26">
        <v>100</v>
      </c>
      <c r="H80" t="s">
        <v>1806</v>
      </c>
      <c r="K80">
        <v>310</v>
      </c>
    </row>
    <row r="81" spans="1:11">
      <c r="A81" s="17" t="s">
        <v>386</v>
      </c>
      <c r="B81" s="21" t="s">
        <v>387</v>
      </c>
      <c r="C81" s="19" t="s">
        <v>72</v>
      </c>
      <c r="D81" s="20"/>
      <c r="E81" s="3">
        <v>1782957.04</v>
      </c>
      <c r="F81" s="24">
        <v>2.2338395769760104E-3</v>
      </c>
      <c r="G81" s="26">
        <v>3982.8399999999997</v>
      </c>
      <c r="H81" t="s">
        <v>1806</v>
      </c>
      <c r="K81">
        <v>164</v>
      </c>
    </row>
    <row r="82" spans="1:11">
      <c r="A82" s="13" t="s">
        <v>1935</v>
      </c>
      <c r="B82" s="14" t="s">
        <v>1936</v>
      </c>
      <c r="C82" s="15" t="s">
        <v>72</v>
      </c>
      <c r="D82" s="16"/>
      <c r="E82" s="2">
        <v>3716277.46</v>
      </c>
      <c r="F82" s="23">
        <v>6.3868616526818744E-3</v>
      </c>
      <c r="G82" s="26">
        <v>23735.35</v>
      </c>
      <c r="H82" t="s">
        <v>1806</v>
      </c>
      <c r="I82" t="s">
        <v>1809</v>
      </c>
      <c r="J82" t="s">
        <v>1814</v>
      </c>
      <c r="K82">
        <v>497</v>
      </c>
    </row>
    <row r="83" spans="1:11">
      <c r="A83" s="13" t="s">
        <v>1943</v>
      </c>
      <c r="B83" s="14" t="s">
        <v>1789</v>
      </c>
      <c r="C83" s="15" t="s">
        <v>72</v>
      </c>
      <c r="D83" s="16"/>
      <c r="E83" s="2">
        <v>2054278.26</v>
      </c>
      <c r="F83" s="23">
        <v>3.7675713902555735E-3</v>
      </c>
      <c r="G83" s="26">
        <v>7739.64</v>
      </c>
      <c r="H83" t="s">
        <v>1806</v>
      </c>
      <c r="K83">
        <v>250</v>
      </c>
    </row>
    <row r="84" spans="1:11">
      <c r="A84" s="17" t="s">
        <v>1743</v>
      </c>
      <c r="B84" s="21" t="s">
        <v>1744</v>
      </c>
      <c r="C84" s="19" t="s">
        <v>72</v>
      </c>
      <c r="D84" s="20"/>
      <c r="E84" s="3">
        <v>3024077.79</v>
      </c>
      <c r="F84" s="24">
        <v>4.4339037984866122E-3</v>
      </c>
      <c r="G84" s="26">
        <v>13408.47</v>
      </c>
      <c r="H84" t="s">
        <v>1806</v>
      </c>
      <c r="K84">
        <v>376</v>
      </c>
    </row>
    <row r="85" spans="1:11">
      <c r="A85" s="13" t="s">
        <v>1939</v>
      </c>
      <c r="B85" s="14" t="s">
        <v>1940</v>
      </c>
      <c r="C85" s="15" t="s">
        <v>72</v>
      </c>
      <c r="D85" s="16"/>
      <c r="E85" s="2">
        <v>3615626.7</v>
      </c>
      <c r="F85" s="23">
        <v>1.3364288962685223E-2</v>
      </c>
      <c r="G85" s="26">
        <v>48320.28</v>
      </c>
      <c r="H85" t="s">
        <v>1806</v>
      </c>
      <c r="I85" t="s">
        <v>1809</v>
      </c>
      <c r="J85" t="s">
        <v>1814</v>
      </c>
      <c r="K85">
        <v>460</v>
      </c>
    </row>
    <row r="86" spans="1:11">
      <c r="A86" s="17" t="s">
        <v>1937</v>
      </c>
      <c r="B86" s="21" t="s">
        <v>1938</v>
      </c>
      <c r="C86" s="19" t="s">
        <v>72</v>
      </c>
      <c r="D86" s="20"/>
      <c r="E86" s="3">
        <v>3711726.15</v>
      </c>
      <c r="F86" s="24">
        <v>4.1771804743730894E-3</v>
      </c>
      <c r="G86" s="26">
        <v>15504.550000000001</v>
      </c>
      <c r="H86" t="s">
        <v>1806</v>
      </c>
      <c r="I86" t="s">
        <v>1809</v>
      </c>
      <c r="J86" t="s">
        <v>1814</v>
      </c>
      <c r="K86">
        <v>460</v>
      </c>
    </row>
    <row r="87" spans="1:11">
      <c r="A87" s="17" t="s">
        <v>17</v>
      </c>
      <c r="B87" s="21" t="s">
        <v>18</v>
      </c>
      <c r="C87" s="19" t="s">
        <v>72</v>
      </c>
      <c r="D87" s="20"/>
      <c r="E87" s="3">
        <v>4017568.6</v>
      </c>
      <c r="F87" s="24">
        <v>4.879384013505083E-3</v>
      </c>
      <c r="G87" s="26">
        <v>19603.259999999998</v>
      </c>
      <c r="H87" t="s">
        <v>1806</v>
      </c>
      <c r="I87" t="s">
        <v>1809</v>
      </c>
      <c r="J87" t="s">
        <v>1814</v>
      </c>
      <c r="K87">
        <v>510</v>
      </c>
    </row>
    <row r="88" spans="1:11">
      <c r="A88" s="17" t="s">
        <v>87</v>
      </c>
      <c r="B88" s="21" t="s">
        <v>88</v>
      </c>
      <c r="C88" s="19" t="s">
        <v>72</v>
      </c>
      <c r="D88" s="20"/>
      <c r="E88" s="3">
        <v>3429982.11</v>
      </c>
      <c r="F88" s="24">
        <v>3.4535981880092085E-3</v>
      </c>
      <c r="G88" s="26">
        <v>11845.78</v>
      </c>
      <c r="H88" t="s">
        <v>1806</v>
      </c>
      <c r="I88" t="s">
        <v>1809</v>
      </c>
      <c r="J88" t="s">
        <v>1814</v>
      </c>
      <c r="K88">
        <v>440</v>
      </c>
    </row>
    <row r="89" spans="1:11">
      <c r="A89" s="13" t="s">
        <v>338</v>
      </c>
      <c r="B89" s="14" t="s">
        <v>339</v>
      </c>
      <c r="C89" s="15" t="s">
        <v>72</v>
      </c>
      <c r="D89" s="16"/>
      <c r="E89" s="2">
        <v>2325344.94</v>
      </c>
      <c r="F89" s="23">
        <v>3.5050713809367138E-3</v>
      </c>
      <c r="G89" s="26">
        <v>8150.5</v>
      </c>
      <c r="H89" t="s">
        <v>1806</v>
      </c>
      <c r="I89" t="s">
        <v>1809</v>
      </c>
      <c r="J89" t="s">
        <v>1814</v>
      </c>
      <c r="K89">
        <v>356</v>
      </c>
    </row>
    <row r="90" spans="1:11">
      <c r="A90" s="17" t="s">
        <v>1739</v>
      </c>
      <c r="B90" s="21" t="s">
        <v>1740</v>
      </c>
      <c r="C90" s="19" t="s">
        <v>72</v>
      </c>
      <c r="D90" s="20"/>
      <c r="E90" s="3">
        <v>1459662.58</v>
      </c>
      <c r="F90" s="24">
        <v>1.9847326633529237E-3</v>
      </c>
      <c r="G90" s="26">
        <v>2897.0400000000004</v>
      </c>
      <c r="H90" t="s">
        <v>1806</v>
      </c>
      <c r="I90" t="s">
        <v>1809</v>
      </c>
      <c r="J90" t="s">
        <v>1814</v>
      </c>
      <c r="K90">
        <v>176</v>
      </c>
    </row>
    <row r="91" spans="1:11">
      <c r="A91" s="13" t="s">
        <v>202</v>
      </c>
      <c r="B91" s="14" t="s">
        <v>203</v>
      </c>
      <c r="C91" s="15" t="s">
        <v>72</v>
      </c>
      <c r="D91" s="16"/>
      <c r="E91" s="2">
        <v>3233072.73</v>
      </c>
      <c r="F91" s="23">
        <v>3.1134870263187673E-3</v>
      </c>
      <c r="G91" s="26">
        <v>10066.129999999999</v>
      </c>
      <c r="H91" t="s">
        <v>1806</v>
      </c>
      <c r="I91" t="s">
        <v>1809</v>
      </c>
      <c r="J91" t="s">
        <v>1814</v>
      </c>
      <c r="K91">
        <v>352</v>
      </c>
    </row>
    <row r="92" spans="1:11">
      <c r="A92" s="17" t="s">
        <v>1941</v>
      </c>
      <c r="B92" s="21" t="s">
        <v>1942</v>
      </c>
      <c r="C92" s="19" t="s">
        <v>72</v>
      </c>
      <c r="D92" s="20"/>
      <c r="E92" s="3">
        <v>2793895.69</v>
      </c>
      <c r="F92" s="24">
        <v>2.7647238326209667E-3</v>
      </c>
      <c r="G92" s="26">
        <v>7724.35</v>
      </c>
      <c r="H92" t="s">
        <v>1806</v>
      </c>
      <c r="K92">
        <v>354</v>
      </c>
    </row>
    <row r="93" spans="1:11">
      <c r="A93" s="13" t="s">
        <v>134</v>
      </c>
      <c r="B93" s="14" t="s">
        <v>135</v>
      </c>
      <c r="C93" s="15" t="s">
        <v>72</v>
      </c>
      <c r="D93" s="16"/>
      <c r="E93" s="2">
        <v>2229418.88</v>
      </c>
      <c r="F93" s="23">
        <v>4.4792255459862257E-3</v>
      </c>
      <c r="G93" s="26">
        <v>9986.07</v>
      </c>
      <c r="H93" t="s">
        <v>1806</v>
      </c>
      <c r="I93" t="s">
        <v>1809</v>
      </c>
      <c r="J93" t="s">
        <v>1814</v>
      </c>
      <c r="K93">
        <v>273</v>
      </c>
    </row>
    <row r="94" spans="1:11">
      <c r="A94" s="17" t="s">
        <v>1723</v>
      </c>
      <c r="B94" s="21" t="s">
        <v>1724</v>
      </c>
      <c r="C94" s="19" t="s">
        <v>72</v>
      </c>
      <c r="D94" s="20"/>
      <c r="E94" s="3">
        <v>3308027.59</v>
      </c>
      <c r="F94" s="24">
        <v>5.0503472372792395E-2</v>
      </c>
      <c r="G94" s="26">
        <v>167066.88</v>
      </c>
      <c r="H94" t="s">
        <v>1806</v>
      </c>
      <c r="I94" t="s">
        <v>1809</v>
      </c>
      <c r="J94" t="s">
        <v>1814</v>
      </c>
      <c r="K94">
        <v>428</v>
      </c>
    </row>
    <row r="95" spans="1:11">
      <c r="A95" s="13" t="s">
        <v>1725</v>
      </c>
      <c r="B95" s="14" t="s">
        <v>1726</v>
      </c>
      <c r="C95" s="15" t="s">
        <v>72</v>
      </c>
      <c r="D95" s="16"/>
      <c r="E95" s="2">
        <v>4302445.7699999996</v>
      </c>
      <c r="F95" s="23">
        <v>1.6633153286671178E-2</v>
      </c>
      <c r="G95" s="26">
        <v>71563.240000000005</v>
      </c>
      <c r="H95" t="s">
        <v>1806</v>
      </c>
      <c r="K95">
        <v>742</v>
      </c>
    </row>
    <row r="96" spans="1:11">
      <c r="A96" s="17" t="s">
        <v>302</v>
      </c>
      <c r="B96" s="21" t="s">
        <v>303</v>
      </c>
      <c r="C96" s="19" t="s">
        <v>72</v>
      </c>
      <c r="D96" s="20"/>
      <c r="E96" s="3">
        <v>1932182.08</v>
      </c>
      <c r="F96" s="24">
        <v>4.5395566446822652E-3</v>
      </c>
      <c r="G96" s="26">
        <v>8771.25</v>
      </c>
      <c r="H96" t="s">
        <v>1806</v>
      </c>
      <c r="K96">
        <v>283</v>
      </c>
    </row>
    <row r="97" spans="1:11">
      <c r="A97" s="17" t="s">
        <v>268</v>
      </c>
      <c r="B97" s="21" t="s">
        <v>269</v>
      </c>
      <c r="C97" s="19" t="s">
        <v>72</v>
      </c>
      <c r="D97" s="20"/>
      <c r="E97" s="3">
        <v>1527935.84</v>
      </c>
      <c r="F97" s="24">
        <v>5.4511385766041059E-3</v>
      </c>
      <c r="G97" s="26">
        <v>8328.99</v>
      </c>
      <c r="H97" t="s">
        <v>1806</v>
      </c>
      <c r="K97">
        <v>177</v>
      </c>
    </row>
    <row r="98" spans="1:11">
      <c r="A98" s="13" t="s">
        <v>282</v>
      </c>
      <c r="B98" s="14" t="s">
        <v>283</v>
      </c>
      <c r="C98" s="15" t="s">
        <v>72</v>
      </c>
      <c r="D98" s="16"/>
      <c r="E98" s="2">
        <v>967906.27</v>
      </c>
      <c r="F98" s="23">
        <v>4.0500223229259585E-2</v>
      </c>
      <c r="G98" s="26">
        <v>39200.42</v>
      </c>
      <c r="H98" t="s">
        <v>1806</v>
      </c>
      <c r="I98" t="s">
        <v>1809</v>
      </c>
      <c r="J98" t="s">
        <v>1814</v>
      </c>
      <c r="K98">
        <v>150</v>
      </c>
    </row>
    <row r="99" spans="1:11">
      <c r="A99" s="13" t="s">
        <v>270</v>
      </c>
      <c r="B99" s="14" t="s">
        <v>271</v>
      </c>
      <c r="C99" s="15" t="s">
        <v>72</v>
      </c>
      <c r="D99" s="16"/>
      <c r="E99" s="2">
        <v>1443280.67</v>
      </c>
      <c r="F99" s="23">
        <v>9.0453161823334065E-3</v>
      </c>
      <c r="G99" s="26">
        <v>13054.93</v>
      </c>
      <c r="H99" t="s">
        <v>1806</v>
      </c>
      <c r="I99" t="s">
        <v>1810</v>
      </c>
      <c r="J99" t="s">
        <v>1812</v>
      </c>
      <c r="K99">
        <v>220</v>
      </c>
    </row>
    <row r="100" spans="1:11">
      <c r="A100" s="17" t="s">
        <v>276</v>
      </c>
      <c r="B100" s="21" t="s">
        <v>277</v>
      </c>
      <c r="C100" s="19" t="s">
        <v>72</v>
      </c>
      <c r="D100" s="20"/>
      <c r="E100" s="3">
        <v>1847933.73</v>
      </c>
      <c r="F100" s="24">
        <v>7.1149467032023926E-3</v>
      </c>
      <c r="G100" s="26">
        <v>13147.95</v>
      </c>
      <c r="H100" t="s">
        <v>1806</v>
      </c>
      <c r="I100" t="s">
        <v>1809</v>
      </c>
      <c r="J100" t="s">
        <v>1814</v>
      </c>
      <c r="K100">
        <v>321</v>
      </c>
    </row>
    <row r="101" spans="1:11">
      <c r="A101" s="13" t="s">
        <v>274</v>
      </c>
      <c r="B101" s="14" t="s">
        <v>275</v>
      </c>
      <c r="C101" s="15" t="s">
        <v>72</v>
      </c>
      <c r="D101" s="16"/>
      <c r="E101" s="2">
        <v>1042124.02</v>
      </c>
      <c r="F101" s="23">
        <v>4.6141341219637175E-3</v>
      </c>
      <c r="G101" s="26">
        <v>4808.5</v>
      </c>
      <c r="H101" t="s">
        <v>1806</v>
      </c>
      <c r="K101">
        <v>134</v>
      </c>
    </row>
    <row r="102" spans="1:11">
      <c r="A102" s="13" t="s">
        <v>1717</v>
      </c>
      <c r="B102" s="14" t="s">
        <v>1718</v>
      </c>
      <c r="C102" s="15" t="s">
        <v>72</v>
      </c>
      <c r="D102" s="16"/>
      <c r="E102" s="2">
        <v>709915.45</v>
      </c>
      <c r="F102" s="23">
        <v>1.9406494111376221E-2</v>
      </c>
      <c r="G102" s="26">
        <v>13776.97</v>
      </c>
      <c r="H102" t="s">
        <v>1806</v>
      </c>
      <c r="K102">
        <v>92</v>
      </c>
    </row>
    <row r="103" spans="1:11">
      <c r="A103" s="13" t="s">
        <v>330</v>
      </c>
      <c r="B103" s="14" t="s">
        <v>331</v>
      </c>
      <c r="C103" s="15" t="s">
        <v>72</v>
      </c>
      <c r="D103" s="16"/>
      <c r="E103" s="2">
        <v>993537.32</v>
      </c>
      <c r="F103" s="23">
        <v>1.0218166741839148E-2</v>
      </c>
      <c r="G103" s="26">
        <v>10152.129999999999</v>
      </c>
      <c r="H103" t="s">
        <v>1806</v>
      </c>
      <c r="K103">
        <v>121</v>
      </c>
    </row>
    <row r="104" spans="1:11">
      <c r="A104" s="17" t="s">
        <v>288</v>
      </c>
      <c r="B104" s="21" t="s">
        <v>480</v>
      </c>
      <c r="C104" s="19" t="s">
        <v>72</v>
      </c>
      <c r="D104" s="20"/>
      <c r="E104" s="3">
        <v>825505.77</v>
      </c>
      <c r="F104" s="24">
        <v>1.0253180907505951E-2</v>
      </c>
      <c r="G104" s="26">
        <v>8464.06</v>
      </c>
      <c r="H104" t="s">
        <v>1806</v>
      </c>
      <c r="K104">
        <v>70</v>
      </c>
    </row>
    <row r="105" spans="1:11">
      <c r="A105" s="13" t="s">
        <v>1661</v>
      </c>
      <c r="B105" s="14" t="s">
        <v>1662</v>
      </c>
      <c r="C105" s="15" t="s">
        <v>72</v>
      </c>
      <c r="D105" s="16"/>
      <c r="E105" s="2">
        <v>892388.38</v>
      </c>
      <c r="F105" s="23">
        <v>2.5321811115469699E-2</v>
      </c>
      <c r="G105" s="26">
        <v>22596.89</v>
      </c>
      <c r="H105" t="s">
        <v>1806</v>
      </c>
      <c r="I105" t="s">
        <v>1809</v>
      </c>
      <c r="J105" t="s">
        <v>1814</v>
      </c>
      <c r="K105">
        <v>109</v>
      </c>
    </row>
    <row r="106" spans="1:11">
      <c r="A106" s="13" t="s">
        <v>3</v>
      </c>
      <c r="B106" s="14" t="s">
        <v>4</v>
      </c>
      <c r="C106" s="15" t="s">
        <v>72</v>
      </c>
      <c r="D106" s="16"/>
      <c r="E106" s="2">
        <v>1839838.57</v>
      </c>
      <c r="F106" s="23">
        <v>7.1659710884308721E-3</v>
      </c>
      <c r="G106" s="26">
        <v>13184.23</v>
      </c>
      <c r="H106" t="s">
        <v>1806</v>
      </c>
      <c r="K106">
        <v>224</v>
      </c>
    </row>
    <row r="107" spans="1:11">
      <c r="A107" s="13" t="s">
        <v>93</v>
      </c>
      <c r="B107" s="14" t="s">
        <v>94</v>
      </c>
      <c r="C107" s="15" t="s">
        <v>72</v>
      </c>
      <c r="D107" s="16"/>
      <c r="E107" s="2">
        <v>4926715.57</v>
      </c>
      <c r="F107" s="23">
        <v>1.3378422006204833E-2</v>
      </c>
      <c r="G107" s="26">
        <v>65911.679999999993</v>
      </c>
      <c r="H107" t="s">
        <v>1806</v>
      </c>
      <c r="K107">
        <v>639</v>
      </c>
    </row>
    <row r="108" spans="1:11">
      <c r="A108" s="17" t="s">
        <v>204</v>
      </c>
      <c r="B108" s="21" t="s">
        <v>375</v>
      </c>
      <c r="C108" s="19" t="s">
        <v>72</v>
      </c>
      <c r="D108" s="20"/>
      <c r="E108" s="3">
        <v>1435513.58</v>
      </c>
      <c r="F108" s="24">
        <v>0</v>
      </c>
      <c r="G108" s="26">
        <v>0</v>
      </c>
      <c r="H108" t="s">
        <v>1806</v>
      </c>
      <c r="K108">
        <v>167</v>
      </c>
    </row>
    <row r="109" spans="1:11">
      <c r="A109" s="13" t="s">
        <v>43</v>
      </c>
      <c r="B109" s="14" t="s">
        <v>44</v>
      </c>
      <c r="C109" s="15" t="s">
        <v>72</v>
      </c>
      <c r="D109" s="16"/>
      <c r="E109" s="2">
        <v>1754400.96</v>
      </c>
      <c r="F109" s="23">
        <v>7.8374330118925609E-4</v>
      </c>
      <c r="G109" s="26">
        <v>1375</v>
      </c>
      <c r="H109" t="s">
        <v>1806</v>
      </c>
      <c r="K109">
        <v>218</v>
      </c>
    </row>
    <row r="110" spans="1:11">
      <c r="A110" s="17" t="s">
        <v>5</v>
      </c>
      <c r="B110" s="21" t="s">
        <v>6</v>
      </c>
      <c r="C110" s="19" t="s">
        <v>72</v>
      </c>
      <c r="D110" s="20"/>
      <c r="E110" s="3">
        <v>1683615.61</v>
      </c>
      <c r="F110" s="24">
        <v>0</v>
      </c>
      <c r="G110" s="26">
        <v>0</v>
      </c>
      <c r="H110" t="s">
        <v>1806</v>
      </c>
      <c r="K110">
        <v>197</v>
      </c>
    </row>
    <row r="111" spans="1:11">
      <c r="A111" s="13" t="s">
        <v>122</v>
      </c>
      <c r="B111" s="14" t="s">
        <v>123</v>
      </c>
      <c r="C111" s="15" t="s">
        <v>72</v>
      </c>
      <c r="D111" s="16"/>
      <c r="E111" s="2">
        <v>1522117.94</v>
      </c>
      <c r="F111" s="23">
        <v>6.3320783145095838E-3</v>
      </c>
      <c r="G111" s="26">
        <v>9638.17</v>
      </c>
      <c r="H111" t="s">
        <v>1806</v>
      </c>
      <c r="K111">
        <v>139</v>
      </c>
    </row>
    <row r="112" spans="1:11">
      <c r="A112" s="13" t="s">
        <v>1745</v>
      </c>
      <c r="B112" s="14" t="s">
        <v>1746</v>
      </c>
      <c r="C112" s="15" t="s">
        <v>72</v>
      </c>
      <c r="D112" s="16"/>
      <c r="E112" s="2">
        <v>1550833.98</v>
      </c>
      <c r="F112" s="23">
        <v>1.6098783185031839E-2</v>
      </c>
      <c r="G112" s="26">
        <v>24966.540000000005</v>
      </c>
      <c r="H112" t="s">
        <v>1806</v>
      </c>
      <c r="K112">
        <v>157</v>
      </c>
    </row>
    <row r="113" spans="1:11">
      <c r="A113" s="17" t="s">
        <v>348</v>
      </c>
      <c r="B113" s="21" t="s">
        <v>349</v>
      </c>
      <c r="C113" s="19" t="s">
        <v>72</v>
      </c>
      <c r="D113" s="20"/>
      <c r="E113" s="3">
        <v>1896048.52</v>
      </c>
      <c r="F113" s="24">
        <v>0</v>
      </c>
      <c r="G113" s="26">
        <v>0</v>
      </c>
      <c r="H113" t="s">
        <v>1806</v>
      </c>
      <c r="K113">
        <v>173</v>
      </c>
    </row>
    <row r="114" spans="1:11">
      <c r="A114" s="17" t="s">
        <v>232</v>
      </c>
      <c r="B114" s="21" t="s">
        <v>233</v>
      </c>
      <c r="C114" s="19" t="s">
        <v>72</v>
      </c>
      <c r="D114" s="20"/>
      <c r="E114" s="3">
        <v>1985048.31</v>
      </c>
      <c r="F114" s="24">
        <v>1.7532772288045726E-3</v>
      </c>
      <c r="G114" s="26">
        <v>3480.34</v>
      </c>
      <c r="H114" t="s">
        <v>1806</v>
      </c>
      <c r="K114">
        <v>243</v>
      </c>
    </row>
    <row r="115" spans="1:11">
      <c r="A115" s="17" t="s">
        <v>272</v>
      </c>
      <c r="B115" s="21" t="s">
        <v>273</v>
      </c>
      <c r="C115" s="19" t="s">
        <v>72</v>
      </c>
      <c r="D115" s="20"/>
      <c r="E115" s="3">
        <v>2707072.04</v>
      </c>
      <c r="F115" s="24">
        <v>4.4016257506024843E-2</v>
      </c>
      <c r="G115" s="26">
        <v>119155.18</v>
      </c>
      <c r="H115" t="s">
        <v>1806</v>
      </c>
      <c r="I115" t="s">
        <v>1810</v>
      </c>
      <c r="J115" t="s">
        <v>1812</v>
      </c>
      <c r="K115">
        <v>207</v>
      </c>
    </row>
    <row r="116" spans="1:11">
      <c r="A116" s="17" t="s">
        <v>124</v>
      </c>
      <c r="B116" s="21" t="s">
        <v>125</v>
      </c>
      <c r="C116" s="19" t="s">
        <v>72</v>
      </c>
      <c r="D116" s="20"/>
      <c r="E116" s="3">
        <v>1987947.22</v>
      </c>
      <c r="F116" s="24">
        <v>5.4510768148059788E-2</v>
      </c>
      <c r="G116" s="26">
        <v>108364.53</v>
      </c>
      <c r="H116" t="s">
        <v>1806</v>
      </c>
      <c r="K116">
        <v>214</v>
      </c>
    </row>
    <row r="117" spans="1:11">
      <c r="A117" s="17" t="s">
        <v>1</v>
      </c>
      <c r="B117" s="21" t="s">
        <v>2</v>
      </c>
      <c r="C117" s="19" t="s">
        <v>72</v>
      </c>
      <c r="D117" s="20"/>
      <c r="E117" s="3">
        <v>2018903.89</v>
      </c>
      <c r="F117" s="24">
        <v>4.5458379893457933E-3</v>
      </c>
      <c r="G117" s="26">
        <v>9177.61</v>
      </c>
      <c r="H117" t="s">
        <v>1806</v>
      </c>
      <c r="K117">
        <v>192</v>
      </c>
    </row>
    <row r="118" spans="1:11">
      <c r="A118" s="13" t="s">
        <v>326</v>
      </c>
      <c r="B118" s="14" t="s">
        <v>327</v>
      </c>
      <c r="C118" s="15" t="s">
        <v>72</v>
      </c>
      <c r="D118" s="16"/>
      <c r="E118" s="2">
        <v>1657794.01</v>
      </c>
      <c r="F118" s="23">
        <v>1.2706464055808717E-3</v>
      </c>
      <c r="G118" s="26">
        <v>2106.4699999999998</v>
      </c>
      <c r="H118" t="s">
        <v>1806</v>
      </c>
      <c r="K118">
        <v>148</v>
      </c>
    </row>
    <row r="119" spans="1:11">
      <c r="A119" s="13" t="s">
        <v>225</v>
      </c>
      <c r="B119" s="14" t="s">
        <v>226</v>
      </c>
      <c r="C119" s="15" t="s">
        <v>72</v>
      </c>
      <c r="D119" s="16"/>
      <c r="E119" s="2">
        <v>1754415.97</v>
      </c>
      <c r="F119" s="23">
        <v>4.418074238118113E-3</v>
      </c>
      <c r="G119" s="26">
        <v>7751.14</v>
      </c>
      <c r="H119" t="s">
        <v>1806</v>
      </c>
      <c r="K119">
        <v>164</v>
      </c>
    </row>
    <row r="120" spans="1:11">
      <c r="A120" s="17" t="s">
        <v>215</v>
      </c>
      <c r="B120" s="21" t="s">
        <v>216</v>
      </c>
      <c r="C120" s="19" t="s">
        <v>72</v>
      </c>
      <c r="D120" s="20"/>
      <c r="E120" s="3">
        <v>2441072.21</v>
      </c>
      <c r="F120" s="24">
        <v>2.4834332942571986E-3</v>
      </c>
      <c r="G120" s="26">
        <v>6062.24</v>
      </c>
      <c r="H120" t="s">
        <v>1806</v>
      </c>
      <c r="K120">
        <v>243</v>
      </c>
    </row>
    <row r="121" spans="1:11">
      <c r="A121" s="13" t="s">
        <v>1649</v>
      </c>
      <c r="B121" s="14" t="s">
        <v>1650</v>
      </c>
      <c r="C121" s="15" t="s">
        <v>72</v>
      </c>
      <c r="D121" s="16"/>
      <c r="E121" s="2">
        <v>2277797.19</v>
      </c>
      <c r="F121" s="23">
        <v>5.4307995700003482E-3</v>
      </c>
      <c r="G121" s="26">
        <v>12370.26</v>
      </c>
      <c r="H121" t="s">
        <v>1806</v>
      </c>
      <c r="K121">
        <v>205</v>
      </c>
    </row>
    <row r="122" spans="1:11">
      <c r="A122" s="17" t="s">
        <v>1647</v>
      </c>
      <c r="B122" s="21" t="s">
        <v>1648</v>
      </c>
      <c r="C122" s="19" t="s">
        <v>72</v>
      </c>
      <c r="D122" s="20"/>
      <c r="E122" s="3">
        <v>1737044.91</v>
      </c>
      <c r="F122" s="24">
        <v>4.7131423907744562E-3</v>
      </c>
      <c r="G122" s="26">
        <v>8186.94</v>
      </c>
      <c r="H122" t="s">
        <v>1806</v>
      </c>
      <c r="K122">
        <v>162</v>
      </c>
    </row>
    <row r="123" spans="1:11">
      <c r="A123" s="17" t="s">
        <v>1735</v>
      </c>
      <c r="B123" s="21" t="s">
        <v>1736</v>
      </c>
      <c r="C123" s="19" t="s">
        <v>72</v>
      </c>
      <c r="D123" s="20"/>
      <c r="E123" s="3">
        <v>2527918.75</v>
      </c>
      <c r="F123" s="24">
        <v>8.8573060348557473E-3</v>
      </c>
      <c r="G123" s="26">
        <v>22390.549999999996</v>
      </c>
      <c r="H123" t="s">
        <v>1806</v>
      </c>
      <c r="K123">
        <v>273</v>
      </c>
    </row>
    <row r="124" spans="1:11">
      <c r="A124" s="13" t="s">
        <v>1741</v>
      </c>
      <c r="B124" s="14" t="s">
        <v>1742</v>
      </c>
      <c r="C124" s="15" t="s">
        <v>72</v>
      </c>
      <c r="D124" s="16"/>
      <c r="E124" s="2">
        <v>2632501.21</v>
      </c>
      <c r="F124" s="23">
        <v>1.0596348405856954E-2</v>
      </c>
      <c r="G124" s="26">
        <v>27894.9</v>
      </c>
      <c r="H124" t="s">
        <v>1806</v>
      </c>
      <c r="I124" t="s">
        <v>1809</v>
      </c>
      <c r="J124" t="s">
        <v>1814</v>
      </c>
      <c r="K124">
        <v>280</v>
      </c>
    </row>
    <row r="125" spans="1:11">
      <c r="A125" s="17" t="s">
        <v>223</v>
      </c>
      <c r="B125" s="21" t="s">
        <v>224</v>
      </c>
      <c r="C125" s="19" t="s">
        <v>72</v>
      </c>
      <c r="D125" s="20"/>
      <c r="E125" s="3">
        <v>3568958.25</v>
      </c>
      <c r="F125" s="24">
        <v>7.3783911593810316E-3</v>
      </c>
      <c r="G125" s="26">
        <v>26333.17</v>
      </c>
      <c r="H125" t="s">
        <v>1806</v>
      </c>
      <c r="I125" t="s">
        <v>1809</v>
      </c>
      <c r="J125" t="s">
        <v>1814</v>
      </c>
      <c r="K125">
        <v>334</v>
      </c>
    </row>
    <row r="126" spans="1:11">
      <c r="A126" s="13" t="s">
        <v>1737</v>
      </c>
      <c r="B126" s="14" t="s">
        <v>1738</v>
      </c>
      <c r="C126" s="15" t="s">
        <v>72</v>
      </c>
      <c r="D126" s="16"/>
      <c r="E126" s="2">
        <v>2233116.7999999998</v>
      </c>
      <c r="F126" s="23">
        <v>3.7173201150965322E-3</v>
      </c>
      <c r="G126" s="26">
        <v>8301.2099999999991</v>
      </c>
      <c r="H126" t="s">
        <v>1806</v>
      </c>
      <c r="K126">
        <v>201</v>
      </c>
    </row>
    <row r="127" spans="1:11">
      <c r="A127" s="17" t="s">
        <v>227</v>
      </c>
      <c r="B127" s="21" t="s">
        <v>63</v>
      </c>
      <c r="C127" s="19" t="s">
        <v>72</v>
      </c>
      <c r="D127" s="20"/>
      <c r="E127" s="3">
        <v>2709131.27</v>
      </c>
      <c r="F127" s="24">
        <v>7.7109478714923992E-3</v>
      </c>
      <c r="G127" s="26">
        <v>20889.97</v>
      </c>
      <c r="H127" t="s">
        <v>1806</v>
      </c>
      <c r="I127" t="s">
        <v>1809</v>
      </c>
      <c r="J127" t="s">
        <v>1814</v>
      </c>
      <c r="K127">
        <v>261</v>
      </c>
    </row>
    <row r="128" spans="1:11">
      <c r="A128" s="17" t="s">
        <v>1707</v>
      </c>
      <c r="B128" s="21" t="s">
        <v>1708</v>
      </c>
      <c r="C128" s="19" t="s">
        <v>72</v>
      </c>
      <c r="D128" s="20"/>
      <c r="E128" s="3">
        <v>2347787.5099999998</v>
      </c>
      <c r="F128" s="24">
        <v>0</v>
      </c>
      <c r="G128" s="26">
        <v>0</v>
      </c>
      <c r="H128" t="s">
        <v>1806</v>
      </c>
      <c r="K128">
        <v>233</v>
      </c>
    </row>
    <row r="129" spans="1:11">
      <c r="A129" s="17" t="s">
        <v>1663</v>
      </c>
      <c r="B129" s="21" t="s">
        <v>1664</v>
      </c>
      <c r="C129" s="19" t="s">
        <v>72</v>
      </c>
      <c r="D129" s="20"/>
      <c r="E129" s="3">
        <v>973476.47</v>
      </c>
      <c r="F129" s="24">
        <v>7.5297392652952364E-2</v>
      </c>
      <c r="G129" s="26">
        <v>73300.240000000005</v>
      </c>
      <c r="H129" t="s">
        <v>1806</v>
      </c>
      <c r="K129">
        <v>96</v>
      </c>
    </row>
    <row r="130" spans="1:11">
      <c r="A130" s="17" t="s">
        <v>1875</v>
      </c>
      <c r="B130" s="21" t="s">
        <v>1696</v>
      </c>
      <c r="C130" s="19" t="s">
        <v>72</v>
      </c>
      <c r="D130" s="20"/>
      <c r="E130" s="3">
        <v>1291038.96</v>
      </c>
      <c r="F130" s="24">
        <v>0.25452411598794816</v>
      </c>
      <c r="G130" s="26">
        <v>328600.55</v>
      </c>
      <c r="H130" t="s">
        <v>1806</v>
      </c>
      <c r="K130">
        <v>54</v>
      </c>
    </row>
    <row r="131" spans="1:11">
      <c r="A131" s="17" t="s">
        <v>332</v>
      </c>
      <c r="B131" s="21" t="s">
        <v>333</v>
      </c>
      <c r="C131" s="19" t="s">
        <v>72</v>
      </c>
      <c r="D131" s="20"/>
      <c r="E131" s="3">
        <v>335000</v>
      </c>
      <c r="F131" s="24">
        <v>0</v>
      </c>
      <c r="G131" s="26">
        <v>0</v>
      </c>
      <c r="H131" t="s">
        <v>1806</v>
      </c>
      <c r="I131" t="s">
        <v>1809</v>
      </c>
      <c r="J131" t="s">
        <v>1814</v>
      </c>
      <c r="K131">
        <v>38</v>
      </c>
    </row>
    <row r="132" spans="1:11">
      <c r="A132" s="17" t="s">
        <v>294</v>
      </c>
      <c r="B132" s="21" t="s">
        <v>295</v>
      </c>
      <c r="C132" s="19" t="s">
        <v>72</v>
      </c>
      <c r="D132" s="20"/>
      <c r="E132" s="3">
        <v>689184.34</v>
      </c>
      <c r="F132" s="24">
        <v>0.11162224028479813</v>
      </c>
      <c r="G132" s="26">
        <v>76928.3</v>
      </c>
      <c r="H132" t="s">
        <v>1806</v>
      </c>
      <c r="K132">
        <v>61</v>
      </c>
    </row>
    <row r="133" spans="1:11">
      <c r="A133" s="17" t="s">
        <v>219</v>
      </c>
      <c r="B133" s="21" t="s">
        <v>220</v>
      </c>
      <c r="C133" s="19" t="s">
        <v>72</v>
      </c>
      <c r="D133" s="20"/>
      <c r="E133" s="3">
        <v>188740.72</v>
      </c>
      <c r="F133" s="24">
        <v>2.758228325080036E-3</v>
      </c>
      <c r="G133" s="26">
        <v>520.59</v>
      </c>
      <c r="H133" t="s">
        <v>1806</v>
      </c>
      <c r="K133">
        <v>27</v>
      </c>
    </row>
    <row r="134" spans="1:11">
      <c r="A134" s="17" t="s">
        <v>298</v>
      </c>
      <c r="B134" s="21" t="s">
        <v>299</v>
      </c>
      <c r="C134" s="19" t="s">
        <v>72</v>
      </c>
      <c r="D134" s="20"/>
      <c r="E134" s="3">
        <v>967825.37</v>
      </c>
      <c r="F134" s="24">
        <v>3.2354876169447801E-2</v>
      </c>
      <c r="G134" s="26">
        <v>31313.87</v>
      </c>
      <c r="H134" t="s">
        <v>1806</v>
      </c>
      <c r="K134">
        <v>97</v>
      </c>
    </row>
    <row r="135" spans="1:11">
      <c r="A135" s="13" t="s">
        <v>1653</v>
      </c>
      <c r="B135" s="14" t="s">
        <v>1654</v>
      </c>
      <c r="C135" s="15" t="s">
        <v>72</v>
      </c>
      <c r="D135" s="16"/>
      <c r="E135" s="2">
        <v>1580086.05</v>
      </c>
      <c r="F135" s="23">
        <v>4.9708001662314524E-2</v>
      </c>
      <c r="G135" s="26">
        <v>78542.92</v>
      </c>
      <c r="H135" t="s">
        <v>1806</v>
      </c>
      <c r="K135">
        <v>194</v>
      </c>
    </row>
    <row r="136" spans="1:11">
      <c r="A136" s="17" t="s">
        <v>1929</v>
      </c>
      <c r="B136" s="21" t="s">
        <v>1930</v>
      </c>
      <c r="C136" s="19" t="s">
        <v>72</v>
      </c>
      <c r="D136" s="20"/>
      <c r="E136" s="3">
        <v>2616268.66</v>
      </c>
      <c r="F136" s="24">
        <v>1.1479291274314312E-2</v>
      </c>
      <c r="G136" s="26">
        <v>30032.91</v>
      </c>
      <c r="H136" t="s">
        <v>1811</v>
      </c>
      <c r="K136">
        <v>82</v>
      </c>
    </row>
    <row r="137" spans="1:11">
      <c r="A137" s="13" t="s">
        <v>296</v>
      </c>
      <c r="B137" s="14" t="s">
        <v>297</v>
      </c>
      <c r="C137" s="15" t="s">
        <v>72</v>
      </c>
      <c r="D137" s="16"/>
      <c r="E137" s="2">
        <v>1490755.82</v>
      </c>
      <c r="F137" s="23">
        <v>5.6283261734976818E-3</v>
      </c>
      <c r="G137" s="26">
        <v>8390.4599999999991</v>
      </c>
      <c r="H137" t="s">
        <v>1806</v>
      </c>
      <c r="I137" t="s">
        <v>1809</v>
      </c>
      <c r="J137" t="s">
        <v>1814</v>
      </c>
      <c r="K137">
        <v>153</v>
      </c>
    </row>
    <row r="138" spans="1:11">
      <c r="A138" s="17" t="s">
        <v>211</v>
      </c>
      <c r="B138" s="21" t="s">
        <v>212</v>
      </c>
      <c r="C138" s="19" t="s">
        <v>72</v>
      </c>
      <c r="D138" s="20"/>
      <c r="E138" s="3">
        <v>2215222.09</v>
      </c>
      <c r="F138" s="24">
        <v>1.2233229400488689E-2</v>
      </c>
      <c r="G138" s="26">
        <v>27099.32</v>
      </c>
      <c r="H138" t="s">
        <v>1806</v>
      </c>
      <c r="K138">
        <v>292</v>
      </c>
    </row>
    <row r="139" spans="1:11">
      <c r="A139" s="17" t="s">
        <v>340</v>
      </c>
      <c r="B139" s="21" t="s">
        <v>341</v>
      </c>
      <c r="C139" s="19" t="s">
        <v>72</v>
      </c>
      <c r="D139" s="20"/>
      <c r="E139" s="3">
        <v>1352791.03</v>
      </c>
      <c r="F139" s="24">
        <v>7.10884370662925E-3</v>
      </c>
      <c r="G139" s="26">
        <v>9616.7800000000007</v>
      </c>
      <c r="H139" t="s">
        <v>1806</v>
      </c>
      <c r="K139">
        <v>160</v>
      </c>
    </row>
    <row r="140" spans="1:11">
      <c r="A140" s="17" t="s">
        <v>41</v>
      </c>
      <c r="B140" s="21" t="s">
        <v>42</v>
      </c>
      <c r="C140" s="19" t="s">
        <v>72</v>
      </c>
      <c r="D140" s="20"/>
      <c r="E140" s="3">
        <v>1025480.56</v>
      </c>
      <c r="F140" s="24">
        <v>5.2093625256045811E-3</v>
      </c>
      <c r="G140" s="26">
        <v>5342.1</v>
      </c>
      <c r="H140" t="s">
        <v>1806</v>
      </c>
      <c r="K140">
        <v>135</v>
      </c>
    </row>
    <row r="141" spans="1:11">
      <c r="A141" s="17" t="s">
        <v>306</v>
      </c>
      <c r="B141" s="21" t="s">
        <v>307</v>
      </c>
      <c r="C141" s="19" t="s">
        <v>72</v>
      </c>
      <c r="D141" s="20"/>
      <c r="E141" s="3">
        <v>694149.71</v>
      </c>
      <c r="F141" s="24">
        <v>2.9780434540554665E-2</v>
      </c>
      <c r="G141" s="26">
        <v>20672.080000000002</v>
      </c>
      <c r="H141" t="s">
        <v>1806</v>
      </c>
      <c r="K141">
        <v>103</v>
      </c>
    </row>
    <row r="142" spans="1:11">
      <c r="A142" s="13" t="s">
        <v>322</v>
      </c>
      <c r="B142" s="14" t="s">
        <v>323</v>
      </c>
      <c r="C142" s="15" t="s">
        <v>72</v>
      </c>
      <c r="D142" s="16"/>
      <c r="E142" s="2">
        <v>472096.61</v>
      </c>
      <c r="F142" s="23">
        <v>0</v>
      </c>
      <c r="G142" s="26">
        <v>0</v>
      </c>
      <c r="H142" t="s">
        <v>1806</v>
      </c>
      <c r="K142">
        <v>26</v>
      </c>
    </row>
    <row r="143" spans="1:11">
      <c r="A143" s="13" t="s">
        <v>35</v>
      </c>
      <c r="B143" s="14" t="s">
        <v>36</v>
      </c>
      <c r="C143" s="15" t="s">
        <v>72</v>
      </c>
      <c r="D143" s="16"/>
      <c r="E143" s="2">
        <v>1114230.32</v>
      </c>
      <c r="F143" s="23">
        <v>4.1690437933873489E-2</v>
      </c>
      <c r="G143" s="26">
        <v>46452.75</v>
      </c>
      <c r="H143" t="s">
        <v>1806</v>
      </c>
      <c r="I143" t="s">
        <v>1809</v>
      </c>
      <c r="K143">
        <v>124</v>
      </c>
    </row>
    <row r="144" spans="1:11">
      <c r="A144" s="17" t="s">
        <v>252</v>
      </c>
      <c r="B144" s="21" t="s">
        <v>253</v>
      </c>
      <c r="C144" s="19" t="s">
        <v>72</v>
      </c>
      <c r="D144" s="20"/>
      <c r="E144" s="3">
        <v>653845.57999999996</v>
      </c>
      <c r="F144" s="24">
        <v>1.7596066031370896E-2</v>
      </c>
      <c r="G144" s="26">
        <v>11505.11</v>
      </c>
      <c r="H144" t="s">
        <v>1806</v>
      </c>
      <c r="K144">
        <v>35</v>
      </c>
    </row>
    <row r="145" spans="1:11">
      <c r="A145" s="17" t="s">
        <v>1933</v>
      </c>
      <c r="B145" s="21" t="s">
        <v>1934</v>
      </c>
      <c r="C145" s="19" t="s">
        <v>72</v>
      </c>
      <c r="D145" s="20"/>
      <c r="E145" s="3">
        <v>1343802.3</v>
      </c>
      <c r="F145" s="24">
        <v>1.8921756570888441E-3</v>
      </c>
      <c r="G145" s="26">
        <v>2542.71</v>
      </c>
      <c r="H145" t="s">
        <v>1806</v>
      </c>
      <c r="K145">
        <v>119</v>
      </c>
    </row>
    <row r="146" spans="1:11">
      <c r="A146" s="17" t="s">
        <v>1651</v>
      </c>
      <c r="B146" s="21" t="s">
        <v>1652</v>
      </c>
      <c r="C146" s="19" t="s">
        <v>72</v>
      </c>
      <c r="D146" s="20"/>
      <c r="E146" s="3">
        <v>1320415.97</v>
      </c>
      <c r="F146" s="24">
        <v>1.1641831323806239E-2</v>
      </c>
      <c r="G146" s="26">
        <v>15372.06</v>
      </c>
      <c r="H146" t="s">
        <v>1811</v>
      </c>
      <c r="I146" t="s">
        <v>1810</v>
      </c>
      <c r="J146" t="s">
        <v>1812</v>
      </c>
      <c r="K146">
        <v>199</v>
      </c>
    </row>
    <row r="147" spans="1:11">
      <c r="A147" s="13" t="s">
        <v>11</v>
      </c>
      <c r="B147" s="14" t="s">
        <v>12</v>
      </c>
      <c r="C147" s="15" t="s">
        <v>72</v>
      </c>
      <c r="D147" s="16"/>
      <c r="E147" s="2">
        <v>2296101</v>
      </c>
      <c r="F147" s="23">
        <v>1.19419833883614E-3</v>
      </c>
      <c r="G147" s="26">
        <v>2742</v>
      </c>
      <c r="H147" t="s">
        <v>1806</v>
      </c>
      <c r="K147">
        <v>323</v>
      </c>
    </row>
    <row r="148" spans="1:11">
      <c r="A148" s="17" t="s">
        <v>1719</v>
      </c>
      <c r="B148" s="21" t="s">
        <v>1720</v>
      </c>
      <c r="C148" s="19" t="s">
        <v>72</v>
      </c>
      <c r="D148" s="20"/>
      <c r="E148" s="3">
        <v>5045707.8099999996</v>
      </c>
      <c r="F148" s="24">
        <v>1.6339521253411621E-2</v>
      </c>
      <c r="G148" s="26">
        <v>82444.45</v>
      </c>
      <c r="H148" t="s">
        <v>1806</v>
      </c>
      <c r="K148">
        <v>586</v>
      </c>
    </row>
    <row r="149" spans="1:11">
      <c r="A149" s="17" t="s">
        <v>33</v>
      </c>
      <c r="B149" s="21" t="s">
        <v>34</v>
      </c>
      <c r="C149" s="19" t="s">
        <v>72</v>
      </c>
      <c r="D149" s="20"/>
      <c r="E149" s="3">
        <v>623936.73</v>
      </c>
      <c r="F149" s="24">
        <v>5.8170802029878892E-3</v>
      </c>
      <c r="G149" s="26">
        <v>3629.49</v>
      </c>
      <c r="H149" t="s">
        <v>1806</v>
      </c>
      <c r="K149">
        <v>62</v>
      </c>
    </row>
    <row r="150" spans="1:11">
      <c r="A150" s="13" t="s">
        <v>1697</v>
      </c>
      <c r="B150" s="14" t="s">
        <v>1698</v>
      </c>
      <c r="C150" s="15" t="s">
        <v>72</v>
      </c>
      <c r="D150" s="16"/>
      <c r="E150" s="2">
        <v>639636.15</v>
      </c>
      <c r="F150" s="23">
        <v>1.1835291047887145E-2</v>
      </c>
      <c r="G150" s="26">
        <v>7570.28</v>
      </c>
      <c r="H150" t="s">
        <v>1806</v>
      </c>
      <c r="K150">
        <v>83</v>
      </c>
    </row>
    <row r="151" spans="1:11">
      <c r="A151" s="13" t="s">
        <v>142</v>
      </c>
      <c r="B151" s="14" t="s">
        <v>0</v>
      </c>
      <c r="C151" s="15" t="s">
        <v>72</v>
      </c>
      <c r="D151" s="16"/>
      <c r="E151" s="2">
        <v>1167104.8400000001</v>
      </c>
      <c r="F151" s="23">
        <v>4.3401507957074356E-2</v>
      </c>
      <c r="G151" s="26">
        <v>50654.11</v>
      </c>
      <c r="H151" t="s">
        <v>1806</v>
      </c>
      <c r="I151" t="s">
        <v>1810</v>
      </c>
      <c r="J151" t="s">
        <v>1812</v>
      </c>
      <c r="K151">
        <v>98</v>
      </c>
    </row>
    <row r="152" spans="1:11">
      <c r="A152" s="13" t="s">
        <v>138</v>
      </c>
      <c r="B152" s="14" t="s">
        <v>139</v>
      </c>
      <c r="C152" s="15" t="s">
        <v>72</v>
      </c>
      <c r="D152" s="16"/>
      <c r="E152" s="2">
        <v>1467825.85</v>
      </c>
      <c r="F152" s="23">
        <v>1.3999453681783841E-2</v>
      </c>
      <c r="G152" s="26">
        <v>20548.759999999998</v>
      </c>
      <c r="H152" t="s">
        <v>1806</v>
      </c>
      <c r="I152" t="s">
        <v>1810</v>
      </c>
      <c r="J152" t="s">
        <v>1812</v>
      </c>
      <c r="K152">
        <v>109</v>
      </c>
    </row>
    <row r="153" spans="1:11">
      <c r="A153" s="17" t="s">
        <v>140</v>
      </c>
      <c r="B153" s="21" t="s">
        <v>141</v>
      </c>
      <c r="C153" s="19" t="s">
        <v>72</v>
      </c>
      <c r="D153" s="20"/>
      <c r="E153" s="3">
        <v>1059969.8999999999</v>
      </c>
      <c r="F153" s="24">
        <v>2.3182252628117087E-2</v>
      </c>
      <c r="G153" s="26">
        <v>24572.49</v>
      </c>
      <c r="H153" t="s">
        <v>1806</v>
      </c>
      <c r="I153" t="s">
        <v>1810</v>
      </c>
      <c r="J153" t="s">
        <v>1812</v>
      </c>
      <c r="K153">
        <v>95</v>
      </c>
    </row>
    <row r="154" spans="1:11">
      <c r="A154" s="17" t="s">
        <v>499</v>
      </c>
      <c r="B154" s="21" t="s">
        <v>309</v>
      </c>
      <c r="C154" s="19" t="s">
        <v>72</v>
      </c>
      <c r="D154" s="20"/>
      <c r="E154" s="3">
        <v>729230</v>
      </c>
      <c r="F154" s="24">
        <v>1.500212552966828E-3</v>
      </c>
      <c r="G154" s="26">
        <v>1094</v>
      </c>
      <c r="H154" t="s">
        <v>1806</v>
      </c>
      <c r="K154">
        <v>54</v>
      </c>
    </row>
    <row r="155" spans="1:11">
      <c r="A155" s="13" t="s">
        <v>1733</v>
      </c>
      <c r="B155" s="14" t="s">
        <v>1815</v>
      </c>
      <c r="C155" s="15" t="s">
        <v>72</v>
      </c>
      <c r="D155" s="16"/>
      <c r="E155" s="2">
        <v>2165529.86</v>
      </c>
      <c r="F155" s="23">
        <v>0.14120568626100591</v>
      </c>
      <c r="G155" s="26">
        <v>305785.13</v>
      </c>
      <c r="H155" t="s">
        <v>1806</v>
      </c>
      <c r="I155" t="s">
        <v>1810</v>
      </c>
      <c r="J155" t="s">
        <v>1812</v>
      </c>
      <c r="K155">
        <v>232</v>
      </c>
    </row>
    <row r="156" spans="1:11">
      <c r="A156" s="17" t="s">
        <v>240</v>
      </c>
      <c r="B156" s="21" t="s">
        <v>241</v>
      </c>
      <c r="C156" s="19" t="s">
        <v>72</v>
      </c>
      <c r="D156" s="20"/>
      <c r="E156" s="3">
        <v>892186</v>
      </c>
      <c r="F156" s="24">
        <v>0</v>
      </c>
      <c r="G156" s="26">
        <v>0</v>
      </c>
      <c r="H156" t="s">
        <v>1806</v>
      </c>
      <c r="I156" t="s">
        <v>1810</v>
      </c>
      <c r="J156" t="s">
        <v>1812</v>
      </c>
      <c r="K156">
        <v>65</v>
      </c>
    </row>
    <row r="157" spans="1:11">
      <c r="A157" s="13" t="s">
        <v>234</v>
      </c>
      <c r="B157" s="14" t="s">
        <v>235</v>
      </c>
      <c r="C157" s="15" t="s">
        <v>72</v>
      </c>
      <c r="D157" s="16"/>
      <c r="E157" s="2">
        <v>1326737.23</v>
      </c>
      <c r="F157" s="23">
        <v>1.3081068057463044E-2</v>
      </c>
      <c r="G157" s="26">
        <v>17355.14</v>
      </c>
      <c r="H157" t="s">
        <v>1806</v>
      </c>
      <c r="I157" t="s">
        <v>1809</v>
      </c>
      <c r="K157">
        <v>130</v>
      </c>
    </row>
    <row r="158" spans="1:11">
      <c r="A158" s="13" t="s">
        <v>485</v>
      </c>
      <c r="B158" s="14" t="s">
        <v>486</v>
      </c>
      <c r="C158" s="15" t="s">
        <v>72</v>
      </c>
      <c r="D158" s="16"/>
      <c r="E158" s="2">
        <v>500595.68</v>
      </c>
      <c r="F158" s="23">
        <v>0</v>
      </c>
      <c r="G158" s="26">
        <v>0</v>
      </c>
      <c r="H158" t="s">
        <v>1806</v>
      </c>
      <c r="K158">
        <v>63</v>
      </c>
    </row>
    <row r="159" spans="1:11">
      <c r="A159" s="13" t="s">
        <v>342</v>
      </c>
      <c r="B159" s="14" t="s">
        <v>343</v>
      </c>
      <c r="C159" s="15" t="s">
        <v>72</v>
      </c>
      <c r="D159" s="16"/>
      <c r="E159" s="2">
        <v>623733.16</v>
      </c>
      <c r="F159" s="23">
        <v>1.4783789914263976E-2</v>
      </c>
      <c r="G159" s="26">
        <v>9221.14</v>
      </c>
      <c r="H159" t="s">
        <v>1806</v>
      </c>
      <c r="I159" t="s">
        <v>1809</v>
      </c>
      <c r="J159" t="s">
        <v>1814</v>
      </c>
      <c r="K159">
        <v>87</v>
      </c>
    </row>
    <row r="160" spans="1:11">
      <c r="A160" s="17" t="s">
        <v>344</v>
      </c>
      <c r="B160" s="21" t="s">
        <v>345</v>
      </c>
      <c r="C160" s="19" t="s">
        <v>72</v>
      </c>
      <c r="D160" s="20"/>
      <c r="E160" s="3">
        <v>136036.79999999999</v>
      </c>
      <c r="F160" s="24">
        <v>7.8287639815108861E-2</v>
      </c>
      <c r="G160" s="26">
        <v>10650</v>
      </c>
      <c r="H160" t="s">
        <v>1806</v>
      </c>
      <c r="K160">
        <v>25</v>
      </c>
    </row>
    <row r="161" spans="1:11">
      <c r="A161" s="27" t="s">
        <v>45</v>
      </c>
      <c r="B161" s="28" t="s">
        <v>46</v>
      </c>
      <c r="C161" s="29" t="s">
        <v>72</v>
      </c>
      <c r="D161" s="30"/>
      <c r="E161" s="31">
        <v>0</v>
      </c>
      <c r="F161" s="32" t="s">
        <v>761</v>
      </c>
      <c r="G161" s="33"/>
      <c r="H161" s="34" t="s">
        <v>1811</v>
      </c>
      <c r="I161" s="34" t="s">
        <v>1810</v>
      </c>
      <c r="J161" s="34" t="s">
        <v>1812</v>
      </c>
      <c r="K161" s="34">
        <v>662</v>
      </c>
    </row>
    <row r="162" spans="1:11">
      <c r="A162" s="13" t="s">
        <v>170</v>
      </c>
      <c r="B162" s="14" t="s">
        <v>171</v>
      </c>
      <c r="C162" s="15" t="s">
        <v>72</v>
      </c>
      <c r="D162" s="16"/>
      <c r="E162" s="2">
        <v>1697813.17</v>
      </c>
      <c r="F162" s="23">
        <v>0</v>
      </c>
      <c r="G162" s="26">
        <v>0</v>
      </c>
      <c r="H162" t="s">
        <v>1806</v>
      </c>
      <c r="K162">
        <v>172</v>
      </c>
    </row>
    <row r="163" spans="1:11">
      <c r="A163" s="17" t="s">
        <v>487</v>
      </c>
      <c r="B163" s="21" t="s">
        <v>488</v>
      </c>
      <c r="C163" s="19" t="s">
        <v>72</v>
      </c>
      <c r="D163" s="20"/>
      <c r="E163" s="3">
        <v>377292.94</v>
      </c>
      <c r="F163" s="24">
        <v>0</v>
      </c>
      <c r="G163" s="26">
        <v>0</v>
      </c>
      <c r="H163" t="s">
        <v>1806</v>
      </c>
      <c r="I163" t="s">
        <v>1810</v>
      </c>
      <c r="J163" t="s">
        <v>1812</v>
      </c>
      <c r="K163">
        <v>51</v>
      </c>
    </row>
    <row r="164" spans="1:11">
      <c r="A164" s="17" t="s">
        <v>236</v>
      </c>
      <c r="B164" s="21" t="s">
        <v>237</v>
      </c>
      <c r="C164" s="19" t="s">
        <v>72</v>
      </c>
      <c r="D164" s="20"/>
      <c r="E164" s="3">
        <v>3267257.76</v>
      </c>
      <c r="F164" s="24">
        <v>2.0518766783799761E-3</v>
      </c>
      <c r="G164" s="26">
        <v>6704.0100000000011</v>
      </c>
      <c r="H164" t="s">
        <v>1806</v>
      </c>
      <c r="K164">
        <v>106</v>
      </c>
    </row>
    <row r="165" spans="1:11">
      <c r="A165" s="17" t="s">
        <v>95</v>
      </c>
      <c r="B165" s="21" t="s">
        <v>96</v>
      </c>
      <c r="C165" s="19" t="s">
        <v>72</v>
      </c>
      <c r="D165" s="20"/>
      <c r="E165" s="3">
        <v>7076666.7199999997</v>
      </c>
      <c r="F165" s="24">
        <v>5.1544224764621949E-3</v>
      </c>
      <c r="G165" s="26">
        <v>36476.129999999997</v>
      </c>
      <c r="H165" t="s">
        <v>1806</v>
      </c>
      <c r="K165">
        <v>912</v>
      </c>
    </row>
    <row r="166" spans="1:11">
      <c r="A166" s="17" t="s">
        <v>132</v>
      </c>
      <c r="B166" s="21" t="s">
        <v>133</v>
      </c>
      <c r="C166" s="19" t="s">
        <v>72</v>
      </c>
      <c r="D166" s="20"/>
      <c r="E166" s="3">
        <v>21756296.379999999</v>
      </c>
      <c r="F166" s="24">
        <v>5.0403509901072599E-3</v>
      </c>
      <c r="G166" s="26">
        <v>109659.37</v>
      </c>
      <c r="H166" t="s">
        <v>1806</v>
      </c>
      <c r="K166">
        <v>4389</v>
      </c>
    </row>
    <row r="167" spans="1:11">
      <c r="A167" s="13" t="s">
        <v>300</v>
      </c>
      <c r="B167" s="14" t="s">
        <v>301</v>
      </c>
      <c r="C167" s="15" t="s">
        <v>72</v>
      </c>
      <c r="D167" s="16"/>
      <c r="E167" s="2">
        <v>802536.76</v>
      </c>
      <c r="F167" s="23">
        <v>1.4883218558113151E-2</v>
      </c>
      <c r="G167" s="26">
        <v>11944.33</v>
      </c>
      <c r="H167" t="s">
        <v>1806</v>
      </c>
      <c r="I167" t="s">
        <v>1809</v>
      </c>
      <c r="J167" t="s">
        <v>1814</v>
      </c>
      <c r="K167">
        <v>91</v>
      </c>
    </row>
    <row r="168" spans="1:11">
      <c r="A168" s="17" t="s">
        <v>1925</v>
      </c>
      <c r="B168" s="21" t="s">
        <v>1926</v>
      </c>
      <c r="C168" s="19" t="s">
        <v>72</v>
      </c>
      <c r="D168" s="20"/>
      <c r="E168" s="3">
        <v>1695567.74</v>
      </c>
      <c r="F168" s="24">
        <v>0.1132006852170943</v>
      </c>
      <c r="G168" s="26">
        <v>191939.43</v>
      </c>
      <c r="H168" t="s">
        <v>1806</v>
      </c>
      <c r="I168" t="s">
        <v>1809</v>
      </c>
      <c r="J168" t="s">
        <v>1814</v>
      </c>
      <c r="K168">
        <v>197</v>
      </c>
    </row>
    <row r="169" spans="1:11">
      <c r="A169" s="13" t="s">
        <v>1873</v>
      </c>
      <c r="B169" s="14" t="s">
        <v>1874</v>
      </c>
      <c r="C169" s="15" t="s">
        <v>72</v>
      </c>
      <c r="D169" s="16"/>
      <c r="E169" s="2">
        <v>924919.7</v>
      </c>
      <c r="F169" s="23">
        <v>0.28688263424381599</v>
      </c>
      <c r="G169" s="26">
        <v>265343.40000000002</v>
      </c>
      <c r="H169" t="s">
        <v>1806</v>
      </c>
      <c r="I169" t="s">
        <v>1810</v>
      </c>
      <c r="J169" t="s">
        <v>1812</v>
      </c>
      <c r="K169">
        <v>71</v>
      </c>
    </row>
    <row r="170" spans="1:11">
      <c r="A170" s="27" t="s">
        <v>194</v>
      </c>
      <c r="B170" s="28" t="s">
        <v>195</v>
      </c>
      <c r="C170" s="29" t="s">
        <v>72</v>
      </c>
      <c r="D170" s="30"/>
      <c r="E170" s="31">
        <v>0</v>
      </c>
      <c r="F170" s="32" t="s">
        <v>761</v>
      </c>
      <c r="G170" s="33"/>
      <c r="H170" s="34" t="s">
        <v>1806</v>
      </c>
      <c r="I170" s="34"/>
      <c r="J170" s="34"/>
      <c r="K170" s="34">
        <v>558</v>
      </c>
    </row>
    <row r="171" spans="1:11">
      <c r="A171" s="17" t="s">
        <v>180</v>
      </c>
      <c r="B171" s="21" t="s">
        <v>181</v>
      </c>
      <c r="C171" s="19" t="s">
        <v>72</v>
      </c>
      <c r="D171" s="20"/>
      <c r="E171" s="3">
        <v>1689004.98</v>
      </c>
      <c r="F171" s="24">
        <v>2.4683142142067571E-2</v>
      </c>
      <c r="G171" s="26">
        <v>41689.949999999997</v>
      </c>
      <c r="H171" t="s">
        <v>1806</v>
      </c>
      <c r="I171" t="s">
        <v>1809</v>
      </c>
      <c r="J171" t="s">
        <v>1814</v>
      </c>
      <c r="K171">
        <v>45</v>
      </c>
    </row>
    <row r="172" spans="1:11">
      <c r="A172" s="17" t="s">
        <v>160</v>
      </c>
      <c r="B172" s="21" t="s">
        <v>161</v>
      </c>
      <c r="C172" s="19" t="s">
        <v>72</v>
      </c>
      <c r="D172" s="20"/>
      <c r="E172" s="3">
        <v>2556579.75</v>
      </c>
      <c r="F172" s="24">
        <v>0</v>
      </c>
      <c r="G172" s="26">
        <v>0</v>
      </c>
      <c r="H172" t="s">
        <v>1806</v>
      </c>
      <c r="K172">
        <v>298</v>
      </c>
    </row>
    <row r="173" spans="1:11">
      <c r="A173" s="17" t="s">
        <v>156</v>
      </c>
      <c r="B173" s="21" t="s">
        <v>157</v>
      </c>
      <c r="C173" s="19" t="s">
        <v>72</v>
      </c>
      <c r="D173" s="20"/>
      <c r="E173" s="3">
        <v>1037781.35</v>
      </c>
      <c r="F173" s="24">
        <v>4.4861848789246407E-2</v>
      </c>
      <c r="G173" s="26">
        <v>46556.79</v>
      </c>
      <c r="H173" t="s">
        <v>1811</v>
      </c>
      <c r="K173">
        <v>125</v>
      </c>
    </row>
    <row r="174" spans="1:11">
      <c r="A174" s="13" t="s">
        <v>1665</v>
      </c>
      <c r="B174" s="14" t="s">
        <v>1854</v>
      </c>
      <c r="C174" s="15" t="s">
        <v>72</v>
      </c>
      <c r="D174" s="16"/>
      <c r="E174" s="2">
        <v>2320667.8199999998</v>
      </c>
      <c r="F174" s="23">
        <v>5.1731527005015314E-2</v>
      </c>
      <c r="G174" s="26">
        <v>120051.69</v>
      </c>
      <c r="H174" t="s">
        <v>1806</v>
      </c>
      <c r="I174" t="s">
        <v>1809</v>
      </c>
      <c r="K174">
        <v>361</v>
      </c>
    </row>
    <row r="175" spans="1:11">
      <c r="A175" s="27" t="s">
        <v>79</v>
      </c>
      <c r="B175" s="28" t="s">
        <v>80</v>
      </c>
      <c r="C175" s="29" t="s">
        <v>72</v>
      </c>
      <c r="D175" s="30"/>
      <c r="E175" s="31">
        <v>0</v>
      </c>
      <c r="F175" s="32" t="s">
        <v>761</v>
      </c>
      <c r="G175" s="33"/>
      <c r="H175" s="34" t="s">
        <v>1806</v>
      </c>
      <c r="I175" s="34" t="s">
        <v>1810</v>
      </c>
      <c r="J175" s="34" t="s">
        <v>1812</v>
      </c>
      <c r="K175" s="34">
        <v>679</v>
      </c>
    </row>
    <row r="176" spans="1:11">
      <c r="A176" s="13" t="s">
        <v>209</v>
      </c>
      <c r="B176" s="14" t="s">
        <v>210</v>
      </c>
      <c r="C176" s="15" t="s">
        <v>72</v>
      </c>
      <c r="D176" s="16"/>
      <c r="E176" s="2">
        <v>1475188.06</v>
      </c>
      <c r="F176" s="23">
        <v>5.7373701899403925E-4</v>
      </c>
      <c r="G176" s="26">
        <v>846.36999999999989</v>
      </c>
      <c r="H176" t="s">
        <v>1806</v>
      </c>
      <c r="K176">
        <v>189</v>
      </c>
    </row>
    <row r="177" spans="1:11">
      <c r="A177" s="13" t="s">
        <v>162</v>
      </c>
      <c r="B177" s="14" t="s">
        <v>163</v>
      </c>
      <c r="C177" s="15" t="s">
        <v>72</v>
      </c>
      <c r="D177" s="16"/>
      <c r="E177" s="2">
        <v>1451418.65</v>
      </c>
      <c r="F177" s="23">
        <v>0</v>
      </c>
      <c r="G177" s="26">
        <v>0</v>
      </c>
      <c r="H177" t="s">
        <v>1806</v>
      </c>
      <c r="I177" t="s">
        <v>1810</v>
      </c>
      <c r="J177" t="s">
        <v>1812</v>
      </c>
      <c r="K177">
        <v>163</v>
      </c>
    </row>
    <row r="178" spans="1:11">
      <c r="A178" s="17" t="s">
        <v>75</v>
      </c>
      <c r="B178" s="21" t="s">
        <v>76</v>
      </c>
      <c r="C178" s="19" t="s">
        <v>72</v>
      </c>
      <c r="D178" s="20"/>
      <c r="E178" s="3">
        <v>7379049.2599999998</v>
      </c>
      <c r="F178" s="24">
        <v>0.21479738434487697</v>
      </c>
      <c r="G178" s="26">
        <v>1585000.48</v>
      </c>
      <c r="H178" t="s">
        <v>1806</v>
      </c>
      <c r="K178">
        <v>708</v>
      </c>
    </row>
    <row r="179" spans="1:11">
      <c r="A179" s="13" t="s">
        <v>1709</v>
      </c>
      <c r="B179" s="14" t="s">
        <v>1710</v>
      </c>
      <c r="C179" s="15" t="s">
        <v>72</v>
      </c>
      <c r="D179" s="16"/>
      <c r="E179" s="2">
        <v>2980783.42</v>
      </c>
      <c r="F179" s="23">
        <v>1.3150905140233235E-4</v>
      </c>
      <c r="G179" s="26">
        <v>392</v>
      </c>
      <c r="H179" t="s">
        <v>1806</v>
      </c>
      <c r="K179">
        <v>391</v>
      </c>
    </row>
    <row r="180" spans="1:11">
      <c r="A180" s="17" t="s">
        <v>248</v>
      </c>
      <c r="B180" s="21" t="s">
        <v>249</v>
      </c>
      <c r="C180" s="19" t="s">
        <v>72</v>
      </c>
      <c r="D180" s="20"/>
      <c r="E180" s="3">
        <v>362918.02</v>
      </c>
      <c r="F180" s="24">
        <v>0</v>
      </c>
      <c r="G180" s="26">
        <v>0</v>
      </c>
      <c r="H180" t="s">
        <v>1806</v>
      </c>
      <c r="K180">
        <v>41</v>
      </c>
    </row>
    <row r="181" spans="1:11">
      <c r="A181" s="17" t="s">
        <v>244</v>
      </c>
      <c r="B181" s="21" t="s">
        <v>245</v>
      </c>
      <c r="C181" s="19" t="s">
        <v>72</v>
      </c>
      <c r="D181" s="20"/>
      <c r="E181" s="3">
        <v>492036.1</v>
      </c>
      <c r="F181" s="24">
        <v>0</v>
      </c>
      <c r="G181" s="26">
        <v>0</v>
      </c>
      <c r="H181" t="s">
        <v>1806</v>
      </c>
      <c r="I181" t="s">
        <v>1809</v>
      </c>
      <c r="J181" t="s">
        <v>1814</v>
      </c>
      <c r="K181">
        <v>26</v>
      </c>
    </row>
    <row r="182" spans="1:11">
      <c r="A182" s="13" t="s">
        <v>246</v>
      </c>
      <c r="B182" s="14" t="s">
        <v>247</v>
      </c>
      <c r="C182" s="15" t="s">
        <v>72</v>
      </c>
      <c r="D182" s="16"/>
      <c r="E182" s="2">
        <v>393282.73</v>
      </c>
      <c r="F182" s="23">
        <v>0</v>
      </c>
      <c r="G182" s="26">
        <v>0</v>
      </c>
      <c r="H182" t="s">
        <v>1806</v>
      </c>
      <c r="I182" t="s">
        <v>1809</v>
      </c>
      <c r="J182" t="s">
        <v>1814</v>
      </c>
      <c r="K182">
        <v>28</v>
      </c>
    </row>
    <row r="183" spans="1:11">
      <c r="A183" s="27" t="s">
        <v>182</v>
      </c>
      <c r="B183" s="28" t="s">
        <v>183</v>
      </c>
      <c r="C183" s="29" t="s">
        <v>72</v>
      </c>
      <c r="D183" s="30"/>
      <c r="E183" s="31">
        <v>0</v>
      </c>
      <c r="F183" s="32" t="s">
        <v>761</v>
      </c>
      <c r="G183" s="33"/>
      <c r="H183" s="34" t="s">
        <v>1806</v>
      </c>
      <c r="I183" s="34"/>
      <c r="J183" s="34"/>
      <c r="K183" s="34">
        <v>641</v>
      </c>
    </row>
    <row r="184" spans="1:11">
      <c r="A184" s="13" t="s">
        <v>70</v>
      </c>
      <c r="B184" s="14" t="s">
        <v>71</v>
      </c>
      <c r="C184" s="15" t="s">
        <v>72</v>
      </c>
      <c r="D184" s="16"/>
      <c r="E184" s="2">
        <v>1252639.19</v>
      </c>
      <c r="F184" s="23">
        <v>1.9529358649556544E-2</v>
      </c>
      <c r="G184" s="26">
        <v>24463.24</v>
      </c>
      <c r="H184" t="s">
        <v>1806</v>
      </c>
      <c r="K184">
        <v>131</v>
      </c>
    </row>
    <row r="185" spans="1:11">
      <c r="A185" s="13" t="s">
        <v>493</v>
      </c>
      <c r="B185" s="14" t="s">
        <v>494</v>
      </c>
      <c r="C185" s="15" t="s">
        <v>72</v>
      </c>
      <c r="D185" s="16"/>
      <c r="E185" s="2">
        <v>2727743.71</v>
      </c>
      <c r="F185" s="23">
        <v>1.0261227950920653E-3</v>
      </c>
      <c r="G185" s="26">
        <v>2799</v>
      </c>
      <c r="H185" t="s">
        <v>1806</v>
      </c>
      <c r="K185">
        <v>261</v>
      </c>
    </row>
    <row r="186" spans="1:11">
      <c r="A186" s="13" t="s">
        <v>174</v>
      </c>
      <c r="B186" s="14" t="s">
        <v>175</v>
      </c>
      <c r="C186" s="15" t="s">
        <v>72</v>
      </c>
      <c r="D186" s="16"/>
      <c r="E186" s="2">
        <v>728694.6</v>
      </c>
      <c r="F186" s="23">
        <v>6.9793298866219124E-4</v>
      </c>
      <c r="G186" s="26">
        <v>508.58</v>
      </c>
      <c r="H186" t="s">
        <v>1806</v>
      </c>
      <c r="K186">
        <v>42</v>
      </c>
    </row>
    <row r="187" spans="1:11">
      <c r="A187" s="27" t="s">
        <v>491</v>
      </c>
      <c r="B187" s="28" t="s">
        <v>492</v>
      </c>
      <c r="C187" s="29" t="s">
        <v>72</v>
      </c>
      <c r="D187" s="30"/>
      <c r="E187" s="31">
        <v>568034.19999999995</v>
      </c>
      <c r="F187" s="32">
        <v>0.63523004424733587</v>
      </c>
      <c r="G187" s="33">
        <v>360832.39</v>
      </c>
      <c r="H187" s="34" t="s">
        <v>1806</v>
      </c>
      <c r="I187" s="34"/>
      <c r="J187" s="34"/>
      <c r="K187" s="36"/>
    </row>
    <row r="188" spans="1:11">
      <c r="A188" s="13" t="s">
        <v>250</v>
      </c>
      <c r="B188" s="14" t="s">
        <v>251</v>
      </c>
      <c r="C188" s="15" t="s">
        <v>72</v>
      </c>
      <c r="D188" s="16"/>
      <c r="E188" s="2">
        <v>735242.95</v>
      </c>
      <c r="F188" s="23">
        <v>5.9204919951969621E-5</v>
      </c>
      <c r="G188" s="26">
        <v>43.53</v>
      </c>
      <c r="H188" t="s">
        <v>1806</v>
      </c>
      <c r="K188">
        <v>66</v>
      </c>
    </row>
    <row r="189" spans="1:11">
      <c r="A189" s="13" t="s">
        <v>178</v>
      </c>
      <c r="B189" s="14" t="s">
        <v>179</v>
      </c>
      <c r="C189" s="15" t="s">
        <v>72</v>
      </c>
      <c r="D189" s="16"/>
      <c r="E189" s="2">
        <v>479588.19</v>
      </c>
      <c r="F189" s="23">
        <v>1.3107516263067279E-2</v>
      </c>
      <c r="G189" s="26">
        <v>6286.21</v>
      </c>
      <c r="H189" t="s">
        <v>1806</v>
      </c>
      <c r="I189" t="s">
        <v>1809</v>
      </c>
      <c r="J189" t="s">
        <v>1814</v>
      </c>
      <c r="K189">
        <v>40</v>
      </c>
    </row>
    <row r="190" spans="1:11">
      <c r="A190" s="17" t="s">
        <v>37</v>
      </c>
      <c r="B190" s="21" t="s">
        <v>38</v>
      </c>
      <c r="C190" s="19" t="s">
        <v>72</v>
      </c>
      <c r="D190" s="20"/>
      <c r="E190" s="3">
        <v>1458765.45</v>
      </c>
      <c r="F190" s="24">
        <v>1.4433889971825148E-2</v>
      </c>
      <c r="G190" s="26">
        <v>21055.66</v>
      </c>
      <c r="H190" t="s">
        <v>1806</v>
      </c>
      <c r="I190" t="s">
        <v>1809</v>
      </c>
      <c r="J190" t="s">
        <v>1814</v>
      </c>
      <c r="K190">
        <v>188</v>
      </c>
    </row>
    <row r="191" spans="1:11">
      <c r="A191" s="17" t="s">
        <v>1871</v>
      </c>
      <c r="B191" s="21" t="s">
        <v>1872</v>
      </c>
      <c r="C191" s="19" t="s">
        <v>72</v>
      </c>
      <c r="D191" s="20"/>
      <c r="E191" s="3">
        <v>922346.06</v>
      </c>
      <c r="F191" s="24">
        <v>8.300030034280191E-4</v>
      </c>
      <c r="G191" s="26">
        <v>765.55</v>
      </c>
      <c r="H191" t="s">
        <v>1806</v>
      </c>
      <c r="K191">
        <v>124</v>
      </c>
    </row>
    <row r="192" spans="1:11">
      <c r="A192" s="13" t="s">
        <v>1729</v>
      </c>
      <c r="B192" s="14" t="s">
        <v>1730</v>
      </c>
      <c r="C192" s="15" t="s">
        <v>72</v>
      </c>
      <c r="D192" s="16"/>
      <c r="E192" s="2">
        <v>1404805.4</v>
      </c>
      <c r="F192" s="23">
        <v>4.1513087862560895E-2</v>
      </c>
      <c r="G192" s="26">
        <v>58317.81</v>
      </c>
      <c r="H192" t="s">
        <v>1806</v>
      </c>
      <c r="I192" t="s">
        <v>1810</v>
      </c>
      <c r="J192" t="s">
        <v>1812</v>
      </c>
      <c r="K192">
        <v>189</v>
      </c>
    </row>
    <row r="193" spans="1:11">
      <c r="A193" s="17" t="s">
        <v>53</v>
      </c>
      <c r="B193" s="21" t="s">
        <v>54</v>
      </c>
      <c r="C193" s="19" t="s">
        <v>72</v>
      </c>
      <c r="D193" s="20"/>
      <c r="E193" s="3">
        <v>3404548.42</v>
      </c>
      <c r="F193" s="24">
        <v>6.6692545380218145E-4</v>
      </c>
      <c r="G193" s="26">
        <v>2270.58</v>
      </c>
      <c r="H193" t="s">
        <v>1806</v>
      </c>
      <c r="I193" t="s">
        <v>1810</v>
      </c>
      <c r="J193" t="s">
        <v>1812</v>
      </c>
      <c r="K193">
        <v>486</v>
      </c>
    </row>
    <row r="194" spans="1:11">
      <c r="A194" s="13" t="s">
        <v>55</v>
      </c>
      <c r="B194" s="14" t="s">
        <v>56</v>
      </c>
      <c r="C194" s="15" t="s">
        <v>72</v>
      </c>
      <c r="D194" s="16"/>
      <c r="E194" s="2">
        <v>1289786.07</v>
      </c>
      <c r="F194" s="23">
        <v>3.2945773712690196E-4</v>
      </c>
      <c r="G194" s="26">
        <v>424.93</v>
      </c>
      <c r="H194" t="s">
        <v>1806</v>
      </c>
      <c r="I194" t="s">
        <v>1810</v>
      </c>
      <c r="K194">
        <v>197</v>
      </c>
    </row>
    <row r="195" spans="1:11">
      <c r="A195" s="17" t="s">
        <v>1867</v>
      </c>
      <c r="B195" s="21" t="s">
        <v>1868</v>
      </c>
      <c r="C195" s="19" t="s">
        <v>72</v>
      </c>
      <c r="D195" s="20"/>
      <c r="E195" s="3">
        <v>673623.24</v>
      </c>
      <c r="F195" s="24">
        <v>5.0050633645003097E-2</v>
      </c>
      <c r="G195" s="26">
        <v>33715.269999999997</v>
      </c>
      <c r="H195" t="s">
        <v>1806</v>
      </c>
      <c r="I195" t="s">
        <v>1810</v>
      </c>
      <c r="J195" t="s">
        <v>1812</v>
      </c>
      <c r="K195">
        <v>92</v>
      </c>
    </row>
    <row r="196" spans="1:11">
      <c r="A196" s="17" t="s">
        <v>1727</v>
      </c>
      <c r="B196" s="21" t="s">
        <v>1728</v>
      </c>
      <c r="C196" s="19" t="s">
        <v>72</v>
      </c>
      <c r="D196" s="20"/>
      <c r="E196" s="3">
        <v>3950938.05</v>
      </c>
      <c r="F196" s="24">
        <v>2.4870600033832469E-3</v>
      </c>
      <c r="G196" s="26">
        <v>9826.2199999999993</v>
      </c>
      <c r="H196" t="s">
        <v>1806</v>
      </c>
      <c r="K196">
        <v>501</v>
      </c>
    </row>
    <row r="197" spans="1:11">
      <c r="A197" s="17" t="s">
        <v>207</v>
      </c>
      <c r="B197" s="21" t="s">
        <v>208</v>
      </c>
      <c r="C197" s="19" t="s">
        <v>72</v>
      </c>
      <c r="D197" s="20"/>
      <c r="E197" s="3">
        <v>1249926.6000000001</v>
      </c>
      <c r="F197" s="24">
        <v>1.1809437450167073E-2</v>
      </c>
      <c r="G197" s="26">
        <v>14760.93</v>
      </c>
      <c r="H197" t="s">
        <v>1806</v>
      </c>
      <c r="K197">
        <v>130</v>
      </c>
    </row>
    <row r="198" spans="1:11">
      <c r="A198" s="13" t="s">
        <v>97</v>
      </c>
      <c r="B198" s="14" t="s">
        <v>98</v>
      </c>
      <c r="C198" s="15" t="s">
        <v>72</v>
      </c>
      <c r="D198" s="16"/>
      <c r="E198" s="2">
        <v>842358.61</v>
      </c>
      <c r="F198" s="23">
        <v>1.1871428488158981E-4</v>
      </c>
      <c r="G198" s="26">
        <v>100</v>
      </c>
      <c r="H198" t="s">
        <v>1806</v>
      </c>
      <c r="K198">
        <v>96</v>
      </c>
    </row>
    <row r="199" spans="1:11">
      <c r="A199" s="13" t="s">
        <v>205</v>
      </c>
      <c r="B199" s="14" t="s">
        <v>206</v>
      </c>
      <c r="C199" s="15" t="s">
        <v>72</v>
      </c>
      <c r="D199" s="16"/>
      <c r="E199" s="2">
        <v>3148831.49</v>
      </c>
      <c r="F199" s="23">
        <v>2.073874394593278E-2</v>
      </c>
      <c r="G199" s="26">
        <v>65302.81</v>
      </c>
      <c r="H199" t="s">
        <v>1806</v>
      </c>
      <c r="K199">
        <v>413</v>
      </c>
    </row>
    <row r="200" spans="1:11">
      <c r="A200" s="13" t="s">
        <v>346</v>
      </c>
      <c r="B200" s="14" t="s">
        <v>347</v>
      </c>
      <c r="C200" s="15" t="s">
        <v>72</v>
      </c>
      <c r="D200" s="16"/>
      <c r="E200" s="2">
        <v>925303.72</v>
      </c>
      <c r="F200" s="23">
        <v>3.2551474017633908E-5</v>
      </c>
      <c r="G200" s="26">
        <v>30.12</v>
      </c>
      <c r="H200" t="s">
        <v>1806</v>
      </c>
      <c r="K200">
        <v>114</v>
      </c>
    </row>
    <row r="201" spans="1:11">
      <c r="A201" s="13" t="s">
        <v>1645</v>
      </c>
      <c r="B201" s="14" t="s">
        <v>1646</v>
      </c>
      <c r="C201" s="15" t="s">
        <v>72</v>
      </c>
      <c r="D201" s="16"/>
      <c r="E201" s="2">
        <v>1644918.35</v>
      </c>
      <c r="F201" s="23">
        <v>6.537795629795241E-3</v>
      </c>
      <c r="G201" s="26">
        <v>10754.14</v>
      </c>
      <c r="H201" t="s">
        <v>1806</v>
      </c>
      <c r="K201">
        <v>165</v>
      </c>
    </row>
    <row r="202" spans="1:11">
      <c r="A202" s="17" t="s">
        <v>168</v>
      </c>
      <c r="B202" s="21" t="s">
        <v>169</v>
      </c>
      <c r="C202" s="19" t="s">
        <v>72</v>
      </c>
      <c r="D202" s="20"/>
      <c r="E202" s="3">
        <v>1814426</v>
      </c>
      <c r="F202" s="24">
        <v>0</v>
      </c>
      <c r="G202" s="26">
        <v>0</v>
      </c>
      <c r="H202" t="s">
        <v>1806</v>
      </c>
      <c r="K202">
        <v>210</v>
      </c>
    </row>
    <row r="203" spans="1:11">
      <c r="A203" s="27" t="s">
        <v>280</v>
      </c>
      <c r="B203" s="28" t="s">
        <v>281</v>
      </c>
      <c r="C203" s="29" t="s">
        <v>72</v>
      </c>
      <c r="D203" s="30"/>
      <c r="E203" s="31">
        <v>0</v>
      </c>
      <c r="F203" s="32" t="s">
        <v>761</v>
      </c>
      <c r="G203" s="33"/>
      <c r="H203" s="34" t="s">
        <v>1806</v>
      </c>
      <c r="I203" s="34"/>
      <c r="J203" s="34"/>
      <c r="K203" s="34">
        <v>235</v>
      </c>
    </row>
    <row r="204" spans="1:11">
      <c r="A204" s="13" t="s">
        <v>39</v>
      </c>
      <c r="B204" s="14" t="s">
        <v>40</v>
      </c>
      <c r="C204" s="15" t="s">
        <v>72</v>
      </c>
      <c r="D204" s="16"/>
      <c r="E204" s="2">
        <v>1752311.71</v>
      </c>
      <c r="F204" s="23">
        <v>6.3269907612498923E-3</v>
      </c>
      <c r="G204" s="26">
        <v>11086.86</v>
      </c>
      <c r="H204" t="s">
        <v>1806</v>
      </c>
      <c r="I204" t="s">
        <v>1809</v>
      </c>
      <c r="K204">
        <v>139</v>
      </c>
    </row>
    <row r="205" spans="1:11">
      <c r="A205" s="17" t="s">
        <v>290</v>
      </c>
      <c r="B205" s="21" t="s">
        <v>291</v>
      </c>
      <c r="C205" s="19" t="s">
        <v>72</v>
      </c>
      <c r="D205" s="20"/>
      <c r="E205" s="3">
        <v>1289628.03</v>
      </c>
      <c r="F205" s="24">
        <v>2.147122996388346E-3</v>
      </c>
      <c r="G205" s="26">
        <v>2768.99</v>
      </c>
      <c r="H205" t="s">
        <v>1806</v>
      </c>
      <c r="K205">
        <v>72</v>
      </c>
    </row>
    <row r="206" spans="1:11">
      <c r="A206" s="13" t="s">
        <v>105</v>
      </c>
      <c r="B206" s="14" t="s">
        <v>106</v>
      </c>
      <c r="C206" s="15" t="s">
        <v>72</v>
      </c>
      <c r="D206" s="16"/>
      <c r="E206" s="2">
        <v>968241.67</v>
      </c>
      <c r="F206" s="23">
        <v>4.5172709825636818E-3</v>
      </c>
      <c r="G206" s="26">
        <v>4373.8100000000004</v>
      </c>
      <c r="H206" t="s">
        <v>1806</v>
      </c>
      <c r="K206">
        <v>66</v>
      </c>
    </row>
    <row r="207" spans="1:11">
      <c r="A207" s="13" t="s">
        <v>392</v>
      </c>
      <c r="B207" s="14" t="s">
        <v>393</v>
      </c>
      <c r="C207" s="15" t="s">
        <v>72</v>
      </c>
      <c r="D207" s="16"/>
      <c r="E207" s="2">
        <v>847373.33</v>
      </c>
      <c r="F207" s="23">
        <v>3.3901350187643979E-3</v>
      </c>
      <c r="G207" s="26">
        <v>2872.71</v>
      </c>
      <c r="H207" t="s">
        <v>1806</v>
      </c>
      <c r="K207">
        <v>41</v>
      </c>
    </row>
    <row r="208" spans="1:11">
      <c r="A208" s="13" t="s">
        <v>1721</v>
      </c>
      <c r="B208" s="14" t="s">
        <v>1722</v>
      </c>
      <c r="C208" s="15" t="s">
        <v>72</v>
      </c>
      <c r="D208" s="16"/>
      <c r="E208" s="2">
        <v>1138719.82</v>
      </c>
      <c r="F208" s="23">
        <v>1.3616167671517301E-4</v>
      </c>
      <c r="G208" s="26">
        <v>155.05000000000001</v>
      </c>
      <c r="H208" t="s">
        <v>1806</v>
      </c>
      <c r="I208" t="s">
        <v>1809</v>
      </c>
      <c r="J208" t="s">
        <v>1814</v>
      </c>
      <c r="K208">
        <v>73</v>
      </c>
    </row>
    <row r="209" spans="1:11">
      <c r="A209" s="17" t="s">
        <v>119</v>
      </c>
      <c r="B209" s="21" t="s">
        <v>120</v>
      </c>
      <c r="C209" s="19" t="s">
        <v>72</v>
      </c>
      <c r="D209" s="20"/>
      <c r="E209" s="3">
        <v>1832644.46</v>
      </c>
      <c r="F209" s="24">
        <v>1.5615412931758734E-3</v>
      </c>
      <c r="G209" s="26">
        <v>2861.75</v>
      </c>
      <c r="H209" t="s">
        <v>1806</v>
      </c>
      <c r="K209">
        <v>131</v>
      </c>
    </row>
    <row r="210" spans="1:11">
      <c r="A210" s="13" t="s">
        <v>121</v>
      </c>
      <c r="B210" s="14" t="s">
        <v>289</v>
      </c>
      <c r="C210" s="15" t="s">
        <v>72</v>
      </c>
      <c r="D210" s="16"/>
      <c r="E210" s="2">
        <v>1005955.83</v>
      </c>
      <c r="F210" s="23">
        <v>4.616335888226822E-3</v>
      </c>
      <c r="G210" s="26">
        <v>4643.83</v>
      </c>
      <c r="H210" t="s">
        <v>1806</v>
      </c>
      <c r="K210">
        <v>63</v>
      </c>
    </row>
    <row r="211" spans="1:11">
      <c r="A211" s="17" t="s">
        <v>107</v>
      </c>
      <c r="B211" s="21" t="s">
        <v>108</v>
      </c>
      <c r="C211" s="19" t="s">
        <v>72</v>
      </c>
      <c r="D211" s="20"/>
      <c r="E211" s="3">
        <v>1407836.57</v>
      </c>
      <c r="F211" s="24">
        <v>3.7008201882410253E-3</v>
      </c>
      <c r="G211" s="26">
        <v>5210.1499999999996</v>
      </c>
      <c r="H211" t="s">
        <v>1806</v>
      </c>
      <c r="I211" t="s">
        <v>1810</v>
      </c>
      <c r="J211" t="s">
        <v>1812</v>
      </c>
      <c r="K211">
        <v>80</v>
      </c>
    </row>
    <row r="212" spans="1:11">
      <c r="A212" s="13" t="s">
        <v>384</v>
      </c>
      <c r="B212" s="14" t="s">
        <v>385</v>
      </c>
      <c r="C212" s="15" t="s">
        <v>72</v>
      </c>
      <c r="D212" s="16"/>
      <c r="E212" s="2">
        <v>766545.71</v>
      </c>
      <c r="F212" s="23">
        <v>3.5640405579988178E-3</v>
      </c>
      <c r="G212" s="26">
        <v>2732</v>
      </c>
      <c r="H212" t="s">
        <v>1806</v>
      </c>
      <c r="K212">
        <v>31</v>
      </c>
    </row>
    <row r="213" spans="1:11">
      <c r="A213" s="17" t="s">
        <v>382</v>
      </c>
      <c r="B213" s="21" t="s">
        <v>383</v>
      </c>
      <c r="C213" s="19" t="s">
        <v>72</v>
      </c>
      <c r="D213" s="20"/>
      <c r="E213" s="3">
        <v>1229036.3400000001</v>
      </c>
      <c r="F213" s="24">
        <v>2.3723057692500776E-3</v>
      </c>
      <c r="G213" s="26">
        <v>2915.65</v>
      </c>
      <c r="H213" t="s">
        <v>1806</v>
      </c>
      <c r="K213">
        <v>61</v>
      </c>
    </row>
    <row r="214" spans="1:11">
      <c r="A214" s="13" t="s">
        <v>388</v>
      </c>
      <c r="B214" s="14" t="s">
        <v>389</v>
      </c>
      <c r="C214" s="15" t="s">
        <v>72</v>
      </c>
      <c r="D214" s="16"/>
      <c r="E214" s="2">
        <v>806566.09</v>
      </c>
      <c r="F214" s="23">
        <v>5.5943462735955091E-3</v>
      </c>
      <c r="G214" s="26">
        <v>4512.21</v>
      </c>
      <c r="H214" t="s">
        <v>1806</v>
      </c>
      <c r="K214">
        <v>64</v>
      </c>
    </row>
    <row r="215" spans="1:11">
      <c r="A215" s="17" t="s">
        <v>390</v>
      </c>
      <c r="B215" s="21" t="s">
        <v>391</v>
      </c>
      <c r="C215" s="19" t="s">
        <v>72</v>
      </c>
      <c r="D215" s="20"/>
      <c r="E215" s="3">
        <v>1937465.73</v>
      </c>
      <c r="F215" s="24">
        <v>8.0071609834358201E-4</v>
      </c>
      <c r="G215" s="26">
        <v>1551.36</v>
      </c>
      <c r="H215" t="s">
        <v>1806</v>
      </c>
      <c r="K215">
        <v>112</v>
      </c>
    </row>
    <row r="216" spans="1:11">
      <c r="A216" s="17" t="s">
        <v>1643</v>
      </c>
      <c r="B216" s="21" t="s">
        <v>1644</v>
      </c>
      <c r="C216" s="19" t="s">
        <v>72</v>
      </c>
      <c r="D216" s="20"/>
      <c r="E216" s="3">
        <v>853100.11</v>
      </c>
      <c r="F216" s="24">
        <v>5.8582456401277457E-3</v>
      </c>
      <c r="G216" s="26">
        <v>4997.67</v>
      </c>
      <c r="H216" t="s">
        <v>1806</v>
      </c>
      <c r="I216" t="s">
        <v>1809</v>
      </c>
      <c r="J216" t="s">
        <v>1814</v>
      </c>
      <c r="K216">
        <v>57</v>
      </c>
    </row>
    <row r="217" spans="1:11">
      <c r="A217" s="13" t="s">
        <v>109</v>
      </c>
      <c r="B217" s="14" t="s">
        <v>110</v>
      </c>
      <c r="C217" s="15" t="s">
        <v>72</v>
      </c>
      <c r="D217" s="16"/>
      <c r="E217" s="2">
        <v>954583.08</v>
      </c>
      <c r="F217" s="23">
        <v>1.0778003733315699E-3</v>
      </c>
      <c r="G217" s="26">
        <v>1028.8499999999999</v>
      </c>
      <c r="H217" t="s">
        <v>1806</v>
      </c>
      <c r="K217">
        <v>60</v>
      </c>
    </row>
    <row r="218" spans="1:11">
      <c r="A218" s="17" t="s">
        <v>111</v>
      </c>
      <c r="B218" s="21" t="s">
        <v>112</v>
      </c>
      <c r="C218" s="19" t="s">
        <v>72</v>
      </c>
      <c r="D218" s="20"/>
      <c r="E218" s="3">
        <v>473070.95</v>
      </c>
      <c r="F218" s="24">
        <v>8.9204378328451572E-4</v>
      </c>
      <c r="G218" s="26">
        <v>422</v>
      </c>
      <c r="H218" t="s">
        <v>1806</v>
      </c>
      <c r="K218">
        <v>33</v>
      </c>
    </row>
    <row r="219" spans="1:11">
      <c r="A219" s="13" t="s">
        <v>113</v>
      </c>
      <c r="B219" s="14" t="s">
        <v>114</v>
      </c>
      <c r="C219" s="15" t="s">
        <v>72</v>
      </c>
      <c r="D219" s="16"/>
      <c r="E219" s="2">
        <v>461116.57</v>
      </c>
      <c r="F219" s="23">
        <v>1.4404817419595222E-3</v>
      </c>
      <c r="G219" s="26">
        <v>664.23</v>
      </c>
      <c r="H219" t="s">
        <v>1806</v>
      </c>
      <c r="K219">
        <v>32</v>
      </c>
    </row>
    <row r="220" spans="1:11">
      <c r="A220" s="13" t="s">
        <v>117</v>
      </c>
      <c r="B220" s="14" t="s">
        <v>118</v>
      </c>
      <c r="C220" s="15" t="s">
        <v>72</v>
      </c>
      <c r="D220" s="16"/>
      <c r="E220" s="2">
        <v>1033482.79</v>
      </c>
      <c r="F220" s="23">
        <v>2.3829617907812476E-3</v>
      </c>
      <c r="G220" s="26">
        <v>2462.75</v>
      </c>
      <c r="H220" t="s">
        <v>1806</v>
      </c>
      <c r="K220">
        <v>65</v>
      </c>
    </row>
    <row r="221" spans="1:11">
      <c r="A221" s="13" t="s">
        <v>230</v>
      </c>
      <c r="B221" s="14" t="s">
        <v>231</v>
      </c>
      <c r="C221" s="15" t="s">
        <v>72</v>
      </c>
      <c r="D221" s="16"/>
      <c r="E221" s="2">
        <v>1028369.87</v>
      </c>
      <c r="F221" s="23">
        <v>0</v>
      </c>
      <c r="G221" s="26">
        <v>0</v>
      </c>
      <c r="H221" t="s">
        <v>1806</v>
      </c>
      <c r="K221">
        <v>39</v>
      </c>
    </row>
    <row r="222" spans="1:11">
      <c r="A222" s="17" t="s">
        <v>228</v>
      </c>
      <c r="B222" s="21" t="s">
        <v>229</v>
      </c>
      <c r="C222" s="19" t="s">
        <v>72</v>
      </c>
      <c r="D222" s="20"/>
      <c r="E222" s="3">
        <v>732239.56</v>
      </c>
      <c r="F222" s="24">
        <v>1.7702007250195551E-2</v>
      </c>
      <c r="G222" s="26">
        <v>12962.11</v>
      </c>
      <c r="H222" t="s">
        <v>1806</v>
      </c>
      <c r="K222">
        <v>42</v>
      </c>
    </row>
    <row r="223" spans="1:11">
      <c r="A223" s="17" t="s">
        <v>115</v>
      </c>
      <c r="B223" s="21" t="s">
        <v>116</v>
      </c>
      <c r="C223" s="19" t="s">
        <v>72</v>
      </c>
      <c r="D223" s="20"/>
      <c r="E223" s="3">
        <v>2584058.5</v>
      </c>
      <c r="F223" s="24">
        <v>3.488040228191428E-3</v>
      </c>
      <c r="G223" s="26">
        <v>9013.2999999999993</v>
      </c>
      <c r="H223" t="s">
        <v>1806</v>
      </c>
      <c r="I223" t="s">
        <v>1809</v>
      </c>
      <c r="K223">
        <v>158</v>
      </c>
    </row>
    <row r="224" spans="1:11">
      <c r="A224" s="17" t="s">
        <v>1859</v>
      </c>
      <c r="B224" s="21" t="s">
        <v>1860</v>
      </c>
      <c r="C224" s="19" t="s">
        <v>72</v>
      </c>
      <c r="D224" s="20"/>
      <c r="E224" s="3">
        <v>1312513.19</v>
      </c>
      <c r="F224" s="24">
        <v>2.0976551100412178E-3</v>
      </c>
      <c r="G224" s="26">
        <v>2753.2</v>
      </c>
      <c r="H224" t="s">
        <v>1806</v>
      </c>
      <c r="K224">
        <v>71</v>
      </c>
    </row>
    <row r="225" spans="1:11">
      <c r="A225" s="17" t="s">
        <v>1863</v>
      </c>
      <c r="B225" s="21" t="s">
        <v>1864</v>
      </c>
      <c r="C225" s="19" t="s">
        <v>72</v>
      </c>
      <c r="D225" s="20"/>
      <c r="E225" s="3">
        <v>1463370.03</v>
      </c>
      <c r="F225" s="24">
        <v>2.0287145008702962E-3</v>
      </c>
      <c r="G225" s="26">
        <v>2968.7600000000007</v>
      </c>
      <c r="H225" t="s">
        <v>1806</v>
      </c>
      <c r="K225">
        <v>95</v>
      </c>
    </row>
    <row r="226" spans="1:11">
      <c r="A226" s="17" t="s">
        <v>1639</v>
      </c>
      <c r="B226" s="21" t="s">
        <v>1640</v>
      </c>
      <c r="C226" s="19" t="s">
        <v>72</v>
      </c>
      <c r="D226" s="20"/>
      <c r="E226" s="3">
        <v>867175.56</v>
      </c>
      <c r="F226" s="24">
        <v>1.4363873446802396E-3</v>
      </c>
      <c r="G226" s="26">
        <v>1245.5999999999999</v>
      </c>
      <c r="H226" t="s">
        <v>1806</v>
      </c>
      <c r="K226">
        <v>54</v>
      </c>
    </row>
    <row r="227" spans="1:11">
      <c r="A227" s="13" t="s">
        <v>1641</v>
      </c>
      <c r="B227" s="14" t="s">
        <v>1642</v>
      </c>
      <c r="C227" s="15" t="s">
        <v>72</v>
      </c>
      <c r="D227" s="16"/>
      <c r="E227" s="2">
        <v>805177</v>
      </c>
      <c r="F227" s="23">
        <v>0</v>
      </c>
      <c r="G227" s="26">
        <v>0</v>
      </c>
      <c r="H227" t="s">
        <v>1806</v>
      </c>
      <c r="K227">
        <v>40</v>
      </c>
    </row>
    <row r="228" spans="1:11">
      <c r="A228" s="13" t="s">
        <v>1861</v>
      </c>
      <c r="B228" s="14" t="s">
        <v>1862</v>
      </c>
      <c r="C228" s="15" t="s">
        <v>72</v>
      </c>
      <c r="D228" s="16"/>
      <c r="E228" s="2">
        <v>2935225.27</v>
      </c>
      <c r="F228" s="23">
        <v>7.6976715316981448E-4</v>
      </c>
      <c r="G228" s="26">
        <v>2259.44</v>
      </c>
      <c r="H228" t="s">
        <v>1806</v>
      </c>
      <c r="I228" t="s">
        <v>1809</v>
      </c>
      <c r="J228" t="s">
        <v>1814</v>
      </c>
      <c r="K228">
        <v>144</v>
      </c>
    </row>
    <row r="229" spans="1:11">
      <c r="A229" s="13" t="s">
        <v>1865</v>
      </c>
      <c r="B229" s="14" t="s">
        <v>1866</v>
      </c>
      <c r="C229" s="15" t="s">
        <v>72</v>
      </c>
      <c r="D229" s="16"/>
      <c r="E229" s="2">
        <v>2894690.69</v>
      </c>
      <c r="F229" s="23">
        <v>1.4160590677824717E-2</v>
      </c>
      <c r="G229" s="26">
        <v>40990.53</v>
      </c>
      <c r="H229" t="s">
        <v>1806</v>
      </c>
      <c r="K229">
        <v>359</v>
      </c>
    </row>
    <row r="230" spans="1:11">
      <c r="A230" s="13" t="s">
        <v>158</v>
      </c>
      <c r="B230" s="14" t="s">
        <v>159</v>
      </c>
      <c r="C230" s="15" t="s">
        <v>72</v>
      </c>
      <c r="D230" s="16"/>
      <c r="E230" s="2">
        <v>561236.21</v>
      </c>
      <c r="F230" s="23">
        <v>7.4740900983562694E-3</v>
      </c>
      <c r="G230" s="26">
        <v>4194.7299999999996</v>
      </c>
      <c r="H230" t="s">
        <v>1806</v>
      </c>
      <c r="I230" t="s">
        <v>1810</v>
      </c>
      <c r="K230">
        <v>40</v>
      </c>
    </row>
    <row r="231" spans="1:11">
      <c r="A231" s="17" t="s">
        <v>13</v>
      </c>
      <c r="B231" s="21" t="s">
        <v>14</v>
      </c>
      <c r="C231" s="19" t="s">
        <v>72</v>
      </c>
      <c r="D231" s="20"/>
      <c r="E231" s="3">
        <v>1521089.34</v>
      </c>
      <c r="F231" s="24">
        <v>6.6109200397131173E-4</v>
      </c>
      <c r="G231" s="26">
        <v>1005.58</v>
      </c>
      <c r="H231" t="s">
        <v>1811</v>
      </c>
      <c r="K231">
        <v>43</v>
      </c>
    </row>
    <row r="232" spans="1:11">
      <c r="A232" s="17" t="s">
        <v>1731</v>
      </c>
      <c r="B232" s="21" t="s">
        <v>1732</v>
      </c>
      <c r="C232" s="19" t="s">
        <v>72</v>
      </c>
      <c r="D232" s="20"/>
      <c r="E232" s="3">
        <v>4376264.95</v>
      </c>
      <c r="F232" s="24">
        <v>0.43772465604487681</v>
      </c>
      <c r="G232" s="26">
        <v>1915599.07</v>
      </c>
      <c r="H232" t="s">
        <v>1811</v>
      </c>
      <c r="I232" t="s">
        <v>1810</v>
      </c>
      <c r="J232" t="s">
        <v>1812</v>
      </c>
      <c r="K232">
        <v>147</v>
      </c>
    </row>
    <row r="233" spans="1:11">
      <c r="A233" s="17" t="s">
        <v>21</v>
      </c>
      <c r="B233" s="21" t="s">
        <v>22</v>
      </c>
      <c r="C233" s="19" t="s">
        <v>72</v>
      </c>
      <c r="D233" s="20"/>
      <c r="E233" s="3">
        <v>788059.28</v>
      </c>
      <c r="F233" s="24">
        <v>0.21561141948610768</v>
      </c>
      <c r="G233" s="26">
        <v>169914.58</v>
      </c>
      <c r="H233" t="s">
        <v>1811</v>
      </c>
      <c r="I233" t="s">
        <v>1810</v>
      </c>
      <c r="J233" t="s">
        <v>1812</v>
      </c>
      <c r="K233">
        <v>89</v>
      </c>
    </row>
    <row r="234" spans="1:11">
      <c r="A234" s="13" t="s">
        <v>19</v>
      </c>
      <c r="B234" s="14" t="s">
        <v>20</v>
      </c>
      <c r="C234" s="15" t="s">
        <v>72</v>
      </c>
      <c r="D234" s="16"/>
      <c r="E234" s="2">
        <v>1295931.69</v>
      </c>
      <c r="F234" s="23">
        <v>0.23488700241599927</v>
      </c>
      <c r="G234" s="26">
        <v>304397.51</v>
      </c>
      <c r="H234" t="s">
        <v>1811</v>
      </c>
      <c r="I234" t="s">
        <v>1810</v>
      </c>
      <c r="J234" t="s">
        <v>1812</v>
      </c>
      <c r="K234">
        <v>86</v>
      </c>
    </row>
    <row r="235" spans="1:11">
      <c r="A235" s="13" t="s">
        <v>1757</v>
      </c>
      <c r="B235" s="14" t="s">
        <v>1758</v>
      </c>
      <c r="C235" s="15" t="s">
        <v>72</v>
      </c>
      <c r="D235" s="16"/>
      <c r="E235" s="2">
        <v>4203286.54</v>
      </c>
      <c r="F235" s="23">
        <v>0.12163504322976754</v>
      </c>
      <c r="G235" s="26">
        <v>511266.94</v>
      </c>
      <c r="H235" t="s">
        <v>1806</v>
      </c>
      <c r="K235">
        <v>437</v>
      </c>
    </row>
    <row r="236" spans="1:11">
      <c r="A236" s="17" t="s">
        <v>49</v>
      </c>
      <c r="B236" s="21" t="s">
        <v>50</v>
      </c>
      <c r="C236" s="19" t="s">
        <v>72</v>
      </c>
      <c r="D236" s="20"/>
      <c r="E236" s="3">
        <v>836251.4</v>
      </c>
      <c r="F236" s="24">
        <v>7.544023244684553E-4</v>
      </c>
      <c r="G236" s="26">
        <v>630.87</v>
      </c>
      <c r="H236" t="s">
        <v>1806</v>
      </c>
      <c r="K236">
        <v>110</v>
      </c>
    </row>
    <row r="237" spans="1:11">
      <c r="A237" s="17" t="s">
        <v>1751</v>
      </c>
      <c r="B237" s="21" t="s">
        <v>1752</v>
      </c>
      <c r="C237" s="19" t="s">
        <v>72</v>
      </c>
      <c r="D237" s="20"/>
      <c r="E237" s="3">
        <v>3533925.97</v>
      </c>
      <c r="F237" s="24">
        <v>0.18344186196973444</v>
      </c>
      <c r="G237" s="26">
        <v>648269.96</v>
      </c>
      <c r="H237" t="s">
        <v>1806</v>
      </c>
      <c r="K237">
        <v>406</v>
      </c>
    </row>
    <row r="238" spans="1:11">
      <c r="A238" s="13" t="s">
        <v>15</v>
      </c>
      <c r="B238" s="14" t="s">
        <v>16</v>
      </c>
      <c r="C238" s="15" t="s">
        <v>72</v>
      </c>
      <c r="D238" s="16"/>
      <c r="E238" s="2">
        <v>8804908.7200000007</v>
      </c>
      <c r="F238" s="23">
        <v>2.4915079414928904E-4</v>
      </c>
      <c r="G238" s="26">
        <v>2193.75</v>
      </c>
      <c r="H238" t="s">
        <v>1806</v>
      </c>
      <c r="K238">
        <v>1100</v>
      </c>
    </row>
    <row r="239" spans="1:11">
      <c r="A239" s="17" t="s">
        <v>9</v>
      </c>
      <c r="B239" s="21" t="s">
        <v>10</v>
      </c>
      <c r="C239" s="19" t="s">
        <v>72</v>
      </c>
      <c r="D239" s="20"/>
      <c r="E239" s="3">
        <v>2756615</v>
      </c>
      <c r="F239" s="24">
        <v>0</v>
      </c>
      <c r="G239" s="26">
        <v>0</v>
      </c>
      <c r="H239" t="s">
        <v>1806</v>
      </c>
      <c r="I239" t="s">
        <v>1810</v>
      </c>
      <c r="K239">
        <v>328</v>
      </c>
    </row>
    <row r="240" spans="1:11">
      <c r="A240" s="13" t="s">
        <v>238</v>
      </c>
      <c r="B240" s="14" t="s">
        <v>239</v>
      </c>
      <c r="C240" s="15" t="s">
        <v>72</v>
      </c>
      <c r="D240" s="16"/>
      <c r="E240" s="2">
        <v>1292560.5900000001</v>
      </c>
      <c r="F240" s="23">
        <v>0.12026748394054007</v>
      </c>
      <c r="G240" s="26">
        <v>155453.01</v>
      </c>
      <c r="H240" t="s">
        <v>1806</v>
      </c>
      <c r="K240">
        <v>117</v>
      </c>
    </row>
    <row r="241" spans="1:11">
      <c r="A241" s="13" t="s">
        <v>481</v>
      </c>
      <c r="B241" s="14" t="s">
        <v>482</v>
      </c>
      <c r="C241" s="15" t="s">
        <v>72</v>
      </c>
      <c r="D241" s="16"/>
      <c r="E241" s="2">
        <v>4746775.3099999996</v>
      </c>
      <c r="F241" s="23">
        <v>6.0534211382337376E-3</v>
      </c>
      <c r="G241" s="26">
        <v>28734.23</v>
      </c>
      <c r="H241" t="s">
        <v>1806</v>
      </c>
      <c r="K241">
        <v>577</v>
      </c>
    </row>
    <row r="242" spans="1:11">
      <c r="A242" s="17" t="s">
        <v>264</v>
      </c>
      <c r="B242" s="21" t="s">
        <v>265</v>
      </c>
      <c r="C242" s="19" t="s">
        <v>72</v>
      </c>
      <c r="D242" s="20"/>
      <c r="E242" s="3">
        <v>196282.65</v>
      </c>
      <c r="F242" s="24">
        <v>2.3746367801738972E-4</v>
      </c>
      <c r="G242" s="26">
        <v>46.61</v>
      </c>
      <c r="H242" t="s">
        <v>1806</v>
      </c>
      <c r="K242">
        <v>14</v>
      </c>
    </row>
    <row r="243" spans="1:11">
      <c r="A243" s="17" t="s">
        <v>83</v>
      </c>
      <c r="B243" s="21" t="s">
        <v>84</v>
      </c>
      <c r="C243" s="19" t="s">
        <v>72</v>
      </c>
      <c r="D243" s="20"/>
      <c r="E243" s="3">
        <v>1136684.03</v>
      </c>
      <c r="F243" s="24">
        <v>5.0960511867136906E-4</v>
      </c>
      <c r="G243" s="26">
        <v>579.26</v>
      </c>
      <c r="H243" t="s">
        <v>1806</v>
      </c>
      <c r="K243">
        <v>112</v>
      </c>
    </row>
    <row r="244" spans="1:11">
      <c r="A244" s="13" t="s">
        <v>497</v>
      </c>
      <c r="B244" s="14" t="s">
        <v>498</v>
      </c>
      <c r="C244" s="15" t="s">
        <v>72</v>
      </c>
      <c r="D244" s="16"/>
      <c r="E244" s="2">
        <v>871404.8</v>
      </c>
      <c r="F244" s="23">
        <v>0.26713408050999948</v>
      </c>
      <c r="G244" s="26">
        <v>232781.92</v>
      </c>
      <c r="H244" t="s">
        <v>1806</v>
      </c>
      <c r="K244">
        <v>68</v>
      </c>
    </row>
    <row r="245" spans="1:11">
      <c r="A245" s="13" t="s">
        <v>198</v>
      </c>
      <c r="B245" s="14" t="s">
        <v>199</v>
      </c>
      <c r="C245" s="15" t="s">
        <v>72</v>
      </c>
      <c r="D245" s="16"/>
      <c r="E245" s="2">
        <v>8436970.4700000007</v>
      </c>
      <c r="F245" s="23">
        <v>4.1608466125163529E-3</v>
      </c>
      <c r="G245" s="26">
        <v>35104.94</v>
      </c>
      <c r="H245" t="s">
        <v>1806</v>
      </c>
      <c r="I245" t="s">
        <v>1809</v>
      </c>
      <c r="K245">
        <v>873</v>
      </c>
    </row>
    <row r="246" spans="1:11">
      <c r="A246" s="17" t="s">
        <v>61</v>
      </c>
      <c r="B246" s="21" t="s">
        <v>62</v>
      </c>
      <c r="C246" s="19" t="s">
        <v>72</v>
      </c>
      <c r="D246" s="20"/>
      <c r="E246" s="3">
        <v>2560052.65</v>
      </c>
      <c r="F246" s="24">
        <v>8.3900399470299966E-2</v>
      </c>
      <c r="G246" s="26">
        <v>214789.44</v>
      </c>
      <c r="H246" t="s">
        <v>1806</v>
      </c>
      <c r="K246">
        <v>299</v>
      </c>
    </row>
    <row r="247" spans="1:11">
      <c r="A247" s="17" t="s">
        <v>1699</v>
      </c>
      <c r="B247" s="21" t="s">
        <v>1700</v>
      </c>
      <c r="C247" s="19" t="s">
        <v>72</v>
      </c>
      <c r="D247" s="20"/>
      <c r="E247" s="3">
        <v>2482620.56</v>
      </c>
      <c r="F247" s="24">
        <v>0.35997846565807862</v>
      </c>
      <c r="G247" s="26">
        <v>893689.94</v>
      </c>
      <c r="H247" t="s">
        <v>1806</v>
      </c>
      <c r="K247">
        <v>194</v>
      </c>
    </row>
    <row r="248" spans="1:11">
      <c r="A248" s="17" t="s">
        <v>99</v>
      </c>
      <c r="B248" s="21" t="s">
        <v>100</v>
      </c>
      <c r="C248" s="19" t="s">
        <v>72</v>
      </c>
      <c r="D248" s="20"/>
      <c r="E248" s="3">
        <v>867720.61</v>
      </c>
      <c r="F248" s="24">
        <v>1.6607188804700627E-2</v>
      </c>
      <c r="G248" s="26">
        <v>14410.4</v>
      </c>
      <c r="H248" t="s">
        <v>1806</v>
      </c>
      <c r="K248">
        <v>90</v>
      </c>
    </row>
    <row r="249" spans="1:11">
      <c r="A249" s="13" t="s">
        <v>1857</v>
      </c>
      <c r="B249" s="14" t="s">
        <v>1858</v>
      </c>
      <c r="C249" s="15" t="s">
        <v>72</v>
      </c>
      <c r="D249" s="16"/>
      <c r="E249" s="2">
        <v>1901240.54</v>
      </c>
      <c r="F249" s="23">
        <v>7.7419924992762875E-3</v>
      </c>
      <c r="G249" s="26">
        <v>14719.39</v>
      </c>
      <c r="H249" t="s">
        <v>1806</v>
      </c>
      <c r="I249" t="s">
        <v>1809</v>
      </c>
      <c r="J249" t="s">
        <v>1814</v>
      </c>
      <c r="K249">
        <v>232</v>
      </c>
    </row>
    <row r="250" spans="1:11">
      <c r="A250" s="13" t="s">
        <v>254</v>
      </c>
      <c r="B250" s="14" t="s">
        <v>255</v>
      </c>
      <c r="C250" s="15" t="s">
        <v>72</v>
      </c>
      <c r="D250" s="16"/>
      <c r="E250" s="2">
        <v>1385312.83</v>
      </c>
      <c r="F250" s="23">
        <v>0</v>
      </c>
      <c r="G250" s="26">
        <v>0</v>
      </c>
      <c r="H250" t="s">
        <v>1806</v>
      </c>
      <c r="I250" t="s">
        <v>1809</v>
      </c>
      <c r="J250" t="s">
        <v>1814</v>
      </c>
      <c r="K250">
        <v>144</v>
      </c>
    </row>
    <row r="251" spans="1:11">
      <c r="A251" s="13" t="s">
        <v>221</v>
      </c>
      <c r="B251" s="14" t="s">
        <v>222</v>
      </c>
      <c r="C251" s="15" t="s">
        <v>72</v>
      </c>
      <c r="D251" s="16"/>
      <c r="E251" s="2">
        <v>856255.65</v>
      </c>
      <c r="F251" s="23">
        <v>6.6060597673136517E-2</v>
      </c>
      <c r="G251" s="26">
        <v>56564.759999999995</v>
      </c>
      <c r="H251" t="s">
        <v>1811</v>
      </c>
      <c r="K251">
        <v>100</v>
      </c>
    </row>
    <row r="252" spans="1:11">
      <c r="A252" s="13" t="s">
        <v>292</v>
      </c>
      <c r="B252" s="14" t="s">
        <v>293</v>
      </c>
      <c r="C252" s="15" t="s">
        <v>72</v>
      </c>
      <c r="D252" s="16"/>
      <c r="E252" s="2">
        <v>865196.41</v>
      </c>
      <c r="F252" s="23">
        <v>1.8566108012399173E-2</v>
      </c>
      <c r="G252" s="26">
        <v>16063.33</v>
      </c>
      <c r="H252" t="s">
        <v>1806</v>
      </c>
      <c r="I252" t="s">
        <v>1809</v>
      </c>
      <c r="J252" t="s">
        <v>1814</v>
      </c>
      <c r="K252">
        <v>95</v>
      </c>
    </row>
    <row r="253" spans="1:11">
      <c r="A253" s="17" t="s">
        <v>1659</v>
      </c>
      <c r="B253" s="21" t="s">
        <v>1660</v>
      </c>
      <c r="C253" s="19" t="s">
        <v>72</v>
      </c>
      <c r="D253" s="20"/>
      <c r="E253" s="3">
        <v>2077739.09</v>
      </c>
      <c r="F253" s="24">
        <v>9.3359195547502535E-2</v>
      </c>
      <c r="G253" s="26">
        <v>193976.05</v>
      </c>
      <c r="H253" t="s">
        <v>1806</v>
      </c>
      <c r="I253" t="s">
        <v>1809</v>
      </c>
      <c r="J253" t="s">
        <v>1814</v>
      </c>
      <c r="K253">
        <v>241</v>
      </c>
    </row>
    <row r="254" spans="1:11">
      <c r="A254" s="13" t="s">
        <v>286</v>
      </c>
      <c r="B254" s="14" t="s">
        <v>287</v>
      </c>
      <c r="C254" s="15" t="s">
        <v>72</v>
      </c>
      <c r="D254" s="16"/>
      <c r="E254" s="2">
        <v>880682.87</v>
      </c>
      <c r="F254" s="23">
        <v>9.9726022830442921E-4</v>
      </c>
      <c r="G254" s="26">
        <v>878.27</v>
      </c>
      <c r="H254" t="s">
        <v>1806</v>
      </c>
      <c r="K254">
        <v>85</v>
      </c>
    </row>
    <row r="255" spans="1:11">
      <c r="A255" s="13" t="s">
        <v>166</v>
      </c>
      <c r="B255" s="14" t="s">
        <v>167</v>
      </c>
      <c r="C255" s="15" t="s">
        <v>72</v>
      </c>
      <c r="D255" s="16"/>
      <c r="E255" s="2">
        <v>1848013</v>
      </c>
      <c r="F255" s="23">
        <v>0</v>
      </c>
      <c r="G255" s="26">
        <v>0</v>
      </c>
      <c r="H255" t="s">
        <v>1806</v>
      </c>
      <c r="K255">
        <v>204</v>
      </c>
    </row>
    <row r="256" spans="1:11">
      <c r="A256" s="17" t="s">
        <v>91</v>
      </c>
      <c r="B256" s="21" t="s">
        <v>92</v>
      </c>
      <c r="C256" s="19" t="s">
        <v>72</v>
      </c>
      <c r="D256" s="20"/>
      <c r="E256" s="3">
        <v>1853701.45</v>
      </c>
      <c r="F256" s="24">
        <v>1.2489389809777621E-3</v>
      </c>
      <c r="G256" s="26">
        <v>2315.16</v>
      </c>
      <c r="H256" t="s">
        <v>1806</v>
      </c>
      <c r="K256">
        <v>190</v>
      </c>
    </row>
    <row r="257" spans="1:11">
      <c r="A257" s="27" t="s">
        <v>184</v>
      </c>
      <c r="B257" s="28" t="s">
        <v>185</v>
      </c>
      <c r="C257" s="29" t="s">
        <v>72</v>
      </c>
      <c r="D257" s="30"/>
      <c r="E257" s="31">
        <v>0</v>
      </c>
      <c r="F257" s="32" t="s">
        <v>761</v>
      </c>
      <c r="G257" s="33"/>
      <c r="H257" s="34" t="s">
        <v>1806</v>
      </c>
      <c r="I257" s="34"/>
      <c r="J257" s="34"/>
      <c r="K257" s="34">
        <v>576</v>
      </c>
    </row>
    <row r="258" spans="1:11">
      <c r="A258" s="17" t="s">
        <v>316</v>
      </c>
      <c r="B258" s="21" t="s">
        <v>317</v>
      </c>
      <c r="C258" s="19" t="s">
        <v>72</v>
      </c>
      <c r="D258" s="20"/>
      <c r="E258" s="3">
        <v>955114.24</v>
      </c>
      <c r="F258" s="24">
        <v>0</v>
      </c>
      <c r="G258" s="26">
        <v>0</v>
      </c>
      <c r="H258" t="s">
        <v>1806</v>
      </c>
      <c r="K258">
        <v>240</v>
      </c>
    </row>
    <row r="259" spans="1:11">
      <c r="A259" s="17" t="s">
        <v>1759</v>
      </c>
      <c r="B259" s="21" t="s">
        <v>1922</v>
      </c>
      <c r="C259" s="19" t="s">
        <v>72</v>
      </c>
      <c r="D259" s="20"/>
      <c r="E259" s="3">
        <v>2927835.44</v>
      </c>
      <c r="F259" s="24">
        <v>2.8671218625593249E-2</v>
      </c>
      <c r="G259" s="26">
        <v>83944.61</v>
      </c>
      <c r="H259" t="s">
        <v>1806</v>
      </c>
      <c r="K259">
        <v>337</v>
      </c>
    </row>
    <row r="260" spans="1:11">
      <c r="A260" s="13" t="s">
        <v>1657</v>
      </c>
      <c r="B260" s="14" t="s">
        <v>1658</v>
      </c>
      <c r="C260" s="15" t="s">
        <v>72</v>
      </c>
      <c r="D260" s="16"/>
      <c r="E260" s="2">
        <v>674599.83</v>
      </c>
      <c r="F260" s="23">
        <v>0</v>
      </c>
      <c r="G260" s="26">
        <v>0</v>
      </c>
      <c r="H260" t="s">
        <v>1806</v>
      </c>
      <c r="K260">
        <v>72</v>
      </c>
    </row>
    <row r="261" spans="1:11">
      <c r="A261" s="13" t="s">
        <v>242</v>
      </c>
      <c r="B261" s="14" t="s">
        <v>243</v>
      </c>
      <c r="C261" s="15" t="s">
        <v>72</v>
      </c>
      <c r="D261" s="16"/>
      <c r="E261" s="2">
        <v>2755979.36</v>
      </c>
      <c r="F261" s="23">
        <v>1.816062221888338E-3</v>
      </c>
      <c r="G261" s="26">
        <v>5005.03</v>
      </c>
      <c r="H261" t="s">
        <v>1806</v>
      </c>
      <c r="K261">
        <v>268</v>
      </c>
    </row>
  </sheetData>
  <sheetCalcPr fullCalcOnLoad="1"/>
  <phoneticPr fontId="3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filterMode="1" enableFormatConditionsCalculation="0"/>
  <dimension ref="A1:X2931"/>
  <sheetViews>
    <sheetView zoomScale="170" zoomScaleNormal="170" zoomScalePageLayoutView="170" workbookViewId="0">
      <pane ySplit="3" topLeftCell="A121" activePane="bottomLeft" state="frozen"/>
      <selection pane="bottomLeft" sqref="A1:IV65536"/>
    </sheetView>
  </sheetViews>
  <sheetFormatPr baseColWidth="10" defaultColWidth="8.83203125" defaultRowHeight="12"/>
  <cols>
    <col min="1" max="1" width="9.1640625" customWidth="1"/>
    <col min="2" max="2" width="19.6640625" customWidth="1"/>
    <col min="3" max="4" width="9.1640625" customWidth="1"/>
    <col min="5" max="5" width="11.5" customWidth="1"/>
    <col min="6" max="6" width="9.1640625" customWidth="1"/>
    <col min="7" max="7" width="16" customWidth="1"/>
    <col min="8" max="11" width="9.1640625" customWidth="1"/>
  </cols>
  <sheetData>
    <row r="1" spans="1:24">
      <c r="A1" s="4"/>
      <c r="B1" s="5"/>
      <c r="C1" s="4"/>
      <c r="D1" s="6" t="s">
        <v>65</v>
      </c>
      <c r="E1" s="25"/>
      <c r="F1" s="25"/>
      <c r="H1" t="s">
        <v>1805</v>
      </c>
      <c r="K1" t="s">
        <v>1808</v>
      </c>
      <c r="L1" t="s">
        <v>1807</v>
      </c>
      <c r="M1" t="s">
        <v>1813</v>
      </c>
    </row>
    <row r="2" spans="1:24">
      <c r="A2" s="7"/>
      <c r="B2" s="8"/>
      <c r="C2" s="7"/>
      <c r="D2" s="9" t="s">
        <v>66</v>
      </c>
      <c r="E2" s="10" t="s">
        <v>67</v>
      </c>
      <c r="F2" s="10" t="s">
        <v>64</v>
      </c>
      <c r="G2" t="s">
        <v>1804</v>
      </c>
      <c r="H2" t="s">
        <v>1805</v>
      </c>
      <c r="I2" t="s">
        <v>1817</v>
      </c>
      <c r="J2" t="s">
        <v>1818</v>
      </c>
      <c r="K2" t="s">
        <v>1808</v>
      </c>
      <c r="L2" t="s">
        <v>1807</v>
      </c>
    </row>
    <row r="3" spans="1:24" hidden="1">
      <c r="A3" s="11" t="s">
        <v>68</v>
      </c>
      <c r="B3" s="12"/>
      <c r="C3" s="11" t="s">
        <v>69</v>
      </c>
      <c r="D3" s="1"/>
      <c r="E3" s="10"/>
      <c r="F3" s="10"/>
      <c r="G3" s="39" t="s">
        <v>1882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24">
      <c r="A4" s="13" t="s">
        <v>70</v>
      </c>
      <c r="B4" s="14" t="s">
        <v>71</v>
      </c>
      <c r="C4" s="15" t="s">
        <v>72</v>
      </c>
      <c r="D4" s="16"/>
      <c r="E4" s="2">
        <v>1252639.19</v>
      </c>
      <c r="F4" s="23">
        <v>1.9529358649556544E-2</v>
      </c>
      <c r="G4" s="26">
        <f>F4*E4</f>
        <v>24463.24</v>
      </c>
      <c r="H4" t="s">
        <v>1806</v>
      </c>
      <c r="M4">
        <v>131</v>
      </c>
    </row>
    <row r="5" spans="1:24">
      <c r="A5" s="17" t="s">
        <v>70</v>
      </c>
      <c r="B5" s="18" t="s">
        <v>71</v>
      </c>
      <c r="C5" s="19" t="s">
        <v>73</v>
      </c>
      <c r="D5" s="20"/>
      <c r="E5" s="3">
        <v>1252639.19</v>
      </c>
      <c r="F5" s="24">
        <v>0.76300447697153728</v>
      </c>
      <c r="G5" s="26">
        <f t="shared" ref="G5:G68" si="0">F5*E5</f>
        <v>955769.31</v>
      </c>
      <c r="H5" t="s">
        <v>1806</v>
      </c>
    </row>
    <row r="6" spans="1:24">
      <c r="A6" s="15" t="s">
        <v>70</v>
      </c>
      <c r="B6" s="16" t="s">
        <v>71</v>
      </c>
      <c r="C6" s="15" t="s">
        <v>74</v>
      </c>
      <c r="D6" s="16"/>
      <c r="E6" s="2">
        <v>1252639.19</v>
      </c>
      <c r="F6" s="23">
        <v>0.21746616437890628</v>
      </c>
      <c r="G6" s="26">
        <f t="shared" si="0"/>
        <v>272406.64</v>
      </c>
      <c r="H6" t="s">
        <v>1806</v>
      </c>
    </row>
    <row r="7" spans="1:24">
      <c r="A7" s="17" t="s">
        <v>75</v>
      </c>
      <c r="B7" s="21" t="s">
        <v>76</v>
      </c>
      <c r="C7" s="19" t="s">
        <v>72</v>
      </c>
      <c r="D7" s="20"/>
      <c r="E7" s="3">
        <v>7379049.2599999998</v>
      </c>
      <c r="F7" s="24">
        <v>0.21479738434487697</v>
      </c>
      <c r="G7" s="26">
        <f t="shared" si="0"/>
        <v>1585000.48</v>
      </c>
      <c r="H7" t="s">
        <v>1806</v>
      </c>
      <c r="M7">
        <v>708</v>
      </c>
    </row>
    <row r="8" spans="1:24">
      <c r="A8" s="13" t="s">
        <v>75</v>
      </c>
      <c r="B8" s="22" t="s">
        <v>76</v>
      </c>
      <c r="C8" s="15" t="s">
        <v>73</v>
      </c>
      <c r="D8" s="16"/>
      <c r="E8" s="2">
        <v>7379049.2599999998</v>
      </c>
      <c r="F8" s="23">
        <v>0.77968002886052012</v>
      </c>
      <c r="G8" s="26">
        <f t="shared" si="0"/>
        <v>5753297.3399999999</v>
      </c>
      <c r="H8" t="s">
        <v>1806</v>
      </c>
    </row>
    <row r="9" spans="1:24">
      <c r="A9" s="19" t="s">
        <v>75</v>
      </c>
      <c r="B9" s="20" t="s">
        <v>76</v>
      </c>
      <c r="C9" s="19" t="s">
        <v>74</v>
      </c>
      <c r="D9" s="20"/>
      <c r="E9" s="3">
        <v>7379049.2599999998</v>
      </c>
      <c r="F9" s="24">
        <v>5.5225867946028595E-3</v>
      </c>
      <c r="G9" s="26">
        <f t="shared" si="0"/>
        <v>40751.440000000002</v>
      </c>
      <c r="H9" t="s">
        <v>1806</v>
      </c>
    </row>
    <row r="10" spans="1:24">
      <c r="A10" s="13" t="s">
        <v>77</v>
      </c>
      <c r="B10" s="14" t="s">
        <v>78</v>
      </c>
      <c r="C10" s="15" t="s">
        <v>72</v>
      </c>
      <c r="D10" s="16"/>
      <c r="E10" s="2">
        <v>1296747.57</v>
      </c>
      <c r="F10" s="23">
        <v>8.7188241270427055E-2</v>
      </c>
      <c r="G10" s="26">
        <f t="shared" si="0"/>
        <v>113061.14</v>
      </c>
      <c r="H10" t="s">
        <v>1806</v>
      </c>
      <c r="M10">
        <v>180</v>
      </c>
    </row>
    <row r="11" spans="1:24">
      <c r="A11" s="17" t="s">
        <v>77</v>
      </c>
      <c r="B11" s="18" t="s">
        <v>78</v>
      </c>
      <c r="C11" s="19" t="s">
        <v>73</v>
      </c>
      <c r="D11" s="20"/>
      <c r="E11" s="3">
        <v>1296747.57</v>
      </c>
      <c r="F11" s="24">
        <v>0.91281175872957288</v>
      </c>
      <c r="G11" s="26">
        <f t="shared" si="0"/>
        <v>1183686.43</v>
      </c>
      <c r="H11" t="s">
        <v>1806</v>
      </c>
    </row>
    <row r="12" spans="1:24">
      <c r="A12" s="15" t="s">
        <v>77</v>
      </c>
      <c r="B12" s="16" t="s">
        <v>78</v>
      </c>
      <c r="C12" s="15" t="s">
        <v>74</v>
      </c>
      <c r="D12" s="16"/>
      <c r="E12" s="2">
        <v>1296747.57</v>
      </c>
      <c r="F12" s="23">
        <v>0</v>
      </c>
      <c r="G12" s="26">
        <f t="shared" si="0"/>
        <v>0</v>
      </c>
      <c r="H12" t="s">
        <v>1806</v>
      </c>
    </row>
    <row r="13" spans="1:24">
      <c r="A13" s="27" t="s">
        <v>79</v>
      </c>
      <c r="B13" s="28" t="s">
        <v>80</v>
      </c>
      <c r="C13" s="29" t="s">
        <v>72</v>
      </c>
      <c r="D13" s="30"/>
      <c r="E13" s="31">
        <v>0</v>
      </c>
      <c r="F13" s="32" t="s">
        <v>761</v>
      </c>
      <c r="G13" s="38"/>
      <c r="H13" s="34" t="s">
        <v>1806</v>
      </c>
      <c r="I13" s="34"/>
      <c r="J13" s="34"/>
      <c r="K13" s="34" t="s">
        <v>1810</v>
      </c>
      <c r="L13" s="34" t="s">
        <v>1812</v>
      </c>
      <c r="M13" s="34">
        <v>679</v>
      </c>
    </row>
    <row r="14" spans="1:24">
      <c r="A14" s="27" t="s">
        <v>79</v>
      </c>
      <c r="B14" s="35" t="s">
        <v>80</v>
      </c>
      <c r="C14" s="29" t="s">
        <v>73</v>
      </c>
      <c r="D14" s="30"/>
      <c r="E14" s="31">
        <v>4188670.25</v>
      </c>
      <c r="F14" s="32" t="s">
        <v>761</v>
      </c>
      <c r="G14" s="31">
        <v>4188670.25</v>
      </c>
      <c r="H14" s="34" t="s">
        <v>1806</v>
      </c>
      <c r="I14" s="34"/>
      <c r="J14" s="34"/>
      <c r="K14" s="34" t="s">
        <v>1810</v>
      </c>
      <c r="L14" s="34" t="s">
        <v>1812</v>
      </c>
      <c r="M14" s="34"/>
    </row>
    <row r="15" spans="1:24">
      <c r="A15" s="29" t="s">
        <v>79</v>
      </c>
      <c r="B15" s="30" t="s">
        <v>80</v>
      </c>
      <c r="C15" s="29" t="s">
        <v>74</v>
      </c>
      <c r="D15" s="30"/>
      <c r="E15" s="42">
        <v>0</v>
      </c>
      <c r="F15" s="32" t="s">
        <v>761</v>
      </c>
      <c r="G15" s="38"/>
      <c r="H15" s="34" t="s">
        <v>1806</v>
      </c>
      <c r="I15" s="34"/>
      <c r="J15" s="34"/>
      <c r="K15" s="34" t="s">
        <v>1810</v>
      </c>
      <c r="L15" s="34" t="s">
        <v>1812</v>
      </c>
      <c r="M15" s="34"/>
    </row>
    <row r="16" spans="1:24">
      <c r="A16" s="27" t="s">
        <v>81</v>
      </c>
      <c r="B16" s="28" t="s">
        <v>82</v>
      </c>
      <c r="C16" s="29" t="s">
        <v>72</v>
      </c>
      <c r="D16" s="30"/>
      <c r="E16" s="31">
        <v>0</v>
      </c>
      <c r="F16" s="32" t="s">
        <v>761</v>
      </c>
      <c r="G16" s="38"/>
      <c r="H16" s="34" t="s">
        <v>1806</v>
      </c>
      <c r="I16" s="34"/>
      <c r="J16" s="34"/>
      <c r="K16" s="34"/>
      <c r="L16" s="34"/>
      <c r="M16" s="34">
        <v>505</v>
      </c>
    </row>
    <row r="17" spans="1:13">
      <c r="A17" s="27" t="s">
        <v>81</v>
      </c>
      <c r="B17" s="35" t="s">
        <v>82</v>
      </c>
      <c r="C17" s="29" t="s">
        <v>73</v>
      </c>
      <c r="D17" s="30"/>
      <c r="E17" s="40">
        <v>3161899.64</v>
      </c>
      <c r="F17" s="32" t="s">
        <v>761</v>
      </c>
      <c r="G17" s="40">
        <v>3161899.64</v>
      </c>
      <c r="H17" s="34" t="s">
        <v>1806</v>
      </c>
      <c r="I17" s="34"/>
      <c r="J17" s="34"/>
      <c r="K17" s="34"/>
      <c r="L17" s="34"/>
      <c r="M17" s="34"/>
    </row>
    <row r="18" spans="1:13">
      <c r="A18" s="29" t="s">
        <v>81</v>
      </c>
      <c r="B18" s="30" t="s">
        <v>82</v>
      </c>
      <c r="C18" s="29" t="s">
        <v>74</v>
      </c>
      <c r="D18" s="30"/>
      <c r="E18" s="42">
        <v>0</v>
      </c>
      <c r="F18" s="32" t="s">
        <v>761</v>
      </c>
      <c r="G18" s="38"/>
      <c r="H18" s="34" t="s">
        <v>1806</v>
      </c>
      <c r="I18" s="34"/>
      <c r="J18" s="34"/>
      <c r="K18" s="34"/>
      <c r="L18" s="34"/>
      <c r="M18" s="34"/>
    </row>
    <row r="19" spans="1:13">
      <c r="A19" s="17" t="s">
        <v>83</v>
      </c>
      <c r="B19" s="21" t="s">
        <v>84</v>
      </c>
      <c r="C19" s="19" t="s">
        <v>72</v>
      </c>
      <c r="D19" s="20"/>
      <c r="E19" s="3">
        <v>1136684.03</v>
      </c>
      <c r="F19" s="24">
        <v>5.0960511867136906E-4</v>
      </c>
      <c r="G19" s="26">
        <f t="shared" si="0"/>
        <v>579.26</v>
      </c>
      <c r="H19" t="s">
        <v>1806</v>
      </c>
      <c r="M19">
        <v>112</v>
      </c>
    </row>
    <row r="20" spans="1:13">
      <c r="A20" s="13" t="s">
        <v>83</v>
      </c>
      <c r="B20" s="22" t="s">
        <v>84</v>
      </c>
      <c r="C20" s="15" t="s">
        <v>73</v>
      </c>
      <c r="D20" s="16"/>
      <c r="E20" s="2">
        <v>1136684.03</v>
      </c>
      <c r="F20" s="23">
        <v>0.69867386981763091</v>
      </c>
      <c r="G20" s="26">
        <f t="shared" si="0"/>
        <v>794171.43</v>
      </c>
      <c r="H20" t="s">
        <v>1806</v>
      </c>
    </row>
    <row r="21" spans="1:13">
      <c r="A21" s="19" t="s">
        <v>83</v>
      </c>
      <c r="B21" s="20" t="s">
        <v>84</v>
      </c>
      <c r="C21" s="19" t="s">
        <v>74</v>
      </c>
      <c r="D21" s="20"/>
      <c r="E21" s="3">
        <v>1136684.03</v>
      </c>
      <c r="F21" s="24">
        <v>0.30081652506369777</v>
      </c>
      <c r="G21" s="26">
        <f t="shared" si="0"/>
        <v>341933.34</v>
      </c>
      <c r="H21" t="s">
        <v>1806</v>
      </c>
    </row>
    <row r="22" spans="1:13">
      <c r="A22" s="13" t="s">
        <v>85</v>
      </c>
      <c r="B22" s="14" t="s">
        <v>86</v>
      </c>
      <c r="C22" s="15" t="s">
        <v>72</v>
      </c>
      <c r="D22" s="16"/>
      <c r="E22" s="2">
        <v>1674388.45</v>
      </c>
      <c r="F22" s="23">
        <v>2.0729777489805305E-3</v>
      </c>
      <c r="G22" s="26">
        <f t="shared" si="0"/>
        <v>3470.9699999999993</v>
      </c>
      <c r="H22" t="s">
        <v>1806</v>
      </c>
      <c r="M22">
        <v>216</v>
      </c>
    </row>
    <row r="23" spans="1:13">
      <c r="A23" s="17" t="s">
        <v>85</v>
      </c>
      <c r="B23" s="18" t="s">
        <v>86</v>
      </c>
      <c r="C23" s="19" t="s">
        <v>73</v>
      </c>
      <c r="D23" s="20"/>
      <c r="E23" s="3">
        <v>1674388.45</v>
      </c>
      <c r="F23" s="24">
        <v>0.83561365345060767</v>
      </c>
      <c r="G23" s="26">
        <f t="shared" si="0"/>
        <v>1399141.85</v>
      </c>
      <c r="H23" t="s">
        <v>1806</v>
      </c>
    </row>
    <row r="24" spans="1:13">
      <c r="A24" s="15" t="s">
        <v>85</v>
      </c>
      <c r="B24" s="16" t="s">
        <v>86</v>
      </c>
      <c r="C24" s="15" t="s">
        <v>74</v>
      </c>
      <c r="D24" s="16"/>
      <c r="E24" s="2">
        <v>1674388.45</v>
      </c>
      <c r="F24" s="23">
        <v>0.16231336880041189</v>
      </c>
      <c r="G24" s="26">
        <f t="shared" si="0"/>
        <v>271775.63</v>
      </c>
      <c r="H24" t="s">
        <v>1806</v>
      </c>
    </row>
    <row r="25" spans="1:13">
      <c r="A25" s="17" t="s">
        <v>87</v>
      </c>
      <c r="B25" s="21" t="s">
        <v>88</v>
      </c>
      <c r="C25" s="19" t="s">
        <v>72</v>
      </c>
      <c r="D25" s="20"/>
      <c r="E25" s="3">
        <v>3429982.11</v>
      </c>
      <c r="F25" s="24">
        <v>3.4535981880092085E-3</v>
      </c>
      <c r="G25" s="26">
        <f t="shared" si="0"/>
        <v>11845.78</v>
      </c>
      <c r="H25" t="s">
        <v>1806</v>
      </c>
      <c r="K25" t="s">
        <v>1809</v>
      </c>
      <c r="L25" t="s">
        <v>1814</v>
      </c>
      <c r="M25">
        <v>440</v>
      </c>
    </row>
    <row r="26" spans="1:13">
      <c r="A26" s="13" t="s">
        <v>87</v>
      </c>
      <c r="B26" s="22" t="s">
        <v>88</v>
      </c>
      <c r="C26" s="15" t="s">
        <v>73</v>
      </c>
      <c r="D26" s="16"/>
      <c r="E26" s="2">
        <v>3429982.11</v>
      </c>
      <c r="F26" s="23">
        <v>0.86731575693262142</v>
      </c>
      <c r="G26" s="26">
        <f t="shared" si="0"/>
        <v>2974877.53</v>
      </c>
      <c r="H26" t="s">
        <v>1806</v>
      </c>
      <c r="K26" t="s">
        <v>1809</v>
      </c>
      <c r="L26" t="s">
        <v>1814</v>
      </c>
    </row>
    <row r="27" spans="1:13">
      <c r="A27" s="19" t="s">
        <v>87</v>
      </c>
      <c r="B27" s="20" t="s">
        <v>88</v>
      </c>
      <c r="C27" s="19" t="s">
        <v>74</v>
      </c>
      <c r="D27" s="20"/>
      <c r="E27" s="3">
        <v>3429982.11</v>
      </c>
      <c r="F27" s="24">
        <v>0.12923064487936936</v>
      </c>
      <c r="G27" s="26">
        <f t="shared" si="0"/>
        <v>443258.8</v>
      </c>
      <c r="H27" t="s">
        <v>1806</v>
      </c>
      <c r="K27" t="s">
        <v>1809</v>
      </c>
      <c r="L27" t="s">
        <v>1814</v>
      </c>
    </row>
    <row r="28" spans="1:13">
      <c r="A28" s="13" t="s">
        <v>89</v>
      </c>
      <c r="B28" s="14" t="s">
        <v>90</v>
      </c>
      <c r="C28" s="15" t="s">
        <v>72</v>
      </c>
      <c r="D28" s="16"/>
      <c r="E28" s="2">
        <v>603347.98</v>
      </c>
      <c r="F28" s="23">
        <v>0.82928566363974576</v>
      </c>
      <c r="G28" s="26">
        <f t="shared" si="0"/>
        <v>500347.83</v>
      </c>
      <c r="H28" t="s">
        <v>1811</v>
      </c>
      <c r="M28">
        <v>65</v>
      </c>
    </row>
    <row r="29" spans="1:13">
      <c r="A29" s="17" t="s">
        <v>89</v>
      </c>
      <c r="B29" s="18" t="s">
        <v>90</v>
      </c>
      <c r="C29" s="19" t="s">
        <v>73</v>
      </c>
      <c r="D29" s="20"/>
      <c r="E29" s="3">
        <v>603347.98</v>
      </c>
      <c r="F29" s="24">
        <v>4.972254982937044E-3</v>
      </c>
      <c r="G29" s="26">
        <f t="shared" si="0"/>
        <v>3000</v>
      </c>
      <c r="H29" t="s">
        <v>1811</v>
      </c>
    </row>
    <row r="30" spans="1:13">
      <c r="A30" s="15" t="s">
        <v>89</v>
      </c>
      <c r="B30" s="16" t="s">
        <v>90</v>
      </c>
      <c r="C30" s="15" t="s">
        <v>74</v>
      </c>
      <c r="D30" s="16"/>
      <c r="E30" s="2">
        <v>603347.98</v>
      </c>
      <c r="F30" s="23">
        <v>0.16574208137731727</v>
      </c>
      <c r="G30" s="26">
        <f t="shared" si="0"/>
        <v>100000.15</v>
      </c>
      <c r="H30" t="s">
        <v>1811</v>
      </c>
    </row>
    <row r="31" spans="1:13">
      <c r="A31" s="17" t="s">
        <v>91</v>
      </c>
      <c r="B31" s="21" t="s">
        <v>92</v>
      </c>
      <c r="C31" s="19" t="s">
        <v>72</v>
      </c>
      <c r="D31" s="20"/>
      <c r="E31" s="3">
        <v>1853701.45</v>
      </c>
      <c r="F31" s="24">
        <v>1.2489389809777621E-3</v>
      </c>
      <c r="G31" s="26">
        <f t="shared" si="0"/>
        <v>2315.16</v>
      </c>
      <c r="H31" t="s">
        <v>1806</v>
      </c>
      <c r="M31">
        <v>190</v>
      </c>
    </row>
    <row r="32" spans="1:13">
      <c r="A32" s="13" t="s">
        <v>91</v>
      </c>
      <c r="B32" s="22" t="s">
        <v>92</v>
      </c>
      <c r="C32" s="15" t="s">
        <v>73</v>
      </c>
      <c r="D32" s="16"/>
      <c r="E32" s="2">
        <v>1853701.45</v>
      </c>
      <c r="F32" s="23">
        <v>0.82349873546249863</v>
      </c>
      <c r="G32" s="26">
        <f t="shared" si="0"/>
        <v>1526520.8</v>
      </c>
      <c r="H32" t="s">
        <v>1806</v>
      </c>
    </row>
    <row r="33" spans="1:13">
      <c r="A33" s="19" t="s">
        <v>91</v>
      </c>
      <c r="B33" s="20" t="s">
        <v>92</v>
      </c>
      <c r="C33" s="19" t="s">
        <v>74</v>
      </c>
      <c r="D33" s="20"/>
      <c r="E33" s="3">
        <v>1853701.45</v>
      </c>
      <c r="F33" s="24">
        <v>0.17525232555652367</v>
      </c>
      <c r="G33" s="26">
        <f t="shared" si="0"/>
        <v>324865.49</v>
      </c>
      <c r="H33" t="s">
        <v>1806</v>
      </c>
    </row>
    <row r="34" spans="1:13">
      <c r="A34" s="13" t="s">
        <v>93</v>
      </c>
      <c r="B34" s="14" t="s">
        <v>94</v>
      </c>
      <c r="C34" s="15" t="s">
        <v>72</v>
      </c>
      <c r="D34" s="16"/>
      <c r="E34" s="2">
        <v>4926715.57</v>
      </c>
      <c r="F34" s="23">
        <v>1.3378422006204833E-2</v>
      </c>
      <c r="G34" s="26">
        <f t="shared" si="0"/>
        <v>65911.679999999993</v>
      </c>
      <c r="H34" t="s">
        <v>1806</v>
      </c>
      <c r="M34">
        <v>639</v>
      </c>
    </row>
    <row r="35" spans="1:13">
      <c r="A35" s="17" t="s">
        <v>93</v>
      </c>
      <c r="B35" s="18" t="s">
        <v>94</v>
      </c>
      <c r="C35" s="19" t="s">
        <v>73</v>
      </c>
      <c r="D35" s="20"/>
      <c r="E35" s="3">
        <v>4926715.57</v>
      </c>
      <c r="F35" s="24">
        <v>0.82697826820150688</v>
      </c>
      <c r="G35" s="26">
        <f t="shared" si="0"/>
        <v>4074286.71</v>
      </c>
      <c r="H35" t="s">
        <v>1806</v>
      </c>
    </row>
    <row r="36" spans="1:13">
      <c r="A36" s="15" t="s">
        <v>93</v>
      </c>
      <c r="B36" s="16" t="s">
        <v>94</v>
      </c>
      <c r="C36" s="15" t="s">
        <v>74</v>
      </c>
      <c r="D36" s="16"/>
      <c r="E36" s="2">
        <v>4926715.57</v>
      </c>
      <c r="F36" s="23">
        <v>0.15964330979228825</v>
      </c>
      <c r="G36" s="26">
        <f t="shared" si="0"/>
        <v>786517.18</v>
      </c>
      <c r="H36" t="s">
        <v>1806</v>
      </c>
    </row>
    <row r="37" spans="1:13">
      <c r="A37" s="17" t="s">
        <v>95</v>
      </c>
      <c r="B37" s="21" t="s">
        <v>96</v>
      </c>
      <c r="C37" s="19" t="s">
        <v>72</v>
      </c>
      <c r="D37" s="20"/>
      <c r="E37" s="3">
        <v>7076666.7199999997</v>
      </c>
      <c r="F37" s="24">
        <v>5.1544224764621949E-3</v>
      </c>
      <c r="G37" s="26">
        <f t="shared" si="0"/>
        <v>36476.129999999997</v>
      </c>
      <c r="H37" t="s">
        <v>1806</v>
      </c>
      <c r="M37">
        <v>912</v>
      </c>
    </row>
    <row r="38" spans="1:13">
      <c r="A38" s="13" t="s">
        <v>95</v>
      </c>
      <c r="B38" s="22" t="s">
        <v>96</v>
      </c>
      <c r="C38" s="15" t="s">
        <v>73</v>
      </c>
      <c r="D38" s="16"/>
      <c r="E38" s="2">
        <v>7076666.7199999997</v>
      </c>
      <c r="F38" s="23">
        <v>0.89244895088121379</v>
      </c>
      <c r="G38" s="26">
        <f t="shared" si="0"/>
        <v>6315563.79</v>
      </c>
      <c r="H38" t="s">
        <v>1806</v>
      </c>
    </row>
    <row r="39" spans="1:13">
      <c r="A39" s="19" t="s">
        <v>95</v>
      </c>
      <c r="B39" s="20" t="s">
        <v>96</v>
      </c>
      <c r="C39" s="19" t="s">
        <v>74</v>
      </c>
      <c r="D39" s="20"/>
      <c r="E39" s="3">
        <v>7076666.7199999997</v>
      </c>
      <c r="F39" s="24">
        <v>0.10239662664232407</v>
      </c>
      <c r="G39" s="26">
        <f t="shared" si="0"/>
        <v>724626.8</v>
      </c>
      <c r="H39" t="s">
        <v>1806</v>
      </c>
    </row>
    <row r="40" spans="1:13">
      <c r="A40" s="13" t="s">
        <v>97</v>
      </c>
      <c r="B40" s="14" t="s">
        <v>98</v>
      </c>
      <c r="C40" s="15" t="s">
        <v>72</v>
      </c>
      <c r="D40" s="16"/>
      <c r="E40" s="2">
        <v>842358.61</v>
      </c>
      <c r="F40" s="23">
        <v>1.1871428488158981E-4</v>
      </c>
      <c r="G40" s="26">
        <f t="shared" si="0"/>
        <v>100</v>
      </c>
      <c r="H40" t="s">
        <v>1806</v>
      </c>
      <c r="M40">
        <v>96</v>
      </c>
    </row>
    <row r="41" spans="1:13">
      <c r="A41" s="17" t="s">
        <v>97</v>
      </c>
      <c r="B41" s="18" t="s">
        <v>98</v>
      </c>
      <c r="C41" s="19" t="s">
        <v>73</v>
      </c>
      <c r="D41" s="20"/>
      <c r="E41" s="3">
        <v>842358.61</v>
      </c>
      <c r="F41" s="24">
        <v>0.71872420227294886</v>
      </c>
      <c r="G41" s="26">
        <f t="shared" si="0"/>
        <v>605423.52</v>
      </c>
      <c r="H41" t="s">
        <v>1806</v>
      </c>
    </row>
    <row r="42" spans="1:13">
      <c r="A42" s="15" t="s">
        <v>97</v>
      </c>
      <c r="B42" s="16" t="s">
        <v>98</v>
      </c>
      <c r="C42" s="15" t="s">
        <v>74</v>
      </c>
      <c r="D42" s="16"/>
      <c r="E42" s="2">
        <v>842358.61</v>
      </c>
      <c r="F42" s="23">
        <v>0.28115708344216961</v>
      </c>
      <c r="G42" s="26">
        <f t="shared" si="0"/>
        <v>236835.09</v>
      </c>
      <c r="H42" t="s">
        <v>1806</v>
      </c>
    </row>
    <row r="43" spans="1:13">
      <c r="A43" s="17" t="s">
        <v>99</v>
      </c>
      <c r="B43" s="21" t="s">
        <v>100</v>
      </c>
      <c r="C43" s="19" t="s">
        <v>72</v>
      </c>
      <c r="D43" s="20"/>
      <c r="E43" s="3">
        <v>867720.61</v>
      </c>
      <c r="F43" s="24">
        <v>1.6607188804700627E-2</v>
      </c>
      <c r="G43" s="26">
        <f t="shared" si="0"/>
        <v>14410.4</v>
      </c>
      <c r="H43" t="s">
        <v>1806</v>
      </c>
      <c r="I43" t="s">
        <v>1820</v>
      </c>
      <c r="J43" t="s">
        <v>1760</v>
      </c>
      <c r="M43">
        <v>90</v>
      </c>
    </row>
    <row r="44" spans="1:13">
      <c r="A44" s="13" t="s">
        <v>99</v>
      </c>
      <c r="B44" s="22" t="s">
        <v>100</v>
      </c>
      <c r="C44" s="15" t="s">
        <v>73</v>
      </c>
      <c r="D44" s="16"/>
      <c r="E44" s="2">
        <v>867720.61</v>
      </c>
      <c r="F44" s="23">
        <v>0.81976522373947081</v>
      </c>
      <c r="G44" s="26">
        <f t="shared" si="0"/>
        <v>711327.18</v>
      </c>
      <c r="H44" t="s">
        <v>1806</v>
      </c>
      <c r="I44" t="s">
        <v>1820</v>
      </c>
      <c r="J44" t="s">
        <v>1760</v>
      </c>
    </row>
    <row r="45" spans="1:13">
      <c r="A45" s="19" t="s">
        <v>99</v>
      </c>
      <c r="B45" s="20" t="s">
        <v>100</v>
      </c>
      <c r="C45" s="19" t="s">
        <v>74</v>
      </c>
      <c r="D45" s="20"/>
      <c r="E45" s="3">
        <v>867720.61</v>
      </c>
      <c r="F45" s="24">
        <v>0.16362758745582867</v>
      </c>
      <c r="G45" s="26">
        <f t="shared" si="0"/>
        <v>141983.03</v>
      </c>
      <c r="H45" t="s">
        <v>1806</v>
      </c>
      <c r="I45" t="s">
        <v>1820</v>
      </c>
      <c r="J45" t="s">
        <v>1760</v>
      </c>
    </row>
    <row r="46" spans="1:13">
      <c r="A46" s="13" t="s">
        <v>101</v>
      </c>
      <c r="B46" s="14" t="s">
        <v>102</v>
      </c>
      <c r="C46" s="15" t="s">
        <v>72</v>
      </c>
      <c r="D46" s="16"/>
      <c r="E46" s="2">
        <v>1082082.76</v>
      </c>
      <c r="F46" s="23">
        <v>9.8995200699805996E-3</v>
      </c>
      <c r="G46" s="26">
        <f t="shared" si="0"/>
        <v>10712.1</v>
      </c>
      <c r="H46" t="s">
        <v>1806</v>
      </c>
      <c r="M46">
        <v>35</v>
      </c>
    </row>
    <row r="47" spans="1:13">
      <c r="A47" s="17" t="s">
        <v>101</v>
      </c>
      <c r="B47" s="18" t="s">
        <v>102</v>
      </c>
      <c r="C47" s="19" t="s">
        <v>73</v>
      </c>
      <c r="D47" s="20"/>
      <c r="E47" s="3">
        <v>1082082.76</v>
      </c>
      <c r="F47" s="24">
        <v>0.72734357213121104</v>
      </c>
      <c r="G47" s="26">
        <f t="shared" si="0"/>
        <v>787045.94</v>
      </c>
      <c r="H47" t="s">
        <v>1806</v>
      </c>
    </row>
    <row r="48" spans="1:13">
      <c r="A48" s="15" t="s">
        <v>101</v>
      </c>
      <c r="B48" s="16" t="s">
        <v>102</v>
      </c>
      <c r="C48" s="15" t="s">
        <v>74</v>
      </c>
      <c r="D48" s="16"/>
      <c r="E48" s="2">
        <v>1082082.76</v>
      </c>
      <c r="F48" s="23">
        <v>0.26275690779880828</v>
      </c>
      <c r="G48" s="26">
        <f t="shared" si="0"/>
        <v>284324.71999999997</v>
      </c>
      <c r="H48" t="s">
        <v>1806</v>
      </c>
    </row>
    <row r="49" spans="1:13">
      <c r="A49" s="17" t="s">
        <v>103</v>
      </c>
      <c r="B49" s="21" t="s">
        <v>104</v>
      </c>
      <c r="C49" s="19" t="s">
        <v>72</v>
      </c>
      <c r="D49" s="20"/>
      <c r="E49" s="3">
        <v>705727.13</v>
      </c>
      <c r="F49" s="24">
        <v>1.6722468923647586E-2</v>
      </c>
      <c r="G49" s="26">
        <f t="shared" si="0"/>
        <v>11801.5</v>
      </c>
      <c r="H49" t="s">
        <v>1806</v>
      </c>
      <c r="M49">
        <v>56</v>
      </c>
    </row>
    <row r="50" spans="1:13">
      <c r="A50" s="13" t="s">
        <v>103</v>
      </c>
      <c r="B50" s="22" t="s">
        <v>104</v>
      </c>
      <c r="C50" s="15" t="s">
        <v>73</v>
      </c>
      <c r="D50" s="16"/>
      <c r="E50" s="2">
        <v>705727.13</v>
      </c>
      <c r="F50" s="23">
        <v>0.58630825202936443</v>
      </c>
      <c r="G50" s="26">
        <f t="shared" si="0"/>
        <v>413773.64</v>
      </c>
      <c r="H50" t="s">
        <v>1806</v>
      </c>
    </row>
    <row r="51" spans="1:13">
      <c r="A51" s="19" t="s">
        <v>103</v>
      </c>
      <c r="B51" s="20" t="s">
        <v>104</v>
      </c>
      <c r="C51" s="19" t="s">
        <v>74</v>
      </c>
      <c r="D51" s="20"/>
      <c r="E51" s="3">
        <v>705727.13</v>
      </c>
      <c r="F51" s="24">
        <v>0.39696927904698803</v>
      </c>
      <c r="G51" s="26">
        <f t="shared" si="0"/>
        <v>280151.99</v>
      </c>
      <c r="H51" t="s">
        <v>1806</v>
      </c>
    </row>
    <row r="52" spans="1:13">
      <c r="A52" s="13" t="s">
        <v>105</v>
      </c>
      <c r="B52" s="14" t="s">
        <v>106</v>
      </c>
      <c r="C52" s="15" t="s">
        <v>72</v>
      </c>
      <c r="D52" s="16"/>
      <c r="E52" s="2">
        <v>968241.67</v>
      </c>
      <c r="F52" s="23">
        <v>4.5172709825636818E-3</v>
      </c>
      <c r="G52" s="26">
        <f t="shared" si="0"/>
        <v>4373.8100000000004</v>
      </c>
      <c r="H52" t="s">
        <v>1806</v>
      </c>
      <c r="M52">
        <v>66</v>
      </c>
    </row>
    <row r="53" spans="1:13">
      <c r="A53" s="17" t="s">
        <v>105</v>
      </c>
      <c r="B53" s="18" t="s">
        <v>106</v>
      </c>
      <c r="C53" s="19" t="s">
        <v>73</v>
      </c>
      <c r="D53" s="20"/>
      <c r="E53" s="3">
        <v>968241.67</v>
      </c>
      <c r="F53" s="24">
        <v>0.91151727646673164</v>
      </c>
      <c r="G53" s="26">
        <f t="shared" si="0"/>
        <v>882569.01</v>
      </c>
      <c r="H53" t="s">
        <v>1806</v>
      </c>
    </row>
    <row r="54" spans="1:13">
      <c r="A54" s="15" t="s">
        <v>105</v>
      </c>
      <c r="B54" s="16" t="s">
        <v>106</v>
      </c>
      <c r="C54" s="15" t="s">
        <v>74</v>
      </c>
      <c r="D54" s="16"/>
      <c r="E54" s="2">
        <v>968241.67</v>
      </c>
      <c r="F54" s="23">
        <v>8.3965452550704617E-2</v>
      </c>
      <c r="G54" s="26">
        <f t="shared" si="0"/>
        <v>81298.850000000006</v>
      </c>
      <c r="H54" t="s">
        <v>1806</v>
      </c>
    </row>
    <row r="55" spans="1:13">
      <c r="A55" s="17" t="s">
        <v>107</v>
      </c>
      <c r="B55" s="21" t="s">
        <v>108</v>
      </c>
      <c r="C55" s="19" t="s">
        <v>72</v>
      </c>
      <c r="D55" s="20"/>
      <c r="E55" s="3">
        <v>1407836.57</v>
      </c>
      <c r="F55" s="24">
        <v>3.7008201882410253E-3</v>
      </c>
      <c r="G55" s="26">
        <f t="shared" si="0"/>
        <v>5210.1499999999996</v>
      </c>
      <c r="H55" t="s">
        <v>1806</v>
      </c>
      <c r="K55" t="s">
        <v>1810</v>
      </c>
      <c r="L55" t="s">
        <v>1812</v>
      </c>
      <c r="M55">
        <v>80</v>
      </c>
    </row>
    <row r="56" spans="1:13">
      <c r="A56" s="13" t="s">
        <v>107</v>
      </c>
      <c r="B56" s="22" t="s">
        <v>108</v>
      </c>
      <c r="C56" s="15" t="s">
        <v>73</v>
      </c>
      <c r="D56" s="16"/>
      <c r="E56" s="2">
        <v>1407836.57</v>
      </c>
      <c r="F56" s="23">
        <v>0.93661472368202503</v>
      </c>
      <c r="G56" s="26">
        <f t="shared" si="0"/>
        <v>1318600.46</v>
      </c>
      <c r="H56" t="s">
        <v>1806</v>
      </c>
      <c r="K56" t="s">
        <v>1810</v>
      </c>
      <c r="L56" t="s">
        <v>1812</v>
      </c>
    </row>
    <row r="57" spans="1:13">
      <c r="A57" s="19" t="s">
        <v>107</v>
      </c>
      <c r="B57" s="20" t="s">
        <v>108</v>
      </c>
      <c r="C57" s="19" t="s">
        <v>74</v>
      </c>
      <c r="D57" s="20"/>
      <c r="E57" s="3">
        <v>1407836.57</v>
      </c>
      <c r="F57" s="24">
        <v>5.9684456129733866E-2</v>
      </c>
      <c r="G57" s="26">
        <f t="shared" si="0"/>
        <v>84025.96</v>
      </c>
      <c r="H57" t="s">
        <v>1806</v>
      </c>
      <c r="K57" t="s">
        <v>1810</v>
      </c>
      <c r="L57" t="s">
        <v>1812</v>
      </c>
    </row>
    <row r="58" spans="1:13">
      <c r="A58" s="13" t="s">
        <v>109</v>
      </c>
      <c r="B58" s="14" t="s">
        <v>110</v>
      </c>
      <c r="C58" s="15" t="s">
        <v>72</v>
      </c>
      <c r="D58" s="16"/>
      <c r="E58" s="2">
        <v>954583.08</v>
      </c>
      <c r="F58" s="23">
        <v>1.0778003733315699E-3</v>
      </c>
      <c r="G58" s="26">
        <f t="shared" si="0"/>
        <v>1028.8499999999999</v>
      </c>
      <c r="H58" t="s">
        <v>1806</v>
      </c>
      <c r="M58">
        <v>60</v>
      </c>
    </row>
    <row r="59" spans="1:13">
      <c r="A59" s="17" t="s">
        <v>109</v>
      </c>
      <c r="B59" s="18" t="s">
        <v>110</v>
      </c>
      <c r="C59" s="19" t="s">
        <v>73</v>
      </c>
      <c r="D59" s="20"/>
      <c r="E59" s="3">
        <v>954583.08</v>
      </c>
      <c r="F59" s="24">
        <v>0.94689250096492394</v>
      </c>
      <c r="G59" s="26">
        <f t="shared" si="0"/>
        <v>903887.56</v>
      </c>
      <c r="H59" t="s">
        <v>1806</v>
      </c>
    </row>
    <row r="60" spans="1:13">
      <c r="A60" s="15" t="s">
        <v>109</v>
      </c>
      <c r="B60" s="16" t="s">
        <v>110</v>
      </c>
      <c r="C60" s="15" t="s">
        <v>74</v>
      </c>
      <c r="D60" s="16"/>
      <c r="E60" s="2">
        <v>954583.08</v>
      </c>
      <c r="F60" s="23">
        <v>5.2029698661744561E-2</v>
      </c>
      <c r="G60" s="26">
        <f t="shared" si="0"/>
        <v>49666.67</v>
      </c>
      <c r="H60" t="s">
        <v>1806</v>
      </c>
    </row>
    <row r="61" spans="1:13">
      <c r="A61" s="17" t="s">
        <v>111</v>
      </c>
      <c r="B61" s="21" t="s">
        <v>112</v>
      </c>
      <c r="C61" s="19" t="s">
        <v>72</v>
      </c>
      <c r="D61" s="20"/>
      <c r="E61" s="3">
        <v>473070.95</v>
      </c>
      <c r="F61" s="24">
        <v>8.9204378328451572E-4</v>
      </c>
      <c r="G61" s="26">
        <f t="shared" si="0"/>
        <v>422</v>
      </c>
      <c r="H61" t="s">
        <v>1806</v>
      </c>
      <c r="M61">
        <v>33</v>
      </c>
    </row>
    <row r="62" spans="1:13">
      <c r="A62" s="13" t="s">
        <v>111</v>
      </c>
      <c r="B62" s="22" t="s">
        <v>112</v>
      </c>
      <c r="C62" s="15" t="s">
        <v>73</v>
      </c>
      <c r="D62" s="16"/>
      <c r="E62" s="2">
        <v>473070.95</v>
      </c>
      <c r="F62" s="23">
        <v>0.95733910526528843</v>
      </c>
      <c r="G62" s="26">
        <f t="shared" si="0"/>
        <v>452889.32</v>
      </c>
      <c r="H62" t="s">
        <v>1806</v>
      </c>
    </row>
    <row r="63" spans="1:13">
      <c r="A63" s="19" t="s">
        <v>111</v>
      </c>
      <c r="B63" s="20" t="s">
        <v>112</v>
      </c>
      <c r="C63" s="19" t="s">
        <v>74</v>
      </c>
      <c r="D63" s="20"/>
      <c r="E63" s="3">
        <v>473070.95</v>
      </c>
      <c r="F63" s="24">
        <v>4.1768850951427051E-2</v>
      </c>
      <c r="G63" s="26">
        <f t="shared" si="0"/>
        <v>19759.63</v>
      </c>
      <c r="H63" t="s">
        <v>1806</v>
      </c>
    </row>
    <row r="64" spans="1:13">
      <c r="A64" s="13" t="s">
        <v>113</v>
      </c>
      <c r="B64" s="14" t="s">
        <v>114</v>
      </c>
      <c r="C64" s="15" t="s">
        <v>72</v>
      </c>
      <c r="D64" s="16"/>
      <c r="E64" s="2">
        <v>461116.57</v>
      </c>
      <c r="F64" s="23">
        <v>1.4404817419595222E-3</v>
      </c>
      <c r="G64" s="26">
        <f t="shared" si="0"/>
        <v>664.23</v>
      </c>
      <c r="H64" t="s">
        <v>1806</v>
      </c>
      <c r="M64">
        <v>32</v>
      </c>
    </row>
    <row r="65" spans="1:13">
      <c r="A65" s="17" t="s">
        <v>113</v>
      </c>
      <c r="B65" s="18" t="s">
        <v>114</v>
      </c>
      <c r="C65" s="19" t="s">
        <v>73</v>
      </c>
      <c r="D65" s="20"/>
      <c r="E65" s="3">
        <v>461116.57</v>
      </c>
      <c r="F65" s="24">
        <v>0.95381113717080257</v>
      </c>
      <c r="G65" s="26">
        <f t="shared" si="0"/>
        <v>439818.12</v>
      </c>
      <c r="H65" t="s">
        <v>1806</v>
      </c>
    </row>
    <row r="66" spans="1:13">
      <c r="A66" s="15" t="s">
        <v>113</v>
      </c>
      <c r="B66" s="16" t="s">
        <v>114</v>
      </c>
      <c r="C66" s="15" t="s">
        <v>74</v>
      </c>
      <c r="D66" s="16"/>
      <c r="E66" s="2">
        <v>461116.57</v>
      </c>
      <c r="F66" s="23">
        <v>4.474838108723788E-2</v>
      </c>
      <c r="G66" s="26">
        <f t="shared" si="0"/>
        <v>20634.22</v>
      </c>
      <c r="H66" t="s">
        <v>1806</v>
      </c>
    </row>
    <row r="67" spans="1:13">
      <c r="A67" s="17" t="s">
        <v>115</v>
      </c>
      <c r="B67" s="21" t="s">
        <v>116</v>
      </c>
      <c r="C67" s="19" t="s">
        <v>72</v>
      </c>
      <c r="D67" s="20"/>
      <c r="E67" s="3">
        <v>2584058.5</v>
      </c>
      <c r="F67" s="24">
        <v>3.488040228191428E-3</v>
      </c>
      <c r="G67" s="26">
        <f t="shared" si="0"/>
        <v>9013.2999999999993</v>
      </c>
      <c r="H67" t="s">
        <v>1806</v>
      </c>
      <c r="K67" t="s">
        <v>1809</v>
      </c>
      <c r="L67" t="s">
        <v>1816</v>
      </c>
      <c r="M67">
        <v>158</v>
      </c>
    </row>
    <row r="68" spans="1:13">
      <c r="A68" s="13" t="s">
        <v>115</v>
      </c>
      <c r="B68" s="22" t="s">
        <v>116</v>
      </c>
      <c r="C68" s="15" t="s">
        <v>73</v>
      </c>
      <c r="D68" s="16"/>
      <c r="E68" s="2">
        <v>2584058.5</v>
      </c>
      <c r="F68" s="23">
        <v>0.90632727548544278</v>
      </c>
      <c r="G68" s="26">
        <f t="shared" si="0"/>
        <v>2342002.7000000002</v>
      </c>
      <c r="H68" t="s">
        <v>1806</v>
      </c>
      <c r="K68" t="s">
        <v>1809</v>
      </c>
      <c r="L68" t="s">
        <v>1816</v>
      </c>
    </row>
    <row r="69" spans="1:13">
      <c r="A69" s="19" t="s">
        <v>115</v>
      </c>
      <c r="B69" s="20" t="s">
        <v>116</v>
      </c>
      <c r="C69" s="19" t="s">
        <v>74</v>
      </c>
      <c r="D69" s="20"/>
      <c r="E69" s="3">
        <v>2584058.5</v>
      </c>
      <c r="F69" s="24">
        <v>9.0184684286365807E-2</v>
      </c>
      <c r="G69" s="26">
        <f t="shared" ref="G69:G132" si="1">F69*E69</f>
        <v>233042.5</v>
      </c>
      <c r="H69" t="s">
        <v>1806</v>
      </c>
      <c r="K69" t="s">
        <v>1809</v>
      </c>
      <c r="L69" t="s">
        <v>1816</v>
      </c>
    </row>
    <row r="70" spans="1:13">
      <c r="A70" s="13" t="s">
        <v>117</v>
      </c>
      <c r="B70" s="14" t="s">
        <v>118</v>
      </c>
      <c r="C70" s="15" t="s">
        <v>72</v>
      </c>
      <c r="D70" s="16"/>
      <c r="E70" s="2">
        <v>1033482.79</v>
      </c>
      <c r="F70" s="23">
        <v>2.3829617907812476E-3</v>
      </c>
      <c r="G70" s="26">
        <f t="shared" si="1"/>
        <v>2462.75</v>
      </c>
      <c r="H70" t="s">
        <v>1806</v>
      </c>
      <c r="M70">
        <v>65</v>
      </c>
    </row>
    <row r="71" spans="1:13">
      <c r="A71" s="17" t="s">
        <v>117</v>
      </c>
      <c r="B71" s="18" t="s">
        <v>118</v>
      </c>
      <c r="C71" s="19" t="s">
        <v>73</v>
      </c>
      <c r="D71" s="20"/>
      <c r="E71" s="3">
        <v>1033482.79</v>
      </c>
      <c r="F71" s="24">
        <v>0.95258195833140102</v>
      </c>
      <c r="G71" s="26">
        <f t="shared" si="1"/>
        <v>984477.06</v>
      </c>
      <c r="H71" t="s">
        <v>1806</v>
      </c>
    </row>
    <row r="72" spans="1:13">
      <c r="A72" s="15" t="s">
        <v>117</v>
      </c>
      <c r="B72" s="16" t="s">
        <v>118</v>
      </c>
      <c r="C72" s="15" t="s">
        <v>74</v>
      </c>
      <c r="D72" s="16"/>
      <c r="E72" s="2">
        <v>1033482.79</v>
      </c>
      <c r="F72" s="23">
        <v>4.5035079877817803E-2</v>
      </c>
      <c r="G72" s="26">
        <f t="shared" si="1"/>
        <v>46542.98</v>
      </c>
      <c r="H72" t="s">
        <v>1806</v>
      </c>
    </row>
    <row r="73" spans="1:13">
      <c r="A73" s="17" t="s">
        <v>119</v>
      </c>
      <c r="B73" s="21" t="s">
        <v>120</v>
      </c>
      <c r="C73" s="19" t="s">
        <v>72</v>
      </c>
      <c r="D73" s="20"/>
      <c r="E73" s="3">
        <v>1832644.46</v>
      </c>
      <c r="F73" s="24">
        <v>1.5615412931758734E-3</v>
      </c>
      <c r="G73" s="26">
        <f t="shared" si="1"/>
        <v>2861.75</v>
      </c>
      <c r="H73" t="s">
        <v>1806</v>
      </c>
      <c r="M73">
        <v>131</v>
      </c>
    </row>
    <row r="74" spans="1:13">
      <c r="A74" s="13" t="s">
        <v>119</v>
      </c>
      <c r="B74" s="22" t="s">
        <v>120</v>
      </c>
      <c r="C74" s="15" t="s">
        <v>73</v>
      </c>
      <c r="D74" s="16"/>
      <c r="E74" s="2">
        <v>1832644.46</v>
      </c>
      <c r="F74" s="23">
        <v>0.89187225109664758</v>
      </c>
      <c r="G74" s="26">
        <f t="shared" si="1"/>
        <v>1634484.74</v>
      </c>
      <c r="H74" t="s">
        <v>1806</v>
      </c>
    </row>
    <row r="75" spans="1:13">
      <c r="A75" s="19" t="s">
        <v>119</v>
      </c>
      <c r="B75" s="20" t="s">
        <v>120</v>
      </c>
      <c r="C75" s="19" t="s">
        <v>74</v>
      </c>
      <c r="D75" s="20"/>
      <c r="E75" s="3">
        <v>1832644.46</v>
      </c>
      <c r="F75" s="24">
        <v>0.10656620761017661</v>
      </c>
      <c r="G75" s="26">
        <f t="shared" si="1"/>
        <v>195297.97</v>
      </c>
      <c r="H75" t="s">
        <v>1806</v>
      </c>
    </row>
    <row r="76" spans="1:13">
      <c r="A76" s="13" t="s">
        <v>121</v>
      </c>
      <c r="B76" s="14" t="s">
        <v>289</v>
      </c>
      <c r="C76" s="15" t="s">
        <v>72</v>
      </c>
      <c r="D76" s="16"/>
      <c r="E76" s="2">
        <v>1005955.83</v>
      </c>
      <c r="F76" s="23">
        <v>4.616335888226822E-3</v>
      </c>
      <c r="G76" s="26">
        <f t="shared" si="1"/>
        <v>4643.83</v>
      </c>
      <c r="H76" t="s">
        <v>1806</v>
      </c>
      <c r="M76">
        <v>63</v>
      </c>
    </row>
    <row r="77" spans="1:13">
      <c r="A77" s="17" t="s">
        <v>121</v>
      </c>
      <c r="B77" s="18" t="s">
        <v>289</v>
      </c>
      <c r="C77" s="19" t="s">
        <v>73</v>
      </c>
      <c r="D77" s="20"/>
      <c r="E77" s="3">
        <v>1005955.83</v>
      </c>
      <c r="F77" s="24">
        <v>0.86952384380534875</v>
      </c>
      <c r="G77" s="26">
        <f t="shared" si="1"/>
        <v>874702.58</v>
      </c>
      <c r="H77" t="s">
        <v>1806</v>
      </c>
    </row>
    <row r="78" spans="1:13">
      <c r="A78" s="15" t="s">
        <v>121</v>
      </c>
      <c r="B78" s="16" t="s">
        <v>289</v>
      </c>
      <c r="C78" s="15" t="s">
        <v>74</v>
      </c>
      <c r="D78" s="16"/>
      <c r="E78" s="2">
        <v>1005955.83</v>
      </c>
      <c r="F78" s="23">
        <v>0.1258598203064244</v>
      </c>
      <c r="G78" s="26">
        <f t="shared" si="1"/>
        <v>126609.42</v>
      </c>
      <c r="H78" t="s">
        <v>1806</v>
      </c>
    </row>
    <row r="79" spans="1:13">
      <c r="A79" s="17" t="s">
        <v>290</v>
      </c>
      <c r="B79" s="21" t="s">
        <v>291</v>
      </c>
      <c r="C79" s="19" t="s">
        <v>72</v>
      </c>
      <c r="D79" s="20"/>
      <c r="E79" s="3">
        <v>1289628.03</v>
      </c>
      <c r="F79" s="24">
        <v>2.147122996388346E-3</v>
      </c>
      <c r="G79" s="26">
        <f t="shared" si="1"/>
        <v>2768.99</v>
      </c>
      <c r="H79" t="s">
        <v>1806</v>
      </c>
      <c r="M79">
        <v>72</v>
      </c>
    </row>
    <row r="80" spans="1:13">
      <c r="A80" s="13" t="s">
        <v>290</v>
      </c>
      <c r="B80" s="22" t="s">
        <v>291</v>
      </c>
      <c r="C80" s="15" t="s">
        <v>73</v>
      </c>
      <c r="D80" s="16"/>
      <c r="E80" s="2">
        <v>1289628.03</v>
      </c>
      <c r="F80" s="23">
        <v>0.93578245969110951</v>
      </c>
      <c r="G80" s="26">
        <f t="shared" si="1"/>
        <v>1206811.29</v>
      </c>
      <c r="H80" t="s">
        <v>1806</v>
      </c>
    </row>
    <row r="81" spans="1:13">
      <c r="A81" s="19" t="s">
        <v>290</v>
      </c>
      <c r="B81" s="20" t="s">
        <v>291</v>
      </c>
      <c r="C81" s="19" t="s">
        <v>74</v>
      </c>
      <c r="D81" s="20"/>
      <c r="E81" s="3">
        <v>1289628.03</v>
      </c>
      <c r="F81" s="24">
        <v>6.2070417312502117E-2</v>
      </c>
      <c r="G81" s="26">
        <f t="shared" si="1"/>
        <v>80047.75</v>
      </c>
      <c r="H81" t="s">
        <v>1806</v>
      </c>
    </row>
    <row r="82" spans="1:13">
      <c r="A82" s="13" t="s">
        <v>292</v>
      </c>
      <c r="B82" s="14" t="s">
        <v>293</v>
      </c>
      <c r="C82" s="15" t="s">
        <v>72</v>
      </c>
      <c r="D82" s="16"/>
      <c r="E82" s="2">
        <v>865196.41</v>
      </c>
      <c r="F82" s="23">
        <v>1.8566108012399173E-2</v>
      </c>
      <c r="G82" s="26">
        <f t="shared" si="1"/>
        <v>16063.33</v>
      </c>
      <c r="H82" t="s">
        <v>1806</v>
      </c>
      <c r="K82" t="s">
        <v>1809</v>
      </c>
      <c r="L82" t="s">
        <v>1814</v>
      </c>
      <c r="M82">
        <v>95</v>
      </c>
    </row>
    <row r="83" spans="1:13">
      <c r="A83" s="17" t="s">
        <v>292</v>
      </c>
      <c r="B83" s="18" t="s">
        <v>293</v>
      </c>
      <c r="C83" s="19" t="s">
        <v>73</v>
      </c>
      <c r="D83" s="20"/>
      <c r="E83" s="3">
        <v>865196.41</v>
      </c>
      <c r="F83" s="24">
        <v>0.70580329846722312</v>
      </c>
      <c r="G83" s="26">
        <f t="shared" si="1"/>
        <v>610658.48</v>
      </c>
      <c r="H83" t="s">
        <v>1806</v>
      </c>
      <c r="K83" t="s">
        <v>1809</v>
      </c>
      <c r="L83" t="s">
        <v>1814</v>
      </c>
    </row>
    <row r="84" spans="1:13">
      <c r="A84" s="15" t="s">
        <v>292</v>
      </c>
      <c r="B84" s="16" t="s">
        <v>293</v>
      </c>
      <c r="C84" s="15" t="s">
        <v>74</v>
      </c>
      <c r="D84" s="16"/>
      <c r="E84" s="2">
        <v>865196.41</v>
      </c>
      <c r="F84" s="23">
        <v>0.27563059352037766</v>
      </c>
      <c r="G84" s="26">
        <f t="shared" si="1"/>
        <v>238474.60000000003</v>
      </c>
      <c r="H84" t="s">
        <v>1806</v>
      </c>
      <c r="K84" t="s">
        <v>1809</v>
      </c>
      <c r="L84" t="s">
        <v>1814</v>
      </c>
    </row>
    <row r="85" spans="1:13">
      <c r="A85" s="17" t="s">
        <v>294</v>
      </c>
      <c r="B85" s="21" t="s">
        <v>295</v>
      </c>
      <c r="C85" s="19" t="s">
        <v>72</v>
      </c>
      <c r="D85" s="20"/>
      <c r="E85" s="3">
        <v>689184.34</v>
      </c>
      <c r="F85" s="24">
        <v>0.11162224028479813</v>
      </c>
      <c r="G85" s="26">
        <f t="shared" si="1"/>
        <v>76928.3</v>
      </c>
      <c r="H85" t="s">
        <v>1806</v>
      </c>
      <c r="M85">
        <v>61</v>
      </c>
    </row>
    <row r="86" spans="1:13">
      <c r="A86" s="13" t="s">
        <v>294</v>
      </c>
      <c r="B86" s="22" t="s">
        <v>295</v>
      </c>
      <c r="C86" s="15" t="s">
        <v>73</v>
      </c>
      <c r="D86" s="16"/>
      <c r="E86" s="2">
        <v>689184.34</v>
      </c>
      <c r="F86" s="23">
        <v>0.85220041418816928</v>
      </c>
      <c r="G86" s="26">
        <f t="shared" si="1"/>
        <v>587323.18000000005</v>
      </c>
      <c r="H86" t="s">
        <v>1806</v>
      </c>
    </row>
    <row r="87" spans="1:13">
      <c r="A87" s="19" t="s">
        <v>294</v>
      </c>
      <c r="B87" s="20" t="s">
        <v>295</v>
      </c>
      <c r="C87" s="19" t="s">
        <v>74</v>
      </c>
      <c r="D87" s="20"/>
      <c r="E87" s="3">
        <v>689184.34</v>
      </c>
      <c r="F87" s="24">
        <v>3.617734552703273E-2</v>
      </c>
      <c r="G87" s="26">
        <f t="shared" si="1"/>
        <v>24932.860000000004</v>
      </c>
      <c r="H87" t="s">
        <v>1806</v>
      </c>
    </row>
    <row r="88" spans="1:13">
      <c r="A88" s="13" t="s">
        <v>296</v>
      </c>
      <c r="B88" s="14" t="s">
        <v>297</v>
      </c>
      <c r="C88" s="15" t="s">
        <v>72</v>
      </c>
      <c r="D88" s="16"/>
      <c r="E88" s="2">
        <v>1490755.82</v>
      </c>
      <c r="F88" s="23">
        <v>5.6283261734976818E-3</v>
      </c>
      <c r="G88" s="26">
        <f t="shared" si="1"/>
        <v>8390.4599999999991</v>
      </c>
      <c r="H88" t="s">
        <v>1806</v>
      </c>
      <c r="K88" t="s">
        <v>1809</v>
      </c>
      <c r="L88" t="s">
        <v>1814</v>
      </c>
      <c r="M88">
        <v>153</v>
      </c>
    </row>
    <row r="89" spans="1:13">
      <c r="A89" s="17" t="s">
        <v>296</v>
      </c>
      <c r="B89" s="18" t="s">
        <v>297</v>
      </c>
      <c r="C89" s="19" t="s">
        <v>73</v>
      </c>
      <c r="D89" s="20"/>
      <c r="E89" s="3">
        <v>1490755.82</v>
      </c>
      <c r="F89" s="24">
        <v>0.73570675712673039</v>
      </c>
      <c r="G89" s="26">
        <f t="shared" si="1"/>
        <v>1096759.1299999999</v>
      </c>
      <c r="H89" t="s">
        <v>1806</v>
      </c>
      <c r="K89" t="s">
        <v>1809</v>
      </c>
      <c r="L89" t="s">
        <v>1814</v>
      </c>
    </row>
    <row r="90" spans="1:13">
      <c r="A90" s="15" t="s">
        <v>296</v>
      </c>
      <c r="B90" s="16" t="s">
        <v>297</v>
      </c>
      <c r="C90" s="15" t="s">
        <v>74</v>
      </c>
      <c r="D90" s="16"/>
      <c r="E90" s="2">
        <v>1490755.82</v>
      </c>
      <c r="F90" s="23">
        <v>0.25866491669977176</v>
      </c>
      <c r="G90" s="26">
        <f t="shared" si="1"/>
        <v>385606.23</v>
      </c>
      <c r="H90" t="s">
        <v>1806</v>
      </c>
      <c r="K90" t="s">
        <v>1809</v>
      </c>
      <c r="L90" t="s">
        <v>1814</v>
      </c>
    </row>
    <row r="91" spans="1:13">
      <c r="A91" s="17" t="s">
        <v>298</v>
      </c>
      <c r="B91" s="21" t="s">
        <v>299</v>
      </c>
      <c r="C91" s="19" t="s">
        <v>72</v>
      </c>
      <c r="D91" s="20"/>
      <c r="E91" s="3">
        <v>967825.37</v>
      </c>
      <c r="F91" s="24">
        <v>3.2354876169447801E-2</v>
      </c>
      <c r="G91" s="26">
        <f t="shared" si="1"/>
        <v>31313.87</v>
      </c>
      <c r="H91" t="s">
        <v>1806</v>
      </c>
      <c r="M91">
        <v>97</v>
      </c>
    </row>
    <row r="92" spans="1:13">
      <c r="A92" s="13" t="s">
        <v>298</v>
      </c>
      <c r="B92" s="22" t="s">
        <v>299</v>
      </c>
      <c r="C92" s="15" t="s">
        <v>73</v>
      </c>
      <c r="D92" s="16"/>
      <c r="E92" s="2">
        <v>967825.37</v>
      </c>
      <c r="F92" s="23">
        <v>0.71907983771907114</v>
      </c>
      <c r="G92" s="26">
        <f t="shared" si="1"/>
        <v>695943.71</v>
      </c>
      <c r="H92" t="s">
        <v>1806</v>
      </c>
    </row>
    <row r="93" spans="1:13">
      <c r="A93" s="19" t="s">
        <v>298</v>
      </c>
      <c r="B93" s="20" t="s">
        <v>299</v>
      </c>
      <c r="C93" s="19" t="s">
        <v>74</v>
      </c>
      <c r="D93" s="20"/>
      <c r="E93" s="3">
        <v>967825.37</v>
      </c>
      <c r="F93" s="24">
        <v>0.24856528611148104</v>
      </c>
      <c r="G93" s="26">
        <f t="shared" si="1"/>
        <v>240567.79</v>
      </c>
      <c r="H93" t="s">
        <v>1806</v>
      </c>
    </row>
    <row r="94" spans="1:13">
      <c r="A94" s="13" t="s">
        <v>300</v>
      </c>
      <c r="B94" s="14" t="s">
        <v>301</v>
      </c>
      <c r="C94" s="15" t="s">
        <v>72</v>
      </c>
      <c r="D94" s="16"/>
      <c r="E94" s="2">
        <v>802536.76</v>
      </c>
      <c r="F94" s="23">
        <v>1.4883218558113151E-2</v>
      </c>
      <c r="G94" s="26">
        <f t="shared" si="1"/>
        <v>11944.33</v>
      </c>
      <c r="H94" t="s">
        <v>1806</v>
      </c>
      <c r="K94" t="s">
        <v>1809</v>
      </c>
      <c r="L94" t="s">
        <v>1814</v>
      </c>
      <c r="M94">
        <v>91</v>
      </c>
    </row>
    <row r="95" spans="1:13">
      <c r="A95" s="17" t="s">
        <v>300</v>
      </c>
      <c r="B95" s="18" t="s">
        <v>301</v>
      </c>
      <c r="C95" s="19" t="s">
        <v>73</v>
      </c>
      <c r="D95" s="20"/>
      <c r="E95" s="3">
        <v>802536.76</v>
      </c>
      <c r="F95" s="24">
        <v>0.73940061013529157</v>
      </c>
      <c r="G95" s="26">
        <f t="shared" si="1"/>
        <v>593396.17000000004</v>
      </c>
      <c r="H95" t="s">
        <v>1806</v>
      </c>
      <c r="K95" t="s">
        <v>1809</v>
      </c>
      <c r="L95" t="s">
        <v>1814</v>
      </c>
    </row>
    <row r="96" spans="1:13">
      <c r="A96" s="15" t="s">
        <v>300</v>
      </c>
      <c r="B96" s="16" t="s">
        <v>301</v>
      </c>
      <c r="C96" s="15" t="s">
        <v>74</v>
      </c>
      <c r="D96" s="16"/>
      <c r="E96" s="2">
        <v>802536.76</v>
      </c>
      <c r="F96" s="23">
        <v>0.24571617130659537</v>
      </c>
      <c r="G96" s="26">
        <f t="shared" si="1"/>
        <v>197196.26</v>
      </c>
      <c r="H96" t="s">
        <v>1806</v>
      </c>
      <c r="K96" t="s">
        <v>1809</v>
      </c>
      <c r="L96" t="s">
        <v>1814</v>
      </c>
    </row>
    <row r="97" spans="1:13">
      <c r="A97" s="17" t="s">
        <v>302</v>
      </c>
      <c r="B97" s="21" t="s">
        <v>303</v>
      </c>
      <c r="C97" s="19" t="s">
        <v>72</v>
      </c>
      <c r="D97" s="20"/>
      <c r="E97" s="3">
        <v>1932182.08</v>
      </c>
      <c r="F97" s="24">
        <v>4.5395566446822652E-3</v>
      </c>
      <c r="G97" s="26">
        <f t="shared" si="1"/>
        <v>8771.25</v>
      </c>
      <c r="H97" t="s">
        <v>1806</v>
      </c>
      <c r="M97">
        <v>283</v>
      </c>
    </row>
    <row r="98" spans="1:13">
      <c r="A98" s="13" t="s">
        <v>302</v>
      </c>
      <c r="B98" s="22" t="s">
        <v>303</v>
      </c>
      <c r="C98" s="15" t="s">
        <v>73</v>
      </c>
      <c r="D98" s="16"/>
      <c r="E98" s="2">
        <v>1932182.08</v>
      </c>
      <c r="F98" s="23">
        <v>0.879374339296222</v>
      </c>
      <c r="G98" s="26">
        <f t="shared" si="1"/>
        <v>1699111.34</v>
      </c>
      <c r="H98" t="s">
        <v>1806</v>
      </c>
    </row>
    <row r="99" spans="1:13">
      <c r="A99" s="19" t="s">
        <v>302</v>
      </c>
      <c r="B99" s="20" t="s">
        <v>303</v>
      </c>
      <c r="C99" s="19" t="s">
        <v>74</v>
      </c>
      <c r="D99" s="20"/>
      <c r="E99" s="3">
        <v>1932182.08</v>
      </c>
      <c r="F99" s="24">
        <v>0.11608610405909571</v>
      </c>
      <c r="G99" s="26">
        <f t="shared" si="1"/>
        <v>224299.49</v>
      </c>
      <c r="H99" t="s">
        <v>1806</v>
      </c>
    </row>
    <row r="100" spans="1:13">
      <c r="A100" s="13" t="s">
        <v>304</v>
      </c>
      <c r="B100" s="14" t="s">
        <v>305</v>
      </c>
      <c r="C100" s="15" t="s">
        <v>72</v>
      </c>
      <c r="D100" s="16"/>
      <c r="E100" s="2">
        <v>1829346.99</v>
      </c>
      <c r="F100" s="23">
        <v>3.6094847156361515E-3</v>
      </c>
      <c r="G100" s="26">
        <f t="shared" si="1"/>
        <v>6603</v>
      </c>
      <c r="H100" t="s">
        <v>1806</v>
      </c>
      <c r="M100">
        <v>221</v>
      </c>
    </row>
    <row r="101" spans="1:13">
      <c r="A101" s="17" t="s">
        <v>304</v>
      </c>
      <c r="B101" s="18" t="s">
        <v>305</v>
      </c>
      <c r="C101" s="19" t="s">
        <v>73</v>
      </c>
      <c r="D101" s="20"/>
      <c r="E101" s="3">
        <v>1829346.99</v>
      </c>
      <c r="F101" s="24">
        <v>0.80667363166569073</v>
      </c>
      <c r="G101" s="26">
        <f t="shared" si="1"/>
        <v>1475685.98</v>
      </c>
      <c r="H101" t="s">
        <v>1806</v>
      </c>
    </row>
    <row r="102" spans="1:13">
      <c r="A102" s="15" t="s">
        <v>304</v>
      </c>
      <c r="B102" s="16" t="s">
        <v>305</v>
      </c>
      <c r="C102" s="15" t="s">
        <v>74</v>
      </c>
      <c r="D102" s="16"/>
      <c r="E102" s="2">
        <v>1829346.99</v>
      </c>
      <c r="F102" s="23">
        <v>0.18971688361867314</v>
      </c>
      <c r="G102" s="26">
        <f t="shared" si="1"/>
        <v>347058.01</v>
      </c>
      <c r="H102" t="s">
        <v>1806</v>
      </c>
    </row>
    <row r="103" spans="1:13">
      <c r="A103" s="17" t="s">
        <v>306</v>
      </c>
      <c r="B103" s="21" t="s">
        <v>307</v>
      </c>
      <c r="C103" s="19" t="s">
        <v>72</v>
      </c>
      <c r="D103" s="20"/>
      <c r="E103" s="3">
        <v>694149.71</v>
      </c>
      <c r="F103" s="24">
        <v>2.9780434540554665E-2</v>
      </c>
      <c r="G103" s="26">
        <f t="shared" si="1"/>
        <v>20672.080000000002</v>
      </c>
      <c r="H103" t="s">
        <v>1806</v>
      </c>
      <c r="I103" t="s">
        <v>1820</v>
      </c>
      <c r="J103" t="s">
        <v>502</v>
      </c>
      <c r="M103">
        <v>103</v>
      </c>
    </row>
    <row r="104" spans="1:13">
      <c r="A104" s="13" t="s">
        <v>306</v>
      </c>
      <c r="B104" s="22" t="s">
        <v>307</v>
      </c>
      <c r="C104" s="15" t="s">
        <v>73</v>
      </c>
      <c r="D104" s="16"/>
      <c r="E104" s="2">
        <v>694149.71</v>
      </c>
      <c r="F104" s="23">
        <v>0.6936194210900124</v>
      </c>
      <c r="G104" s="26">
        <f t="shared" si="1"/>
        <v>481475.72</v>
      </c>
      <c r="H104" t="s">
        <v>1806</v>
      </c>
      <c r="I104" t="s">
        <v>1820</v>
      </c>
      <c r="J104" t="s">
        <v>502</v>
      </c>
    </row>
    <row r="105" spans="1:13">
      <c r="A105" s="19" t="s">
        <v>306</v>
      </c>
      <c r="B105" s="20" t="s">
        <v>307</v>
      </c>
      <c r="C105" s="19" t="s">
        <v>74</v>
      </c>
      <c r="D105" s="20"/>
      <c r="E105" s="3">
        <v>694149.71</v>
      </c>
      <c r="F105" s="24">
        <v>0.27660014436943292</v>
      </c>
      <c r="G105" s="26">
        <f t="shared" si="1"/>
        <v>192001.90999999997</v>
      </c>
      <c r="H105" t="s">
        <v>1806</v>
      </c>
      <c r="I105" t="s">
        <v>1820</v>
      </c>
      <c r="J105" t="s">
        <v>502</v>
      </c>
    </row>
    <row r="106" spans="1:13">
      <c r="A106" s="13" t="s">
        <v>308</v>
      </c>
      <c r="B106" s="14" t="s">
        <v>143</v>
      </c>
      <c r="C106" s="15" t="s">
        <v>72</v>
      </c>
      <c r="D106" s="16"/>
      <c r="E106" s="2">
        <v>559227.43000000005</v>
      </c>
      <c r="F106" s="23">
        <v>2.6680880084869942E-2</v>
      </c>
      <c r="G106" s="26">
        <f t="shared" si="1"/>
        <v>14920.68</v>
      </c>
      <c r="H106" t="s">
        <v>1806</v>
      </c>
      <c r="I106" t="s">
        <v>1820</v>
      </c>
      <c r="J106" t="s">
        <v>1834</v>
      </c>
      <c r="M106">
        <v>39</v>
      </c>
    </row>
    <row r="107" spans="1:13">
      <c r="A107" s="17" t="s">
        <v>308</v>
      </c>
      <c r="B107" s="18" t="s">
        <v>143</v>
      </c>
      <c r="C107" s="19" t="s">
        <v>73</v>
      </c>
      <c r="D107" s="20"/>
      <c r="E107" s="3">
        <v>559227.43000000005</v>
      </c>
      <c r="F107" s="24">
        <v>0.6748453486982926</v>
      </c>
      <c r="G107" s="26">
        <f t="shared" si="1"/>
        <v>377392.03</v>
      </c>
      <c r="H107" t="s">
        <v>1806</v>
      </c>
      <c r="I107" t="s">
        <v>1820</v>
      </c>
      <c r="J107" t="s">
        <v>1834</v>
      </c>
    </row>
    <row r="108" spans="1:13">
      <c r="A108" s="15" t="s">
        <v>308</v>
      </c>
      <c r="B108" s="16" t="s">
        <v>143</v>
      </c>
      <c r="C108" s="15" t="s">
        <v>74</v>
      </c>
      <c r="D108" s="16"/>
      <c r="E108" s="2">
        <v>559227.43000000005</v>
      </c>
      <c r="F108" s="23">
        <v>0.29847377121683744</v>
      </c>
      <c r="G108" s="26">
        <f t="shared" si="1"/>
        <v>166914.72</v>
      </c>
      <c r="H108" t="s">
        <v>1806</v>
      </c>
      <c r="I108" t="s">
        <v>1820</v>
      </c>
      <c r="J108" t="s">
        <v>1834</v>
      </c>
    </row>
    <row r="109" spans="1:13">
      <c r="A109" s="17" t="s">
        <v>144</v>
      </c>
      <c r="B109" s="21" t="s">
        <v>145</v>
      </c>
      <c r="C109" s="19" t="s">
        <v>72</v>
      </c>
      <c r="D109" s="20"/>
      <c r="E109" s="3">
        <v>7399000.6500000004</v>
      </c>
      <c r="F109" s="24">
        <v>9.717433934811183E-4</v>
      </c>
      <c r="G109" s="26">
        <f t="shared" si="1"/>
        <v>7189.93</v>
      </c>
      <c r="H109" t="s">
        <v>1806</v>
      </c>
      <c r="M109">
        <v>1012</v>
      </c>
    </row>
    <row r="110" spans="1:13">
      <c r="A110" s="13" t="s">
        <v>144</v>
      </c>
      <c r="B110" s="22" t="s">
        <v>145</v>
      </c>
      <c r="C110" s="15" t="s">
        <v>73</v>
      </c>
      <c r="D110" s="16"/>
      <c r="E110" s="2">
        <v>7399000.6500000004</v>
      </c>
      <c r="F110" s="23">
        <v>0.94383182815371147</v>
      </c>
      <c r="G110" s="26">
        <f t="shared" si="1"/>
        <v>6983412.3099999996</v>
      </c>
      <c r="H110" t="s">
        <v>1806</v>
      </c>
    </row>
    <row r="111" spans="1:13">
      <c r="A111" s="19" t="s">
        <v>144</v>
      </c>
      <c r="B111" s="20" t="s">
        <v>145</v>
      </c>
      <c r="C111" s="19" t="s">
        <v>74</v>
      </c>
      <c r="D111" s="20"/>
      <c r="E111" s="3">
        <v>7399000.6500000004</v>
      </c>
      <c r="F111" s="24">
        <v>5.5196428452807332E-2</v>
      </c>
      <c r="G111" s="26">
        <f t="shared" si="1"/>
        <v>408398.41</v>
      </c>
      <c r="H111" t="s">
        <v>1806</v>
      </c>
    </row>
    <row r="112" spans="1:13">
      <c r="A112" s="13" t="s">
        <v>146</v>
      </c>
      <c r="B112" s="14" t="s">
        <v>147</v>
      </c>
      <c r="C112" s="15" t="s">
        <v>72</v>
      </c>
      <c r="D112" s="16"/>
      <c r="E112" s="2">
        <v>7954976.9199999999</v>
      </c>
      <c r="F112" s="23">
        <v>0</v>
      </c>
      <c r="G112" s="26">
        <f t="shared" si="1"/>
        <v>0</v>
      </c>
      <c r="H112" t="s">
        <v>1806</v>
      </c>
      <c r="K112" t="s">
        <v>1809</v>
      </c>
      <c r="L112" t="s">
        <v>1814</v>
      </c>
      <c r="M112">
        <v>1041</v>
      </c>
    </row>
    <row r="113" spans="1:13">
      <c r="A113" s="17" t="s">
        <v>146</v>
      </c>
      <c r="B113" s="18" t="s">
        <v>147</v>
      </c>
      <c r="C113" s="19" t="s">
        <v>73</v>
      </c>
      <c r="D113" s="20"/>
      <c r="E113" s="3">
        <v>7954976.9199999999</v>
      </c>
      <c r="F113" s="24">
        <v>0.90065084186315902</v>
      </c>
      <c r="G113" s="26">
        <f t="shared" si="1"/>
        <v>7164656.6600000001</v>
      </c>
      <c r="H113" t="s">
        <v>1806</v>
      </c>
      <c r="K113" t="s">
        <v>1809</v>
      </c>
      <c r="L113" t="s">
        <v>1814</v>
      </c>
    </row>
    <row r="114" spans="1:13">
      <c r="A114" s="15" t="s">
        <v>146</v>
      </c>
      <c r="B114" s="16" t="s">
        <v>147</v>
      </c>
      <c r="C114" s="15" t="s">
        <v>74</v>
      </c>
      <c r="D114" s="16"/>
      <c r="E114" s="2">
        <v>7954976.9199999999</v>
      </c>
      <c r="F114" s="23">
        <v>9.9349158136840962E-2</v>
      </c>
      <c r="G114" s="26">
        <f t="shared" si="1"/>
        <v>790320.26</v>
      </c>
      <c r="H114" t="s">
        <v>1806</v>
      </c>
      <c r="K114" t="s">
        <v>1809</v>
      </c>
      <c r="L114" t="s">
        <v>1814</v>
      </c>
    </row>
    <row r="115" spans="1:13">
      <c r="A115" s="17" t="s">
        <v>148</v>
      </c>
      <c r="B115" s="21" t="s">
        <v>149</v>
      </c>
      <c r="C115" s="19" t="s">
        <v>72</v>
      </c>
      <c r="D115" s="20"/>
      <c r="E115" s="3">
        <v>1323872.08</v>
      </c>
      <c r="F115" s="24">
        <v>3.875465822951716E-2</v>
      </c>
      <c r="G115" s="26">
        <f t="shared" si="1"/>
        <v>51306.21</v>
      </c>
      <c r="H115" t="s">
        <v>1806</v>
      </c>
      <c r="M115">
        <v>159</v>
      </c>
    </row>
    <row r="116" spans="1:13">
      <c r="A116" s="13" t="s">
        <v>148</v>
      </c>
      <c r="B116" s="22" t="s">
        <v>149</v>
      </c>
      <c r="C116" s="15" t="s">
        <v>73</v>
      </c>
      <c r="D116" s="16"/>
      <c r="E116" s="2">
        <v>1323872.08</v>
      </c>
      <c r="F116" s="23">
        <v>0.68323731851796432</v>
      </c>
      <c r="G116" s="26">
        <f t="shared" si="1"/>
        <v>904518.80999999994</v>
      </c>
      <c r="H116" t="s">
        <v>1806</v>
      </c>
    </row>
    <row r="117" spans="1:13">
      <c r="A117" s="19" t="s">
        <v>148</v>
      </c>
      <c r="B117" s="20" t="s">
        <v>149</v>
      </c>
      <c r="C117" s="19" t="s">
        <v>74</v>
      </c>
      <c r="D117" s="20"/>
      <c r="E117" s="3">
        <v>1323872.08</v>
      </c>
      <c r="F117" s="24">
        <v>0.27800802325251844</v>
      </c>
      <c r="G117" s="26">
        <f t="shared" si="1"/>
        <v>368047.06</v>
      </c>
      <c r="H117" t="s">
        <v>1806</v>
      </c>
    </row>
    <row r="118" spans="1:13">
      <c r="A118" s="13" t="s">
        <v>150</v>
      </c>
      <c r="B118" s="14" t="s">
        <v>151</v>
      </c>
      <c r="C118" s="15" t="s">
        <v>72</v>
      </c>
      <c r="D118" s="16"/>
      <c r="E118" s="2">
        <v>1470515.3</v>
      </c>
      <c r="F118" s="23">
        <v>0</v>
      </c>
      <c r="G118" s="26">
        <f t="shared" si="1"/>
        <v>0</v>
      </c>
      <c r="H118" t="s">
        <v>1806</v>
      </c>
      <c r="K118" t="s">
        <v>1810</v>
      </c>
      <c r="L118" t="s">
        <v>1812</v>
      </c>
      <c r="M118">
        <v>178</v>
      </c>
    </row>
    <row r="119" spans="1:13">
      <c r="A119" s="17" t="s">
        <v>150</v>
      </c>
      <c r="B119" s="18" t="s">
        <v>151</v>
      </c>
      <c r="C119" s="19" t="s">
        <v>73</v>
      </c>
      <c r="D119" s="20"/>
      <c r="E119" s="3">
        <v>1470515.3</v>
      </c>
      <c r="F119" s="24">
        <v>0.87032706154094419</v>
      </c>
      <c r="G119" s="26">
        <f t="shared" si="1"/>
        <v>1279829.26</v>
      </c>
      <c r="H119" t="s">
        <v>1806</v>
      </c>
      <c r="K119" t="s">
        <v>1810</v>
      </c>
      <c r="L119" t="s">
        <v>1812</v>
      </c>
    </row>
    <row r="120" spans="1:13">
      <c r="A120" s="15" t="s">
        <v>150</v>
      </c>
      <c r="B120" s="16" t="s">
        <v>151</v>
      </c>
      <c r="C120" s="15" t="s">
        <v>74</v>
      </c>
      <c r="D120" s="16"/>
      <c r="E120" s="2">
        <v>1470515.3</v>
      </c>
      <c r="F120" s="23">
        <v>0.12967293845905581</v>
      </c>
      <c r="G120" s="26">
        <f t="shared" si="1"/>
        <v>190686.04</v>
      </c>
      <c r="H120" t="s">
        <v>1806</v>
      </c>
      <c r="K120" t="s">
        <v>1810</v>
      </c>
      <c r="L120" t="s">
        <v>1812</v>
      </c>
    </row>
    <row r="121" spans="1:13" hidden="1">
      <c r="A121" s="17" t="s">
        <v>152</v>
      </c>
      <c r="B121" s="21" t="s">
        <v>153</v>
      </c>
      <c r="C121" s="19" t="s">
        <v>72</v>
      </c>
      <c r="D121" s="20"/>
      <c r="E121" s="3">
        <v>13272749.470000001</v>
      </c>
      <c r="F121" s="24">
        <v>0.46772578914653462</v>
      </c>
      <c r="G121" s="26">
        <f t="shared" si="1"/>
        <v>6208007.2199999997</v>
      </c>
      <c r="H121" t="s">
        <v>68</v>
      </c>
    </row>
    <row r="122" spans="1:13" hidden="1">
      <c r="A122" s="13" t="s">
        <v>152</v>
      </c>
      <c r="B122" s="22" t="s">
        <v>153</v>
      </c>
      <c r="C122" s="15" t="s">
        <v>73</v>
      </c>
      <c r="D122" s="16"/>
      <c r="E122" s="2">
        <v>13272749.470000001</v>
      </c>
      <c r="F122" s="23">
        <v>0.45174676607528857</v>
      </c>
      <c r="G122" s="26">
        <f t="shared" si="1"/>
        <v>5995921.6500000004</v>
      </c>
      <c r="H122" t="s">
        <v>68</v>
      </c>
    </row>
    <row r="123" spans="1:13" hidden="1">
      <c r="A123" s="19" t="s">
        <v>152</v>
      </c>
      <c r="B123" s="20" t="s">
        <v>153</v>
      </c>
      <c r="C123" s="19" t="s">
        <v>74</v>
      </c>
      <c r="D123" s="20"/>
      <c r="E123" s="3">
        <v>13272749.470000001</v>
      </c>
      <c r="F123" s="24">
        <v>8.0527444778176777E-2</v>
      </c>
      <c r="G123" s="26">
        <f t="shared" si="1"/>
        <v>1068820.6000000001</v>
      </c>
      <c r="H123" t="s">
        <v>68</v>
      </c>
    </row>
    <row r="124" spans="1:13">
      <c r="A124" s="13" t="s">
        <v>154</v>
      </c>
      <c r="B124" s="14" t="s">
        <v>155</v>
      </c>
      <c r="C124" s="15" t="s">
        <v>72</v>
      </c>
      <c r="D124" s="16"/>
      <c r="E124" s="2">
        <v>833238.87</v>
      </c>
      <c r="F124" s="23">
        <v>8.0378751413745265E-3</v>
      </c>
      <c r="G124" s="26">
        <f t="shared" si="1"/>
        <v>6697.4700000000012</v>
      </c>
      <c r="H124" t="s">
        <v>1806</v>
      </c>
      <c r="K124" t="s">
        <v>1810</v>
      </c>
      <c r="L124" t="s">
        <v>1812</v>
      </c>
      <c r="M124">
        <v>88</v>
      </c>
    </row>
    <row r="125" spans="1:13">
      <c r="A125" s="17" t="s">
        <v>154</v>
      </c>
      <c r="B125" s="18" t="s">
        <v>155</v>
      </c>
      <c r="C125" s="19" t="s">
        <v>73</v>
      </c>
      <c r="D125" s="20"/>
      <c r="E125" s="3">
        <v>833238.87</v>
      </c>
      <c r="F125" s="24">
        <v>0.65494137353433834</v>
      </c>
      <c r="G125" s="26">
        <f t="shared" si="1"/>
        <v>545722.61</v>
      </c>
      <c r="H125" t="s">
        <v>1806</v>
      </c>
      <c r="K125" t="s">
        <v>1810</v>
      </c>
      <c r="L125" t="s">
        <v>1812</v>
      </c>
    </row>
    <row r="126" spans="1:13">
      <c r="A126" s="15" t="s">
        <v>154</v>
      </c>
      <c r="B126" s="16" t="s">
        <v>155</v>
      </c>
      <c r="C126" s="15" t="s">
        <v>74</v>
      </c>
      <c r="D126" s="16"/>
      <c r="E126" s="2">
        <v>833238.87</v>
      </c>
      <c r="F126" s="23">
        <v>0.3370207513242871</v>
      </c>
      <c r="G126" s="26">
        <f t="shared" si="1"/>
        <v>280818.78999999998</v>
      </c>
      <c r="H126" t="s">
        <v>1806</v>
      </c>
      <c r="K126" t="s">
        <v>1810</v>
      </c>
      <c r="L126" t="s">
        <v>1812</v>
      </c>
    </row>
    <row r="127" spans="1:13">
      <c r="A127" s="17" t="s">
        <v>156</v>
      </c>
      <c r="B127" s="21" t="s">
        <v>157</v>
      </c>
      <c r="C127" s="19" t="s">
        <v>72</v>
      </c>
      <c r="D127" s="20"/>
      <c r="E127" s="3">
        <v>1037781.35</v>
      </c>
      <c r="F127" s="24">
        <v>4.4861848789246407E-2</v>
      </c>
      <c r="G127" s="26">
        <f t="shared" si="1"/>
        <v>46556.79</v>
      </c>
      <c r="H127" t="s">
        <v>1811</v>
      </c>
      <c r="M127">
        <v>125</v>
      </c>
    </row>
    <row r="128" spans="1:13">
      <c r="A128" s="13" t="s">
        <v>156</v>
      </c>
      <c r="B128" s="22" t="s">
        <v>157</v>
      </c>
      <c r="C128" s="15" t="s">
        <v>73</v>
      </c>
      <c r="D128" s="16"/>
      <c r="E128" s="2">
        <v>1037781.35</v>
      </c>
      <c r="F128" s="23">
        <v>0.76055608438135847</v>
      </c>
      <c r="G128" s="26">
        <f t="shared" si="1"/>
        <v>789290.92</v>
      </c>
      <c r="H128" t="s">
        <v>1811</v>
      </c>
    </row>
    <row r="129" spans="1:13">
      <c r="A129" s="19" t="s">
        <v>156</v>
      </c>
      <c r="B129" s="20" t="s">
        <v>157</v>
      </c>
      <c r="C129" s="19" t="s">
        <v>74</v>
      </c>
      <c r="D129" s="20"/>
      <c r="E129" s="3">
        <v>1037781.35</v>
      </c>
      <c r="F129" s="24">
        <v>0.19458206682939524</v>
      </c>
      <c r="G129" s="26">
        <f t="shared" si="1"/>
        <v>201933.64</v>
      </c>
      <c r="H129" t="s">
        <v>1811</v>
      </c>
    </row>
    <row r="130" spans="1:13">
      <c r="A130" s="13" t="s">
        <v>158</v>
      </c>
      <c r="B130" s="14" t="s">
        <v>159</v>
      </c>
      <c r="C130" s="15" t="s">
        <v>72</v>
      </c>
      <c r="D130" s="16"/>
      <c r="E130" s="2">
        <v>561236.21</v>
      </c>
      <c r="F130" s="23">
        <v>7.4740900983562694E-3</v>
      </c>
      <c r="G130" s="26">
        <f t="shared" si="1"/>
        <v>4194.7299999999996</v>
      </c>
      <c r="H130" t="s">
        <v>1806</v>
      </c>
      <c r="K130" t="s">
        <v>1810</v>
      </c>
      <c r="M130">
        <v>40</v>
      </c>
    </row>
    <row r="131" spans="1:13">
      <c r="A131" s="17" t="s">
        <v>158</v>
      </c>
      <c r="B131" s="18" t="s">
        <v>159</v>
      </c>
      <c r="C131" s="19" t="s">
        <v>73</v>
      </c>
      <c r="D131" s="20"/>
      <c r="E131" s="3">
        <v>561236.21</v>
      </c>
      <c r="F131" s="24">
        <v>0.44800336385993345</v>
      </c>
      <c r="G131" s="26">
        <f t="shared" si="1"/>
        <v>251435.71</v>
      </c>
      <c r="H131" t="s">
        <v>1806</v>
      </c>
      <c r="K131" t="s">
        <v>1810</v>
      </c>
    </row>
    <row r="132" spans="1:13">
      <c r="A132" s="15" t="s">
        <v>158</v>
      </c>
      <c r="B132" s="16" t="s">
        <v>159</v>
      </c>
      <c r="C132" s="15" t="s">
        <v>74</v>
      </c>
      <c r="D132" s="16"/>
      <c r="E132" s="2">
        <v>561236.21</v>
      </c>
      <c r="F132" s="23">
        <v>0.54452254604171035</v>
      </c>
      <c r="G132" s="26">
        <f t="shared" si="1"/>
        <v>305605.77</v>
      </c>
      <c r="H132" t="s">
        <v>1806</v>
      </c>
      <c r="K132" t="s">
        <v>1810</v>
      </c>
    </row>
    <row r="133" spans="1:13">
      <c r="A133" s="17" t="s">
        <v>160</v>
      </c>
      <c r="B133" s="21" t="s">
        <v>161</v>
      </c>
      <c r="C133" s="19" t="s">
        <v>72</v>
      </c>
      <c r="D133" s="20"/>
      <c r="E133" s="3">
        <v>2556579.75</v>
      </c>
      <c r="F133" s="24">
        <v>0</v>
      </c>
      <c r="G133" s="26">
        <f t="shared" ref="G133:G196" si="2">F133*E133</f>
        <v>0</v>
      </c>
      <c r="H133" t="s">
        <v>1806</v>
      </c>
      <c r="M133">
        <v>298</v>
      </c>
    </row>
    <row r="134" spans="1:13">
      <c r="A134" s="13" t="s">
        <v>160</v>
      </c>
      <c r="B134" s="22" t="s">
        <v>161</v>
      </c>
      <c r="C134" s="15" t="s">
        <v>73</v>
      </c>
      <c r="D134" s="16"/>
      <c r="E134" s="2">
        <v>2556579.75</v>
      </c>
      <c r="F134" s="23">
        <v>0.80127507854976943</v>
      </c>
      <c r="G134" s="26">
        <f t="shared" si="2"/>
        <v>2048523.64</v>
      </c>
      <c r="H134" t="s">
        <v>1806</v>
      </c>
    </row>
    <row r="135" spans="1:13">
      <c r="A135" s="19" t="s">
        <v>160</v>
      </c>
      <c r="B135" s="20" t="s">
        <v>161</v>
      </c>
      <c r="C135" s="19" t="s">
        <v>74</v>
      </c>
      <c r="D135" s="20"/>
      <c r="E135" s="3">
        <v>2556579.75</v>
      </c>
      <c r="F135" s="24">
        <v>0.19872492145023052</v>
      </c>
      <c r="G135" s="26">
        <f t="shared" si="2"/>
        <v>508056.11</v>
      </c>
      <c r="H135" t="s">
        <v>1806</v>
      </c>
    </row>
    <row r="136" spans="1:13">
      <c r="A136" s="13" t="s">
        <v>162</v>
      </c>
      <c r="B136" s="14" t="s">
        <v>163</v>
      </c>
      <c r="C136" s="15" t="s">
        <v>72</v>
      </c>
      <c r="D136" s="16"/>
      <c r="E136" s="2">
        <v>1451418.65</v>
      </c>
      <c r="F136" s="23">
        <v>0</v>
      </c>
      <c r="G136" s="26">
        <f t="shared" si="2"/>
        <v>0</v>
      </c>
      <c r="H136" t="s">
        <v>1806</v>
      </c>
      <c r="K136" t="s">
        <v>1810</v>
      </c>
      <c r="L136" t="s">
        <v>1812</v>
      </c>
      <c r="M136">
        <v>163</v>
      </c>
    </row>
    <row r="137" spans="1:13">
      <c r="A137" s="17" t="s">
        <v>162</v>
      </c>
      <c r="B137" s="18" t="s">
        <v>163</v>
      </c>
      <c r="C137" s="19" t="s">
        <v>73</v>
      </c>
      <c r="D137" s="20"/>
      <c r="E137" s="3">
        <v>1451418.65</v>
      </c>
      <c r="F137" s="24">
        <v>0.84068055071498493</v>
      </c>
      <c r="G137" s="26">
        <f t="shared" si="2"/>
        <v>1220179.43</v>
      </c>
      <c r="H137" t="s">
        <v>1806</v>
      </c>
      <c r="K137" t="s">
        <v>1810</v>
      </c>
      <c r="L137" t="s">
        <v>1812</v>
      </c>
    </row>
    <row r="138" spans="1:13">
      <c r="A138" s="15" t="s">
        <v>162</v>
      </c>
      <c r="B138" s="16" t="s">
        <v>163</v>
      </c>
      <c r="C138" s="15" t="s">
        <v>74</v>
      </c>
      <c r="D138" s="16"/>
      <c r="E138" s="2">
        <v>1451418.65</v>
      </c>
      <c r="F138" s="23">
        <v>0.15931944928501504</v>
      </c>
      <c r="G138" s="26">
        <f t="shared" si="2"/>
        <v>231239.21999999997</v>
      </c>
      <c r="H138" t="s">
        <v>1806</v>
      </c>
      <c r="K138" t="s">
        <v>1810</v>
      </c>
      <c r="L138" t="s">
        <v>1812</v>
      </c>
    </row>
    <row r="139" spans="1:13">
      <c r="A139" s="17" t="s">
        <v>164</v>
      </c>
      <c r="B139" s="21" t="s">
        <v>165</v>
      </c>
      <c r="C139" s="19" t="s">
        <v>72</v>
      </c>
      <c r="D139" s="20"/>
      <c r="E139" s="3">
        <v>879618.34</v>
      </c>
      <c r="F139" s="24">
        <v>1.2297606255003734E-3</v>
      </c>
      <c r="G139" s="26">
        <f t="shared" si="2"/>
        <v>1081.72</v>
      </c>
      <c r="H139" t="s">
        <v>1806</v>
      </c>
      <c r="M139">
        <v>50</v>
      </c>
    </row>
    <row r="140" spans="1:13">
      <c r="A140" s="13" t="s">
        <v>164</v>
      </c>
      <c r="B140" s="22" t="s">
        <v>165</v>
      </c>
      <c r="C140" s="15" t="s">
        <v>73</v>
      </c>
      <c r="D140" s="16"/>
      <c r="E140" s="2">
        <v>879618.34</v>
      </c>
      <c r="F140" s="23">
        <v>0.6237741359508262</v>
      </c>
      <c r="G140" s="26">
        <f t="shared" si="2"/>
        <v>548683.17000000004</v>
      </c>
      <c r="H140" t="s">
        <v>1806</v>
      </c>
    </row>
    <row r="141" spans="1:13">
      <c r="A141" s="19" t="s">
        <v>164</v>
      </c>
      <c r="B141" s="20" t="s">
        <v>165</v>
      </c>
      <c r="C141" s="19" t="s">
        <v>74</v>
      </c>
      <c r="D141" s="20"/>
      <c r="E141" s="3">
        <v>879618.34</v>
      </c>
      <c r="F141" s="24">
        <v>0.37499610342367351</v>
      </c>
      <c r="G141" s="26">
        <f t="shared" si="2"/>
        <v>329853.45</v>
      </c>
      <c r="H141" t="s">
        <v>1806</v>
      </c>
    </row>
    <row r="142" spans="1:13">
      <c r="A142" s="13" t="s">
        <v>166</v>
      </c>
      <c r="B142" s="14" t="s">
        <v>167</v>
      </c>
      <c r="C142" s="15" t="s">
        <v>72</v>
      </c>
      <c r="D142" s="16"/>
      <c r="E142" s="2">
        <v>1848013</v>
      </c>
      <c r="F142" s="23">
        <v>0</v>
      </c>
      <c r="G142" s="26">
        <f t="shared" si="2"/>
        <v>0</v>
      </c>
      <c r="H142" t="s">
        <v>1806</v>
      </c>
      <c r="M142">
        <v>204</v>
      </c>
    </row>
    <row r="143" spans="1:13">
      <c r="A143" s="17" t="s">
        <v>166</v>
      </c>
      <c r="B143" s="18" t="s">
        <v>167</v>
      </c>
      <c r="C143" s="19" t="s">
        <v>73</v>
      </c>
      <c r="D143" s="20"/>
      <c r="E143" s="3">
        <v>1848013</v>
      </c>
      <c r="F143" s="24">
        <v>1</v>
      </c>
      <c r="G143" s="26">
        <f t="shared" si="2"/>
        <v>1848013</v>
      </c>
      <c r="H143" t="s">
        <v>1806</v>
      </c>
    </row>
    <row r="144" spans="1:13">
      <c r="A144" s="15" t="s">
        <v>166</v>
      </c>
      <c r="B144" s="16" t="s">
        <v>167</v>
      </c>
      <c r="C144" s="15" t="s">
        <v>74</v>
      </c>
      <c r="D144" s="16"/>
      <c r="E144" s="2">
        <v>1848013</v>
      </c>
      <c r="F144" s="23">
        <v>0</v>
      </c>
      <c r="G144" s="26">
        <f t="shared" si="2"/>
        <v>0</v>
      </c>
      <c r="H144" t="s">
        <v>1806</v>
      </c>
    </row>
    <row r="145" spans="1:13">
      <c r="A145" s="17" t="s">
        <v>168</v>
      </c>
      <c r="B145" s="21" t="s">
        <v>169</v>
      </c>
      <c r="C145" s="19" t="s">
        <v>72</v>
      </c>
      <c r="D145" s="20"/>
      <c r="E145" s="3">
        <v>1814426</v>
      </c>
      <c r="F145" s="24">
        <v>0</v>
      </c>
      <c r="G145" s="26">
        <f t="shared" si="2"/>
        <v>0</v>
      </c>
      <c r="H145" t="s">
        <v>1806</v>
      </c>
      <c r="M145">
        <v>210</v>
      </c>
    </row>
    <row r="146" spans="1:13">
      <c r="A146" s="13" t="s">
        <v>168</v>
      </c>
      <c r="B146" s="22" t="s">
        <v>169</v>
      </c>
      <c r="C146" s="15" t="s">
        <v>73</v>
      </c>
      <c r="D146" s="16"/>
      <c r="E146" s="2">
        <v>1814426</v>
      </c>
      <c r="F146" s="23">
        <v>1</v>
      </c>
      <c r="G146" s="26">
        <f t="shared" si="2"/>
        <v>1814426</v>
      </c>
      <c r="H146" t="s">
        <v>1806</v>
      </c>
    </row>
    <row r="147" spans="1:13">
      <c r="A147" s="19" t="s">
        <v>168</v>
      </c>
      <c r="B147" s="20" t="s">
        <v>169</v>
      </c>
      <c r="C147" s="19" t="s">
        <v>74</v>
      </c>
      <c r="D147" s="20"/>
      <c r="E147" s="3">
        <v>1814426</v>
      </c>
      <c r="F147" s="24">
        <v>0</v>
      </c>
      <c r="G147" s="26">
        <f t="shared" si="2"/>
        <v>0</v>
      </c>
      <c r="H147" t="s">
        <v>1806</v>
      </c>
    </row>
    <row r="148" spans="1:13">
      <c r="A148" s="13" t="s">
        <v>170</v>
      </c>
      <c r="B148" s="14" t="s">
        <v>171</v>
      </c>
      <c r="C148" s="15" t="s">
        <v>72</v>
      </c>
      <c r="D148" s="16"/>
      <c r="E148" s="2">
        <v>1697813.17</v>
      </c>
      <c r="F148" s="23">
        <v>0</v>
      </c>
      <c r="G148" s="26">
        <f t="shared" si="2"/>
        <v>0</v>
      </c>
      <c r="H148" t="s">
        <v>1806</v>
      </c>
      <c r="M148">
        <v>172</v>
      </c>
    </row>
    <row r="149" spans="1:13">
      <c r="A149" s="17" t="s">
        <v>170</v>
      </c>
      <c r="B149" s="18" t="s">
        <v>171</v>
      </c>
      <c r="C149" s="19" t="s">
        <v>73</v>
      </c>
      <c r="D149" s="20"/>
      <c r="E149" s="3">
        <v>1697813.17</v>
      </c>
      <c r="F149" s="24">
        <v>1</v>
      </c>
      <c r="G149" s="26">
        <f t="shared" si="2"/>
        <v>1697813.17</v>
      </c>
      <c r="H149" t="s">
        <v>1806</v>
      </c>
    </row>
    <row r="150" spans="1:13">
      <c r="A150" s="15" t="s">
        <v>170</v>
      </c>
      <c r="B150" s="16" t="s">
        <v>171</v>
      </c>
      <c r="C150" s="15" t="s">
        <v>74</v>
      </c>
      <c r="D150" s="16"/>
      <c r="E150" s="2">
        <v>1697813.17</v>
      </c>
      <c r="F150" s="23">
        <v>0</v>
      </c>
      <c r="G150" s="26">
        <f t="shared" si="2"/>
        <v>0</v>
      </c>
      <c r="H150" t="s">
        <v>1806</v>
      </c>
    </row>
    <row r="151" spans="1:13">
      <c r="A151" s="17" t="s">
        <v>172</v>
      </c>
      <c r="B151" s="21" t="s">
        <v>173</v>
      </c>
      <c r="C151" s="19" t="s">
        <v>72</v>
      </c>
      <c r="D151" s="20"/>
      <c r="E151" s="3">
        <v>1901827.32</v>
      </c>
      <c r="F151" s="24">
        <v>0</v>
      </c>
      <c r="G151" s="26">
        <f t="shared" si="2"/>
        <v>0</v>
      </c>
      <c r="H151" t="s">
        <v>1806</v>
      </c>
      <c r="K151" t="s">
        <v>1809</v>
      </c>
      <c r="L151" t="s">
        <v>1816</v>
      </c>
      <c r="M151">
        <v>339</v>
      </c>
    </row>
    <row r="152" spans="1:13">
      <c r="A152" s="13" t="s">
        <v>172</v>
      </c>
      <c r="B152" s="22" t="s">
        <v>173</v>
      </c>
      <c r="C152" s="15" t="s">
        <v>73</v>
      </c>
      <c r="D152" s="16"/>
      <c r="E152" s="2">
        <v>1901827.32</v>
      </c>
      <c r="F152" s="23">
        <v>0.79957877563773772</v>
      </c>
      <c r="G152" s="26">
        <f t="shared" si="2"/>
        <v>1520660.76</v>
      </c>
      <c r="H152" t="s">
        <v>1806</v>
      </c>
      <c r="K152" t="s">
        <v>1809</v>
      </c>
      <c r="L152" t="s">
        <v>1816</v>
      </c>
    </row>
    <row r="153" spans="1:13">
      <c r="A153" s="19" t="s">
        <v>172</v>
      </c>
      <c r="B153" s="20" t="s">
        <v>173</v>
      </c>
      <c r="C153" s="19" t="s">
        <v>74</v>
      </c>
      <c r="D153" s="20"/>
      <c r="E153" s="3">
        <v>1901827.32</v>
      </c>
      <c r="F153" s="24">
        <v>0.20042122436226228</v>
      </c>
      <c r="G153" s="26">
        <f t="shared" si="2"/>
        <v>381166.56</v>
      </c>
      <c r="H153" t="s">
        <v>1806</v>
      </c>
      <c r="K153" t="s">
        <v>1809</v>
      </c>
      <c r="L153" t="s">
        <v>1816</v>
      </c>
    </row>
    <row r="154" spans="1:13">
      <c r="A154" s="13" t="s">
        <v>174</v>
      </c>
      <c r="B154" s="14" t="s">
        <v>175</v>
      </c>
      <c r="C154" s="15" t="s">
        <v>72</v>
      </c>
      <c r="D154" s="16"/>
      <c r="E154" s="2">
        <v>728694.6</v>
      </c>
      <c r="F154" s="23">
        <v>6.9793298866219124E-4</v>
      </c>
      <c r="G154" s="26">
        <f t="shared" si="2"/>
        <v>508.58</v>
      </c>
      <c r="H154" t="s">
        <v>1806</v>
      </c>
      <c r="M154">
        <v>42</v>
      </c>
    </row>
    <row r="155" spans="1:13">
      <c r="A155" s="17" t="s">
        <v>174</v>
      </c>
      <c r="B155" s="18" t="s">
        <v>175</v>
      </c>
      <c r="C155" s="19" t="s">
        <v>73</v>
      </c>
      <c r="D155" s="20"/>
      <c r="E155" s="3">
        <v>728694.6</v>
      </c>
      <c r="F155" s="24">
        <v>0.72035006160331083</v>
      </c>
      <c r="G155" s="26">
        <f t="shared" si="2"/>
        <v>524915.19999999995</v>
      </c>
      <c r="H155" t="s">
        <v>1806</v>
      </c>
    </row>
    <row r="156" spans="1:13">
      <c r="A156" s="15" t="s">
        <v>174</v>
      </c>
      <c r="B156" s="16" t="s">
        <v>175</v>
      </c>
      <c r="C156" s="15" t="s">
        <v>74</v>
      </c>
      <c r="D156" s="16"/>
      <c r="E156" s="2">
        <v>728694.6</v>
      </c>
      <c r="F156" s="23">
        <v>0.27895200540802689</v>
      </c>
      <c r="G156" s="26">
        <f t="shared" si="2"/>
        <v>203270.81999999998</v>
      </c>
      <c r="H156" t="s">
        <v>1806</v>
      </c>
    </row>
    <row r="157" spans="1:13">
      <c r="A157" s="17" t="s">
        <v>176</v>
      </c>
      <c r="B157" s="21" t="s">
        <v>177</v>
      </c>
      <c r="C157" s="19" t="s">
        <v>72</v>
      </c>
      <c r="D157" s="20"/>
      <c r="E157" s="3">
        <v>2445648.89</v>
      </c>
      <c r="F157" s="24">
        <v>0</v>
      </c>
      <c r="G157" s="26">
        <f t="shared" si="2"/>
        <v>0</v>
      </c>
      <c r="H157" t="s">
        <v>1806</v>
      </c>
      <c r="K157" t="s">
        <v>1809</v>
      </c>
      <c r="L157" t="s">
        <v>1814</v>
      </c>
      <c r="M157">
        <v>160</v>
      </c>
    </row>
    <row r="158" spans="1:13">
      <c r="A158" s="13" t="s">
        <v>176</v>
      </c>
      <c r="B158" s="22" t="s">
        <v>177</v>
      </c>
      <c r="C158" s="15" t="s">
        <v>73</v>
      </c>
      <c r="D158" s="16"/>
      <c r="E158" s="2">
        <v>2445648.89</v>
      </c>
      <c r="F158" s="23">
        <v>0.85890210920668997</v>
      </c>
      <c r="G158" s="26">
        <f t="shared" si="2"/>
        <v>2100572.9900000002</v>
      </c>
      <c r="H158" t="s">
        <v>1806</v>
      </c>
      <c r="K158" t="s">
        <v>1809</v>
      </c>
      <c r="L158" t="s">
        <v>1814</v>
      </c>
    </row>
    <row r="159" spans="1:13">
      <c r="A159" s="19" t="s">
        <v>176</v>
      </c>
      <c r="B159" s="20" t="s">
        <v>177</v>
      </c>
      <c r="C159" s="19" t="s">
        <v>74</v>
      </c>
      <c r="D159" s="20"/>
      <c r="E159" s="3">
        <v>2445648.89</v>
      </c>
      <c r="F159" s="24">
        <v>0.14109789079331009</v>
      </c>
      <c r="G159" s="26">
        <f t="shared" si="2"/>
        <v>345075.90000000008</v>
      </c>
      <c r="H159" t="s">
        <v>1806</v>
      </c>
      <c r="K159" t="s">
        <v>1809</v>
      </c>
      <c r="L159" t="s">
        <v>1814</v>
      </c>
    </row>
    <row r="160" spans="1:13">
      <c r="A160" s="13" t="s">
        <v>178</v>
      </c>
      <c r="B160" s="14" t="s">
        <v>179</v>
      </c>
      <c r="C160" s="15" t="s">
        <v>72</v>
      </c>
      <c r="D160" s="16"/>
      <c r="E160" s="2">
        <v>479588.19</v>
      </c>
      <c r="F160" s="23">
        <v>1.3107516263067279E-2</v>
      </c>
      <c r="G160" s="26">
        <f t="shared" si="2"/>
        <v>6286.21</v>
      </c>
      <c r="H160" t="s">
        <v>1806</v>
      </c>
      <c r="K160" t="s">
        <v>1809</v>
      </c>
      <c r="L160" t="s">
        <v>1814</v>
      </c>
      <c r="M160">
        <v>40</v>
      </c>
    </row>
    <row r="161" spans="1:13">
      <c r="A161" s="17" t="s">
        <v>178</v>
      </c>
      <c r="B161" s="18" t="s">
        <v>179</v>
      </c>
      <c r="C161" s="19" t="s">
        <v>73</v>
      </c>
      <c r="D161" s="20"/>
      <c r="E161" s="3">
        <v>479588.19</v>
      </c>
      <c r="F161" s="24">
        <v>0.51506993948287172</v>
      </c>
      <c r="G161" s="26">
        <f t="shared" si="2"/>
        <v>247021.46</v>
      </c>
      <c r="H161" t="s">
        <v>1806</v>
      </c>
      <c r="K161" t="s">
        <v>1809</v>
      </c>
      <c r="L161" t="s">
        <v>1814</v>
      </c>
    </row>
    <row r="162" spans="1:13">
      <c r="A162" s="15" t="s">
        <v>178</v>
      </c>
      <c r="B162" s="16" t="s">
        <v>179</v>
      </c>
      <c r="C162" s="15" t="s">
        <v>74</v>
      </c>
      <c r="D162" s="16"/>
      <c r="E162" s="2">
        <v>479588.19</v>
      </c>
      <c r="F162" s="23">
        <v>0.47182254425406095</v>
      </c>
      <c r="G162" s="26">
        <f t="shared" si="2"/>
        <v>226280.52</v>
      </c>
      <c r="H162" t="s">
        <v>1806</v>
      </c>
      <c r="K162" t="s">
        <v>1809</v>
      </c>
      <c r="L162" t="s">
        <v>1814</v>
      </c>
    </row>
    <row r="163" spans="1:13">
      <c r="A163" s="17" t="s">
        <v>180</v>
      </c>
      <c r="B163" s="21" t="s">
        <v>181</v>
      </c>
      <c r="C163" s="19" t="s">
        <v>72</v>
      </c>
      <c r="D163" s="20"/>
      <c r="E163" s="3">
        <v>1689004.98</v>
      </c>
      <c r="F163" s="24">
        <v>2.4683142142067571E-2</v>
      </c>
      <c r="G163" s="26">
        <f t="shared" si="2"/>
        <v>41689.949999999997</v>
      </c>
      <c r="H163" t="s">
        <v>1806</v>
      </c>
      <c r="K163" t="s">
        <v>1809</v>
      </c>
      <c r="L163" t="s">
        <v>1814</v>
      </c>
      <c r="M163">
        <v>45</v>
      </c>
    </row>
    <row r="164" spans="1:13">
      <c r="A164" s="13" t="s">
        <v>180</v>
      </c>
      <c r="B164" s="22" t="s">
        <v>181</v>
      </c>
      <c r="C164" s="15" t="s">
        <v>73</v>
      </c>
      <c r="D164" s="16"/>
      <c r="E164" s="2">
        <v>1689004.98</v>
      </c>
      <c r="F164" s="23">
        <v>0.79769748813884489</v>
      </c>
      <c r="G164" s="26">
        <f t="shared" si="2"/>
        <v>1347315.03</v>
      </c>
      <c r="H164" t="s">
        <v>1806</v>
      </c>
      <c r="K164" t="s">
        <v>1809</v>
      </c>
      <c r="L164" t="s">
        <v>1814</v>
      </c>
    </row>
    <row r="165" spans="1:13">
      <c r="A165" s="19" t="s">
        <v>180</v>
      </c>
      <c r="B165" s="20" t="s">
        <v>181</v>
      </c>
      <c r="C165" s="19" t="s">
        <v>74</v>
      </c>
      <c r="D165" s="20"/>
      <c r="E165" s="3">
        <v>1689004.98</v>
      </c>
      <c r="F165" s="24">
        <v>0.17761936971908751</v>
      </c>
      <c r="G165" s="26">
        <f t="shared" si="2"/>
        <v>300000</v>
      </c>
      <c r="H165" t="s">
        <v>1806</v>
      </c>
      <c r="K165" t="s">
        <v>1809</v>
      </c>
      <c r="L165" t="s">
        <v>1814</v>
      </c>
    </row>
    <row r="166" spans="1:13">
      <c r="A166" s="27" t="s">
        <v>182</v>
      </c>
      <c r="B166" s="28" t="s">
        <v>183</v>
      </c>
      <c r="C166" s="29" t="s">
        <v>72</v>
      </c>
      <c r="D166" s="30"/>
      <c r="E166" s="31">
        <v>0</v>
      </c>
      <c r="F166" s="32" t="s">
        <v>761</v>
      </c>
      <c r="G166" s="31">
        <v>0</v>
      </c>
      <c r="H166" s="34" t="s">
        <v>1806</v>
      </c>
      <c r="I166" s="34"/>
      <c r="J166" s="34"/>
      <c r="K166" s="34"/>
      <c r="L166" s="34"/>
      <c r="M166" s="34">
        <v>641</v>
      </c>
    </row>
    <row r="167" spans="1:13">
      <c r="A167" s="27" t="s">
        <v>182</v>
      </c>
      <c r="B167" s="35" t="s">
        <v>183</v>
      </c>
      <c r="C167" s="29" t="s">
        <v>73</v>
      </c>
      <c r="D167" s="30"/>
      <c r="E167" s="31">
        <v>4180342.98</v>
      </c>
      <c r="F167" s="32" t="s">
        <v>761</v>
      </c>
      <c r="G167" s="31">
        <v>4180342.98</v>
      </c>
      <c r="H167" s="34" t="s">
        <v>1806</v>
      </c>
      <c r="I167" s="34"/>
      <c r="J167" s="34"/>
      <c r="K167" s="34"/>
      <c r="L167" s="34"/>
      <c r="M167" s="34"/>
    </row>
    <row r="168" spans="1:13">
      <c r="A168" s="29" t="s">
        <v>182</v>
      </c>
      <c r="B168" s="30" t="s">
        <v>183</v>
      </c>
      <c r="C168" s="29" t="s">
        <v>74</v>
      </c>
      <c r="D168" s="30"/>
      <c r="E168" s="42">
        <v>0</v>
      </c>
      <c r="F168" s="32" t="s">
        <v>761</v>
      </c>
      <c r="G168" s="42">
        <v>0</v>
      </c>
      <c r="H168" s="34" t="s">
        <v>1806</v>
      </c>
      <c r="I168" s="34"/>
      <c r="J168" s="34"/>
      <c r="K168" s="34"/>
      <c r="L168" s="34"/>
      <c r="M168" s="34"/>
    </row>
    <row r="169" spans="1:13">
      <c r="A169" s="27" t="s">
        <v>184</v>
      </c>
      <c r="B169" s="28" t="s">
        <v>185</v>
      </c>
      <c r="C169" s="29" t="s">
        <v>72</v>
      </c>
      <c r="D169" s="30"/>
      <c r="E169" s="31">
        <v>0</v>
      </c>
      <c r="F169" s="32" t="s">
        <v>761</v>
      </c>
      <c r="G169" s="31">
        <v>0</v>
      </c>
      <c r="H169" s="34" t="s">
        <v>1806</v>
      </c>
      <c r="I169" s="34"/>
      <c r="J169" s="34"/>
      <c r="K169" s="34"/>
      <c r="L169" s="34"/>
      <c r="M169" s="34">
        <v>576</v>
      </c>
    </row>
    <row r="170" spans="1:13">
      <c r="A170" s="27" t="s">
        <v>184</v>
      </c>
      <c r="B170" s="35" t="s">
        <v>185</v>
      </c>
      <c r="C170" s="29" t="s">
        <v>73</v>
      </c>
      <c r="D170" s="30"/>
      <c r="E170" s="31">
        <v>3763530.03</v>
      </c>
      <c r="F170" s="32" t="s">
        <v>761</v>
      </c>
      <c r="G170" s="31">
        <v>3763530.03</v>
      </c>
      <c r="H170" s="34" t="s">
        <v>1806</v>
      </c>
      <c r="I170" s="34"/>
      <c r="J170" s="34"/>
      <c r="K170" s="34"/>
      <c r="L170" s="34"/>
      <c r="M170" s="34"/>
    </row>
    <row r="171" spans="1:13">
      <c r="A171" s="29" t="s">
        <v>184</v>
      </c>
      <c r="B171" s="30" t="s">
        <v>185</v>
      </c>
      <c r="C171" s="29" t="s">
        <v>74</v>
      </c>
      <c r="D171" s="30"/>
      <c r="E171" s="42">
        <v>0</v>
      </c>
      <c r="F171" s="32" t="s">
        <v>761</v>
      </c>
      <c r="G171" s="42">
        <v>0</v>
      </c>
      <c r="H171" s="34" t="s">
        <v>1806</v>
      </c>
      <c r="I171" s="34"/>
      <c r="J171" s="34"/>
      <c r="K171" s="34"/>
      <c r="L171" s="34"/>
      <c r="M171" s="34"/>
    </row>
    <row r="172" spans="1:13">
      <c r="A172" s="13" t="s">
        <v>186</v>
      </c>
      <c r="B172" s="14" t="s">
        <v>187</v>
      </c>
      <c r="C172" s="15" t="s">
        <v>72</v>
      </c>
      <c r="D172" s="16"/>
      <c r="E172" s="2">
        <v>2476348.7400000002</v>
      </c>
      <c r="F172" s="23">
        <v>1.1386158800880362E-3</v>
      </c>
      <c r="G172" s="26">
        <f t="shared" si="2"/>
        <v>2819.6099999999997</v>
      </c>
      <c r="H172" t="s">
        <v>1806</v>
      </c>
      <c r="M172">
        <v>325</v>
      </c>
    </row>
    <row r="173" spans="1:13">
      <c r="A173" s="17" t="s">
        <v>186</v>
      </c>
      <c r="B173" s="18" t="s">
        <v>187</v>
      </c>
      <c r="C173" s="19" t="s">
        <v>73</v>
      </c>
      <c r="D173" s="20"/>
      <c r="E173" s="3">
        <v>2476348.7400000002</v>
      </c>
      <c r="F173" s="24">
        <v>0.87954130402489261</v>
      </c>
      <c r="G173" s="26">
        <f t="shared" si="2"/>
        <v>2178051</v>
      </c>
      <c r="H173" t="s">
        <v>1806</v>
      </c>
    </row>
    <row r="174" spans="1:13">
      <c r="A174" s="15" t="s">
        <v>186</v>
      </c>
      <c r="B174" s="16" t="s">
        <v>187</v>
      </c>
      <c r="C174" s="15" t="s">
        <v>74</v>
      </c>
      <c r="D174" s="16"/>
      <c r="E174" s="2">
        <v>2476348.7400000002</v>
      </c>
      <c r="F174" s="23">
        <v>0.11932008009501924</v>
      </c>
      <c r="G174" s="26">
        <f t="shared" si="2"/>
        <v>295478.13</v>
      </c>
      <c r="H174" t="s">
        <v>1806</v>
      </c>
    </row>
    <row r="175" spans="1:13">
      <c r="A175" s="17" t="s">
        <v>188</v>
      </c>
      <c r="B175" s="21" t="s">
        <v>189</v>
      </c>
      <c r="C175" s="19" t="s">
        <v>72</v>
      </c>
      <c r="D175" s="20"/>
      <c r="E175" s="3">
        <v>1450154.8</v>
      </c>
      <c r="F175" s="24">
        <v>4.3871040526156238E-3</v>
      </c>
      <c r="G175" s="26">
        <f t="shared" si="2"/>
        <v>6361.98</v>
      </c>
      <c r="H175" t="s">
        <v>1806</v>
      </c>
      <c r="M175">
        <v>161</v>
      </c>
    </row>
    <row r="176" spans="1:13">
      <c r="A176" s="13" t="s">
        <v>188</v>
      </c>
      <c r="B176" s="22" t="s">
        <v>189</v>
      </c>
      <c r="C176" s="15" t="s">
        <v>73</v>
      </c>
      <c r="D176" s="16"/>
      <c r="E176" s="2">
        <v>1450154.8</v>
      </c>
      <c r="F176" s="23">
        <v>0.65121844923038563</v>
      </c>
      <c r="G176" s="26">
        <f t="shared" si="2"/>
        <v>944367.56</v>
      </c>
      <c r="H176" t="s">
        <v>1806</v>
      </c>
    </row>
    <row r="177" spans="1:13">
      <c r="A177" s="19" t="s">
        <v>188</v>
      </c>
      <c r="B177" s="20" t="s">
        <v>189</v>
      </c>
      <c r="C177" s="19" t="s">
        <v>74</v>
      </c>
      <c r="D177" s="20"/>
      <c r="E177" s="3">
        <v>1450154.8</v>
      </c>
      <c r="F177" s="24">
        <v>0.34439444671699876</v>
      </c>
      <c r="G177" s="26">
        <f t="shared" si="2"/>
        <v>499425.26</v>
      </c>
      <c r="H177" t="s">
        <v>1806</v>
      </c>
    </row>
    <row r="178" spans="1:13">
      <c r="A178" s="13" t="s">
        <v>190</v>
      </c>
      <c r="B178" s="14" t="s">
        <v>191</v>
      </c>
      <c r="C178" s="15" t="s">
        <v>72</v>
      </c>
      <c r="D178" s="16"/>
      <c r="E178" s="2">
        <v>4484235.68</v>
      </c>
      <c r="F178" s="23">
        <v>5.0200305261386259E-4</v>
      </c>
      <c r="G178" s="26">
        <f t="shared" si="2"/>
        <v>2251.1</v>
      </c>
      <c r="H178" t="s">
        <v>1806</v>
      </c>
      <c r="M178">
        <v>598</v>
      </c>
    </row>
    <row r="179" spans="1:13">
      <c r="A179" s="17" t="s">
        <v>190</v>
      </c>
      <c r="B179" s="18" t="s">
        <v>191</v>
      </c>
      <c r="C179" s="19" t="s">
        <v>73</v>
      </c>
      <c r="D179" s="20"/>
      <c r="E179" s="3">
        <v>4484235.68</v>
      </c>
      <c r="F179" s="24">
        <v>0.85045115425333762</v>
      </c>
      <c r="G179" s="26">
        <f t="shared" si="2"/>
        <v>3813623.41</v>
      </c>
      <c r="H179" t="s">
        <v>1806</v>
      </c>
    </row>
    <row r="180" spans="1:13">
      <c r="A180" s="15" t="s">
        <v>190</v>
      </c>
      <c r="B180" s="16" t="s">
        <v>191</v>
      </c>
      <c r="C180" s="15" t="s">
        <v>74</v>
      </c>
      <c r="D180" s="16"/>
      <c r="E180" s="2">
        <v>4484235.68</v>
      </c>
      <c r="F180" s="23">
        <v>0.14904684269404861</v>
      </c>
      <c r="G180" s="26">
        <f t="shared" si="2"/>
        <v>668361.17000000004</v>
      </c>
      <c r="H180" t="s">
        <v>1806</v>
      </c>
    </row>
    <row r="181" spans="1:13">
      <c r="A181" s="17" t="s">
        <v>192</v>
      </c>
      <c r="B181" s="21" t="s">
        <v>193</v>
      </c>
      <c r="C181" s="19" t="s">
        <v>72</v>
      </c>
      <c r="D181" s="20"/>
      <c r="E181" s="3">
        <v>3401211.28</v>
      </c>
      <c r="F181" s="24">
        <v>7.1861457545207251E-4</v>
      </c>
      <c r="G181" s="26">
        <f t="shared" si="2"/>
        <v>2444.16</v>
      </c>
      <c r="H181" t="s">
        <v>1806</v>
      </c>
      <c r="M181">
        <v>488</v>
      </c>
    </row>
    <row r="182" spans="1:13">
      <c r="A182" s="13" t="s">
        <v>192</v>
      </c>
      <c r="B182" s="22" t="s">
        <v>193</v>
      </c>
      <c r="C182" s="15" t="s">
        <v>73</v>
      </c>
      <c r="D182" s="16"/>
      <c r="E182" s="2">
        <v>3401211.28</v>
      </c>
      <c r="F182" s="23">
        <v>0.89213177900550777</v>
      </c>
      <c r="G182" s="26">
        <f t="shared" si="2"/>
        <v>3034328.67</v>
      </c>
      <c r="H182" t="s">
        <v>1806</v>
      </c>
    </row>
    <row r="183" spans="1:13">
      <c r="A183" s="19" t="s">
        <v>192</v>
      </c>
      <c r="B183" s="20" t="s">
        <v>193</v>
      </c>
      <c r="C183" s="19" t="s">
        <v>74</v>
      </c>
      <c r="D183" s="20"/>
      <c r="E183" s="3">
        <v>3401211.28</v>
      </c>
      <c r="F183" s="24">
        <v>0.10714960641904023</v>
      </c>
      <c r="G183" s="26">
        <f t="shared" si="2"/>
        <v>364438.45</v>
      </c>
      <c r="H183" t="s">
        <v>1806</v>
      </c>
    </row>
    <row r="184" spans="1:13">
      <c r="A184" s="27" t="s">
        <v>194</v>
      </c>
      <c r="B184" s="28" t="s">
        <v>195</v>
      </c>
      <c r="C184" s="29" t="s">
        <v>72</v>
      </c>
      <c r="D184" s="30"/>
      <c r="E184" s="31">
        <v>0</v>
      </c>
      <c r="F184" s="32" t="s">
        <v>761</v>
      </c>
      <c r="G184" s="31">
        <v>0</v>
      </c>
      <c r="H184" s="34" t="s">
        <v>1806</v>
      </c>
      <c r="I184" s="34"/>
      <c r="J184" s="34"/>
      <c r="K184" s="34"/>
      <c r="L184" s="34"/>
      <c r="M184" s="34">
        <v>558</v>
      </c>
    </row>
    <row r="185" spans="1:13">
      <c r="A185" s="27" t="s">
        <v>194</v>
      </c>
      <c r="B185" s="35" t="s">
        <v>195</v>
      </c>
      <c r="C185" s="29" t="s">
        <v>73</v>
      </c>
      <c r="D185" s="30"/>
      <c r="E185" s="31">
        <v>3519361.23</v>
      </c>
      <c r="F185" s="32" t="s">
        <v>761</v>
      </c>
      <c r="G185" s="31">
        <v>3519361.23</v>
      </c>
      <c r="H185" s="34" t="s">
        <v>1806</v>
      </c>
      <c r="I185" s="34"/>
      <c r="J185" s="34"/>
      <c r="K185" s="34"/>
      <c r="L185" s="34"/>
      <c r="M185" s="34"/>
    </row>
    <row r="186" spans="1:13">
      <c r="A186" s="29" t="s">
        <v>194</v>
      </c>
      <c r="B186" s="30" t="s">
        <v>195</v>
      </c>
      <c r="C186" s="29" t="s">
        <v>74</v>
      </c>
      <c r="D186" s="30"/>
      <c r="E186" s="42">
        <v>0</v>
      </c>
      <c r="F186" s="32" t="s">
        <v>761</v>
      </c>
      <c r="G186" s="42">
        <v>0</v>
      </c>
      <c r="H186" s="34" t="s">
        <v>1806</v>
      </c>
      <c r="I186" s="34"/>
      <c r="J186" s="34"/>
      <c r="K186" s="34"/>
      <c r="L186" s="34"/>
      <c r="M186" s="34"/>
    </row>
    <row r="187" spans="1:13">
      <c r="A187" s="27" t="s">
        <v>196</v>
      </c>
      <c r="B187" s="28" t="s">
        <v>197</v>
      </c>
      <c r="C187" s="29" t="s">
        <v>72</v>
      </c>
      <c r="D187" s="30"/>
      <c r="E187" s="31">
        <v>0</v>
      </c>
      <c r="F187" s="32" t="s">
        <v>761</v>
      </c>
      <c r="G187" s="31">
        <v>0</v>
      </c>
      <c r="H187" s="34" t="s">
        <v>1806</v>
      </c>
      <c r="I187" s="34"/>
      <c r="J187" s="34"/>
      <c r="K187" s="34" t="s">
        <v>1809</v>
      </c>
      <c r="L187" s="34" t="s">
        <v>1816</v>
      </c>
      <c r="M187" s="34">
        <v>616</v>
      </c>
    </row>
    <row r="188" spans="1:13">
      <c r="A188" s="27" t="s">
        <v>196</v>
      </c>
      <c r="B188" s="35" t="s">
        <v>197</v>
      </c>
      <c r="C188" s="29" t="s">
        <v>73</v>
      </c>
      <c r="D188" s="30"/>
      <c r="E188" s="31">
        <v>4003679.25</v>
      </c>
      <c r="F188" s="32" t="s">
        <v>761</v>
      </c>
      <c r="G188" s="31">
        <v>4003679.25</v>
      </c>
      <c r="H188" s="34" t="s">
        <v>1806</v>
      </c>
      <c r="I188" s="34"/>
      <c r="J188" s="34"/>
      <c r="K188" s="34" t="s">
        <v>1809</v>
      </c>
      <c r="L188" s="34" t="s">
        <v>1816</v>
      </c>
      <c r="M188" s="34"/>
    </row>
    <row r="189" spans="1:13">
      <c r="A189" s="29" t="s">
        <v>196</v>
      </c>
      <c r="B189" s="30" t="s">
        <v>197</v>
      </c>
      <c r="C189" s="29" t="s">
        <v>74</v>
      </c>
      <c r="D189" s="30"/>
      <c r="E189" s="42">
        <v>0</v>
      </c>
      <c r="F189" s="32" t="s">
        <v>761</v>
      </c>
      <c r="G189" s="42">
        <v>0</v>
      </c>
      <c r="H189" s="34" t="s">
        <v>1806</v>
      </c>
      <c r="I189" s="34"/>
      <c r="J189" s="34"/>
      <c r="K189" s="34" t="s">
        <v>1809</v>
      </c>
      <c r="L189" s="34" t="s">
        <v>1816</v>
      </c>
      <c r="M189" s="34"/>
    </row>
    <row r="190" spans="1:13">
      <c r="A190" s="13" t="s">
        <v>198</v>
      </c>
      <c r="B190" s="14" t="s">
        <v>199</v>
      </c>
      <c r="C190" s="15" t="s">
        <v>72</v>
      </c>
      <c r="D190" s="16"/>
      <c r="E190" s="2">
        <v>8436970.4700000007</v>
      </c>
      <c r="F190" s="23">
        <v>4.1608466125163529E-3</v>
      </c>
      <c r="G190" s="26">
        <f t="shared" si="2"/>
        <v>35104.94</v>
      </c>
      <c r="H190" t="s">
        <v>1806</v>
      </c>
      <c r="K190" t="s">
        <v>1809</v>
      </c>
      <c r="L190" t="s">
        <v>1814</v>
      </c>
      <c r="M190">
        <v>873</v>
      </c>
    </row>
    <row r="191" spans="1:13">
      <c r="A191" s="17" t="s">
        <v>198</v>
      </c>
      <c r="B191" s="18" t="s">
        <v>199</v>
      </c>
      <c r="C191" s="19" t="s">
        <v>73</v>
      </c>
      <c r="D191" s="20"/>
      <c r="E191" s="3">
        <v>8436970.4700000007</v>
      </c>
      <c r="F191" s="24">
        <v>0.94366045351347538</v>
      </c>
      <c r="G191" s="26">
        <f t="shared" si="2"/>
        <v>7961635.3799999999</v>
      </c>
      <c r="H191" t="s">
        <v>1806</v>
      </c>
      <c r="K191" t="s">
        <v>1809</v>
      </c>
      <c r="L191" t="s">
        <v>1814</v>
      </c>
    </row>
    <row r="192" spans="1:13">
      <c r="A192" s="15" t="s">
        <v>198</v>
      </c>
      <c r="B192" s="16" t="s">
        <v>199</v>
      </c>
      <c r="C192" s="15" t="s">
        <v>74</v>
      </c>
      <c r="D192" s="16"/>
      <c r="E192" s="2">
        <v>8436970.4700000007</v>
      </c>
      <c r="F192" s="23">
        <v>5.2178699874008208E-2</v>
      </c>
      <c r="G192" s="26">
        <f t="shared" si="2"/>
        <v>440230.15</v>
      </c>
      <c r="H192" t="s">
        <v>1806</v>
      </c>
      <c r="K192" t="s">
        <v>1809</v>
      </c>
      <c r="L192" t="s">
        <v>1814</v>
      </c>
    </row>
    <row r="193" spans="1:13">
      <c r="A193" s="17" t="s">
        <v>200</v>
      </c>
      <c r="B193" s="21" t="s">
        <v>201</v>
      </c>
      <c r="C193" s="19" t="s">
        <v>72</v>
      </c>
      <c r="D193" s="20"/>
      <c r="E193" s="3">
        <v>1974056.5</v>
      </c>
      <c r="F193" s="24">
        <v>1.1291490390472614E-2</v>
      </c>
      <c r="G193" s="26">
        <f t="shared" si="2"/>
        <v>22290.04</v>
      </c>
      <c r="H193" t="s">
        <v>1806</v>
      </c>
      <c r="M193">
        <v>272</v>
      </c>
    </row>
    <row r="194" spans="1:13">
      <c r="A194" s="13" t="s">
        <v>200</v>
      </c>
      <c r="B194" s="22" t="s">
        <v>201</v>
      </c>
      <c r="C194" s="15" t="s">
        <v>73</v>
      </c>
      <c r="D194" s="16"/>
      <c r="E194" s="2">
        <v>1974056.5</v>
      </c>
      <c r="F194" s="23">
        <v>0.9253068288572287</v>
      </c>
      <c r="G194" s="26">
        <f t="shared" si="2"/>
        <v>1826607.96</v>
      </c>
      <c r="H194" t="s">
        <v>1806</v>
      </c>
    </row>
    <row r="195" spans="1:13">
      <c r="A195" s="19" t="s">
        <v>200</v>
      </c>
      <c r="B195" s="20" t="s">
        <v>201</v>
      </c>
      <c r="C195" s="19" t="s">
        <v>74</v>
      </c>
      <c r="D195" s="20"/>
      <c r="E195" s="3">
        <v>1974056.5</v>
      </c>
      <c r="F195" s="24">
        <v>6.3401680752298628E-2</v>
      </c>
      <c r="G195" s="26">
        <f t="shared" si="2"/>
        <v>125158.5</v>
      </c>
      <c r="H195" t="s">
        <v>1806</v>
      </c>
    </row>
    <row r="196" spans="1:13">
      <c r="A196" s="13" t="s">
        <v>202</v>
      </c>
      <c r="B196" s="14" t="s">
        <v>203</v>
      </c>
      <c r="C196" s="15" t="s">
        <v>72</v>
      </c>
      <c r="D196" s="16"/>
      <c r="E196" s="2">
        <v>3233072.73</v>
      </c>
      <c r="F196" s="23">
        <v>3.1134870263187673E-3</v>
      </c>
      <c r="G196" s="26">
        <f t="shared" si="2"/>
        <v>10066.129999999999</v>
      </c>
      <c r="H196" t="s">
        <v>1806</v>
      </c>
      <c r="K196" t="s">
        <v>1809</v>
      </c>
      <c r="L196" t="s">
        <v>1814</v>
      </c>
      <c r="M196">
        <v>352</v>
      </c>
    </row>
    <row r="197" spans="1:13">
      <c r="A197" s="17" t="s">
        <v>202</v>
      </c>
      <c r="B197" s="18" t="s">
        <v>203</v>
      </c>
      <c r="C197" s="19" t="s">
        <v>73</v>
      </c>
      <c r="D197" s="20"/>
      <c r="E197" s="3">
        <v>3233072.73</v>
      </c>
      <c r="F197" s="24">
        <v>0.75904479575379047</v>
      </c>
      <c r="G197" s="26">
        <f t="shared" ref="G197:G260" si="3">F197*E197</f>
        <v>2454047.0299999998</v>
      </c>
      <c r="H197" t="s">
        <v>1806</v>
      </c>
      <c r="K197" t="s">
        <v>1809</v>
      </c>
      <c r="L197" t="s">
        <v>1814</v>
      </c>
    </row>
    <row r="198" spans="1:13">
      <c r="A198" s="15" t="s">
        <v>202</v>
      </c>
      <c r="B198" s="16" t="s">
        <v>203</v>
      </c>
      <c r="C198" s="15" t="s">
        <v>74</v>
      </c>
      <c r="D198" s="16"/>
      <c r="E198" s="2">
        <v>3233072.73</v>
      </c>
      <c r="F198" s="23">
        <v>0.23784171721989067</v>
      </c>
      <c r="G198" s="26">
        <f t="shared" si="3"/>
        <v>768959.57</v>
      </c>
      <c r="H198" t="s">
        <v>1806</v>
      </c>
      <c r="K198" t="s">
        <v>1809</v>
      </c>
      <c r="L198" t="s">
        <v>1814</v>
      </c>
    </row>
    <row r="199" spans="1:13">
      <c r="A199" s="17" t="s">
        <v>204</v>
      </c>
      <c r="B199" s="21" t="s">
        <v>375</v>
      </c>
      <c r="C199" s="19" t="s">
        <v>72</v>
      </c>
      <c r="D199" s="20"/>
      <c r="E199" s="3">
        <v>1435513.58</v>
      </c>
      <c r="F199" s="24">
        <v>0</v>
      </c>
      <c r="G199" s="26">
        <f t="shared" si="3"/>
        <v>0</v>
      </c>
      <c r="H199" t="s">
        <v>1806</v>
      </c>
      <c r="M199">
        <v>167</v>
      </c>
    </row>
    <row r="200" spans="1:13">
      <c r="A200" s="13" t="s">
        <v>204</v>
      </c>
      <c r="B200" s="22" t="s">
        <v>375</v>
      </c>
      <c r="C200" s="15" t="s">
        <v>73</v>
      </c>
      <c r="D200" s="16"/>
      <c r="E200" s="2">
        <v>1435513.58</v>
      </c>
      <c r="F200" s="23">
        <v>0.68147250129114068</v>
      </c>
      <c r="G200" s="26">
        <f t="shared" si="3"/>
        <v>978263.03</v>
      </c>
      <c r="H200" t="s">
        <v>1806</v>
      </c>
    </row>
    <row r="201" spans="1:13">
      <c r="A201" s="19" t="s">
        <v>204</v>
      </c>
      <c r="B201" s="20" t="s">
        <v>375</v>
      </c>
      <c r="C201" s="19" t="s">
        <v>74</v>
      </c>
      <c r="D201" s="20"/>
      <c r="E201" s="3">
        <v>1435513.58</v>
      </c>
      <c r="F201" s="24">
        <v>0.31852749870885927</v>
      </c>
      <c r="G201" s="26">
        <f t="shared" si="3"/>
        <v>457250.55</v>
      </c>
      <c r="H201" t="s">
        <v>1806</v>
      </c>
    </row>
    <row r="202" spans="1:13">
      <c r="A202" s="27" t="s">
        <v>376</v>
      </c>
      <c r="B202" s="28" t="s">
        <v>377</v>
      </c>
      <c r="C202" s="29" t="s">
        <v>72</v>
      </c>
      <c r="D202" s="30"/>
      <c r="E202" s="31">
        <v>0</v>
      </c>
      <c r="F202" s="32" t="s">
        <v>761</v>
      </c>
      <c r="G202" s="31">
        <v>0</v>
      </c>
      <c r="H202" s="34" t="s">
        <v>1806</v>
      </c>
      <c r="I202" s="34"/>
      <c r="J202" s="34"/>
      <c r="K202" s="34" t="s">
        <v>1810</v>
      </c>
      <c r="L202" s="34" t="s">
        <v>1812</v>
      </c>
      <c r="M202" s="34">
        <v>388</v>
      </c>
    </row>
    <row r="203" spans="1:13">
      <c r="A203" s="27" t="s">
        <v>376</v>
      </c>
      <c r="B203" s="35" t="s">
        <v>377</v>
      </c>
      <c r="C203" s="29" t="s">
        <v>73</v>
      </c>
      <c r="D203" s="30"/>
      <c r="E203" s="31">
        <v>2697486.51</v>
      </c>
      <c r="F203" s="32" t="s">
        <v>761</v>
      </c>
      <c r="G203" s="31">
        <v>2697486.51</v>
      </c>
      <c r="H203" s="34" t="s">
        <v>1806</v>
      </c>
      <c r="I203" s="34"/>
      <c r="J203" s="34"/>
      <c r="K203" s="34" t="s">
        <v>1810</v>
      </c>
      <c r="L203" s="34" t="s">
        <v>1812</v>
      </c>
      <c r="M203" s="34"/>
    </row>
    <row r="204" spans="1:13">
      <c r="A204" s="29" t="s">
        <v>376</v>
      </c>
      <c r="B204" s="30" t="s">
        <v>377</v>
      </c>
      <c r="C204" s="29" t="s">
        <v>74</v>
      </c>
      <c r="D204" s="30"/>
      <c r="E204" s="42">
        <v>0</v>
      </c>
      <c r="F204" s="32" t="s">
        <v>761</v>
      </c>
      <c r="G204" s="42">
        <v>0</v>
      </c>
      <c r="H204" s="34" t="s">
        <v>1806</v>
      </c>
      <c r="I204" s="34"/>
      <c r="J204" s="34"/>
      <c r="K204" s="34" t="s">
        <v>1810</v>
      </c>
      <c r="L204" s="34" t="s">
        <v>1812</v>
      </c>
      <c r="M204" s="34"/>
    </row>
    <row r="205" spans="1:13">
      <c r="A205" s="17" t="s">
        <v>378</v>
      </c>
      <c r="B205" s="21" t="s">
        <v>379</v>
      </c>
      <c r="C205" s="19" t="s">
        <v>72</v>
      </c>
      <c r="D205" s="20"/>
      <c r="E205" s="3">
        <v>4655324.33</v>
      </c>
      <c r="F205" s="24">
        <v>3.9895243990443943E-3</v>
      </c>
      <c r="G205" s="26">
        <f t="shared" si="3"/>
        <v>18572.53</v>
      </c>
      <c r="H205" t="s">
        <v>1806</v>
      </c>
      <c r="M205">
        <v>536</v>
      </c>
    </row>
    <row r="206" spans="1:13">
      <c r="A206" s="13" t="s">
        <v>378</v>
      </c>
      <c r="B206" s="22" t="s">
        <v>379</v>
      </c>
      <c r="C206" s="15" t="s">
        <v>73</v>
      </c>
      <c r="D206" s="16"/>
      <c r="E206" s="2">
        <v>4655324.33</v>
      </c>
      <c r="F206" s="23">
        <v>0.83508666301666667</v>
      </c>
      <c r="G206" s="26">
        <f t="shared" si="3"/>
        <v>3887599.26</v>
      </c>
      <c r="H206" t="s">
        <v>1806</v>
      </c>
    </row>
    <row r="207" spans="1:13">
      <c r="A207" s="19" t="s">
        <v>378</v>
      </c>
      <c r="B207" s="20" t="s">
        <v>379</v>
      </c>
      <c r="C207" s="19" t="s">
        <v>74</v>
      </c>
      <c r="D207" s="20"/>
      <c r="E207" s="3">
        <v>4655324.33</v>
      </c>
      <c r="F207" s="24">
        <v>0.16092381258428884</v>
      </c>
      <c r="G207" s="26">
        <f t="shared" si="3"/>
        <v>749152.54</v>
      </c>
      <c r="H207" t="s">
        <v>1806</v>
      </c>
    </row>
    <row r="208" spans="1:13">
      <c r="A208" s="13" t="s">
        <v>380</v>
      </c>
      <c r="B208" s="14" t="s">
        <v>381</v>
      </c>
      <c r="C208" s="15" t="s">
        <v>72</v>
      </c>
      <c r="D208" s="16"/>
      <c r="E208" s="2">
        <v>507647</v>
      </c>
      <c r="F208" s="23">
        <v>5.2460962046461425E-2</v>
      </c>
      <c r="G208" s="26">
        <f t="shared" si="3"/>
        <v>26631.65</v>
      </c>
      <c r="H208" t="s">
        <v>1806</v>
      </c>
      <c r="I208" t="s">
        <v>1820</v>
      </c>
      <c r="J208" t="s">
        <v>1825</v>
      </c>
      <c r="M208">
        <v>35</v>
      </c>
    </row>
    <row r="209" spans="1:13">
      <c r="A209" s="17" t="s">
        <v>380</v>
      </c>
      <c r="B209" s="18" t="s">
        <v>381</v>
      </c>
      <c r="C209" s="19" t="s">
        <v>73</v>
      </c>
      <c r="D209" s="20"/>
      <c r="E209" s="3">
        <v>507647</v>
      </c>
      <c r="F209" s="24">
        <v>0.55257389485213149</v>
      </c>
      <c r="G209" s="26">
        <f t="shared" si="3"/>
        <v>280512.48</v>
      </c>
      <c r="H209" t="s">
        <v>1806</v>
      </c>
      <c r="I209" t="s">
        <v>1820</v>
      </c>
      <c r="J209" t="s">
        <v>1825</v>
      </c>
    </row>
    <row r="210" spans="1:13">
      <c r="A210" s="15" t="s">
        <v>380</v>
      </c>
      <c r="B210" s="16" t="s">
        <v>381</v>
      </c>
      <c r="C210" s="15" t="s">
        <v>74</v>
      </c>
      <c r="D210" s="16"/>
      <c r="E210" s="2">
        <v>507647</v>
      </c>
      <c r="F210" s="23">
        <v>0.39496514310140707</v>
      </c>
      <c r="G210" s="26">
        <f t="shared" si="3"/>
        <v>200502.87</v>
      </c>
      <c r="H210" t="s">
        <v>1806</v>
      </c>
      <c r="I210" t="s">
        <v>1820</v>
      </c>
      <c r="J210" t="s">
        <v>1825</v>
      </c>
    </row>
    <row r="211" spans="1:13">
      <c r="A211" s="17" t="s">
        <v>382</v>
      </c>
      <c r="B211" s="21" t="s">
        <v>383</v>
      </c>
      <c r="C211" s="19" t="s">
        <v>72</v>
      </c>
      <c r="D211" s="20"/>
      <c r="E211" s="3">
        <v>1229036.3400000001</v>
      </c>
      <c r="F211" s="24">
        <v>2.3723057692500776E-3</v>
      </c>
      <c r="G211" s="26">
        <f t="shared" si="3"/>
        <v>2915.65</v>
      </c>
      <c r="H211" t="s">
        <v>1806</v>
      </c>
      <c r="M211">
        <v>61</v>
      </c>
    </row>
    <row r="212" spans="1:13">
      <c r="A212" s="13" t="s">
        <v>382</v>
      </c>
      <c r="B212" s="22" t="s">
        <v>383</v>
      </c>
      <c r="C212" s="15" t="s">
        <v>73</v>
      </c>
      <c r="D212" s="16"/>
      <c r="E212" s="2">
        <v>1229036.3400000001</v>
      </c>
      <c r="F212" s="23">
        <v>0.7034559450048482</v>
      </c>
      <c r="G212" s="26">
        <f t="shared" si="3"/>
        <v>864572.91999999993</v>
      </c>
      <c r="H212" t="s">
        <v>1806</v>
      </c>
    </row>
    <row r="213" spans="1:13">
      <c r="A213" s="19" t="s">
        <v>382</v>
      </c>
      <c r="B213" s="20" t="s">
        <v>383</v>
      </c>
      <c r="C213" s="19" t="s">
        <v>74</v>
      </c>
      <c r="D213" s="20"/>
      <c r="E213" s="3">
        <v>1229036.3400000001</v>
      </c>
      <c r="F213" s="24">
        <v>0.29417174922590167</v>
      </c>
      <c r="G213" s="26">
        <f t="shared" si="3"/>
        <v>361547.77</v>
      </c>
      <c r="H213" t="s">
        <v>1806</v>
      </c>
    </row>
    <row r="214" spans="1:13">
      <c r="A214" s="13" t="s">
        <v>384</v>
      </c>
      <c r="B214" s="14" t="s">
        <v>385</v>
      </c>
      <c r="C214" s="15" t="s">
        <v>72</v>
      </c>
      <c r="D214" s="16"/>
      <c r="E214" s="2">
        <v>766545.71</v>
      </c>
      <c r="F214" s="23">
        <v>3.5640405579988178E-3</v>
      </c>
      <c r="G214" s="26">
        <f t="shared" si="3"/>
        <v>2732</v>
      </c>
      <c r="H214" t="s">
        <v>1806</v>
      </c>
      <c r="M214">
        <v>31</v>
      </c>
    </row>
    <row r="215" spans="1:13">
      <c r="A215" s="17" t="s">
        <v>384</v>
      </c>
      <c r="B215" s="18" t="s">
        <v>385</v>
      </c>
      <c r="C215" s="19" t="s">
        <v>73</v>
      </c>
      <c r="D215" s="20"/>
      <c r="E215" s="3">
        <v>766545.71</v>
      </c>
      <c r="F215" s="24">
        <v>0.54223118670900916</v>
      </c>
      <c r="G215" s="26">
        <f t="shared" si="3"/>
        <v>415644.99</v>
      </c>
      <c r="H215" t="s">
        <v>1806</v>
      </c>
    </row>
    <row r="216" spans="1:13">
      <c r="A216" s="15" t="s">
        <v>384</v>
      </c>
      <c r="B216" s="16" t="s">
        <v>385</v>
      </c>
      <c r="C216" s="15" t="s">
        <v>74</v>
      </c>
      <c r="D216" s="16"/>
      <c r="E216" s="2">
        <v>766545.71</v>
      </c>
      <c r="F216" s="23">
        <v>0.45420477273299198</v>
      </c>
      <c r="G216" s="26">
        <f t="shared" si="3"/>
        <v>348168.72</v>
      </c>
      <c r="H216" t="s">
        <v>1806</v>
      </c>
    </row>
    <row r="217" spans="1:13">
      <c r="A217" s="17" t="s">
        <v>386</v>
      </c>
      <c r="B217" s="21" t="s">
        <v>387</v>
      </c>
      <c r="C217" s="19" t="s">
        <v>72</v>
      </c>
      <c r="D217" s="20"/>
      <c r="E217" s="3">
        <v>1782957.04</v>
      </c>
      <c r="F217" s="24">
        <v>2.2338395769760104E-3</v>
      </c>
      <c r="G217" s="26">
        <f t="shared" si="3"/>
        <v>3982.8399999999997</v>
      </c>
      <c r="H217" t="s">
        <v>1806</v>
      </c>
      <c r="M217">
        <v>164</v>
      </c>
    </row>
    <row r="218" spans="1:13">
      <c r="A218" s="13" t="s">
        <v>386</v>
      </c>
      <c r="B218" s="22" t="s">
        <v>387</v>
      </c>
      <c r="C218" s="15" t="s">
        <v>73</v>
      </c>
      <c r="D218" s="16"/>
      <c r="E218" s="2">
        <v>1782957.04</v>
      </c>
      <c r="F218" s="23">
        <v>0.7642940179871075</v>
      </c>
      <c r="G218" s="26">
        <f t="shared" si="3"/>
        <v>1362703.4</v>
      </c>
      <c r="H218" t="s">
        <v>1806</v>
      </c>
    </row>
    <row r="219" spans="1:13">
      <c r="A219" s="19" t="s">
        <v>386</v>
      </c>
      <c r="B219" s="20" t="s">
        <v>387</v>
      </c>
      <c r="C219" s="19" t="s">
        <v>74</v>
      </c>
      <c r="D219" s="20"/>
      <c r="E219" s="3">
        <v>1782957.04</v>
      </c>
      <c r="F219" s="24">
        <v>0.23347214243591644</v>
      </c>
      <c r="G219" s="26">
        <f t="shared" si="3"/>
        <v>416270.8</v>
      </c>
      <c r="H219" t="s">
        <v>1806</v>
      </c>
    </row>
    <row r="220" spans="1:13">
      <c r="A220" s="13" t="s">
        <v>388</v>
      </c>
      <c r="B220" s="14" t="s">
        <v>389</v>
      </c>
      <c r="C220" s="15" t="s">
        <v>72</v>
      </c>
      <c r="D220" s="16"/>
      <c r="E220" s="2">
        <v>806566.09</v>
      </c>
      <c r="F220" s="23">
        <v>5.5943462735955091E-3</v>
      </c>
      <c r="G220" s="26">
        <f t="shared" si="3"/>
        <v>4512.21</v>
      </c>
      <c r="H220" t="s">
        <v>1806</v>
      </c>
      <c r="M220">
        <v>64</v>
      </c>
    </row>
    <row r="221" spans="1:13">
      <c r="A221" s="17" t="s">
        <v>388</v>
      </c>
      <c r="B221" s="18" t="s">
        <v>389</v>
      </c>
      <c r="C221" s="19" t="s">
        <v>73</v>
      </c>
      <c r="D221" s="20"/>
      <c r="E221" s="3">
        <v>806566.09</v>
      </c>
      <c r="F221" s="24">
        <v>0.91754504581267482</v>
      </c>
      <c r="G221" s="26">
        <f t="shared" si="3"/>
        <v>740060.72</v>
      </c>
      <c r="H221" t="s">
        <v>1806</v>
      </c>
    </row>
    <row r="222" spans="1:13">
      <c r="A222" s="15" t="s">
        <v>388</v>
      </c>
      <c r="B222" s="16" t="s">
        <v>389</v>
      </c>
      <c r="C222" s="15" t="s">
        <v>74</v>
      </c>
      <c r="D222" s="16"/>
      <c r="E222" s="2">
        <v>806566.09</v>
      </c>
      <c r="F222" s="23">
        <v>7.6860607913729687E-2</v>
      </c>
      <c r="G222" s="26">
        <f t="shared" si="3"/>
        <v>61993.160000000011</v>
      </c>
      <c r="H222" t="s">
        <v>1806</v>
      </c>
    </row>
    <row r="223" spans="1:13">
      <c r="A223" s="17" t="s">
        <v>390</v>
      </c>
      <c r="B223" s="21" t="s">
        <v>391</v>
      </c>
      <c r="C223" s="19" t="s">
        <v>72</v>
      </c>
      <c r="D223" s="20"/>
      <c r="E223" s="3">
        <v>1937465.73</v>
      </c>
      <c r="F223" s="24">
        <v>8.0071609834358201E-4</v>
      </c>
      <c r="G223" s="26">
        <f t="shared" si="3"/>
        <v>1551.36</v>
      </c>
      <c r="H223" t="s">
        <v>1806</v>
      </c>
      <c r="M223">
        <v>112</v>
      </c>
    </row>
    <row r="224" spans="1:13">
      <c r="A224" s="13" t="s">
        <v>390</v>
      </c>
      <c r="B224" s="22" t="s">
        <v>391</v>
      </c>
      <c r="C224" s="15" t="s">
        <v>73</v>
      </c>
      <c r="D224" s="16"/>
      <c r="E224" s="2">
        <v>1937465.73</v>
      </c>
      <c r="F224" s="23">
        <v>0.95978459448673703</v>
      </c>
      <c r="G224" s="26">
        <f t="shared" si="3"/>
        <v>1859549.76</v>
      </c>
      <c r="H224" t="s">
        <v>1806</v>
      </c>
    </row>
    <row r="225" spans="1:13">
      <c r="A225" s="19" t="s">
        <v>390</v>
      </c>
      <c r="B225" s="20" t="s">
        <v>391</v>
      </c>
      <c r="C225" s="19" t="s">
        <v>74</v>
      </c>
      <c r="D225" s="20"/>
      <c r="E225" s="3">
        <v>1937465.73</v>
      </c>
      <c r="F225" s="24">
        <v>3.9414689414919359E-2</v>
      </c>
      <c r="G225" s="26">
        <f t="shared" si="3"/>
        <v>76364.61</v>
      </c>
      <c r="H225" t="s">
        <v>1806</v>
      </c>
    </row>
    <row r="226" spans="1:13">
      <c r="A226" s="13" t="s">
        <v>392</v>
      </c>
      <c r="B226" s="14" t="s">
        <v>393</v>
      </c>
      <c r="C226" s="15" t="s">
        <v>72</v>
      </c>
      <c r="D226" s="16"/>
      <c r="E226" s="2">
        <v>847373.33</v>
      </c>
      <c r="F226" s="23">
        <v>3.3901350187643979E-3</v>
      </c>
      <c r="G226" s="26">
        <f t="shared" si="3"/>
        <v>2872.71</v>
      </c>
      <c r="H226" t="s">
        <v>1806</v>
      </c>
      <c r="M226">
        <v>41</v>
      </c>
    </row>
    <row r="227" spans="1:13">
      <c r="A227" s="17" t="s">
        <v>392</v>
      </c>
      <c r="B227" s="18" t="s">
        <v>393</v>
      </c>
      <c r="C227" s="19" t="s">
        <v>73</v>
      </c>
      <c r="D227" s="20"/>
      <c r="E227" s="3">
        <v>847373.33</v>
      </c>
      <c r="F227" s="24">
        <v>0.60335091027705579</v>
      </c>
      <c r="G227" s="26">
        <f t="shared" si="3"/>
        <v>511263.47</v>
      </c>
      <c r="H227" t="s">
        <v>1806</v>
      </c>
    </row>
    <row r="228" spans="1:13">
      <c r="A228" s="15" t="s">
        <v>392</v>
      </c>
      <c r="B228" s="16" t="s">
        <v>393</v>
      </c>
      <c r="C228" s="15" t="s">
        <v>74</v>
      </c>
      <c r="D228" s="16"/>
      <c r="E228" s="2">
        <v>847373.33</v>
      </c>
      <c r="F228" s="23">
        <v>0.39325895470417982</v>
      </c>
      <c r="G228" s="26">
        <f t="shared" si="3"/>
        <v>333237.15000000002</v>
      </c>
      <c r="H228" t="s">
        <v>1806</v>
      </c>
    </row>
    <row r="229" spans="1:13">
      <c r="A229" s="17" t="s">
        <v>228</v>
      </c>
      <c r="B229" s="21" t="s">
        <v>229</v>
      </c>
      <c r="C229" s="19" t="s">
        <v>72</v>
      </c>
      <c r="D229" s="20"/>
      <c r="E229" s="3">
        <v>732239.56</v>
      </c>
      <c r="F229" s="24">
        <v>1.7702007250195551E-2</v>
      </c>
      <c r="G229" s="26">
        <f t="shared" si="3"/>
        <v>12962.11</v>
      </c>
      <c r="H229" t="s">
        <v>1806</v>
      </c>
      <c r="M229">
        <v>42</v>
      </c>
    </row>
    <row r="230" spans="1:13">
      <c r="A230" s="13" t="s">
        <v>228</v>
      </c>
      <c r="B230" s="22" t="s">
        <v>229</v>
      </c>
      <c r="C230" s="15" t="s">
        <v>73</v>
      </c>
      <c r="D230" s="16"/>
      <c r="E230" s="2">
        <v>732239.56</v>
      </c>
      <c r="F230" s="23">
        <v>0.88395428949509369</v>
      </c>
      <c r="G230" s="26">
        <f t="shared" si="3"/>
        <v>647266.30000000005</v>
      </c>
      <c r="H230" t="s">
        <v>1806</v>
      </c>
    </row>
    <row r="231" spans="1:13">
      <c r="A231" s="19" t="s">
        <v>228</v>
      </c>
      <c r="B231" s="20" t="s">
        <v>229</v>
      </c>
      <c r="C231" s="19" t="s">
        <v>74</v>
      </c>
      <c r="D231" s="20"/>
      <c r="E231" s="3">
        <v>732239.56</v>
      </c>
      <c r="F231" s="24">
        <v>9.8343703254710785E-2</v>
      </c>
      <c r="G231" s="26">
        <f t="shared" si="3"/>
        <v>72011.149999999994</v>
      </c>
      <c r="H231" t="s">
        <v>1806</v>
      </c>
    </row>
    <row r="232" spans="1:13">
      <c r="A232" s="13" t="s">
        <v>230</v>
      </c>
      <c r="B232" s="14" t="s">
        <v>231</v>
      </c>
      <c r="C232" s="15" t="s">
        <v>72</v>
      </c>
      <c r="D232" s="16"/>
      <c r="E232" s="2">
        <v>1028369.87</v>
      </c>
      <c r="F232" s="23">
        <v>0</v>
      </c>
      <c r="G232" s="26">
        <f t="shared" si="3"/>
        <v>0</v>
      </c>
      <c r="H232" t="s">
        <v>1806</v>
      </c>
      <c r="M232">
        <v>39</v>
      </c>
    </row>
    <row r="233" spans="1:13">
      <c r="A233" s="17" t="s">
        <v>230</v>
      </c>
      <c r="B233" s="18" t="s">
        <v>231</v>
      </c>
      <c r="C233" s="19" t="s">
        <v>73</v>
      </c>
      <c r="D233" s="20"/>
      <c r="E233" s="3">
        <v>1028369.87</v>
      </c>
      <c r="F233" s="24">
        <v>0.67001650874893881</v>
      </c>
      <c r="G233" s="26">
        <f t="shared" si="3"/>
        <v>689024.79</v>
      </c>
      <c r="H233" t="s">
        <v>1806</v>
      </c>
    </row>
    <row r="234" spans="1:13">
      <c r="A234" s="15" t="s">
        <v>230</v>
      </c>
      <c r="B234" s="16" t="s">
        <v>231</v>
      </c>
      <c r="C234" s="15" t="s">
        <v>74</v>
      </c>
      <c r="D234" s="16"/>
      <c r="E234" s="2">
        <v>1028369.87</v>
      </c>
      <c r="F234" s="23">
        <v>0.32998349125106125</v>
      </c>
      <c r="G234" s="26">
        <f t="shared" si="3"/>
        <v>339345.08</v>
      </c>
      <c r="H234" t="s">
        <v>1806</v>
      </c>
    </row>
    <row r="235" spans="1:13">
      <c r="A235" s="17" t="s">
        <v>232</v>
      </c>
      <c r="B235" s="21" t="s">
        <v>233</v>
      </c>
      <c r="C235" s="19" t="s">
        <v>72</v>
      </c>
      <c r="D235" s="20"/>
      <c r="E235" s="3">
        <v>1985048.31</v>
      </c>
      <c r="F235" s="24">
        <v>1.7532772288045726E-3</v>
      </c>
      <c r="G235" s="26">
        <f t="shared" si="3"/>
        <v>3480.34</v>
      </c>
      <c r="H235" t="s">
        <v>1806</v>
      </c>
      <c r="M235">
        <v>243</v>
      </c>
    </row>
    <row r="236" spans="1:13">
      <c r="A236" s="13" t="s">
        <v>232</v>
      </c>
      <c r="B236" s="22" t="s">
        <v>233</v>
      </c>
      <c r="C236" s="15" t="s">
        <v>73</v>
      </c>
      <c r="D236" s="16"/>
      <c r="E236" s="2">
        <v>1985048.31</v>
      </c>
      <c r="F236" s="23">
        <v>0.96836332915242751</v>
      </c>
      <c r="G236" s="26">
        <f t="shared" si="3"/>
        <v>1922247.99</v>
      </c>
      <c r="H236" t="s">
        <v>1806</v>
      </c>
    </row>
    <row r="237" spans="1:13">
      <c r="A237" s="19" t="s">
        <v>232</v>
      </c>
      <c r="B237" s="20" t="s">
        <v>233</v>
      </c>
      <c r="C237" s="19" t="s">
        <v>74</v>
      </c>
      <c r="D237" s="20"/>
      <c r="E237" s="3">
        <v>1985048.31</v>
      </c>
      <c r="F237" s="24">
        <v>2.9883393618767899E-2</v>
      </c>
      <c r="G237" s="26">
        <f t="shared" si="3"/>
        <v>59319.98</v>
      </c>
      <c r="H237" t="s">
        <v>1806</v>
      </c>
    </row>
    <row r="238" spans="1:13">
      <c r="A238" s="13" t="s">
        <v>234</v>
      </c>
      <c r="B238" s="14" t="s">
        <v>235</v>
      </c>
      <c r="C238" s="15" t="s">
        <v>72</v>
      </c>
      <c r="D238" s="16"/>
      <c r="E238" s="2">
        <v>1326737.23</v>
      </c>
      <c r="F238" s="23">
        <v>1.3081068057463044E-2</v>
      </c>
      <c r="G238" s="26">
        <f t="shared" si="3"/>
        <v>17355.14</v>
      </c>
      <c r="H238" t="s">
        <v>1806</v>
      </c>
      <c r="K238" t="s">
        <v>1809</v>
      </c>
      <c r="L238" s="37" t="s">
        <v>1816</v>
      </c>
      <c r="M238">
        <v>130</v>
      </c>
    </row>
    <row r="239" spans="1:13">
      <c r="A239" s="17" t="s">
        <v>234</v>
      </c>
      <c r="B239" s="18" t="s">
        <v>235</v>
      </c>
      <c r="C239" s="19" t="s">
        <v>73</v>
      </c>
      <c r="D239" s="20"/>
      <c r="E239" s="3">
        <v>1326737.23</v>
      </c>
      <c r="F239" s="24">
        <v>0.68326285680548815</v>
      </c>
      <c r="G239" s="26">
        <f t="shared" si="3"/>
        <v>906510.27</v>
      </c>
      <c r="H239" t="s">
        <v>1806</v>
      </c>
      <c r="K239" t="s">
        <v>1809</v>
      </c>
      <c r="L239" s="37" t="s">
        <v>1816</v>
      </c>
    </row>
    <row r="240" spans="1:13">
      <c r="A240" s="15" t="s">
        <v>234</v>
      </c>
      <c r="B240" s="16" t="s">
        <v>235</v>
      </c>
      <c r="C240" s="15" t="s">
        <v>74</v>
      </c>
      <c r="D240" s="16"/>
      <c r="E240" s="2">
        <v>1326737.23</v>
      </c>
      <c r="F240" s="23">
        <v>0.30365607513704879</v>
      </c>
      <c r="G240" s="26">
        <f t="shared" si="3"/>
        <v>402871.81999999995</v>
      </c>
      <c r="H240" t="s">
        <v>1806</v>
      </c>
      <c r="K240" t="s">
        <v>1809</v>
      </c>
      <c r="L240" s="37" t="s">
        <v>1816</v>
      </c>
    </row>
    <row r="241" spans="1:13">
      <c r="A241" s="17" t="s">
        <v>236</v>
      </c>
      <c r="B241" s="21" t="s">
        <v>237</v>
      </c>
      <c r="C241" s="19" t="s">
        <v>72</v>
      </c>
      <c r="D241" s="20"/>
      <c r="E241" s="3">
        <v>3267257.76</v>
      </c>
      <c r="F241" s="24">
        <v>2.0518766783799761E-3</v>
      </c>
      <c r="G241" s="26">
        <f t="shared" si="3"/>
        <v>6704.0100000000011</v>
      </c>
      <c r="H241" t="s">
        <v>1806</v>
      </c>
      <c r="M241">
        <v>106</v>
      </c>
    </row>
    <row r="242" spans="1:13">
      <c r="A242" s="13" t="s">
        <v>236</v>
      </c>
      <c r="B242" s="22" t="s">
        <v>237</v>
      </c>
      <c r="C242" s="15" t="s">
        <v>73</v>
      </c>
      <c r="D242" s="16"/>
      <c r="E242" s="2">
        <v>3267257.76</v>
      </c>
      <c r="F242" s="23">
        <v>0.93845877345165452</v>
      </c>
      <c r="G242" s="26">
        <f t="shared" si="3"/>
        <v>3066186.71</v>
      </c>
      <c r="H242" t="s">
        <v>1806</v>
      </c>
    </row>
    <row r="243" spans="1:13">
      <c r="A243" s="19" t="s">
        <v>236</v>
      </c>
      <c r="B243" s="20" t="s">
        <v>237</v>
      </c>
      <c r="C243" s="19" t="s">
        <v>74</v>
      </c>
      <c r="D243" s="20"/>
      <c r="E243" s="3">
        <v>3267257.76</v>
      </c>
      <c r="F243" s="24">
        <v>5.9489349869965576E-2</v>
      </c>
      <c r="G243" s="26">
        <f t="shared" si="3"/>
        <v>194367.04</v>
      </c>
      <c r="H243" t="s">
        <v>1806</v>
      </c>
    </row>
    <row r="244" spans="1:13">
      <c r="A244" s="13" t="s">
        <v>238</v>
      </c>
      <c r="B244" s="14" t="s">
        <v>239</v>
      </c>
      <c r="C244" s="15" t="s">
        <v>72</v>
      </c>
      <c r="D244" s="16"/>
      <c r="E244" s="2">
        <v>1292560.5900000001</v>
      </c>
      <c r="F244" s="23">
        <v>0.12026748394054007</v>
      </c>
      <c r="G244" s="26">
        <f t="shared" si="3"/>
        <v>155453.01</v>
      </c>
      <c r="H244" t="s">
        <v>1806</v>
      </c>
      <c r="M244">
        <v>117</v>
      </c>
    </row>
    <row r="245" spans="1:13">
      <c r="A245" s="17" t="s">
        <v>238</v>
      </c>
      <c r="B245" s="18" t="s">
        <v>239</v>
      </c>
      <c r="C245" s="19" t="s">
        <v>73</v>
      </c>
      <c r="D245" s="20"/>
      <c r="E245" s="3">
        <v>1292560.5900000001</v>
      </c>
      <c r="F245" s="24">
        <v>0.55289864593504279</v>
      </c>
      <c r="G245" s="26">
        <f t="shared" si="3"/>
        <v>714655</v>
      </c>
      <c r="H245" t="s">
        <v>1806</v>
      </c>
    </row>
    <row r="246" spans="1:13">
      <c r="A246" s="15" t="s">
        <v>238</v>
      </c>
      <c r="B246" s="16" t="s">
        <v>239</v>
      </c>
      <c r="C246" s="15" t="s">
        <v>74</v>
      </c>
      <c r="D246" s="16"/>
      <c r="E246" s="2">
        <v>1292560.5900000001</v>
      </c>
      <c r="F246" s="23">
        <v>0.32683387012441711</v>
      </c>
      <c r="G246" s="26">
        <f t="shared" si="3"/>
        <v>422452.57999999996</v>
      </c>
      <c r="H246" t="s">
        <v>1806</v>
      </c>
    </row>
    <row r="247" spans="1:13">
      <c r="A247" s="17" t="s">
        <v>240</v>
      </c>
      <c r="B247" s="21" t="s">
        <v>241</v>
      </c>
      <c r="C247" s="19" t="s">
        <v>72</v>
      </c>
      <c r="D247" s="20"/>
      <c r="E247" s="3">
        <v>892186</v>
      </c>
      <c r="F247" s="24">
        <v>0</v>
      </c>
      <c r="G247" s="26">
        <f t="shared" si="3"/>
        <v>0</v>
      </c>
      <c r="H247" t="s">
        <v>1806</v>
      </c>
      <c r="K247" t="s">
        <v>1810</v>
      </c>
      <c r="L247" t="s">
        <v>1812</v>
      </c>
      <c r="M247">
        <v>65</v>
      </c>
    </row>
    <row r="248" spans="1:13">
      <c r="A248" s="13" t="s">
        <v>240</v>
      </c>
      <c r="B248" s="22" t="s">
        <v>241</v>
      </c>
      <c r="C248" s="15" t="s">
        <v>73</v>
      </c>
      <c r="D248" s="16"/>
      <c r="E248" s="2">
        <v>892186</v>
      </c>
      <c r="F248" s="23">
        <v>0.58733358290759996</v>
      </c>
      <c r="G248" s="26">
        <f t="shared" si="3"/>
        <v>524010.8</v>
      </c>
      <c r="H248" t="s">
        <v>1806</v>
      </c>
      <c r="K248" t="s">
        <v>1810</v>
      </c>
      <c r="L248" t="s">
        <v>1812</v>
      </c>
    </row>
    <row r="249" spans="1:13">
      <c r="A249" s="19" t="s">
        <v>240</v>
      </c>
      <c r="B249" s="20" t="s">
        <v>241</v>
      </c>
      <c r="C249" s="19" t="s">
        <v>74</v>
      </c>
      <c r="D249" s="20"/>
      <c r="E249" s="3">
        <v>892186</v>
      </c>
      <c r="F249" s="24">
        <v>0.41266641709240004</v>
      </c>
      <c r="G249" s="26">
        <f t="shared" si="3"/>
        <v>368175.2</v>
      </c>
      <c r="H249" t="s">
        <v>1806</v>
      </c>
      <c r="K249" t="s">
        <v>1810</v>
      </c>
      <c r="L249" t="s">
        <v>1812</v>
      </c>
    </row>
    <row r="250" spans="1:13">
      <c r="A250" s="13" t="s">
        <v>242</v>
      </c>
      <c r="B250" s="14" t="s">
        <v>243</v>
      </c>
      <c r="C250" s="15" t="s">
        <v>72</v>
      </c>
      <c r="D250" s="16"/>
      <c r="E250" s="2">
        <v>2755979.36</v>
      </c>
      <c r="F250" s="23">
        <v>1.816062221888338E-3</v>
      </c>
      <c r="G250" s="26">
        <f t="shared" si="3"/>
        <v>5005.03</v>
      </c>
      <c r="H250" t="s">
        <v>1806</v>
      </c>
      <c r="M250">
        <v>268</v>
      </c>
    </row>
    <row r="251" spans="1:13">
      <c r="A251" s="17" t="s">
        <v>242</v>
      </c>
      <c r="B251" s="18" t="s">
        <v>243</v>
      </c>
      <c r="C251" s="19" t="s">
        <v>73</v>
      </c>
      <c r="D251" s="20"/>
      <c r="E251" s="3">
        <v>2755979.36</v>
      </c>
      <c r="F251" s="24">
        <v>0.71667649934794864</v>
      </c>
      <c r="G251" s="26">
        <f t="shared" si="3"/>
        <v>1975145.64</v>
      </c>
      <c r="H251" t="s">
        <v>1806</v>
      </c>
    </row>
    <row r="252" spans="1:13">
      <c r="A252" s="15" t="s">
        <v>242</v>
      </c>
      <c r="B252" s="16" t="s">
        <v>243</v>
      </c>
      <c r="C252" s="15" t="s">
        <v>74</v>
      </c>
      <c r="D252" s="16"/>
      <c r="E252" s="2">
        <v>2755979.36</v>
      </c>
      <c r="F252" s="23">
        <v>0.28150743843016296</v>
      </c>
      <c r="G252" s="26">
        <f t="shared" si="3"/>
        <v>775828.68999999983</v>
      </c>
      <c r="H252" t="s">
        <v>1806</v>
      </c>
    </row>
    <row r="253" spans="1:13">
      <c r="A253" s="17" t="s">
        <v>244</v>
      </c>
      <c r="B253" s="21" t="s">
        <v>245</v>
      </c>
      <c r="C253" s="19" t="s">
        <v>72</v>
      </c>
      <c r="D253" s="20"/>
      <c r="E253" s="3">
        <v>492036.1</v>
      </c>
      <c r="F253" s="24">
        <v>0</v>
      </c>
      <c r="G253" s="26">
        <f t="shared" si="3"/>
        <v>0</v>
      </c>
      <c r="H253" t="s">
        <v>1806</v>
      </c>
      <c r="K253" t="s">
        <v>1809</v>
      </c>
      <c r="L253" t="s">
        <v>1814</v>
      </c>
      <c r="M253">
        <v>26</v>
      </c>
    </row>
    <row r="254" spans="1:13">
      <c r="A254" s="13" t="s">
        <v>244</v>
      </c>
      <c r="B254" s="22" t="s">
        <v>245</v>
      </c>
      <c r="C254" s="15" t="s">
        <v>73</v>
      </c>
      <c r="D254" s="16"/>
      <c r="E254" s="2">
        <v>492036.1</v>
      </c>
      <c r="F254" s="23">
        <v>0.44220346840404601</v>
      </c>
      <c r="G254" s="26">
        <f t="shared" si="3"/>
        <v>217580.07</v>
      </c>
      <c r="H254" t="s">
        <v>1806</v>
      </c>
      <c r="K254" t="s">
        <v>1809</v>
      </c>
      <c r="L254" t="s">
        <v>1814</v>
      </c>
    </row>
    <row r="255" spans="1:13">
      <c r="A255" s="19" t="s">
        <v>244</v>
      </c>
      <c r="B255" s="20" t="s">
        <v>245</v>
      </c>
      <c r="C255" s="19" t="s">
        <v>74</v>
      </c>
      <c r="D255" s="20"/>
      <c r="E255" s="3">
        <v>492036.1</v>
      </c>
      <c r="F255" s="24">
        <v>0.5577965315959541</v>
      </c>
      <c r="G255" s="26">
        <f t="shared" si="3"/>
        <v>274456.03000000003</v>
      </c>
      <c r="H255" t="s">
        <v>1806</v>
      </c>
      <c r="K255" t="s">
        <v>1809</v>
      </c>
      <c r="L255" t="s">
        <v>1814</v>
      </c>
    </row>
    <row r="256" spans="1:13">
      <c r="A256" s="13" t="s">
        <v>246</v>
      </c>
      <c r="B256" s="14" t="s">
        <v>247</v>
      </c>
      <c r="C256" s="15" t="s">
        <v>72</v>
      </c>
      <c r="D256" s="16"/>
      <c r="E256" s="2">
        <v>393282.73</v>
      </c>
      <c r="F256" s="23">
        <v>0</v>
      </c>
      <c r="G256" s="26">
        <f t="shared" si="3"/>
        <v>0</v>
      </c>
      <c r="H256" t="s">
        <v>1806</v>
      </c>
      <c r="K256" t="s">
        <v>1809</v>
      </c>
      <c r="L256" t="s">
        <v>1814</v>
      </c>
      <c r="M256">
        <v>28</v>
      </c>
    </row>
    <row r="257" spans="1:13">
      <c r="A257" s="17" t="s">
        <v>246</v>
      </c>
      <c r="B257" s="18" t="s">
        <v>247</v>
      </c>
      <c r="C257" s="19" t="s">
        <v>73</v>
      </c>
      <c r="D257" s="20"/>
      <c r="E257" s="3">
        <v>393282.73</v>
      </c>
      <c r="F257" s="24">
        <v>0.42627081540041184</v>
      </c>
      <c r="G257" s="26">
        <f t="shared" si="3"/>
        <v>167644.95000000001</v>
      </c>
      <c r="H257" t="s">
        <v>1806</v>
      </c>
      <c r="K257" t="s">
        <v>1809</v>
      </c>
      <c r="L257" t="s">
        <v>1814</v>
      </c>
    </row>
    <row r="258" spans="1:13">
      <c r="A258" s="15" t="s">
        <v>246</v>
      </c>
      <c r="B258" s="16" t="s">
        <v>247</v>
      </c>
      <c r="C258" s="15" t="s">
        <v>74</v>
      </c>
      <c r="D258" s="16"/>
      <c r="E258" s="2">
        <v>393282.73</v>
      </c>
      <c r="F258" s="23">
        <v>0.57372918459958822</v>
      </c>
      <c r="G258" s="26">
        <f t="shared" si="3"/>
        <v>225637.78</v>
      </c>
      <c r="H258" t="s">
        <v>1806</v>
      </c>
      <c r="K258" t="s">
        <v>1809</v>
      </c>
      <c r="L258" t="s">
        <v>1814</v>
      </c>
    </row>
    <row r="259" spans="1:13">
      <c r="A259" s="17" t="s">
        <v>248</v>
      </c>
      <c r="B259" s="21" t="s">
        <v>249</v>
      </c>
      <c r="C259" s="19" t="s">
        <v>72</v>
      </c>
      <c r="D259" s="20"/>
      <c r="E259" s="3">
        <v>362918.02</v>
      </c>
      <c r="F259" s="24">
        <v>0</v>
      </c>
      <c r="G259" s="26">
        <f t="shared" si="3"/>
        <v>0</v>
      </c>
      <c r="H259" t="s">
        <v>1806</v>
      </c>
      <c r="M259">
        <v>41</v>
      </c>
    </row>
    <row r="260" spans="1:13">
      <c r="A260" s="13" t="s">
        <v>248</v>
      </c>
      <c r="B260" s="22" t="s">
        <v>249</v>
      </c>
      <c r="C260" s="15" t="s">
        <v>73</v>
      </c>
      <c r="D260" s="16"/>
      <c r="E260" s="2">
        <v>362918.02</v>
      </c>
      <c r="F260" s="23">
        <v>0.7313194864228566</v>
      </c>
      <c r="G260" s="26">
        <f t="shared" si="3"/>
        <v>265409.02</v>
      </c>
      <c r="H260" t="s">
        <v>1806</v>
      </c>
    </row>
    <row r="261" spans="1:13">
      <c r="A261" s="19" t="s">
        <v>248</v>
      </c>
      <c r="B261" s="20" t="s">
        <v>249</v>
      </c>
      <c r="C261" s="19" t="s">
        <v>74</v>
      </c>
      <c r="D261" s="20"/>
      <c r="E261" s="3">
        <v>362918.02</v>
      </c>
      <c r="F261" s="24">
        <v>0.2686805135771434</v>
      </c>
      <c r="G261" s="26">
        <f t="shared" ref="G261:G324" si="4">F261*E261</f>
        <v>97509</v>
      </c>
      <c r="H261" t="s">
        <v>1806</v>
      </c>
    </row>
    <row r="262" spans="1:13">
      <c r="A262" s="13" t="s">
        <v>250</v>
      </c>
      <c r="B262" s="14" t="s">
        <v>251</v>
      </c>
      <c r="C262" s="15" t="s">
        <v>72</v>
      </c>
      <c r="D262" s="16"/>
      <c r="E262" s="2">
        <v>735242.95</v>
      </c>
      <c r="F262" s="23">
        <v>5.9204919951969621E-5</v>
      </c>
      <c r="G262" s="26">
        <f t="shared" si="4"/>
        <v>43.53</v>
      </c>
      <c r="H262" t="s">
        <v>1806</v>
      </c>
      <c r="M262">
        <v>66</v>
      </c>
    </row>
    <row r="263" spans="1:13">
      <c r="A263" s="17" t="s">
        <v>250</v>
      </c>
      <c r="B263" s="18" t="s">
        <v>251</v>
      </c>
      <c r="C263" s="19" t="s">
        <v>73</v>
      </c>
      <c r="D263" s="20"/>
      <c r="E263" s="3">
        <v>735242.95</v>
      </c>
      <c r="F263" s="24">
        <v>0.61645763485389427</v>
      </c>
      <c r="G263" s="26">
        <f t="shared" si="4"/>
        <v>453246.13</v>
      </c>
      <c r="H263" t="s">
        <v>1806</v>
      </c>
    </row>
    <row r="264" spans="1:13">
      <c r="A264" s="15" t="s">
        <v>250</v>
      </c>
      <c r="B264" s="16" t="s">
        <v>251</v>
      </c>
      <c r="C264" s="15" t="s">
        <v>74</v>
      </c>
      <c r="D264" s="16"/>
      <c r="E264" s="2">
        <v>735242.95</v>
      </c>
      <c r="F264" s="23">
        <v>0.38348316022615381</v>
      </c>
      <c r="G264" s="26">
        <f t="shared" si="4"/>
        <v>281953.28999999998</v>
      </c>
      <c r="H264" t="s">
        <v>1806</v>
      </c>
    </row>
    <row r="265" spans="1:13">
      <c r="A265" s="17" t="s">
        <v>252</v>
      </c>
      <c r="B265" s="21" t="s">
        <v>253</v>
      </c>
      <c r="C265" s="19" t="s">
        <v>72</v>
      </c>
      <c r="D265" s="20"/>
      <c r="E265" s="3">
        <v>653845.57999999996</v>
      </c>
      <c r="F265" s="24">
        <v>1.7596066031370896E-2</v>
      </c>
      <c r="G265" s="26">
        <f t="shared" si="4"/>
        <v>11505.11</v>
      </c>
      <c r="H265" t="s">
        <v>1806</v>
      </c>
      <c r="M265">
        <v>35</v>
      </c>
    </row>
    <row r="266" spans="1:13">
      <c r="A266" s="13" t="s">
        <v>252</v>
      </c>
      <c r="B266" s="22" t="s">
        <v>253</v>
      </c>
      <c r="C266" s="15" t="s">
        <v>73</v>
      </c>
      <c r="D266" s="16"/>
      <c r="E266" s="2">
        <v>653845.57999999996</v>
      </c>
      <c r="F266" s="23">
        <v>0.34247982528229376</v>
      </c>
      <c r="G266" s="26">
        <f t="shared" si="4"/>
        <v>223928.92</v>
      </c>
      <c r="H266" t="s">
        <v>1806</v>
      </c>
    </row>
    <row r="267" spans="1:13">
      <c r="A267" s="19" t="s">
        <v>252</v>
      </c>
      <c r="B267" s="20" t="s">
        <v>253</v>
      </c>
      <c r="C267" s="19" t="s">
        <v>74</v>
      </c>
      <c r="D267" s="20"/>
      <c r="E267" s="3">
        <v>653845.57999999996</v>
      </c>
      <c r="F267" s="24">
        <v>0.63992410868633542</v>
      </c>
      <c r="G267" s="26">
        <f t="shared" si="4"/>
        <v>418411.55</v>
      </c>
      <c r="H267" t="s">
        <v>1806</v>
      </c>
    </row>
    <row r="268" spans="1:13">
      <c r="A268" s="13" t="s">
        <v>254</v>
      </c>
      <c r="B268" s="14" t="s">
        <v>255</v>
      </c>
      <c r="C268" s="15" t="s">
        <v>72</v>
      </c>
      <c r="D268" s="16"/>
      <c r="E268" s="2">
        <v>1385312.83</v>
      </c>
      <c r="F268" s="23">
        <v>0</v>
      </c>
      <c r="G268" s="26">
        <f t="shared" si="4"/>
        <v>0</v>
      </c>
      <c r="H268" t="s">
        <v>1806</v>
      </c>
      <c r="K268" t="s">
        <v>1809</v>
      </c>
      <c r="L268" t="s">
        <v>1814</v>
      </c>
      <c r="M268">
        <v>144</v>
      </c>
    </row>
    <row r="269" spans="1:13">
      <c r="A269" s="17" t="s">
        <v>254</v>
      </c>
      <c r="B269" s="18" t="s">
        <v>255</v>
      </c>
      <c r="C269" s="19" t="s">
        <v>73</v>
      </c>
      <c r="D269" s="20"/>
      <c r="E269" s="3">
        <v>1385312.83</v>
      </c>
      <c r="F269" s="24">
        <v>0.53956978078373818</v>
      </c>
      <c r="G269" s="26">
        <f t="shared" si="4"/>
        <v>747472.94</v>
      </c>
      <c r="H269" t="s">
        <v>1806</v>
      </c>
      <c r="K269" t="s">
        <v>1809</v>
      </c>
      <c r="L269" t="s">
        <v>1814</v>
      </c>
    </row>
    <row r="270" spans="1:13">
      <c r="A270" s="15" t="s">
        <v>254</v>
      </c>
      <c r="B270" s="16" t="s">
        <v>255</v>
      </c>
      <c r="C270" s="15" t="s">
        <v>74</v>
      </c>
      <c r="D270" s="16"/>
      <c r="E270" s="2">
        <v>1385312.83</v>
      </c>
      <c r="F270" s="23">
        <v>0.46043021921626176</v>
      </c>
      <c r="G270" s="26">
        <f t="shared" si="4"/>
        <v>637839.89</v>
      </c>
      <c r="H270" t="s">
        <v>1806</v>
      </c>
      <c r="K270" t="s">
        <v>1809</v>
      </c>
      <c r="L270" t="s">
        <v>1814</v>
      </c>
    </row>
    <row r="271" spans="1:13" hidden="1">
      <c r="A271" s="17" t="s">
        <v>256</v>
      </c>
      <c r="B271" s="21" t="s">
        <v>257</v>
      </c>
      <c r="C271" s="19" t="s">
        <v>72</v>
      </c>
      <c r="D271" s="20"/>
      <c r="E271" s="3">
        <v>204904.7</v>
      </c>
      <c r="F271" s="24">
        <v>0</v>
      </c>
      <c r="G271" s="26">
        <f t="shared" si="4"/>
        <v>0</v>
      </c>
      <c r="H271" t="s">
        <v>68</v>
      </c>
    </row>
    <row r="272" spans="1:13" hidden="1">
      <c r="A272" s="13" t="s">
        <v>256</v>
      </c>
      <c r="B272" s="22" t="s">
        <v>257</v>
      </c>
      <c r="C272" s="15" t="s">
        <v>73</v>
      </c>
      <c r="D272" s="16"/>
      <c r="E272" s="2">
        <v>204904.7</v>
      </c>
      <c r="F272" s="23">
        <v>0.2679523700530051</v>
      </c>
      <c r="G272" s="26">
        <f t="shared" si="4"/>
        <v>54904.7</v>
      </c>
      <c r="H272" t="s">
        <v>68</v>
      </c>
    </row>
    <row r="273" spans="1:13" hidden="1">
      <c r="A273" s="19" t="s">
        <v>256</v>
      </c>
      <c r="B273" s="20" t="s">
        <v>257</v>
      </c>
      <c r="C273" s="19" t="s">
        <v>74</v>
      </c>
      <c r="D273" s="20"/>
      <c r="E273" s="3">
        <v>204904.7</v>
      </c>
      <c r="F273" s="24">
        <v>0.73204762994699479</v>
      </c>
      <c r="G273" s="26">
        <f t="shared" si="4"/>
        <v>150000</v>
      </c>
      <c r="H273" t="s">
        <v>68</v>
      </c>
    </row>
    <row r="274" spans="1:13" hidden="1">
      <c r="A274" s="13" t="s">
        <v>258</v>
      </c>
      <c r="B274" s="14" t="s">
        <v>259</v>
      </c>
      <c r="C274" s="15" t="s">
        <v>72</v>
      </c>
      <c r="D274" s="16"/>
      <c r="E274" s="2">
        <v>205403.19</v>
      </c>
      <c r="F274" s="23">
        <v>0</v>
      </c>
      <c r="G274" s="26">
        <f t="shared" si="4"/>
        <v>0</v>
      </c>
      <c r="H274" t="s">
        <v>68</v>
      </c>
    </row>
    <row r="275" spans="1:13" hidden="1">
      <c r="A275" s="17" t="s">
        <v>258</v>
      </c>
      <c r="B275" s="18" t="s">
        <v>259</v>
      </c>
      <c r="C275" s="19" t="s">
        <v>73</v>
      </c>
      <c r="D275" s="20"/>
      <c r="E275" s="3">
        <v>205403.19</v>
      </c>
      <c r="F275" s="24">
        <v>0.26972896574780558</v>
      </c>
      <c r="G275" s="26">
        <f t="shared" si="4"/>
        <v>55403.19</v>
      </c>
      <c r="H275" t="s">
        <v>68</v>
      </c>
    </row>
    <row r="276" spans="1:13" hidden="1">
      <c r="A276" s="15" t="s">
        <v>258</v>
      </c>
      <c r="B276" s="16" t="s">
        <v>259</v>
      </c>
      <c r="C276" s="15" t="s">
        <v>74</v>
      </c>
      <c r="D276" s="16"/>
      <c r="E276" s="2">
        <v>205403.19</v>
      </c>
      <c r="F276" s="23">
        <v>0.73027103425219442</v>
      </c>
      <c r="G276" s="26">
        <f t="shared" si="4"/>
        <v>150000</v>
      </c>
      <c r="H276" t="s">
        <v>68</v>
      </c>
    </row>
    <row r="277" spans="1:13" hidden="1">
      <c r="A277" s="17" t="s">
        <v>260</v>
      </c>
      <c r="B277" s="21" t="s">
        <v>261</v>
      </c>
      <c r="C277" s="19" t="s">
        <v>72</v>
      </c>
      <c r="D277" s="20"/>
      <c r="E277" s="3">
        <v>204907.09</v>
      </c>
      <c r="F277" s="24">
        <v>0</v>
      </c>
      <c r="G277" s="26">
        <f t="shared" si="4"/>
        <v>0</v>
      </c>
      <c r="H277" t="s">
        <v>68</v>
      </c>
    </row>
    <row r="278" spans="1:13" hidden="1">
      <c r="A278" s="13" t="s">
        <v>260</v>
      </c>
      <c r="B278" s="22" t="s">
        <v>261</v>
      </c>
      <c r="C278" s="15" t="s">
        <v>73</v>
      </c>
      <c r="D278" s="16"/>
      <c r="E278" s="2">
        <v>204907.09</v>
      </c>
      <c r="F278" s="23">
        <v>0.26796090852688403</v>
      </c>
      <c r="G278" s="26">
        <f t="shared" si="4"/>
        <v>54907.09</v>
      </c>
      <c r="H278" t="s">
        <v>68</v>
      </c>
    </row>
    <row r="279" spans="1:13" hidden="1">
      <c r="A279" s="19" t="s">
        <v>260</v>
      </c>
      <c r="B279" s="20" t="s">
        <v>261</v>
      </c>
      <c r="C279" s="19" t="s">
        <v>74</v>
      </c>
      <c r="D279" s="20"/>
      <c r="E279" s="3">
        <v>204907.09</v>
      </c>
      <c r="F279" s="24">
        <v>0.73203909147311597</v>
      </c>
      <c r="G279" s="26">
        <f t="shared" si="4"/>
        <v>150000</v>
      </c>
      <c r="H279" t="s">
        <v>68</v>
      </c>
    </row>
    <row r="280" spans="1:13">
      <c r="A280" s="13" t="s">
        <v>262</v>
      </c>
      <c r="B280" s="14" t="s">
        <v>263</v>
      </c>
      <c r="C280" s="15" t="s">
        <v>72</v>
      </c>
      <c r="D280" s="16"/>
      <c r="E280" s="2">
        <v>1357867.03</v>
      </c>
      <c r="F280" s="23">
        <v>7.544921390425099E-5</v>
      </c>
      <c r="G280" s="26">
        <f t="shared" si="4"/>
        <v>102.45</v>
      </c>
      <c r="H280" t="s">
        <v>1806</v>
      </c>
      <c r="M280">
        <v>180</v>
      </c>
    </row>
    <row r="281" spans="1:13">
      <c r="A281" s="17" t="s">
        <v>262</v>
      </c>
      <c r="B281" s="18" t="s">
        <v>263</v>
      </c>
      <c r="C281" s="19" t="s">
        <v>73</v>
      </c>
      <c r="D281" s="20"/>
      <c r="E281" s="3">
        <v>1357867.03</v>
      </c>
      <c r="F281" s="24">
        <v>0.78949657537527818</v>
      </c>
      <c r="G281" s="26">
        <f t="shared" si="4"/>
        <v>1072031.3700000001</v>
      </c>
      <c r="H281" t="s">
        <v>1806</v>
      </c>
    </row>
    <row r="282" spans="1:13">
      <c r="A282" s="15" t="s">
        <v>262</v>
      </c>
      <c r="B282" s="16" t="s">
        <v>263</v>
      </c>
      <c r="C282" s="15" t="s">
        <v>74</v>
      </c>
      <c r="D282" s="16"/>
      <c r="E282" s="2">
        <v>1357867.03</v>
      </c>
      <c r="F282" s="23">
        <v>0.21042797541081767</v>
      </c>
      <c r="G282" s="26">
        <f t="shared" si="4"/>
        <v>285733.21000000002</v>
      </c>
      <c r="H282" t="s">
        <v>1806</v>
      </c>
    </row>
    <row r="283" spans="1:13">
      <c r="A283" s="17" t="s">
        <v>264</v>
      </c>
      <c r="B283" s="21" t="s">
        <v>265</v>
      </c>
      <c r="C283" s="19" t="s">
        <v>72</v>
      </c>
      <c r="D283" s="20"/>
      <c r="E283" s="3">
        <v>196282.65</v>
      </c>
      <c r="F283" s="24">
        <v>2.3746367801738972E-4</v>
      </c>
      <c r="G283" s="26">
        <f t="shared" si="4"/>
        <v>46.61</v>
      </c>
      <c r="H283" t="s">
        <v>1806</v>
      </c>
      <c r="M283">
        <v>14</v>
      </c>
    </row>
    <row r="284" spans="1:13">
      <c r="A284" s="13" t="s">
        <v>264</v>
      </c>
      <c r="B284" s="22" t="s">
        <v>265</v>
      </c>
      <c r="C284" s="15" t="s">
        <v>73</v>
      </c>
      <c r="D284" s="16"/>
      <c r="E284" s="2">
        <v>196282.65</v>
      </c>
      <c r="F284" s="23">
        <v>0.99497046733371497</v>
      </c>
      <c r="G284" s="26">
        <f t="shared" si="4"/>
        <v>195295.44</v>
      </c>
      <c r="H284" t="s">
        <v>1806</v>
      </c>
    </row>
    <row r="285" spans="1:13">
      <c r="A285" s="19" t="s">
        <v>264</v>
      </c>
      <c r="B285" s="20" t="s">
        <v>265</v>
      </c>
      <c r="C285" s="19" t="s">
        <v>74</v>
      </c>
      <c r="D285" s="20"/>
      <c r="E285" s="3">
        <v>196282.65</v>
      </c>
      <c r="F285" s="24">
        <v>4.7920689882676847E-3</v>
      </c>
      <c r="G285" s="26">
        <f t="shared" si="4"/>
        <v>940.6</v>
      </c>
      <c r="H285" t="s">
        <v>1806</v>
      </c>
    </row>
    <row r="286" spans="1:13">
      <c r="A286" s="13" t="s">
        <v>266</v>
      </c>
      <c r="B286" s="14" t="s">
        <v>267</v>
      </c>
      <c r="C286" s="15" t="s">
        <v>72</v>
      </c>
      <c r="D286" s="16"/>
      <c r="E286" s="2">
        <v>2727062.22</v>
      </c>
      <c r="F286" s="23">
        <v>0</v>
      </c>
      <c r="G286" s="26">
        <f t="shared" si="4"/>
        <v>0</v>
      </c>
      <c r="H286" t="s">
        <v>1806</v>
      </c>
      <c r="M286">
        <v>473</v>
      </c>
    </row>
    <row r="287" spans="1:13">
      <c r="A287" s="17" t="s">
        <v>266</v>
      </c>
      <c r="B287" s="18" t="s">
        <v>267</v>
      </c>
      <c r="C287" s="19" t="s">
        <v>73</v>
      </c>
      <c r="D287" s="20"/>
      <c r="E287" s="3">
        <v>2727062.22</v>
      </c>
      <c r="F287" s="24">
        <v>0.83799315733984236</v>
      </c>
      <c r="G287" s="26">
        <f t="shared" si="4"/>
        <v>2285259.48</v>
      </c>
      <c r="H287" t="s">
        <v>1806</v>
      </c>
    </row>
    <row r="288" spans="1:13">
      <c r="A288" s="15" t="s">
        <v>266</v>
      </c>
      <c r="B288" s="16" t="s">
        <v>267</v>
      </c>
      <c r="C288" s="15" t="s">
        <v>74</v>
      </c>
      <c r="D288" s="16"/>
      <c r="E288" s="2">
        <v>2727062.22</v>
      </c>
      <c r="F288" s="23">
        <v>0.16200684266015755</v>
      </c>
      <c r="G288" s="26">
        <f t="shared" si="4"/>
        <v>441802.74</v>
      </c>
      <c r="H288" t="s">
        <v>1806</v>
      </c>
    </row>
    <row r="289" spans="1:13">
      <c r="A289" s="17" t="s">
        <v>268</v>
      </c>
      <c r="B289" s="21" t="s">
        <v>269</v>
      </c>
      <c r="C289" s="19" t="s">
        <v>72</v>
      </c>
      <c r="D289" s="20"/>
      <c r="E289" s="3">
        <v>1527935.84</v>
      </c>
      <c r="F289" s="24">
        <v>5.4511385766041059E-3</v>
      </c>
      <c r="G289" s="26">
        <f t="shared" si="4"/>
        <v>8328.99</v>
      </c>
      <c r="H289" t="s">
        <v>1806</v>
      </c>
      <c r="M289">
        <v>177</v>
      </c>
    </row>
    <row r="290" spans="1:13">
      <c r="A290" s="13" t="s">
        <v>268</v>
      </c>
      <c r="B290" s="22" t="s">
        <v>269</v>
      </c>
      <c r="C290" s="15" t="s">
        <v>73</v>
      </c>
      <c r="D290" s="16"/>
      <c r="E290" s="2">
        <v>1527935.84</v>
      </c>
      <c r="F290" s="23">
        <v>0.69312511185024617</v>
      </c>
      <c r="G290" s="26">
        <f t="shared" si="4"/>
        <v>1059050.7</v>
      </c>
      <c r="H290" t="s">
        <v>1806</v>
      </c>
    </row>
    <row r="291" spans="1:13">
      <c r="A291" s="19" t="s">
        <v>268</v>
      </c>
      <c r="B291" s="20" t="s">
        <v>269</v>
      </c>
      <c r="C291" s="19" t="s">
        <v>74</v>
      </c>
      <c r="D291" s="20"/>
      <c r="E291" s="3">
        <v>1527935.84</v>
      </c>
      <c r="F291" s="24">
        <v>0.3014237495731496</v>
      </c>
      <c r="G291" s="26">
        <f t="shared" si="4"/>
        <v>460556.15</v>
      </c>
      <c r="H291" t="s">
        <v>1806</v>
      </c>
    </row>
    <row r="292" spans="1:13">
      <c r="A292" s="13" t="s">
        <v>270</v>
      </c>
      <c r="B292" s="14" t="s">
        <v>271</v>
      </c>
      <c r="C292" s="15" t="s">
        <v>72</v>
      </c>
      <c r="D292" s="16"/>
      <c r="E292" s="2">
        <v>1443280.67</v>
      </c>
      <c r="F292" s="23">
        <v>9.0453161823334065E-3</v>
      </c>
      <c r="G292" s="26">
        <f t="shared" si="4"/>
        <v>13054.93</v>
      </c>
      <c r="H292" t="s">
        <v>1806</v>
      </c>
      <c r="K292" t="s">
        <v>1810</v>
      </c>
      <c r="L292" t="s">
        <v>1812</v>
      </c>
      <c r="M292">
        <v>220</v>
      </c>
    </row>
    <row r="293" spans="1:13">
      <c r="A293" s="17" t="s">
        <v>270</v>
      </c>
      <c r="B293" s="18" t="s">
        <v>271</v>
      </c>
      <c r="C293" s="19" t="s">
        <v>73</v>
      </c>
      <c r="D293" s="20"/>
      <c r="E293" s="3">
        <v>1443280.67</v>
      </c>
      <c r="F293" s="24">
        <v>0.82157237649417147</v>
      </c>
      <c r="G293" s="26">
        <f t="shared" si="4"/>
        <v>1185759.53</v>
      </c>
      <c r="H293" t="s">
        <v>1806</v>
      </c>
      <c r="K293" t="s">
        <v>1810</v>
      </c>
      <c r="L293" t="s">
        <v>1812</v>
      </c>
    </row>
    <row r="294" spans="1:13">
      <c r="A294" s="15" t="s">
        <v>270</v>
      </c>
      <c r="B294" s="16" t="s">
        <v>271</v>
      </c>
      <c r="C294" s="15" t="s">
        <v>74</v>
      </c>
      <c r="D294" s="16"/>
      <c r="E294" s="2">
        <v>1443280.67</v>
      </c>
      <c r="F294" s="23">
        <v>0.16938230732349516</v>
      </c>
      <c r="G294" s="26">
        <f t="shared" si="4"/>
        <v>244466.21</v>
      </c>
      <c r="H294" t="s">
        <v>1806</v>
      </c>
      <c r="K294" t="s">
        <v>1810</v>
      </c>
      <c r="L294" t="s">
        <v>1812</v>
      </c>
    </row>
    <row r="295" spans="1:13">
      <c r="A295" s="17" t="s">
        <v>272</v>
      </c>
      <c r="B295" s="21" t="s">
        <v>273</v>
      </c>
      <c r="C295" s="19" t="s">
        <v>72</v>
      </c>
      <c r="D295" s="20"/>
      <c r="E295" s="3">
        <v>2707072.04</v>
      </c>
      <c r="F295" s="24">
        <v>4.4016257506024843E-2</v>
      </c>
      <c r="G295" s="26">
        <f t="shared" si="4"/>
        <v>119155.18</v>
      </c>
      <c r="H295" t="s">
        <v>1806</v>
      </c>
      <c r="K295" t="s">
        <v>1810</v>
      </c>
      <c r="L295" t="s">
        <v>1812</v>
      </c>
      <c r="M295">
        <v>207</v>
      </c>
    </row>
    <row r="296" spans="1:13">
      <c r="A296" s="13" t="s">
        <v>272</v>
      </c>
      <c r="B296" s="22" t="s">
        <v>273</v>
      </c>
      <c r="C296" s="15" t="s">
        <v>73</v>
      </c>
      <c r="D296" s="16"/>
      <c r="E296" s="2">
        <v>2707072.04</v>
      </c>
      <c r="F296" s="23">
        <v>0.83894454098088944</v>
      </c>
      <c r="G296" s="26">
        <f t="shared" si="4"/>
        <v>2271083.31</v>
      </c>
      <c r="H296" t="s">
        <v>1806</v>
      </c>
      <c r="K296" t="s">
        <v>1810</v>
      </c>
      <c r="L296" t="s">
        <v>1812</v>
      </c>
    </row>
    <row r="297" spans="1:13">
      <c r="A297" s="19" t="s">
        <v>272</v>
      </c>
      <c r="B297" s="20" t="s">
        <v>273</v>
      </c>
      <c r="C297" s="19" t="s">
        <v>74</v>
      </c>
      <c r="D297" s="20"/>
      <c r="E297" s="3">
        <v>2707072.04</v>
      </c>
      <c r="F297" s="24">
        <v>0.11703920151308569</v>
      </c>
      <c r="G297" s="26">
        <f t="shared" si="4"/>
        <v>316833.55</v>
      </c>
      <c r="H297" t="s">
        <v>1806</v>
      </c>
      <c r="K297" t="s">
        <v>1810</v>
      </c>
      <c r="L297" t="s">
        <v>1812</v>
      </c>
    </row>
    <row r="298" spans="1:13">
      <c r="A298" s="13" t="s">
        <v>274</v>
      </c>
      <c r="B298" s="14" t="s">
        <v>275</v>
      </c>
      <c r="C298" s="15" t="s">
        <v>72</v>
      </c>
      <c r="D298" s="16"/>
      <c r="E298" s="2">
        <v>1042124.02</v>
      </c>
      <c r="F298" s="23">
        <v>4.6141341219637175E-3</v>
      </c>
      <c r="G298" s="26">
        <f t="shared" si="4"/>
        <v>4808.5</v>
      </c>
      <c r="H298" t="s">
        <v>1806</v>
      </c>
      <c r="M298">
        <v>134</v>
      </c>
    </row>
    <row r="299" spans="1:13">
      <c r="A299" s="17" t="s">
        <v>274</v>
      </c>
      <c r="B299" s="18" t="s">
        <v>275</v>
      </c>
      <c r="C299" s="19" t="s">
        <v>73</v>
      </c>
      <c r="D299" s="20"/>
      <c r="E299" s="3">
        <v>1042124.02</v>
      </c>
      <c r="F299" s="24">
        <v>0.85803320222865609</v>
      </c>
      <c r="G299" s="26">
        <f t="shared" si="4"/>
        <v>894177.01</v>
      </c>
      <c r="H299" t="s">
        <v>1806</v>
      </c>
    </row>
    <row r="300" spans="1:13">
      <c r="A300" s="15" t="s">
        <v>274</v>
      </c>
      <c r="B300" s="16" t="s">
        <v>275</v>
      </c>
      <c r="C300" s="15" t="s">
        <v>74</v>
      </c>
      <c r="D300" s="16"/>
      <c r="E300" s="2">
        <v>1042124.02</v>
      </c>
      <c r="F300" s="23">
        <v>0.13735266364938023</v>
      </c>
      <c r="G300" s="26">
        <f t="shared" si="4"/>
        <v>143138.51</v>
      </c>
      <c r="H300" t="s">
        <v>1806</v>
      </c>
    </row>
    <row r="301" spans="1:13">
      <c r="A301" s="17" t="s">
        <v>276</v>
      </c>
      <c r="B301" s="21" t="s">
        <v>277</v>
      </c>
      <c r="C301" s="19" t="s">
        <v>72</v>
      </c>
      <c r="D301" s="20"/>
      <c r="E301" s="3">
        <v>1847933.73</v>
      </c>
      <c r="F301" s="24">
        <v>7.1149467032023926E-3</v>
      </c>
      <c r="G301" s="26">
        <f t="shared" si="4"/>
        <v>13147.95</v>
      </c>
      <c r="H301" t="s">
        <v>1806</v>
      </c>
      <c r="K301" t="s">
        <v>1809</v>
      </c>
      <c r="L301" t="s">
        <v>1814</v>
      </c>
      <c r="M301">
        <v>321</v>
      </c>
    </row>
    <row r="302" spans="1:13">
      <c r="A302" s="13" t="s">
        <v>276</v>
      </c>
      <c r="B302" s="22" t="s">
        <v>277</v>
      </c>
      <c r="C302" s="15" t="s">
        <v>73</v>
      </c>
      <c r="D302" s="16"/>
      <c r="E302" s="2">
        <v>1847933.73</v>
      </c>
      <c r="F302" s="23">
        <v>0.94990620145236482</v>
      </c>
      <c r="G302" s="26">
        <f t="shared" si="4"/>
        <v>1755363.71</v>
      </c>
      <c r="H302" t="s">
        <v>1806</v>
      </c>
      <c r="K302" t="s">
        <v>1809</v>
      </c>
      <c r="L302" t="s">
        <v>1814</v>
      </c>
    </row>
    <row r="303" spans="1:13">
      <c r="A303" s="19" t="s">
        <v>276</v>
      </c>
      <c r="B303" s="20" t="s">
        <v>277</v>
      </c>
      <c r="C303" s="19" t="s">
        <v>74</v>
      </c>
      <c r="D303" s="20"/>
      <c r="E303" s="3">
        <v>1847933.73</v>
      </c>
      <c r="F303" s="24">
        <v>4.2978851844432758E-2</v>
      </c>
      <c r="G303" s="26">
        <f t="shared" si="4"/>
        <v>79422.070000000007</v>
      </c>
      <c r="H303" t="s">
        <v>1806</v>
      </c>
      <c r="K303" t="s">
        <v>1809</v>
      </c>
      <c r="L303" t="s">
        <v>1814</v>
      </c>
    </row>
    <row r="304" spans="1:13">
      <c r="A304" s="27" t="s">
        <v>278</v>
      </c>
      <c r="B304" s="28" t="s">
        <v>279</v>
      </c>
      <c r="C304" s="29" t="s">
        <v>72</v>
      </c>
      <c r="D304" s="30"/>
      <c r="E304" s="31">
        <v>0</v>
      </c>
      <c r="F304" s="32" t="s">
        <v>761</v>
      </c>
      <c r="G304" s="31">
        <v>0</v>
      </c>
      <c r="H304" s="34" t="s">
        <v>1806</v>
      </c>
      <c r="I304" s="34"/>
      <c r="J304" s="34"/>
      <c r="K304" s="34"/>
      <c r="L304" s="34"/>
      <c r="M304" s="34">
        <v>519</v>
      </c>
    </row>
    <row r="305" spans="1:13">
      <c r="A305" s="27" t="s">
        <v>278</v>
      </c>
      <c r="B305" s="35" t="s">
        <v>279</v>
      </c>
      <c r="C305" s="29" t="s">
        <v>73</v>
      </c>
      <c r="D305" s="30"/>
      <c r="E305" s="40">
        <v>3463623.58</v>
      </c>
      <c r="F305" s="32" t="s">
        <v>761</v>
      </c>
      <c r="G305" s="40">
        <v>3463623.58</v>
      </c>
      <c r="H305" s="34" t="s">
        <v>1806</v>
      </c>
      <c r="I305" s="34"/>
      <c r="J305" s="34"/>
      <c r="K305" s="34"/>
      <c r="L305" s="34"/>
      <c r="M305" s="34"/>
    </row>
    <row r="306" spans="1:13">
      <c r="A306" s="29" t="s">
        <v>278</v>
      </c>
      <c r="B306" s="30" t="s">
        <v>279</v>
      </c>
      <c r="C306" s="29" t="s">
        <v>74</v>
      </c>
      <c r="D306" s="30"/>
      <c r="E306" s="42">
        <v>0</v>
      </c>
      <c r="F306" s="32" t="s">
        <v>761</v>
      </c>
      <c r="G306" s="42">
        <v>0</v>
      </c>
      <c r="H306" s="34" t="s">
        <v>1806</v>
      </c>
      <c r="I306" s="34"/>
      <c r="J306" s="34"/>
      <c r="K306" s="34"/>
      <c r="L306" s="34"/>
      <c r="M306" s="34"/>
    </row>
    <row r="307" spans="1:13">
      <c r="A307" s="27" t="s">
        <v>280</v>
      </c>
      <c r="B307" s="28" t="s">
        <v>281</v>
      </c>
      <c r="C307" s="29" t="s">
        <v>72</v>
      </c>
      <c r="D307" s="30"/>
      <c r="E307" s="31">
        <v>0</v>
      </c>
      <c r="F307" s="32" t="s">
        <v>761</v>
      </c>
      <c r="G307" s="31">
        <v>0</v>
      </c>
      <c r="H307" s="34" t="s">
        <v>1806</v>
      </c>
      <c r="I307" s="34"/>
      <c r="J307" s="34"/>
      <c r="K307" s="34"/>
      <c r="L307" s="34"/>
      <c r="M307" s="34">
        <v>235</v>
      </c>
    </row>
    <row r="308" spans="1:13">
      <c r="A308" s="27" t="s">
        <v>280</v>
      </c>
      <c r="B308" s="35" t="s">
        <v>281</v>
      </c>
      <c r="C308" s="29" t="s">
        <v>73</v>
      </c>
      <c r="D308" s="30"/>
      <c r="E308" s="31">
        <v>1505871.88</v>
      </c>
      <c r="F308" s="32" t="s">
        <v>761</v>
      </c>
      <c r="G308" s="31">
        <v>1505871.88</v>
      </c>
      <c r="H308" s="34" t="s">
        <v>1806</v>
      </c>
      <c r="I308" s="34"/>
      <c r="J308" s="34"/>
      <c r="K308" s="34"/>
      <c r="L308" s="34"/>
      <c r="M308" s="34"/>
    </row>
    <row r="309" spans="1:13">
      <c r="A309" s="29" t="s">
        <v>280</v>
      </c>
      <c r="B309" s="30" t="s">
        <v>281</v>
      </c>
      <c r="C309" s="29" t="s">
        <v>74</v>
      </c>
      <c r="D309" s="30"/>
      <c r="E309" s="42">
        <v>0</v>
      </c>
      <c r="F309" s="32" t="s">
        <v>761</v>
      </c>
      <c r="G309" s="42">
        <v>0</v>
      </c>
      <c r="H309" s="34" t="s">
        <v>1806</v>
      </c>
      <c r="I309" s="34"/>
      <c r="J309" s="34"/>
      <c r="K309" s="34"/>
      <c r="L309" s="34"/>
      <c r="M309" s="34"/>
    </row>
    <row r="310" spans="1:13">
      <c r="A310" s="13" t="s">
        <v>282</v>
      </c>
      <c r="B310" s="14" t="s">
        <v>283</v>
      </c>
      <c r="C310" s="15" t="s">
        <v>72</v>
      </c>
      <c r="D310" s="16"/>
      <c r="E310" s="2">
        <v>967906.27</v>
      </c>
      <c r="F310" s="23">
        <v>4.0500223229259585E-2</v>
      </c>
      <c r="G310" s="26">
        <f t="shared" si="4"/>
        <v>39200.42</v>
      </c>
      <c r="H310" t="s">
        <v>1806</v>
      </c>
      <c r="K310" t="s">
        <v>1809</v>
      </c>
      <c r="L310" t="s">
        <v>1814</v>
      </c>
      <c r="M310">
        <v>150</v>
      </c>
    </row>
    <row r="311" spans="1:13">
      <c r="A311" s="17" t="s">
        <v>282</v>
      </c>
      <c r="B311" s="18" t="s">
        <v>283</v>
      </c>
      <c r="C311" s="19" t="s">
        <v>73</v>
      </c>
      <c r="D311" s="20"/>
      <c r="E311" s="3">
        <v>967906.27</v>
      </c>
      <c r="F311" s="24">
        <v>0.72073075836155076</v>
      </c>
      <c r="G311" s="26">
        <f t="shared" si="4"/>
        <v>697599.82</v>
      </c>
      <c r="H311" t="s">
        <v>1806</v>
      </c>
      <c r="K311" t="s">
        <v>1809</v>
      </c>
      <c r="L311" t="s">
        <v>1814</v>
      </c>
    </row>
    <row r="312" spans="1:13">
      <c r="A312" s="15" t="s">
        <v>282</v>
      </c>
      <c r="B312" s="16" t="s">
        <v>283</v>
      </c>
      <c r="C312" s="15" t="s">
        <v>74</v>
      </c>
      <c r="D312" s="16"/>
      <c r="E312" s="2">
        <v>967906.27</v>
      </c>
      <c r="F312" s="23">
        <v>0.23876901840918954</v>
      </c>
      <c r="G312" s="26">
        <f t="shared" si="4"/>
        <v>231106.03</v>
      </c>
      <c r="H312" t="s">
        <v>1806</v>
      </c>
      <c r="K312" t="s">
        <v>1809</v>
      </c>
      <c r="L312" t="s">
        <v>1814</v>
      </c>
    </row>
    <row r="313" spans="1:13">
      <c r="A313" s="17" t="s">
        <v>284</v>
      </c>
      <c r="B313" s="21" t="s">
        <v>285</v>
      </c>
      <c r="C313" s="19" t="s">
        <v>72</v>
      </c>
      <c r="D313" s="20"/>
      <c r="E313" s="3">
        <v>1222466.77</v>
      </c>
      <c r="F313" s="24">
        <v>6.6802879230819503E-3</v>
      </c>
      <c r="G313" s="26">
        <f t="shared" si="4"/>
        <v>8166.43</v>
      </c>
      <c r="H313" t="s">
        <v>1806</v>
      </c>
      <c r="M313">
        <v>122</v>
      </c>
    </row>
    <row r="314" spans="1:13">
      <c r="A314" s="13" t="s">
        <v>284</v>
      </c>
      <c r="B314" s="22" t="s">
        <v>285</v>
      </c>
      <c r="C314" s="15" t="s">
        <v>73</v>
      </c>
      <c r="D314" s="16"/>
      <c r="E314" s="2">
        <v>1222466.77</v>
      </c>
      <c r="F314" s="23">
        <v>0.6763137864270945</v>
      </c>
      <c r="G314" s="26">
        <f t="shared" si="4"/>
        <v>826771.13000000012</v>
      </c>
      <c r="H314" t="s">
        <v>1806</v>
      </c>
    </row>
    <row r="315" spans="1:13">
      <c r="A315" s="19" t="s">
        <v>284</v>
      </c>
      <c r="B315" s="20" t="s">
        <v>285</v>
      </c>
      <c r="C315" s="19" t="s">
        <v>74</v>
      </c>
      <c r="D315" s="20"/>
      <c r="E315" s="3">
        <v>1222466.77</v>
      </c>
      <c r="F315" s="24">
        <v>0.31700592564982361</v>
      </c>
      <c r="G315" s="26">
        <f t="shared" si="4"/>
        <v>387529.21</v>
      </c>
      <c r="H315" t="s">
        <v>1806</v>
      </c>
    </row>
    <row r="316" spans="1:13">
      <c r="A316" s="13" t="s">
        <v>286</v>
      </c>
      <c r="B316" s="14" t="s">
        <v>287</v>
      </c>
      <c r="C316" s="15" t="s">
        <v>72</v>
      </c>
      <c r="D316" s="16"/>
      <c r="E316" s="2">
        <v>880682.87</v>
      </c>
      <c r="F316" s="23">
        <v>9.9726022830442921E-4</v>
      </c>
      <c r="G316" s="26">
        <f t="shared" si="4"/>
        <v>878.27</v>
      </c>
      <c r="H316" t="s">
        <v>1806</v>
      </c>
      <c r="M316">
        <v>85</v>
      </c>
    </row>
    <row r="317" spans="1:13">
      <c r="A317" s="17" t="s">
        <v>286</v>
      </c>
      <c r="B317" s="18" t="s">
        <v>287</v>
      </c>
      <c r="C317" s="19" t="s">
        <v>73</v>
      </c>
      <c r="D317" s="20"/>
      <c r="E317" s="3">
        <v>880682.87</v>
      </c>
      <c r="F317" s="24">
        <v>0.75484531679377387</v>
      </c>
      <c r="G317" s="26">
        <f t="shared" si="4"/>
        <v>664779.34</v>
      </c>
      <c r="H317" t="s">
        <v>1806</v>
      </c>
    </row>
    <row r="318" spans="1:13">
      <c r="A318" s="15" t="s">
        <v>286</v>
      </c>
      <c r="B318" s="16" t="s">
        <v>287</v>
      </c>
      <c r="C318" s="15" t="s">
        <v>74</v>
      </c>
      <c r="D318" s="16"/>
      <c r="E318" s="2">
        <v>880682.87</v>
      </c>
      <c r="F318" s="23">
        <v>0.24415742297792167</v>
      </c>
      <c r="G318" s="26">
        <f t="shared" si="4"/>
        <v>215025.26</v>
      </c>
      <c r="H318" t="s">
        <v>1806</v>
      </c>
    </row>
    <row r="319" spans="1:13">
      <c r="A319" s="17" t="s">
        <v>288</v>
      </c>
      <c r="B319" s="21" t="s">
        <v>480</v>
      </c>
      <c r="C319" s="19" t="s">
        <v>72</v>
      </c>
      <c r="D319" s="20"/>
      <c r="E319" s="3">
        <v>825505.77</v>
      </c>
      <c r="F319" s="24">
        <v>1.0253180907505951E-2</v>
      </c>
      <c r="G319" s="26">
        <f t="shared" si="4"/>
        <v>8464.06</v>
      </c>
      <c r="H319" t="s">
        <v>1806</v>
      </c>
      <c r="I319" t="s">
        <v>1820</v>
      </c>
      <c r="J319" t="s">
        <v>502</v>
      </c>
      <c r="M319">
        <v>70</v>
      </c>
    </row>
    <row r="320" spans="1:13">
      <c r="A320" s="13" t="s">
        <v>288</v>
      </c>
      <c r="B320" s="22" t="s">
        <v>480</v>
      </c>
      <c r="C320" s="15" t="s">
        <v>73</v>
      </c>
      <c r="D320" s="16"/>
      <c r="E320" s="2">
        <v>825505.77</v>
      </c>
      <c r="F320" s="23">
        <v>0.72825040338603575</v>
      </c>
      <c r="G320" s="26">
        <f t="shared" si="4"/>
        <v>601174.91</v>
      </c>
      <c r="H320" t="s">
        <v>1806</v>
      </c>
    </row>
    <row r="321" spans="1:13">
      <c r="A321" s="19" t="s">
        <v>288</v>
      </c>
      <c r="B321" s="20" t="s">
        <v>480</v>
      </c>
      <c r="C321" s="19" t="s">
        <v>74</v>
      </c>
      <c r="D321" s="20"/>
      <c r="E321" s="3">
        <v>825505.77</v>
      </c>
      <c r="F321" s="24">
        <v>0.26149641570645832</v>
      </c>
      <c r="G321" s="26">
        <f t="shared" si="4"/>
        <v>215866.79999999996</v>
      </c>
      <c r="H321" t="s">
        <v>1806</v>
      </c>
    </row>
    <row r="322" spans="1:13">
      <c r="A322" s="13" t="s">
        <v>481</v>
      </c>
      <c r="B322" s="14" t="s">
        <v>482</v>
      </c>
      <c r="C322" s="15" t="s">
        <v>72</v>
      </c>
      <c r="D322" s="16"/>
      <c r="E322" s="2">
        <v>4746775.3099999996</v>
      </c>
      <c r="F322" s="23">
        <v>6.0534211382337376E-3</v>
      </c>
      <c r="G322" s="26">
        <f t="shared" si="4"/>
        <v>28734.23</v>
      </c>
      <c r="H322" t="s">
        <v>1806</v>
      </c>
      <c r="M322">
        <v>577</v>
      </c>
    </row>
    <row r="323" spans="1:13">
      <c r="A323" s="17" t="s">
        <v>481</v>
      </c>
      <c r="B323" s="18" t="s">
        <v>482</v>
      </c>
      <c r="C323" s="19" t="s">
        <v>73</v>
      </c>
      <c r="D323" s="20"/>
      <c r="E323" s="3">
        <v>4746775.3099999996</v>
      </c>
      <c r="F323" s="24">
        <v>0.80517927021913338</v>
      </c>
      <c r="G323" s="26">
        <f t="shared" si="4"/>
        <v>3822005.08</v>
      </c>
      <c r="H323" t="s">
        <v>1806</v>
      </c>
    </row>
    <row r="324" spans="1:13">
      <c r="A324" s="15" t="s">
        <v>481</v>
      </c>
      <c r="B324" s="16" t="s">
        <v>482</v>
      </c>
      <c r="C324" s="15" t="s">
        <v>74</v>
      </c>
      <c r="D324" s="16"/>
      <c r="E324" s="2">
        <v>4746775.3099999996</v>
      </c>
      <c r="F324" s="23">
        <v>0.18876730864263302</v>
      </c>
      <c r="G324" s="26">
        <f t="shared" si="4"/>
        <v>896036</v>
      </c>
      <c r="H324" t="s">
        <v>1806</v>
      </c>
    </row>
    <row r="325" spans="1:13">
      <c r="A325" s="17" t="s">
        <v>483</v>
      </c>
      <c r="B325" s="21" t="s">
        <v>484</v>
      </c>
      <c r="C325" s="19" t="s">
        <v>72</v>
      </c>
      <c r="D325" s="20"/>
      <c r="E325" s="3">
        <v>730744.86</v>
      </c>
      <c r="F325" s="24">
        <v>8.6639952554712456E-3</v>
      </c>
      <c r="G325" s="26">
        <f t="shared" ref="G325:G388" si="5">F325*E325</f>
        <v>6331.1699999999992</v>
      </c>
      <c r="H325" t="s">
        <v>1806</v>
      </c>
      <c r="M325">
        <v>82</v>
      </c>
    </row>
    <row r="326" spans="1:13">
      <c r="A326" s="13" t="s">
        <v>483</v>
      </c>
      <c r="B326" s="22" t="s">
        <v>484</v>
      </c>
      <c r="C326" s="15" t="s">
        <v>73</v>
      </c>
      <c r="D326" s="16"/>
      <c r="E326" s="2">
        <v>730744.86</v>
      </c>
      <c r="F326" s="23">
        <v>0.77665394731616721</v>
      </c>
      <c r="G326" s="26">
        <f t="shared" si="5"/>
        <v>567535.88</v>
      </c>
      <c r="H326" t="s">
        <v>1806</v>
      </c>
    </row>
    <row r="327" spans="1:13">
      <c r="A327" s="19" t="s">
        <v>483</v>
      </c>
      <c r="B327" s="20" t="s">
        <v>484</v>
      </c>
      <c r="C327" s="19" t="s">
        <v>74</v>
      </c>
      <c r="D327" s="20"/>
      <c r="E327" s="3">
        <v>730744.86</v>
      </c>
      <c r="F327" s="24">
        <v>0.21468205742836152</v>
      </c>
      <c r="G327" s="26">
        <f t="shared" si="5"/>
        <v>156877.81</v>
      </c>
      <c r="H327" t="s">
        <v>1806</v>
      </c>
    </row>
    <row r="328" spans="1:13">
      <c r="A328" s="13" t="s">
        <v>485</v>
      </c>
      <c r="B328" s="14" t="s">
        <v>486</v>
      </c>
      <c r="C328" s="15" t="s">
        <v>72</v>
      </c>
      <c r="D328" s="16"/>
      <c r="E328" s="2">
        <v>500595.68</v>
      </c>
      <c r="F328" s="23">
        <v>0</v>
      </c>
      <c r="G328" s="26">
        <f t="shared" si="5"/>
        <v>0</v>
      </c>
      <c r="H328" t="s">
        <v>1806</v>
      </c>
      <c r="M328">
        <v>63</v>
      </c>
    </row>
    <row r="329" spans="1:13">
      <c r="A329" s="17" t="s">
        <v>485</v>
      </c>
      <c r="B329" s="18" t="s">
        <v>486</v>
      </c>
      <c r="C329" s="19" t="s">
        <v>73</v>
      </c>
      <c r="D329" s="20"/>
      <c r="E329" s="3">
        <v>500595.68</v>
      </c>
      <c r="F329" s="24">
        <v>0.90095669623037899</v>
      </c>
      <c r="G329" s="26">
        <f t="shared" si="5"/>
        <v>451015.03</v>
      </c>
      <c r="H329" t="s">
        <v>1806</v>
      </c>
    </row>
    <row r="330" spans="1:13">
      <c r="A330" s="15" t="s">
        <v>485</v>
      </c>
      <c r="B330" s="16" t="s">
        <v>486</v>
      </c>
      <c r="C330" s="15" t="s">
        <v>74</v>
      </c>
      <c r="D330" s="16"/>
      <c r="E330" s="2">
        <v>500595.68</v>
      </c>
      <c r="F330" s="23">
        <v>9.9043303769621033E-2</v>
      </c>
      <c r="G330" s="26">
        <f t="shared" si="5"/>
        <v>49580.65</v>
      </c>
      <c r="H330" t="s">
        <v>1806</v>
      </c>
    </row>
    <row r="331" spans="1:13">
      <c r="A331" s="17" t="s">
        <v>487</v>
      </c>
      <c r="B331" s="21" t="s">
        <v>488</v>
      </c>
      <c r="C331" s="19" t="s">
        <v>72</v>
      </c>
      <c r="D331" s="20"/>
      <c r="E331" s="3">
        <v>377292.94</v>
      </c>
      <c r="F331" s="24">
        <v>0</v>
      </c>
      <c r="G331" s="26">
        <f t="shared" si="5"/>
        <v>0</v>
      </c>
      <c r="H331" t="s">
        <v>1806</v>
      </c>
      <c r="K331" t="s">
        <v>1810</v>
      </c>
      <c r="L331" t="s">
        <v>1812</v>
      </c>
      <c r="M331">
        <v>51</v>
      </c>
    </row>
    <row r="332" spans="1:13">
      <c r="A332" s="13" t="s">
        <v>487</v>
      </c>
      <c r="B332" s="22" t="s">
        <v>488</v>
      </c>
      <c r="C332" s="15" t="s">
        <v>73</v>
      </c>
      <c r="D332" s="16"/>
      <c r="E332" s="2">
        <v>377292.94</v>
      </c>
      <c r="F332" s="23">
        <v>0.91400774687170128</v>
      </c>
      <c r="G332" s="26">
        <f t="shared" si="5"/>
        <v>344848.67</v>
      </c>
      <c r="H332" t="s">
        <v>1806</v>
      </c>
      <c r="K332" t="s">
        <v>1810</v>
      </c>
      <c r="L332" t="s">
        <v>1812</v>
      </c>
    </row>
    <row r="333" spans="1:13">
      <c r="A333" s="19" t="s">
        <v>487</v>
      </c>
      <c r="B333" s="20" t="s">
        <v>488</v>
      </c>
      <c r="C333" s="19" t="s">
        <v>74</v>
      </c>
      <c r="D333" s="20"/>
      <c r="E333" s="3">
        <v>377292.94</v>
      </c>
      <c r="F333" s="24">
        <v>8.5992253128298668E-2</v>
      </c>
      <c r="G333" s="26">
        <f t="shared" si="5"/>
        <v>32444.27</v>
      </c>
      <c r="H333" t="s">
        <v>1806</v>
      </c>
      <c r="K333" t="s">
        <v>1810</v>
      </c>
      <c r="L333" t="s">
        <v>1812</v>
      </c>
    </row>
    <row r="334" spans="1:13">
      <c r="A334" s="13" t="s">
        <v>489</v>
      </c>
      <c r="B334" s="14" t="s">
        <v>490</v>
      </c>
      <c r="C334" s="15" t="s">
        <v>72</v>
      </c>
      <c r="D334" s="16"/>
      <c r="E334" s="2">
        <v>1607032.69</v>
      </c>
      <c r="F334" s="23">
        <v>0.43075697483166947</v>
      </c>
      <c r="G334" s="26">
        <f t="shared" si="5"/>
        <v>692240.54</v>
      </c>
      <c r="H334" t="s">
        <v>1806</v>
      </c>
      <c r="K334" t="s">
        <v>1809</v>
      </c>
      <c r="L334" t="s">
        <v>1814</v>
      </c>
      <c r="M334">
        <v>123</v>
      </c>
    </row>
    <row r="335" spans="1:13">
      <c r="A335" s="17" t="s">
        <v>489</v>
      </c>
      <c r="B335" s="18" t="s">
        <v>490</v>
      </c>
      <c r="C335" s="19" t="s">
        <v>73</v>
      </c>
      <c r="D335" s="20"/>
      <c r="E335" s="3">
        <v>1607032.69</v>
      </c>
      <c r="F335" s="24">
        <v>0.47254455663873274</v>
      </c>
      <c r="G335" s="26">
        <f t="shared" si="5"/>
        <v>759394.55</v>
      </c>
      <c r="H335" t="s">
        <v>1806</v>
      </c>
      <c r="K335" t="s">
        <v>1809</v>
      </c>
      <c r="L335" t="s">
        <v>1814</v>
      </c>
    </row>
    <row r="336" spans="1:13">
      <c r="A336" s="15" t="s">
        <v>489</v>
      </c>
      <c r="B336" s="16" t="s">
        <v>490</v>
      </c>
      <c r="C336" s="15" t="s">
        <v>74</v>
      </c>
      <c r="D336" s="16"/>
      <c r="E336" s="2">
        <v>1607032.69</v>
      </c>
      <c r="F336" s="23">
        <v>9.6698468529597875E-2</v>
      </c>
      <c r="G336" s="26">
        <f t="shared" si="5"/>
        <v>155397.6</v>
      </c>
      <c r="H336" t="s">
        <v>1806</v>
      </c>
      <c r="K336" t="s">
        <v>1809</v>
      </c>
      <c r="L336" t="s">
        <v>1814</v>
      </c>
    </row>
    <row r="337" spans="1:13">
      <c r="A337" s="27" t="s">
        <v>491</v>
      </c>
      <c r="B337" s="62" t="s">
        <v>492</v>
      </c>
      <c r="C337" s="29" t="s">
        <v>72</v>
      </c>
      <c r="D337" s="30"/>
      <c r="E337" s="31">
        <v>568034.19999999995</v>
      </c>
      <c r="F337" s="32">
        <v>0.63523004424733587</v>
      </c>
      <c r="G337" s="33">
        <f t="shared" si="5"/>
        <v>360832.39</v>
      </c>
      <c r="H337" s="34" t="s">
        <v>1806</v>
      </c>
      <c r="I337" s="34"/>
      <c r="J337" s="34"/>
      <c r="K337" s="34"/>
      <c r="L337" s="34"/>
      <c r="M337" s="36"/>
    </row>
    <row r="338" spans="1:13">
      <c r="A338" s="27" t="s">
        <v>491</v>
      </c>
      <c r="B338" s="63" t="s">
        <v>492</v>
      </c>
      <c r="C338" s="29" t="s">
        <v>73</v>
      </c>
      <c r="D338" s="30"/>
      <c r="E338" s="31">
        <v>568034.19999999995</v>
      </c>
      <c r="F338" s="32">
        <v>0.36476995575266419</v>
      </c>
      <c r="G338" s="33">
        <f t="shared" si="5"/>
        <v>207201.80999999997</v>
      </c>
      <c r="H338" s="34" t="s">
        <v>1806</v>
      </c>
      <c r="I338" s="34"/>
      <c r="J338" s="34"/>
      <c r="K338" s="34"/>
      <c r="L338" s="34"/>
      <c r="M338" s="36"/>
    </row>
    <row r="339" spans="1:13">
      <c r="A339" s="29" t="s">
        <v>491</v>
      </c>
      <c r="B339" s="64" t="s">
        <v>492</v>
      </c>
      <c r="C339" s="29" t="s">
        <v>74</v>
      </c>
      <c r="D339" s="30"/>
      <c r="E339" s="31">
        <v>568034.19999999995</v>
      </c>
      <c r="F339" s="32">
        <v>0</v>
      </c>
      <c r="G339" s="33">
        <f t="shared" si="5"/>
        <v>0</v>
      </c>
      <c r="H339" s="34" t="s">
        <v>1806</v>
      </c>
      <c r="I339" s="34"/>
      <c r="J339" s="34"/>
      <c r="K339" s="34"/>
      <c r="L339" s="34"/>
      <c r="M339" s="36"/>
    </row>
    <row r="340" spans="1:13">
      <c r="A340" s="13" t="s">
        <v>493</v>
      </c>
      <c r="B340" s="14" t="s">
        <v>494</v>
      </c>
      <c r="C340" s="15" t="s">
        <v>72</v>
      </c>
      <c r="D340" s="16"/>
      <c r="E340" s="2">
        <v>2727743.71</v>
      </c>
      <c r="F340" s="23">
        <v>1.0261227950920653E-3</v>
      </c>
      <c r="G340" s="26">
        <f t="shared" si="5"/>
        <v>2799</v>
      </c>
      <c r="H340" t="s">
        <v>1806</v>
      </c>
      <c r="M340">
        <v>261</v>
      </c>
    </row>
    <row r="341" spans="1:13">
      <c r="A341" s="17" t="s">
        <v>493</v>
      </c>
      <c r="B341" s="18" t="s">
        <v>494</v>
      </c>
      <c r="C341" s="19" t="s">
        <v>73</v>
      </c>
      <c r="D341" s="20"/>
      <c r="E341" s="3">
        <v>2727743.71</v>
      </c>
      <c r="F341" s="24">
        <v>0.88385341377984517</v>
      </c>
      <c r="G341" s="26">
        <f t="shared" si="5"/>
        <v>2410925.59</v>
      </c>
      <c r="H341" t="s">
        <v>1806</v>
      </c>
    </row>
    <row r="342" spans="1:13">
      <c r="A342" s="15" t="s">
        <v>493</v>
      </c>
      <c r="B342" s="16" t="s">
        <v>494</v>
      </c>
      <c r="C342" s="15" t="s">
        <v>74</v>
      </c>
      <c r="D342" s="16"/>
      <c r="E342" s="2">
        <v>2727743.71</v>
      </c>
      <c r="F342" s="23">
        <v>0.11512046342506276</v>
      </c>
      <c r="G342" s="26">
        <f t="shared" si="5"/>
        <v>314019.12</v>
      </c>
      <c r="H342" t="s">
        <v>1806</v>
      </c>
    </row>
    <row r="343" spans="1:13">
      <c r="A343" s="17" t="s">
        <v>495</v>
      </c>
      <c r="B343" s="21" t="s">
        <v>496</v>
      </c>
      <c r="C343" s="19" t="s">
        <v>72</v>
      </c>
      <c r="D343" s="20"/>
      <c r="E343" s="3">
        <v>2239223.5099999998</v>
      </c>
      <c r="F343" s="24">
        <v>0.30555379887021644</v>
      </c>
      <c r="G343" s="26">
        <f t="shared" si="5"/>
        <v>684203.25</v>
      </c>
      <c r="H343" t="s">
        <v>1806</v>
      </c>
      <c r="K343" t="s">
        <v>1809</v>
      </c>
      <c r="L343" t="s">
        <v>1814</v>
      </c>
      <c r="M343">
        <v>166</v>
      </c>
    </row>
    <row r="344" spans="1:13">
      <c r="A344" s="13" t="s">
        <v>495</v>
      </c>
      <c r="B344" s="22" t="s">
        <v>496</v>
      </c>
      <c r="C344" s="15" t="s">
        <v>73</v>
      </c>
      <c r="D344" s="16"/>
      <c r="E344" s="2">
        <v>2239223.5099999998</v>
      </c>
      <c r="F344" s="23">
        <v>0.51723558850987594</v>
      </c>
      <c r="G344" s="26">
        <f t="shared" si="5"/>
        <v>1158206.0899999999</v>
      </c>
      <c r="H344" t="s">
        <v>1806</v>
      </c>
      <c r="K344" t="s">
        <v>1809</v>
      </c>
      <c r="L344" t="s">
        <v>1814</v>
      </c>
    </row>
    <row r="345" spans="1:13">
      <c r="A345" s="19" t="s">
        <v>495</v>
      </c>
      <c r="B345" s="20" t="s">
        <v>496</v>
      </c>
      <c r="C345" s="19" t="s">
        <v>74</v>
      </c>
      <c r="D345" s="20"/>
      <c r="E345" s="3">
        <v>2239223.5099999998</v>
      </c>
      <c r="F345" s="24">
        <v>0.1772106126199077</v>
      </c>
      <c r="G345" s="26">
        <f t="shared" si="5"/>
        <v>396814.17</v>
      </c>
      <c r="H345" t="s">
        <v>1806</v>
      </c>
      <c r="K345" t="s">
        <v>1809</v>
      </c>
      <c r="L345" t="s">
        <v>1814</v>
      </c>
    </row>
    <row r="346" spans="1:13">
      <c r="A346" s="13" t="s">
        <v>497</v>
      </c>
      <c r="B346" s="14" t="s">
        <v>498</v>
      </c>
      <c r="C346" s="15" t="s">
        <v>72</v>
      </c>
      <c r="D346" s="16"/>
      <c r="E346" s="2">
        <v>871404.8</v>
      </c>
      <c r="F346" s="23">
        <v>0.26713408050999948</v>
      </c>
      <c r="G346" s="26">
        <f t="shared" si="5"/>
        <v>232781.92</v>
      </c>
      <c r="H346" t="s">
        <v>1806</v>
      </c>
      <c r="M346">
        <v>68</v>
      </c>
    </row>
    <row r="347" spans="1:13">
      <c r="A347" s="17" t="s">
        <v>497</v>
      </c>
      <c r="B347" s="18" t="s">
        <v>498</v>
      </c>
      <c r="C347" s="19" t="s">
        <v>73</v>
      </c>
      <c r="D347" s="20"/>
      <c r="E347" s="3">
        <v>871404.8</v>
      </c>
      <c r="F347" s="24">
        <v>0.52577297026594294</v>
      </c>
      <c r="G347" s="26">
        <f t="shared" si="5"/>
        <v>458161.08999999997</v>
      </c>
      <c r="H347" t="s">
        <v>1806</v>
      </c>
    </row>
    <row r="348" spans="1:13">
      <c r="A348" s="15" t="s">
        <v>497</v>
      </c>
      <c r="B348" s="16" t="s">
        <v>498</v>
      </c>
      <c r="C348" s="15" t="s">
        <v>74</v>
      </c>
      <c r="D348" s="16"/>
      <c r="E348" s="2">
        <v>871404.8</v>
      </c>
      <c r="F348" s="23">
        <v>0.20709294922405752</v>
      </c>
      <c r="G348" s="26">
        <f t="shared" si="5"/>
        <v>180461.79</v>
      </c>
      <c r="H348" t="s">
        <v>1806</v>
      </c>
    </row>
    <row r="349" spans="1:13">
      <c r="A349" s="17" t="s">
        <v>499</v>
      </c>
      <c r="B349" s="21" t="s">
        <v>309</v>
      </c>
      <c r="C349" s="19" t="s">
        <v>72</v>
      </c>
      <c r="D349" s="20"/>
      <c r="E349" s="3">
        <v>729230</v>
      </c>
      <c r="F349" s="24">
        <v>1.500212552966828E-3</v>
      </c>
      <c r="G349" s="26">
        <f t="shared" si="5"/>
        <v>1094</v>
      </c>
      <c r="H349" t="s">
        <v>1806</v>
      </c>
      <c r="M349">
        <v>54</v>
      </c>
    </row>
    <row r="350" spans="1:13">
      <c r="A350" s="13" t="s">
        <v>499</v>
      </c>
      <c r="B350" s="22" t="s">
        <v>309</v>
      </c>
      <c r="C350" s="15" t="s">
        <v>73</v>
      </c>
      <c r="D350" s="16"/>
      <c r="E350" s="2">
        <v>729230</v>
      </c>
      <c r="F350" s="23">
        <v>0.99849978744703316</v>
      </c>
      <c r="G350" s="26">
        <f t="shared" si="5"/>
        <v>728136</v>
      </c>
      <c r="H350" t="s">
        <v>1806</v>
      </c>
    </row>
    <row r="351" spans="1:13">
      <c r="A351" s="19" t="s">
        <v>499</v>
      </c>
      <c r="B351" s="20" t="s">
        <v>309</v>
      </c>
      <c r="C351" s="19" t="s">
        <v>74</v>
      </c>
      <c r="D351" s="20"/>
      <c r="E351" s="3">
        <v>729230</v>
      </c>
      <c r="F351" s="24">
        <v>0</v>
      </c>
      <c r="G351" s="26">
        <f t="shared" si="5"/>
        <v>0</v>
      </c>
      <c r="H351" t="s">
        <v>1806</v>
      </c>
    </row>
    <row r="352" spans="1:13">
      <c r="A352" s="13" t="s">
        <v>310</v>
      </c>
      <c r="B352" s="14" t="s">
        <v>311</v>
      </c>
      <c r="C352" s="15" t="s">
        <v>72</v>
      </c>
      <c r="D352" s="16"/>
      <c r="E352" s="2">
        <v>909606</v>
      </c>
      <c r="F352" s="23">
        <v>0</v>
      </c>
      <c r="G352" s="26">
        <f t="shared" si="5"/>
        <v>0</v>
      </c>
      <c r="H352" t="s">
        <v>1806</v>
      </c>
      <c r="M352">
        <v>88</v>
      </c>
    </row>
    <row r="353" spans="1:13">
      <c r="A353" s="17" t="s">
        <v>310</v>
      </c>
      <c r="B353" s="18" t="s">
        <v>311</v>
      </c>
      <c r="C353" s="19" t="s">
        <v>73</v>
      </c>
      <c r="D353" s="20"/>
      <c r="E353" s="3">
        <v>909606</v>
      </c>
      <c r="F353" s="24">
        <v>1</v>
      </c>
      <c r="G353" s="26">
        <f t="shared" si="5"/>
        <v>909606</v>
      </c>
      <c r="H353" t="s">
        <v>1806</v>
      </c>
    </row>
    <row r="354" spans="1:13">
      <c r="A354" s="15" t="s">
        <v>310</v>
      </c>
      <c r="B354" s="16" t="s">
        <v>311</v>
      </c>
      <c r="C354" s="15" t="s">
        <v>74</v>
      </c>
      <c r="D354" s="16"/>
      <c r="E354" s="2">
        <v>909606</v>
      </c>
      <c r="F354" s="23">
        <v>0</v>
      </c>
      <c r="G354" s="26">
        <f t="shared" si="5"/>
        <v>0</v>
      </c>
      <c r="H354" t="s">
        <v>1806</v>
      </c>
    </row>
    <row r="355" spans="1:13">
      <c r="A355" s="17" t="s">
        <v>312</v>
      </c>
      <c r="B355" s="21" t="s">
        <v>313</v>
      </c>
      <c r="C355" s="19" t="s">
        <v>72</v>
      </c>
      <c r="D355" s="20"/>
      <c r="E355" s="3">
        <v>835934</v>
      </c>
      <c r="F355" s="24">
        <v>1.1472197565836537E-3</v>
      </c>
      <c r="G355" s="26">
        <f t="shared" si="5"/>
        <v>959</v>
      </c>
      <c r="H355" t="s">
        <v>1806</v>
      </c>
      <c r="M355">
        <v>79</v>
      </c>
    </row>
    <row r="356" spans="1:13">
      <c r="A356" s="13" t="s">
        <v>312</v>
      </c>
      <c r="B356" s="22" t="s">
        <v>313</v>
      </c>
      <c r="C356" s="15" t="s">
        <v>73</v>
      </c>
      <c r="D356" s="16"/>
      <c r="E356" s="2">
        <v>835934</v>
      </c>
      <c r="F356" s="23">
        <v>0.99885278024341639</v>
      </c>
      <c r="G356" s="26">
        <f t="shared" si="5"/>
        <v>834975</v>
      </c>
      <c r="H356" t="s">
        <v>1806</v>
      </c>
    </row>
    <row r="357" spans="1:13">
      <c r="A357" s="19" t="s">
        <v>312</v>
      </c>
      <c r="B357" s="20" t="s">
        <v>313</v>
      </c>
      <c r="C357" s="19" t="s">
        <v>74</v>
      </c>
      <c r="D357" s="20"/>
      <c r="E357" s="3">
        <v>835934</v>
      </c>
      <c r="F357" s="24">
        <v>0</v>
      </c>
      <c r="G357" s="26">
        <f t="shared" si="5"/>
        <v>0</v>
      </c>
      <c r="H357" t="s">
        <v>1806</v>
      </c>
    </row>
    <row r="358" spans="1:13">
      <c r="A358" s="13" t="s">
        <v>314</v>
      </c>
      <c r="B358" s="14" t="s">
        <v>315</v>
      </c>
      <c r="C358" s="15" t="s">
        <v>72</v>
      </c>
      <c r="D358" s="16"/>
      <c r="E358" s="2">
        <v>277522.46999999997</v>
      </c>
      <c r="F358" s="23">
        <v>9.8190247441945887E-5</v>
      </c>
      <c r="G358" s="26">
        <f t="shared" si="5"/>
        <v>27.25</v>
      </c>
      <c r="H358" t="s">
        <v>1806</v>
      </c>
      <c r="M358">
        <v>128</v>
      </c>
    </row>
    <row r="359" spans="1:13">
      <c r="A359" s="17" t="s">
        <v>314</v>
      </c>
      <c r="B359" s="18" t="s">
        <v>315</v>
      </c>
      <c r="C359" s="19" t="s">
        <v>73</v>
      </c>
      <c r="D359" s="20"/>
      <c r="E359" s="3">
        <v>277522.46999999997</v>
      </c>
      <c r="F359" s="24">
        <v>0.94122382234490787</v>
      </c>
      <c r="G359" s="26">
        <f t="shared" si="5"/>
        <v>261210.76</v>
      </c>
      <c r="H359" t="s">
        <v>1806</v>
      </c>
    </row>
    <row r="360" spans="1:13">
      <c r="A360" s="15" t="s">
        <v>314</v>
      </c>
      <c r="B360" s="16" t="s">
        <v>315</v>
      </c>
      <c r="C360" s="15" t="s">
        <v>74</v>
      </c>
      <c r="D360" s="16"/>
      <c r="E360" s="2">
        <v>277522.46999999997</v>
      </c>
      <c r="F360" s="23">
        <v>5.8677987407650276E-2</v>
      </c>
      <c r="G360" s="26">
        <f t="shared" si="5"/>
        <v>16284.46</v>
      </c>
      <c r="H360" t="s">
        <v>1806</v>
      </c>
    </row>
    <row r="361" spans="1:13">
      <c r="A361" s="17" t="s">
        <v>316</v>
      </c>
      <c r="B361" s="21" t="s">
        <v>317</v>
      </c>
      <c r="C361" s="19" t="s">
        <v>72</v>
      </c>
      <c r="D361" s="20"/>
      <c r="E361" s="3">
        <v>955114.24</v>
      </c>
      <c r="F361" s="24">
        <v>0</v>
      </c>
      <c r="G361" s="26">
        <f t="shared" si="5"/>
        <v>0</v>
      </c>
      <c r="H361" t="s">
        <v>1806</v>
      </c>
      <c r="M361">
        <v>240</v>
      </c>
    </row>
    <row r="362" spans="1:13">
      <c r="A362" s="13" t="s">
        <v>316</v>
      </c>
      <c r="B362" s="22" t="s">
        <v>317</v>
      </c>
      <c r="C362" s="15" t="s">
        <v>73</v>
      </c>
      <c r="D362" s="16"/>
      <c r="E362" s="2">
        <v>955114.24</v>
      </c>
      <c r="F362" s="23">
        <v>0.80284671496469362</v>
      </c>
      <c r="G362" s="26">
        <f t="shared" si="5"/>
        <v>766810.33</v>
      </c>
      <c r="H362" t="s">
        <v>1806</v>
      </c>
    </row>
    <row r="363" spans="1:13">
      <c r="A363" s="19" t="s">
        <v>316</v>
      </c>
      <c r="B363" s="20" t="s">
        <v>317</v>
      </c>
      <c r="C363" s="19" t="s">
        <v>74</v>
      </c>
      <c r="D363" s="20"/>
      <c r="E363" s="3">
        <v>955114.24</v>
      </c>
      <c r="F363" s="24">
        <v>0.19715328503530635</v>
      </c>
      <c r="G363" s="26">
        <f t="shared" si="5"/>
        <v>188303.91</v>
      </c>
      <c r="H363" t="s">
        <v>1806</v>
      </c>
    </row>
    <row r="364" spans="1:13">
      <c r="A364" s="13" t="s">
        <v>318</v>
      </c>
      <c r="B364" s="14" t="s">
        <v>319</v>
      </c>
      <c r="C364" s="15" t="s">
        <v>72</v>
      </c>
      <c r="D364" s="16"/>
      <c r="E364" s="2">
        <v>622949.76</v>
      </c>
      <c r="F364" s="23">
        <v>6.0197470820118786E-5</v>
      </c>
      <c r="G364" s="26">
        <f t="shared" si="5"/>
        <v>37.5</v>
      </c>
      <c r="H364" t="s">
        <v>1806</v>
      </c>
      <c r="M364">
        <v>158</v>
      </c>
    </row>
    <row r="365" spans="1:13">
      <c r="A365" s="17" t="s">
        <v>318</v>
      </c>
      <c r="B365" s="18" t="s">
        <v>319</v>
      </c>
      <c r="C365" s="19" t="s">
        <v>73</v>
      </c>
      <c r="D365" s="20"/>
      <c r="E365" s="3">
        <v>622949.76</v>
      </c>
      <c r="F365" s="24">
        <v>0.7780976591113864</v>
      </c>
      <c r="G365" s="26">
        <f t="shared" si="5"/>
        <v>484715.75</v>
      </c>
      <c r="H365" t="s">
        <v>1806</v>
      </c>
    </row>
    <row r="366" spans="1:13">
      <c r="A366" s="15" t="s">
        <v>318</v>
      </c>
      <c r="B366" s="16" t="s">
        <v>319</v>
      </c>
      <c r="C366" s="15" t="s">
        <v>74</v>
      </c>
      <c r="D366" s="16"/>
      <c r="E366" s="2">
        <v>622949.76</v>
      </c>
      <c r="F366" s="23">
        <v>0.22184214341779346</v>
      </c>
      <c r="G366" s="26">
        <f t="shared" si="5"/>
        <v>138196.51</v>
      </c>
      <c r="H366" t="s">
        <v>1806</v>
      </c>
    </row>
    <row r="367" spans="1:13">
      <c r="A367" s="17" t="s">
        <v>320</v>
      </c>
      <c r="B367" s="21" t="s">
        <v>321</v>
      </c>
      <c r="C367" s="19" t="s">
        <v>72</v>
      </c>
      <c r="D367" s="20"/>
      <c r="E367" s="3">
        <v>1189815.74</v>
      </c>
      <c r="F367" s="24">
        <v>4.7435075955542491E-4</v>
      </c>
      <c r="G367" s="26">
        <f t="shared" si="5"/>
        <v>564.39</v>
      </c>
      <c r="H367" t="s">
        <v>1806</v>
      </c>
      <c r="K367" t="s">
        <v>1809</v>
      </c>
      <c r="L367" t="s">
        <v>1814</v>
      </c>
      <c r="M367">
        <v>131</v>
      </c>
    </row>
    <row r="368" spans="1:13">
      <c r="A368" s="13" t="s">
        <v>320</v>
      </c>
      <c r="B368" s="22" t="s">
        <v>321</v>
      </c>
      <c r="C368" s="15" t="s">
        <v>73</v>
      </c>
      <c r="D368" s="16"/>
      <c r="E368" s="2">
        <v>1189815.74</v>
      </c>
      <c r="F368" s="23">
        <v>0.83409556340211133</v>
      </c>
      <c r="G368" s="26">
        <f t="shared" si="5"/>
        <v>992420.03</v>
      </c>
      <c r="H368" t="s">
        <v>1806</v>
      </c>
      <c r="K368" t="s">
        <v>1809</v>
      </c>
      <c r="L368" t="s">
        <v>1814</v>
      </c>
    </row>
    <row r="369" spans="1:13">
      <c r="A369" s="19" t="s">
        <v>320</v>
      </c>
      <c r="B369" s="20" t="s">
        <v>321</v>
      </c>
      <c r="C369" s="19" t="s">
        <v>74</v>
      </c>
      <c r="D369" s="20"/>
      <c r="E369" s="3">
        <v>1189815.74</v>
      </c>
      <c r="F369" s="24">
        <v>0.16543008583833327</v>
      </c>
      <c r="G369" s="26">
        <f t="shared" si="5"/>
        <v>196831.32</v>
      </c>
      <c r="H369" t="s">
        <v>1806</v>
      </c>
      <c r="K369" t="s">
        <v>1809</v>
      </c>
      <c r="L369" t="s">
        <v>1814</v>
      </c>
    </row>
    <row r="370" spans="1:13">
      <c r="A370" s="13" t="s">
        <v>322</v>
      </c>
      <c r="B370" s="14" t="s">
        <v>323</v>
      </c>
      <c r="C370" s="15" t="s">
        <v>72</v>
      </c>
      <c r="D370" s="16"/>
      <c r="E370" s="2">
        <v>472096.61</v>
      </c>
      <c r="F370" s="23">
        <v>0</v>
      </c>
      <c r="G370" s="26">
        <f t="shared" si="5"/>
        <v>0</v>
      </c>
      <c r="H370" t="s">
        <v>1806</v>
      </c>
      <c r="M370">
        <v>26</v>
      </c>
    </row>
    <row r="371" spans="1:13">
      <c r="A371" s="17" t="s">
        <v>322</v>
      </c>
      <c r="B371" s="18" t="s">
        <v>323</v>
      </c>
      <c r="C371" s="19" t="s">
        <v>73</v>
      </c>
      <c r="D371" s="20"/>
      <c r="E371" s="3">
        <v>472096.61</v>
      </c>
      <c r="F371" s="24">
        <v>0.98586107195304795</v>
      </c>
      <c r="G371" s="26">
        <f t="shared" si="5"/>
        <v>465421.67</v>
      </c>
      <c r="H371" t="s">
        <v>1806</v>
      </c>
    </row>
    <row r="372" spans="1:13">
      <c r="A372" s="15" t="s">
        <v>322</v>
      </c>
      <c r="B372" s="16" t="s">
        <v>323</v>
      </c>
      <c r="C372" s="15" t="s">
        <v>74</v>
      </c>
      <c r="D372" s="16"/>
      <c r="E372" s="2">
        <v>472096.61</v>
      </c>
      <c r="F372" s="23">
        <v>1.4138928046952085E-2</v>
      </c>
      <c r="G372" s="26">
        <f t="shared" si="5"/>
        <v>6674.94</v>
      </c>
      <c r="H372" t="s">
        <v>1806</v>
      </c>
    </row>
    <row r="373" spans="1:13">
      <c r="A373" s="17" t="s">
        <v>324</v>
      </c>
      <c r="B373" s="21" t="s">
        <v>325</v>
      </c>
      <c r="C373" s="19" t="s">
        <v>72</v>
      </c>
      <c r="D373" s="20"/>
      <c r="E373" s="3">
        <v>161469.60999999999</v>
      </c>
      <c r="F373" s="24">
        <v>0</v>
      </c>
      <c r="G373" s="26">
        <f t="shared" si="5"/>
        <v>0</v>
      </c>
      <c r="H373" t="s">
        <v>1806</v>
      </c>
      <c r="K373" t="s">
        <v>1809</v>
      </c>
      <c r="L373" s="37" t="s">
        <v>1816</v>
      </c>
      <c r="M373">
        <v>26</v>
      </c>
    </row>
    <row r="374" spans="1:13">
      <c r="A374" s="13" t="s">
        <v>324</v>
      </c>
      <c r="B374" s="22" t="s">
        <v>325</v>
      </c>
      <c r="C374" s="15" t="s">
        <v>73</v>
      </c>
      <c r="D374" s="16"/>
      <c r="E374" s="2">
        <v>161469.60999999999</v>
      </c>
      <c r="F374" s="23">
        <v>0.83628628322072507</v>
      </c>
      <c r="G374" s="26">
        <f t="shared" si="5"/>
        <v>135034.82</v>
      </c>
      <c r="H374" t="s">
        <v>1806</v>
      </c>
      <c r="K374" t="s">
        <v>1809</v>
      </c>
      <c r="L374" s="37" t="s">
        <v>1816</v>
      </c>
    </row>
    <row r="375" spans="1:13">
      <c r="A375" s="19" t="s">
        <v>324</v>
      </c>
      <c r="B375" s="20" t="s">
        <v>325</v>
      </c>
      <c r="C375" s="19" t="s">
        <v>74</v>
      </c>
      <c r="D375" s="20"/>
      <c r="E375" s="3">
        <v>161469.60999999999</v>
      </c>
      <c r="F375" s="24">
        <v>0.16371371677927507</v>
      </c>
      <c r="G375" s="26">
        <f t="shared" si="5"/>
        <v>26434.79</v>
      </c>
      <c r="H375" t="s">
        <v>1806</v>
      </c>
      <c r="K375" t="s">
        <v>1809</v>
      </c>
      <c r="L375" s="37" t="s">
        <v>1816</v>
      </c>
    </row>
    <row r="376" spans="1:13">
      <c r="A376" s="13" t="s">
        <v>326</v>
      </c>
      <c r="B376" s="14" t="s">
        <v>327</v>
      </c>
      <c r="C376" s="15" t="s">
        <v>72</v>
      </c>
      <c r="D376" s="16"/>
      <c r="E376" s="2">
        <v>1657794.01</v>
      </c>
      <c r="F376" s="23">
        <v>1.2706464055808717E-3</v>
      </c>
      <c r="G376" s="26">
        <f t="shared" si="5"/>
        <v>2106.4699999999998</v>
      </c>
      <c r="H376" t="s">
        <v>1806</v>
      </c>
      <c r="M376">
        <v>148</v>
      </c>
    </row>
    <row r="377" spans="1:13">
      <c r="A377" s="17" t="s">
        <v>326</v>
      </c>
      <c r="B377" s="18" t="s">
        <v>327</v>
      </c>
      <c r="C377" s="19" t="s">
        <v>73</v>
      </c>
      <c r="D377" s="20"/>
      <c r="E377" s="3">
        <v>1657794.01</v>
      </c>
      <c r="F377" s="24">
        <v>0.94485401717671791</v>
      </c>
      <c r="G377" s="26">
        <f t="shared" si="5"/>
        <v>1566373.33</v>
      </c>
      <c r="H377" t="s">
        <v>1806</v>
      </c>
    </row>
    <row r="378" spans="1:13">
      <c r="A378" s="15" t="s">
        <v>326</v>
      </c>
      <c r="B378" s="16" t="s">
        <v>327</v>
      </c>
      <c r="C378" s="15" t="s">
        <v>74</v>
      </c>
      <c r="D378" s="16"/>
      <c r="E378" s="2">
        <v>1657794.01</v>
      </c>
      <c r="F378" s="23">
        <v>5.3875336417701258E-2</v>
      </c>
      <c r="G378" s="26">
        <f t="shared" si="5"/>
        <v>89314.21</v>
      </c>
      <c r="H378" t="s">
        <v>1806</v>
      </c>
    </row>
    <row r="379" spans="1:13">
      <c r="A379" s="17" t="s">
        <v>328</v>
      </c>
      <c r="B379" s="21" t="s">
        <v>329</v>
      </c>
      <c r="C379" s="19" t="s">
        <v>72</v>
      </c>
      <c r="D379" s="20"/>
      <c r="E379" s="3">
        <v>1344443.63</v>
      </c>
      <c r="F379" s="24">
        <v>0</v>
      </c>
      <c r="G379" s="26">
        <f t="shared" si="5"/>
        <v>0</v>
      </c>
      <c r="H379" t="s">
        <v>1806</v>
      </c>
      <c r="M379">
        <v>216</v>
      </c>
    </row>
    <row r="380" spans="1:13">
      <c r="A380" s="13" t="s">
        <v>328</v>
      </c>
      <c r="B380" s="22" t="s">
        <v>329</v>
      </c>
      <c r="C380" s="15" t="s">
        <v>73</v>
      </c>
      <c r="D380" s="16"/>
      <c r="E380" s="2">
        <v>1344443.63</v>
      </c>
      <c r="F380" s="23">
        <v>0.80088339590704904</v>
      </c>
      <c r="G380" s="26">
        <f t="shared" si="5"/>
        <v>1076742.58</v>
      </c>
      <c r="H380" t="s">
        <v>1806</v>
      </c>
    </row>
    <row r="381" spans="1:13">
      <c r="A381" s="19" t="s">
        <v>328</v>
      </c>
      <c r="B381" s="20" t="s">
        <v>329</v>
      </c>
      <c r="C381" s="19" t="s">
        <v>74</v>
      </c>
      <c r="D381" s="20"/>
      <c r="E381" s="3">
        <v>1344443.63</v>
      </c>
      <c r="F381" s="24">
        <v>0.19911660409295109</v>
      </c>
      <c r="G381" s="26">
        <f t="shared" si="5"/>
        <v>267701.05</v>
      </c>
      <c r="H381" t="s">
        <v>1806</v>
      </c>
    </row>
    <row r="382" spans="1:13">
      <c r="A382" s="13" t="s">
        <v>330</v>
      </c>
      <c r="B382" s="14" t="s">
        <v>331</v>
      </c>
      <c r="C382" s="15" t="s">
        <v>72</v>
      </c>
      <c r="D382" s="16"/>
      <c r="E382" s="2">
        <v>993537.32</v>
      </c>
      <c r="F382" s="23">
        <v>1.0218166741839148E-2</v>
      </c>
      <c r="G382" s="26">
        <f t="shared" si="5"/>
        <v>10152.129999999999</v>
      </c>
      <c r="H382" t="s">
        <v>1806</v>
      </c>
      <c r="M382">
        <v>121</v>
      </c>
    </row>
    <row r="383" spans="1:13">
      <c r="A383" s="17" t="s">
        <v>330</v>
      </c>
      <c r="B383" s="18" t="s">
        <v>331</v>
      </c>
      <c r="C383" s="19" t="s">
        <v>73</v>
      </c>
      <c r="D383" s="20"/>
      <c r="E383" s="3">
        <v>993537.32</v>
      </c>
      <c r="F383" s="24">
        <v>0.87316983724375852</v>
      </c>
      <c r="G383" s="26">
        <f t="shared" si="5"/>
        <v>867526.82</v>
      </c>
      <c r="H383" t="s">
        <v>1806</v>
      </c>
    </row>
    <row r="384" spans="1:13">
      <c r="A384" s="15" t="s">
        <v>330</v>
      </c>
      <c r="B384" s="16" t="s">
        <v>331</v>
      </c>
      <c r="C384" s="15" t="s">
        <v>74</v>
      </c>
      <c r="D384" s="16"/>
      <c r="E384" s="2">
        <v>993537.32</v>
      </c>
      <c r="F384" s="23">
        <v>0.11661199601440236</v>
      </c>
      <c r="G384" s="26">
        <f t="shared" si="5"/>
        <v>115858.37</v>
      </c>
      <c r="H384" t="s">
        <v>1806</v>
      </c>
    </row>
    <row r="385" spans="1:13">
      <c r="A385" s="17" t="s">
        <v>332</v>
      </c>
      <c r="B385" s="21" t="s">
        <v>333</v>
      </c>
      <c r="C385" s="19" t="s">
        <v>72</v>
      </c>
      <c r="D385" s="20"/>
      <c r="E385" s="3">
        <v>335000</v>
      </c>
      <c r="F385" s="24">
        <v>0</v>
      </c>
      <c r="G385" s="26">
        <f t="shared" si="5"/>
        <v>0</v>
      </c>
      <c r="H385" t="s">
        <v>1806</v>
      </c>
      <c r="K385" t="s">
        <v>1809</v>
      </c>
      <c r="L385" t="s">
        <v>1814</v>
      </c>
      <c r="M385">
        <v>38</v>
      </c>
    </row>
    <row r="386" spans="1:13">
      <c r="A386" s="13" t="s">
        <v>332</v>
      </c>
      <c r="B386" s="22" t="s">
        <v>333</v>
      </c>
      <c r="C386" s="15" t="s">
        <v>73</v>
      </c>
      <c r="D386" s="16"/>
      <c r="E386" s="2">
        <v>335000</v>
      </c>
      <c r="F386" s="23">
        <v>1</v>
      </c>
      <c r="G386" s="26">
        <f t="shared" si="5"/>
        <v>335000</v>
      </c>
      <c r="H386" t="s">
        <v>1806</v>
      </c>
      <c r="K386" t="s">
        <v>1809</v>
      </c>
      <c r="L386" t="s">
        <v>1814</v>
      </c>
    </row>
    <row r="387" spans="1:13">
      <c r="A387" s="19" t="s">
        <v>332</v>
      </c>
      <c r="B387" s="20" t="s">
        <v>333</v>
      </c>
      <c r="C387" s="19" t="s">
        <v>74</v>
      </c>
      <c r="D387" s="20"/>
      <c r="E387" s="3">
        <v>335000</v>
      </c>
      <c r="F387" s="24">
        <v>0</v>
      </c>
      <c r="G387" s="26">
        <f t="shared" si="5"/>
        <v>0</v>
      </c>
      <c r="H387" t="s">
        <v>1806</v>
      </c>
      <c r="K387" t="s">
        <v>1809</v>
      </c>
      <c r="L387" t="s">
        <v>1814</v>
      </c>
    </row>
    <row r="388" spans="1:13">
      <c r="A388" s="13" t="s">
        <v>334</v>
      </c>
      <c r="B388" s="14" t="s">
        <v>335</v>
      </c>
      <c r="C388" s="15" t="s">
        <v>72</v>
      </c>
      <c r="D388" s="16"/>
      <c r="E388" s="2">
        <v>78367.070000000007</v>
      </c>
      <c r="F388" s="23">
        <v>0</v>
      </c>
      <c r="G388" s="26">
        <f t="shared" si="5"/>
        <v>0</v>
      </c>
      <c r="H388" t="s">
        <v>1806</v>
      </c>
      <c r="M388">
        <v>58</v>
      </c>
    </row>
    <row r="389" spans="1:13">
      <c r="A389" s="17" t="s">
        <v>334</v>
      </c>
      <c r="B389" s="18" t="s">
        <v>335</v>
      </c>
      <c r="C389" s="19" t="s">
        <v>73</v>
      </c>
      <c r="D389" s="20"/>
      <c r="E389" s="3">
        <v>78367.070000000007</v>
      </c>
      <c r="F389" s="24">
        <v>1</v>
      </c>
      <c r="G389" s="26">
        <f t="shared" ref="G389:G452" si="6">F389*E389</f>
        <v>78367.070000000007</v>
      </c>
      <c r="H389" t="s">
        <v>1806</v>
      </c>
    </row>
    <row r="390" spans="1:13">
      <c r="A390" s="15" t="s">
        <v>334</v>
      </c>
      <c r="B390" s="16" t="s">
        <v>335</v>
      </c>
      <c r="C390" s="15" t="s">
        <v>74</v>
      </c>
      <c r="D390" s="16"/>
      <c r="E390" s="2">
        <v>78367.070000000007</v>
      </c>
      <c r="F390" s="23">
        <v>0</v>
      </c>
      <c r="G390" s="26">
        <f t="shared" si="6"/>
        <v>0</v>
      </c>
      <c r="H390" t="s">
        <v>1806</v>
      </c>
    </row>
    <row r="391" spans="1:13">
      <c r="A391" s="17" t="s">
        <v>336</v>
      </c>
      <c r="B391" s="21" t="s">
        <v>337</v>
      </c>
      <c r="C391" s="19" t="s">
        <v>72</v>
      </c>
      <c r="D391" s="20"/>
      <c r="E391" s="3">
        <v>657459.05000000005</v>
      </c>
      <c r="F391" s="24">
        <v>4.7800087321027817E-3</v>
      </c>
      <c r="G391" s="26">
        <f t="shared" si="6"/>
        <v>3142.6599999999994</v>
      </c>
      <c r="H391" t="s">
        <v>1806</v>
      </c>
      <c r="K391" t="s">
        <v>1809</v>
      </c>
      <c r="L391" t="s">
        <v>1814</v>
      </c>
      <c r="M391">
        <v>74</v>
      </c>
    </row>
    <row r="392" spans="1:13">
      <c r="A392" s="13" t="s">
        <v>336</v>
      </c>
      <c r="B392" s="22" t="s">
        <v>337</v>
      </c>
      <c r="C392" s="15" t="s">
        <v>73</v>
      </c>
      <c r="D392" s="16"/>
      <c r="E392" s="2">
        <v>657459.05000000005</v>
      </c>
      <c r="F392" s="23">
        <v>0.99521999126789717</v>
      </c>
      <c r="G392" s="26">
        <f t="shared" si="6"/>
        <v>654316.39</v>
      </c>
      <c r="H392" t="s">
        <v>1806</v>
      </c>
      <c r="K392" t="s">
        <v>1809</v>
      </c>
      <c r="L392" t="s">
        <v>1814</v>
      </c>
    </row>
    <row r="393" spans="1:13">
      <c r="A393" s="19" t="s">
        <v>336</v>
      </c>
      <c r="B393" s="20" t="s">
        <v>337</v>
      </c>
      <c r="C393" s="19" t="s">
        <v>74</v>
      </c>
      <c r="D393" s="20"/>
      <c r="E393" s="3">
        <v>657459.05000000005</v>
      </c>
      <c r="F393" s="24">
        <v>0</v>
      </c>
      <c r="G393" s="26">
        <f t="shared" si="6"/>
        <v>0</v>
      </c>
      <c r="H393" t="s">
        <v>1806</v>
      </c>
      <c r="K393" t="s">
        <v>1809</v>
      </c>
      <c r="L393" t="s">
        <v>1814</v>
      </c>
    </row>
    <row r="394" spans="1:13">
      <c r="A394" s="13" t="s">
        <v>338</v>
      </c>
      <c r="B394" s="14" t="s">
        <v>339</v>
      </c>
      <c r="C394" s="15" t="s">
        <v>72</v>
      </c>
      <c r="D394" s="16"/>
      <c r="E394" s="2">
        <v>2325344.94</v>
      </c>
      <c r="F394" s="23">
        <v>3.5050713809367138E-3</v>
      </c>
      <c r="G394" s="26">
        <f t="shared" si="6"/>
        <v>8150.5</v>
      </c>
      <c r="H394" t="s">
        <v>1806</v>
      </c>
      <c r="K394" t="s">
        <v>1809</v>
      </c>
      <c r="L394" t="s">
        <v>1814</v>
      </c>
      <c r="M394">
        <v>356</v>
      </c>
    </row>
    <row r="395" spans="1:13">
      <c r="A395" s="17" t="s">
        <v>338</v>
      </c>
      <c r="B395" s="18" t="s">
        <v>339</v>
      </c>
      <c r="C395" s="19" t="s">
        <v>73</v>
      </c>
      <c r="D395" s="20"/>
      <c r="E395" s="3">
        <v>2325344.94</v>
      </c>
      <c r="F395" s="24">
        <v>0.89180590127845727</v>
      </c>
      <c r="G395" s="26">
        <f t="shared" si="6"/>
        <v>2073756.34</v>
      </c>
      <c r="H395" t="s">
        <v>1806</v>
      </c>
      <c r="K395" t="s">
        <v>1809</v>
      </c>
      <c r="L395" t="s">
        <v>1814</v>
      </c>
    </row>
    <row r="396" spans="1:13">
      <c r="A396" s="15" t="s">
        <v>338</v>
      </c>
      <c r="B396" s="16" t="s">
        <v>339</v>
      </c>
      <c r="C396" s="15" t="s">
        <v>74</v>
      </c>
      <c r="D396" s="16"/>
      <c r="E396" s="2">
        <v>2325344.94</v>
      </c>
      <c r="F396" s="23">
        <v>0.10468902734060609</v>
      </c>
      <c r="G396" s="26">
        <f t="shared" si="6"/>
        <v>243438.1</v>
      </c>
      <c r="H396" t="s">
        <v>1806</v>
      </c>
      <c r="K396" t="s">
        <v>1809</v>
      </c>
      <c r="L396" t="s">
        <v>1814</v>
      </c>
    </row>
    <row r="397" spans="1:13">
      <c r="A397" s="17" t="s">
        <v>340</v>
      </c>
      <c r="B397" s="21" t="s">
        <v>341</v>
      </c>
      <c r="C397" s="19" t="s">
        <v>72</v>
      </c>
      <c r="D397" s="20"/>
      <c r="E397" s="3">
        <v>1352791.03</v>
      </c>
      <c r="F397" s="24">
        <v>7.10884370662925E-3</v>
      </c>
      <c r="G397" s="26">
        <f t="shared" si="6"/>
        <v>9616.7800000000007</v>
      </c>
      <c r="H397" t="s">
        <v>1806</v>
      </c>
      <c r="M397">
        <v>160</v>
      </c>
    </row>
    <row r="398" spans="1:13">
      <c r="A398" s="13" t="s">
        <v>340</v>
      </c>
      <c r="B398" s="22" t="s">
        <v>341</v>
      </c>
      <c r="C398" s="15" t="s">
        <v>73</v>
      </c>
      <c r="D398" s="16"/>
      <c r="E398" s="2">
        <v>1352791.03</v>
      </c>
      <c r="F398" s="23">
        <v>0.7711274150006745</v>
      </c>
      <c r="G398" s="26">
        <f t="shared" si="6"/>
        <v>1043174.2499999999</v>
      </c>
      <c r="H398" t="s">
        <v>1806</v>
      </c>
    </row>
    <row r="399" spans="1:13">
      <c r="A399" s="19" t="s">
        <v>340</v>
      </c>
      <c r="B399" s="20" t="s">
        <v>341</v>
      </c>
      <c r="C399" s="19" t="s">
        <v>74</v>
      </c>
      <c r="D399" s="20"/>
      <c r="E399" s="3">
        <v>1352791.03</v>
      </c>
      <c r="F399" s="24">
        <v>0.22176374129269619</v>
      </c>
      <c r="G399" s="26">
        <f t="shared" si="6"/>
        <v>300000</v>
      </c>
      <c r="H399" t="s">
        <v>1806</v>
      </c>
    </row>
    <row r="400" spans="1:13">
      <c r="A400" s="13" t="s">
        <v>342</v>
      </c>
      <c r="B400" s="14" t="s">
        <v>343</v>
      </c>
      <c r="C400" s="15" t="s">
        <v>72</v>
      </c>
      <c r="D400" s="16"/>
      <c r="E400" s="2">
        <v>623733.16</v>
      </c>
      <c r="F400" s="23">
        <v>1.4783789914263976E-2</v>
      </c>
      <c r="G400" s="26">
        <f t="shared" si="6"/>
        <v>9221.14</v>
      </c>
      <c r="H400" t="s">
        <v>1806</v>
      </c>
      <c r="K400" t="s">
        <v>1809</v>
      </c>
      <c r="L400" s="37" t="s">
        <v>1816</v>
      </c>
      <c r="M400">
        <v>87</v>
      </c>
    </row>
    <row r="401" spans="1:13">
      <c r="A401" s="17" t="s">
        <v>342</v>
      </c>
      <c r="B401" s="18" t="s">
        <v>343</v>
      </c>
      <c r="C401" s="19" t="s">
        <v>73</v>
      </c>
      <c r="D401" s="20"/>
      <c r="E401" s="3">
        <v>623733.16</v>
      </c>
      <c r="F401" s="24">
        <v>0.93843833795849485</v>
      </c>
      <c r="G401" s="26">
        <f t="shared" si="6"/>
        <v>585335.11</v>
      </c>
      <c r="H401" t="s">
        <v>1806</v>
      </c>
      <c r="K401" t="s">
        <v>1809</v>
      </c>
      <c r="L401" s="37" t="s">
        <v>1816</v>
      </c>
    </row>
    <row r="402" spans="1:13">
      <c r="A402" s="15" t="s">
        <v>342</v>
      </c>
      <c r="B402" s="16" t="s">
        <v>343</v>
      </c>
      <c r="C402" s="15" t="s">
        <v>74</v>
      </c>
      <c r="D402" s="16"/>
      <c r="E402" s="2">
        <v>623733.16</v>
      </c>
      <c r="F402" s="23">
        <v>4.6777872127241077E-2</v>
      </c>
      <c r="G402" s="26">
        <f t="shared" si="6"/>
        <v>29176.91</v>
      </c>
      <c r="H402" t="s">
        <v>1806</v>
      </c>
      <c r="K402" t="s">
        <v>1809</v>
      </c>
      <c r="L402" s="37" t="s">
        <v>1816</v>
      </c>
    </row>
    <row r="403" spans="1:13">
      <c r="A403" s="17" t="s">
        <v>344</v>
      </c>
      <c r="B403" s="21" t="s">
        <v>345</v>
      </c>
      <c r="C403" s="19" t="s">
        <v>72</v>
      </c>
      <c r="D403" s="20"/>
      <c r="E403" s="3">
        <v>136036.79999999999</v>
      </c>
      <c r="F403" s="24">
        <v>7.8287639815108861E-2</v>
      </c>
      <c r="G403" s="26">
        <f t="shared" si="6"/>
        <v>10650</v>
      </c>
      <c r="H403" t="s">
        <v>1806</v>
      </c>
      <c r="M403">
        <v>25</v>
      </c>
    </row>
    <row r="404" spans="1:13">
      <c r="A404" s="13" t="s">
        <v>344</v>
      </c>
      <c r="B404" s="22" t="s">
        <v>345</v>
      </c>
      <c r="C404" s="15" t="s">
        <v>73</v>
      </c>
      <c r="D404" s="16"/>
      <c r="E404" s="2">
        <v>136036.79999999999</v>
      </c>
      <c r="F404" s="23">
        <v>0.92171236018489122</v>
      </c>
      <c r="G404" s="26">
        <f t="shared" si="6"/>
        <v>125386.8</v>
      </c>
      <c r="H404" t="s">
        <v>1806</v>
      </c>
    </row>
    <row r="405" spans="1:13">
      <c r="A405" s="19" t="s">
        <v>344</v>
      </c>
      <c r="B405" s="20" t="s">
        <v>345</v>
      </c>
      <c r="C405" s="19" t="s">
        <v>74</v>
      </c>
      <c r="D405" s="20"/>
      <c r="E405" s="3">
        <v>136036.79999999999</v>
      </c>
      <c r="F405" s="24">
        <v>0</v>
      </c>
      <c r="G405" s="26">
        <f t="shared" si="6"/>
        <v>0</v>
      </c>
      <c r="H405" t="s">
        <v>1806</v>
      </c>
    </row>
    <row r="406" spans="1:13">
      <c r="A406" s="13" t="s">
        <v>346</v>
      </c>
      <c r="B406" s="14" t="s">
        <v>347</v>
      </c>
      <c r="C406" s="15" t="s">
        <v>72</v>
      </c>
      <c r="D406" s="16"/>
      <c r="E406" s="2">
        <v>925303.72</v>
      </c>
      <c r="F406" s="23">
        <v>3.2551474017633908E-5</v>
      </c>
      <c r="G406" s="26">
        <f t="shared" si="6"/>
        <v>30.12</v>
      </c>
      <c r="H406" t="s">
        <v>1806</v>
      </c>
      <c r="M406">
        <v>114</v>
      </c>
    </row>
    <row r="407" spans="1:13">
      <c r="A407" s="17" t="s">
        <v>346</v>
      </c>
      <c r="B407" s="18" t="s">
        <v>347</v>
      </c>
      <c r="C407" s="19" t="s">
        <v>73</v>
      </c>
      <c r="D407" s="20"/>
      <c r="E407" s="3">
        <v>925303.72</v>
      </c>
      <c r="F407" s="24">
        <v>0.81860539802001442</v>
      </c>
      <c r="G407" s="26">
        <f t="shared" si="6"/>
        <v>757458.62</v>
      </c>
      <c r="H407" t="s">
        <v>1806</v>
      </c>
    </row>
    <row r="408" spans="1:13">
      <c r="A408" s="15" t="s">
        <v>346</v>
      </c>
      <c r="B408" s="16" t="s">
        <v>347</v>
      </c>
      <c r="C408" s="15" t="s">
        <v>74</v>
      </c>
      <c r="D408" s="16"/>
      <c r="E408" s="2">
        <v>925303.72</v>
      </c>
      <c r="F408" s="23">
        <v>0.18136205050596793</v>
      </c>
      <c r="G408" s="26">
        <f t="shared" si="6"/>
        <v>167814.98</v>
      </c>
      <c r="H408" t="s">
        <v>1806</v>
      </c>
    </row>
    <row r="409" spans="1:13">
      <c r="A409" s="17" t="s">
        <v>348</v>
      </c>
      <c r="B409" s="21" t="s">
        <v>349</v>
      </c>
      <c r="C409" s="19" t="s">
        <v>72</v>
      </c>
      <c r="D409" s="20"/>
      <c r="E409" s="3">
        <v>1896048.52</v>
      </c>
      <c r="F409" s="24">
        <v>0</v>
      </c>
      <c r="G409" s="26">
        <f t="shared" si="6"/>
        <v>0</v>
      </c>
      <c r="H409" t="s">
        <v>1806</v>
      </c>
      <c r="M409">
        <v>173</v>
      </c>
    </row>
    <row r="410" spans="1:13">
      <c r="A410" s="13" t="s">
        <v>348</v>
      </c>
      <c r="B410" s="22" t="s">
        <v>349</v>
      </c>
      <c r="C410" s="15" t="s">
        <v>73</v>
      </c>
      <c r="D410" s="16"/>
      <c r="E410" s="2">
        <v>1896048.52</v>
      </c>
      <c r="F410" s="23">
        <v>0.99176155576440628</v>
      </c>
      <c r="G410" s="26">
        <f t="shared" si="6"/>
        <v>1880428.03</v>
      </c>
      <c r="H410" t="s">
        <v>1806</v>
      </c>
    </row>
    <row r="411" spans="1:13">
      <c r="A411" s="19" t="s">
        <v>348</v>
      </c>
      <c r="B411" s="20" t="s">
        <v>349</v>
      </c>
      <c r="C411" s="19" t="s">
        <v>74</v>
      </c>
      <c r="D411" s="20"/>
      <c r="E411" s="3">
        <v>1896048.52</v>
      </c>
      <c r="F411" s="24">
        <v>8.2384442355937174E-3</v>
      </c>
      <c r="G411" s="26">
        <f t="shared" si="6"/>
        <v>15620.49</v>
      </c>
      <c r="H411" t="s">
        <v>1806</v>
      </c>
    </row>
    <row r="412" spans="1:13">
      <c r="A412" s="13" t="s">
        <v>350</v>
      </c>
      <c r="B412" s="14" t="s">
        <v>351</v>
      </c>
      <c r="C412" s="15" t="s">
        <v>72</v>
      </c>
      <c r="D412" s="16"/>
      <c r="E412" s="2">
        <v>853109.34</v>
      </c>
      <c r="F412" s="23">
        <v>0.11721826887981324</v>
      </c>
      <c r="G412" s="26">
        <f t="shared" si="6"/>
        <v>100000</v>
      </c>
      <c r="H412" t="s">
        <v>1806</v>
      </c>
      <c r="I412" t="s">
        <v>1820</v>
      </c>
      <c r="J412" t="s">
        <v>1812</v>
      </c>
      <c r="K412" t="s">
        <v>1810</v>
      </c>
      <c r="L412" t="s">
        <v>1812</v>
      </c>
      <c r="M412">
        <v>86</v>
      </c>
    </row>
    <row r="413" spans="1:13">
      <c r="A413" s="17" t="s">
        <v>350</v>
      </c>
      <c r="B413" s="18" t="s">
        <v>351</v>
      </c>
      <c r="C413" s="19" t="s">
        <v>73</v>
      </c>
      <c r="D413" s="20"/>
      <c r="E413" s="3">
        <v>853109.34</v>
      </c>
      <c r="F413" s="24">
        <v>0.87612775403443599</v>
      </c>
      <c r="G413" s="26">
        <f t="shared" si="6"/>
        <v>747432.77</v>
      </c>
      <c r="H413" t="s">
        <v>1806</v>
      </c>
      <c r="I413" t="s">
        <v>1820</v>
      </c>
      <c r="J413" t="s">
        <v>1812</v>
      </c>
      <c r="K413" t="s">
        <v>1810</v>
      </c>
      <c r="L413" t="s">
        <v>1812</v>
      </c>
    </row>
    <row r="414" spans="1:13">
      <c r="A414" s="15" t="s">
        <v>350</v>
      </c>
      <c r="B414" s="16" t="s">
        <v>351</v>
      </c>
      <c r="C414" s="15" t="s">
        <v>74</v>
      </c>
      <c r="D414" s="16"/>
      <c r="E414" s="2">
        <v>853109.34</v>
      </c>
      <c r="F414" s="23">
        <v>6.6539770857508137E-3</v>
      </c>
      <c r="G414" s="26">
        <f t="shared" si="6"/>
        <v>5676.57</v>
      </c>
      <c r="H414" t="s">
        <v>1806</v>
      </c>
      <c r="I414" t="s">
        <v>1820</v>
      </c>
      <c r="J414" t="s">
        <v>1812</v>
      </c>
      <c r="K414" t="s">
        <v>1810</v>
      </c>
      <c r="L414" t="s">
        <v>1812</v>
      </c>
    </row>
    <row r="415" spans="1:13">
      <c r="A415" s="17" t="s">
        <v>352</v>
      </c>
      <c r="B415" s="21" t="s">
        <v>353</v>
      </c>
      <c r="C415" s="19" t="s">
        <v>72</v>
      </c>
      <c r="D415" s="20"/>
      <c r="E415" s="3">
        <v>2407551.4</v>
      </c>
      <c r="F415" s="24">
        <v>4.1535977175814401E-5</v>
      </c>
      <c r="G415" s="26">
        <f t="shared" si="6"/>
        <v>100</v>
      </c>
      <c r="H415" t="s">
        <v>1806</v>
      </c>
      <c r="M415">
        <v>310</v>
      </c>
    </row>
    <row r="416" spans="1:13">
      <c r="A416" s="13" t="s">
        <v>352</v>
      </c>
      <c r="B416" s="22" t="s">
        <v>353</v>
      </c>
      <c r="C416" s="15" t="s">
        <v>73</v>
      </c>
      <c r="D416" s="16"/>
      <c r="E416" s="2">
        <v>2407551.4</v>
      </c>
      <c r="F416" s="23">
        <v>0.96674428633174769</v>
      </c>
      <c r="G416" s="26">
        <f t="shared" si="6"/>
        <v>2327486.56</v>
      </c>
      <c r="H416" t="s">
        <v>1806</v>
      </c>
    </row>
    <row r="417" spans="1:13">
      <c r="A417" s="19" t="s">
        <v>352</v>
      </c>
      <c r="B417" s="20" t="s">
        <v>353</v>
      </c>
      <c r="C417" s="19" t="s">
        <v>74</v>
      </c>
      <c r="D417" s="20"/>
      <c r="E417" s="3">
        <v>2407551.4</v>
      </c>
      <c r="F417" s="24">
        <v>3.3214177691076499E-2</v>
      </c>
      <c r="G417" s="26">
        <f t="shared" si="6"/>
        <v>79964.84</v>
      </c>
      <c r="H417" t="s">
        <v>1806</v>
      </c>
    </row>
    <row r="418" spans="1:13">
      <c r="A418" s="13" t="s">
        <v>354</v>
      </c>
      <c r="B418" s="14" t="s">
        <v>355</v>
      </c>
      <c r="C418" s="15" t="s">
        <v>72</v>
      </c>
      <c r="D418" s="16"/>
      <c r="E418" s="2">
        <v>1706352</v>
      </c>
      <c r="F418" s="23">
        <v>2.4334428066424751E-3</v>
      </c>
      <c r="G418" s="26">
        <f t="shared" si="6"/>
        <v>4152.3100000000004</v>
      </c>
      <c r="H418" t="s">
        <v>1806</v>
      </c>
      <c r="M418">
        <v>229</v>
      </c>
    </row>
    <row r="419" spans="1:13">
      <c r="A419" s="17" t="s">
        <v>354</v>
      </c>
      <c r="B419" s="18" t="s">
        <v>355</v>
      </c>
      <c r="C419" s="19" t="s">
        <v>73</v>
      </c>
      <c r="D419" s="20"/>
      <c r="E419" s="3">
        <v>1706352</v>
      </c>
      <c r="F419" s="24">
        <v>0.83330917067521826</v>
      </c>
      <c r="G419" s="26">
        <f t="shared" si="6"/>
        <v>1421918.77</v>
      </c>
      <c r="H419" t="s">
        <v>1806</v>
      </c>
    </row>
    <row r="420" spans="1:13">
      <c r="A420" s="15" t="s">
        <v>354</v>
      </c>
      <c r="B420" s="16" t="s">
        <v>355</v>
      </c>
      <c r="C420" s="15" t="s">
        <v>74</v>
      </c>
      <c r="D420" s="16"/>
      <c r="E420" s="2">
        <v>1706352</v>
      </c>
      <c r="F420" s="23">
        <v>0.16425738651813926</v>
      </c>
      <c r="G420" s="26">
        <f t="shared" si="6"/>
        <v>280280.92</v>
      </c>
      <c r="H420" t="s">
        <v>1806</v>
      </c>
    </row>
    <row r="421" spans="1:13">
      <c r="A421" s="17" t="s">
        <v>356</v>
      </c>
      <c r="B421" s="21" t="s">
        <v>357</v>
      </c>
      <c r="C421" s="19" t="s">
        <v>72</v>
      </c>
      <c r="D421" s="20"/>
      <c r="E421" s="3">
        <v>438809.74</v>
      </c>
      <c r="F421" s="24">
        <v>0</v>
      </c>
      <c r="G421" s="26">
        <f t="shared" si="6"/>
        <v>0</v>
      </c>
      <c r="H421" t="s">
        <v>1806</v>
      </c>
      <c r="I421" t="s">
        <v>1820</v>
      </c>
      <c r="J421" t="s">
        <v>564</v>
      </c>
      <c r="M421">
        <v>41</v>
      </c>
    </row>
    <row r="422" spans="1:13">
      <c r="A422" s="13" t="s">
        <v>356</v>
      </c>
      <c r="B422" s="22" t="s">
        <v>357</v>
      </c>
      <c r="C422" s="15" t="s">
        <v>73</v>
      </c>
      <c r="D422" s="16"/>
      <c r="E422" s="2">
        <v>438809.74</v>
      </c>
      <c r="F422" s="23">
        <v>1</v>
      </c>
      <c r="G422" s="26">
        <f t="shared" si="6"/>
        <v>438809.74</v>
      </c>
      <c r="H422" t="s">
        <v>1806</v>
      </c>
      <c r="I422" t="s">
        <v>1820</v>
      </c>
      <c r="J422" t="s">
        <v>564</v>
      </c>
    </row>
    <row r="423" spans="1:13">
      <c r="A423" s="19" t="s">
        <v>356</v>
      </c>
      <c r="B423" s="20" t="s">
        <v>357</v>
      </c>
      <c r="C423" s="19" t="s">
        <v>74</v>
      </c>
      <c r="D423" s="20"/>
      <c r="E423" s="3">
        <v>438809.74</v>
      </c>
      <c r="F423" s="24">
        <v>0</v>
      </c>
      <c r="G423" s="26">
        <f t="shared" si="6"/>
        <v>0</v>
      </c>
      <c r="H423" t="s">
        <v>1806</v>
      </c>
      <c r="I423" t="s">
        <v>1820</v>
      </c>
      <c r="J423" t="s">
        <v>564</v>
      </c>
    </row>
    <row r="424" spans="1:13" hidden="1">
      <c r="A424" s="13" t="s">
        <v>358</v>
      </c>
      <c r="B424" s="14" t="s">
        <v>359</v>
      </c>
      <c r="C424" s="15" t="s">
        <v>72</v>
      </c>
      <c r="D424" s="16"/>
      <c r="E424" s="2">
        <v>307911048.30000001</v>
      </c>
      <c r="F424" s="23">
        <v>0.39008865986833119</v>
      </c>
      <c r="G424" s="26">
        <f t="shared" si="6"/>
        <v>120112608.19</v>
      </c>
      <c r="H424" t="s">
        <v>68</v>
      </c>
    </row>
    <row r="425" spans="1:13" hidden="1">
      <c r="A425" s="17" t="s">
        <v>358</v>
      </c>
      <c r="B425" s="18" t="s">
        <v>359</v>
      </c>
      <c r="C425" s="19" t="s">
        <v>73</v>
      </c>
      <c r="D425" s="20"/>
      <c r="E425" s="3">
        <v>307911048.30000001</v>
      </c>
      <c r="F425" s="24">
        <v>0.50368861122804998</v>
      </c>
      <c r="G425" s="26">
        <f t="shared" si="6"/>
        <v>155091288.30000001</v>
      </c>
      <c r="H425" t="s">
        <v>68</v>
      </c>
    </row>
    <row r="426" spans="1:13" hidden="1">
      <c r="A426" s="15" t="s">
        <v>358</v>
      </c>
      <c r="B426" s="16" t="s">
        <v>359</v>
      </c>
      <c r="C426" s="15" t="s">
        <v>74</v>
      </c>
      <c r="D426" s="16"/>
      <c r="E426" s="2">
        <v>307911048.30000001</v>
      </c>
      <c r="F426" s="23">
        <v>0.10622272890361888</v>
      </c>
      <c r="G426" s="26">
        <f t="shared" si="6"/>
        <v>32707151.809999999</v>
      </c>
      <c r="H426" t="s">
        <v>68</v>
      </c>
    </row>
    <row r="427" spans="1:13" hidden="1">
      <c r="A427" s="17" t="s">
        <v>360</v>
      </c>
      <c r="B427" s="21" t="s">
        <v>361</v>
      </c>
      <c r="C427" s="19" t="s">
        <v>72</v>
      </c>
      <c r="D427" s="20"/>
      <c r="E427" s="3">
        <v>30321614.07</v>
      </c>
      <c r="F427" s="24">
        <v>0.28275400083277952</v>
      </c>
      <c r="G427" s="26">
        <f t="shared" si="6"/>
        <v>8573557.6899999995</v>
      </c>
      <c r="H427" t="s">
        <v>68</v>
      </c>
    </row>
    <row r="428" spans="1:13" hidden="1">
      <c r="A428" s="13" t="s">
        <v>360</v>
      </c>
      <c r="B428" s="22" t="s">
        <v>361</v>
      </c>
      <c r="C428" s="15" t="s">
        <v>73</v>
      </c>
      <c r="D428" s="16"/>
      <c r="E428" s="2">
        <v>30321614.07</v>
      </c>
      <c r="F428" s="23">
        <v>0.58523288005162588</v>
      </c>
      <c r="G428" s="26">
        <f t="shared" si="6"/>
        <v>17745205.530000001</v>
      </c>
      <c r="H428" t="s">
        <v>68</v>
      </c>
    </row>
    <row r="429" spans="1:13" hidden="1">
      <c r="A429" s="19" t="s">
        <v>360</v>
      </c>
      <c r="B429" s="20" t="s">
        <v>361</v>
      </c>
      <c r="C429" s="19" t="s">
        <v>74</v>
      </c>
      <c r="D429" s="20"/>
      <c r="E429" s="3">
        <v>30321614.07</v>
      </c>
      <c r="F429" s="24">
        <v>0.13201311911559463</v>
      </c>
      <c r="G429" s="26">
        <f t="shared" si="6"/>
        <v>4002850.85</v>
      </c>
      <c r="H429" t="s">
        <v>68</v>
      </c>
    </row>
    <row r="430" spans="1:13" hidden="1">
      <c r="A430" s="13" t="s">
        <v>362</v>
      </c>
      <c r="B430" s="14" t="s">
        <v>363</v>
      </c>
      <c r="C430" s="15" t="s">
        <v>72</v>
      </c>
      <c r="D430" s="16"/>
      <c r="E430" s="2">
        <v>32742400.109999999</v>
      </c>
      <c r="F430" s="23">
        <v>0.54995650439505916</v>
      </c>
      <c r="G430" s="26">
        <f t="shared" si="6"/>
        <v>18006895.91</v>
      </c>
      <c r="H430" t="s">
        <v>68</v>
      </c>
    </row>
    <row r="431" spans="1:13" hidden="1">
      <c r="A431" s="17" t="s">
        <v>362</v>
      </c>
      <c r="B431" s="18" t="s">
        <v>363</v>
      </c>
      <c r="C431" s="19" t="s">
        <v>73</v>
      </c>
      <c r="D431" s="20"/>
      <c r="E431" s="3">
        <v>32742400.109999999</v>
      </c>
      <c r="F431" s="24">
        <v>0.38466511549815641</v>
      </c>
      <c r="G431" s="26">
        <f t="shared" si="6"/>
        <v>12594859.119999999</v>
      </c>
      <c r="H431" t="s">
        <v>68</v>
      </c>
    </row>
    <row r="432" spans="1:13" hidden="1">
      <c r="A432" s="15" t="s">
        <v>362</v>
      </c>
      <c r="B432" s="16" t="s">
        <v>363</v>
      </c>
      <c r="C432" s="15" t="s">
        <v>74</v>
      </c>
      <c r="D432" s="16"/>
      <c r="E432" s="2">
        <v>32742400.109999999</v>
      </c>
      <c r="F432" s="23">
        <v>6.5378380106784428E-2</v>
      </c>
      <c r="G432" s="26">
        <f t="shared" si="6"/>
        <v>2140645.08</v>
      </c>
      <c r="H432" t="s">
        <v>68</v>
      </c>
    </row>
    <row r="433" spans="1:8" hidden="1">
      <c r="A433" s="17" t="s">
        <v>364</v>
      </c>
      <c r="B433" s="21" t="s">
        <v>365</v>
      </c>
      <c r="C433" s="19" t="s">
        <v>72</v>
      </c>
      <c r="D433" s="20"/>
      <c r="E433" s="3">
        <v>40237484.840000004</v>
      </c>
      <c r="F433" s="24">
        <v>0.30262771538580091</v>
      </c>
      <c r="G433" s="26">
        <f t="shared" si="6"/>
        <v>12176978.109999999</v>
      </c>
      <c r="H433" t="s">
        <v>68</v>
      </c>
    </row>
    <row r="434" spans="1:8" hidden="1">
      <c r="A434" s="13" t="s">
        <v>364</v>
      </c>
      <c r="B434" s="22" t="s">
        <v>365</v>
      </c>
      <c r="C434" s="15" t="s">
        <v>73</v>
      </c>
      <c r="D434" s="16"/>
      <c r="E434" s="2">
        <v>40237484.840000004</v>
      </c>
      <c r="F434" s="23">
        <v>0.57877038196108077</v>
      </c>
      <c r="G434" s="26">
        <f t="shared" si="6"/>
        <v>23288264.469999999</v>
      </c>
      <c r="H434" t="s">
        <v>68</v>
      </c>
    </row>
    <row r="435" spans="1:8" hidden="1">
      <c r="A435" s="19" t="s">
        <v>364</v>
      </c>
      <c r="B435" s="20" t="s">
        <v>365</v>
      </c>
      <c r="C435" s="19" t="s">
        <v>74</v>
      </c>
      <c r="D435" s="20"/>
      <c r="E435" s="3">
        <v>40237484.840000004</v>
      </c>
      <c r="F435" s="24">
        <v>0.11860190265311819</v>
      </c>
      <c r="G435" s="26">
        <f t="shared" si="6"/>
        <v>4772242.26</v>
      </c>
      <c r="H435" t="s">
        <v>68</v>
      </c>
    </row>
    <row r="436" spans="1:8" hidden="1">
      <c r="A436" s="13" t="s">
        <v>366</v>
      </c>
      <c r="B436" s="14" t="s">
        <v>367</v>
      </c>
      <c r="C436" s="15" t="s">
        <v>72</v>
      </c>
      <c r="D436" s="16"/>
      <c r="E436" s="2">
        <v>29275566.309999999</v>
      </c>
      <c r="F436" s="23">
        <v>0.5871567674552014</v>
      </c>
      <c r="G436" s="26">
        <f t="shared" si="6"/>
        <v>17189346.879999999</v>
      </c>
      <c r="H436" t="s">
        <v>68</v>
      </c>
    </row>
    <row r="437" spans="1:8" hidden="1">
      <c r="A437" s="17" t="s">
        <v>366</v>
      </c>
      <c r="B437" s="18" t="s">
        <v>367</v>
      </c>
      <c r="C437" s="19" t="s">
        <v>73</v>
      </c>
      <c r="D437" s="20"/>
      <c r="E437" s="3">
        <v>29275566.309999999</v>
      </c>
      <c r="F437" s="24">
        <v>0.33669090789314948</v>
      </c>
      <c r="G437" s="26">
        <f t="shared" si="6"/>
        <v>9856817</v>
      </c>
      <c r="H437" t="s">
        <v>68</v>
      </c>
    </row>
    <row r="438" spans="1:8" hidden="1">
      <c r="A438" s="15" t="s">
        <v>366</v>
      </c>
      <c r="B438" s="16" t="s">
        <v>367</v>
      </c>
      <c r="C438" s="15" t="s">
        <v>74</v>
      </c>
      <c r="D438" s="16"/>
      <c r="E438" s="2">
        <v>29275566.309999999</v>
      </c>
      <c r="F438" s="23">
        <v>7.6152324651649075E-2</v>
      </c>
      <c r="G438" s="26">
        <f t="shared" si="6"/>
        <v>2229402.4300000002</v>
      </c>
      <c r="H438" t="s">
        <v>68</v>
      </c>
    </row>
    <row r="439" spans="1:8" hidden="1">
      <c r="A439" s="17" t="s">
        <v>368</v>
      </c>
      <c r="B439" s="21" t="s">
        <v>369</v>
      </c>
      <c r="C439" s="19" t="s">
        <v>72</v>
      </c>
      <c r="D439" s="20"/>
      <c r="E439" s="3">
        <v>42958715.689999998</v>
      </c>
      <c r="F439" s="24">
        <v>0.35632779807621856</v>
      </c>
      <c r="G439" s="26">
        <f t="shared" si="6"/>
        <v>15307384.570000002</v>
      </c>
      <c r="H439" t="s">
        <v>68</v>
      </c>
    </row>
    <row r="440" spans="1:8" hidden="1">
      <c r="A440" s="13" t="s">
        <v>368</v>
      </c>
      <c r="B440" s="22" t="s">
        <v>369</v>
      </c>
      <c r="C440" s="15" t="s">
        <v>73</v>
      </c>
      <c r="D440" s="16"/>
      <c r="E440" s="2">
        <v>42958715.689999998</v>
      </c>
      <c r="F440" s="23">
        <v>0.51743284111201504</v>
      </c>
      <c r="G440" s="26">
        <f t="shared" si="6"/>
        <v>22228250.309999995</v>
      </c>
      <c r="H440" t="s">
        <v>68</v>
      </c>
    </row>
    <row r="441" spans="1:8" hidden="1">
      <c r="A441" s="19" t="s">
        <v>368</v>
      </c>
      <c r="B441" s="20" t="s">
        <v>369</v>
      </c>
      <c r="C441" s="19" t="s">
        <v>74</v>
      </c>
      <c r="D441" s="20"/>
      <c r="E441" s="3">
        <v>42958715.689999998</v>
      </c>
      <c r="F441" s="24">
        <v>0.1262393608117664</v>
      </c>
      <c r="G441" s="26">
        <f t="shared" si="6"/>
        <v>5423080.8099999996</v>
      </c>
      <c r="H441" t="s">
        <v>68</v>
      </c>
    </row>
    <row r="442" spans="1:8" hidden="1">
      <c r="A442" s="13" t="s">
        <v>370</v>
      </c>
      <c r="B442" s="14" t="s">
        <v>371</v>
      </c>
      <c r="C442" s="15" t="s">
        <v>72</v>
      </c>
      <c r="D442" s="16"/>
      <c r="E442" s="2">
        <v>26540939.359999999</v>
      </c>
      <c r="F442" s="23">
        <v>0.70792130132051212</v>
      </c>
      <c r="G442" s="26">
        <f t="shared" si="6"/>
        <v>18788896.329999998</v>
      </c>
      <c r="H442" t="s">
        <v>68</v>
      </c>
    </row>
    <row r="443" spans="1:8" hidden="1">
      <c r="A443" s="17" t="s">
        <v>370</v>
      </c>
      <c r="B443" s="18" t="s">
        <v>371</v>
      </c>
      <c r="C443" s="19" t="s">
        <v>73</v>
      </c>
      <c r="D443" s="20"/>
      <c r="E443" s="3">
        <v>26540939.359999999</v>
      </c>
      <c r="F443" s="24">
        <v>0.25473110722634196</v>
      </c>
      <c r="G443" s="26">
        <f t="shared" si="6"/>
        <v>6760802.8699999992</v>
      </c>
      <c r="H443" t="s">
        <v>68</v>
      </c>
    </row>
    <row r="444" spans="1:8" hidden="1">
      <c r="A444" s="15" t="s">
        <v>370</v>
      </c>
      <c r="B444" s="16" t="s">
        <v>371</v>
      </c>
      <c r="C444" s="15" t="s">
        <v>74</v>
      </c>
      <c r="D444" s="16"/>
      <c r="E444" s="2">
        <v>26540939.359999999</v>
      </c>
      <c r="F444" s="23">
        <v>3.7347591453145916E-2</v>
      </c>
      <c r="G444" s="26">
        <f t="shared" si="6"/>
        <v>991240.16</v>
      </c>
      <c r="H444" t="s">
        <v>68</v>
      </c>
    </row>
    <row r="445" spans="1:8" hidden="1">
      <c r="A445" s="17" t="s">
        <v>372</v>
      </c>
      <c r="B445" s="21" t="s">
        <v>373</v>
      </c>
      <c r="C445" s="19" t="s">
        <v>72</v>
      </c>
      <c r="D445" s="20"/>
      <c r="E445" s="3">
        <v>32237838.699999999</v>
      </c>
      <c r="F445" s="24">
        <v>0.856244265841556</v>
      </c>
      <c r="G445" s="26">
        <f t="shared" si="6"/>
        <v>27603464.530000001</v>
      </c>
      <c r="H445" t="s">
        <v>68</v>
      </c>
    </row>
    <row r="446" spans="1:8" hidden="1">
      <c r="A446" s="13" t="s">
        <v>372</v>
      </c>
      <c r="B446" s="22" t="s">
        <v>373</v>
      </c>
      <c r="C446" s="15" t="s">
        <v>73</v>
      </c>
      <c r="D446" s="16"/>
      <c r="E446" s="2">
        <v>32237838.699999999</v>
      </c>
      <c r="F446" s="23">
        <v>0.12665308887472038</v>
      </c>
      <c r="G446" s="26">
        <f t="shared" si="6"/>
        <v>4083021.85</v>
      </c>
      <c r="H446" t="s">
        <v>68</v>
      </c>
    </row>
    <row r="447" spans="1:8" hidden="1">
      <c r="A447" s="19" t="s">
        <v>372</v>
      </c>
      <c r="B447" s="20" t="s">
        <v>373</v>
      </c>
      <c r="C447" s="19" t="s">
        <v>74</v>
      </c>
      <c r="D447" s="20"/>
      <c r="E447" s="3">
        <v>32237838.699999999</v>
      </c>
      <c r="F447" s="24">
        <v>1.7102645283723687E-2</v>
      </c>
      <c r="G447" s="26">
        <f t="shared" si="6"/>
        <v>551352.31999999995</v>
      </c>
      <c r="H447" t="s">
        <v>68</v>
      </c>
    </row>
    <row r="448" spans="1:8" hidden="1">
      <c r="A448" s="13" t="s">
        <v>374</v>
      </c>
      <c r="B448" s="14" t="s">
        <v>587</v>
      </c>
      <c r="C448" s="15" t="s">
        <v>72</v>
      </c>
      <c r="D448" s="16"/>
      <c r="E448" s="2">
        <v>48210983.43</v>
      </c>
      <c r="F448" s="23">
        <v>0.7433205622538781</v>
      </c>
      <c r="G448" s="26">
        <f t="shared" si="6"/>
        <v>35836215.310000002</v>
      </c>
      <c r="H448" t="s">
        <v>68</v>
      </c>
    </row>
    <row r="449" spans="1:8" hidden="1">
      <c r="A449" s="17" t="s">
        <v>374</v>
      </c>
      <c r="B449" s="18" t="s">
        <v>587</v>
      </c>
      <c r="C449" s="19" t="s">
        <v>73</v>
      </c>
      <c r="D449" s="20"/>
      <c r="E449" s="3">
        <v>48210983.43</v>
      </c>
      <c r="F449" s="24">
        <v>0.20652347684333475</v>
      </c>
      <c r="G449" s="26">
        <f t="shared" si="6"/>
        <v>9956699.9199999999</v>
      </c>
      <c r="H449" t="s">
        <v>68</v>
      </c>
    </row>
    <row r="450" spans="1:8" hidden="1">
      <c r="A450" s="15" t="s">
        <v>374</v>
      </c>
      <c r="B450" s="16" t="s">
        <v>587</v>
      </c>
      <c r="C450" s="15" t="s">
        <v>74</v>
      </c>
      <c r="D450" s="16"/>
      <c r="E450" s="2">
        <v>48210983.43</v>
      </c>
      <c r="F450" s="23">
        <v>5.0155960902787171E-2</v>
      </c>
      <c r="G450" s="26">
        <f t="shared" si="6"/>
        <v>2418068.2000000002</v>
      </c>
      <c r="H450" t="s">
        <v>68</v>
      </c>
    </row>
    <row r="451" spans="1:8" hidden="1">
      <c r="A451" s="17" t="s">
        <v>588</v>
      </c>
      <c r="B451" s="21" t="s">
        <v>589</v>
      </c>
      <c r="C451" s="19" t="s">
        <v>72</v>
      </c>
      <c r="D451" s="20"/>
      <c r="E451" s="3">
        <v>15106600.300000001</v>
      </c>
      <c r="F451" s="24">
        <v>0.2070188386463101</v>
      </c>
      <c r="G451" s="26">
        <f t="shared" si="6"/>
        <v>3127350.85</v>
      </c>
      <c r="H451" t="s">
        <v>68</v>
      </c>
    </row>
    <row r="452" spans="1:8" hidden="1">
      <c r="A452" s="13" t="s">
        <v>588</v>
      </c>
      <c r="B452" s="22" t="s">
        <v>589</v>
      </c>
      <c r="C452" s="15" t="s">
        <v>73</v>
      </c>
      <c r="D452" s="16"/>
      <c r="E452" s="2">
        <v>15106600.300000001</v>
      </c>
      <c r="F452" s="23">
        <v>0.65613657627520594</v>
      </c>
      <c r="G452" s="26">
        <f t="shared" si="6"/>
        <v>9911993</v>
      </c>
      <c r="H452" t="s">
        <v>68</v>
      </c>
    </row>
    <row r="453" spans="1:8" hidden="1">
      <c r="A453" s="19" t="s">
        <v>588</v>
      </c>
      <c r="B453" s="20" t="s">
        <v>589</v>
      </c>
      <c r="C453" s="19" t="s">
        <v>74</v>
      </c>
      <c r="D453" s="20"/>
      <c r="E453" s="3">
        <v>15106600.300000001</v>
      </c>
      <c r="F453" s="24">
        <v>0.13684458507848388</v>
      </c>
      <c r="G453" s="26">
        <f t="shared" ref="G453:G516" si="7">F453*E453</f>
        <v>2067256.4500000002</v>
      </c>
      <c r="H453" t="s">
        <v>68</v>
      </c>
    </row>
    <row r="454" spans="1:8" hidden="1">
      <c r="A454" s="13" t="s">
        <v>590</v>
      </c>
      <c r="B454" s="14" t="s">
        <v>591</v>
      </c>
      <c r="C454" s="15" t="s">
        <v>72</v>
      </c>
      <c r="D454" s="16"/>
      <c r="E454" s="2">
        <v>22731351.550000001</v>
      </c>
      <c r="F454" s="23">
        <v>0.36000094195894827</v>
      </c>
      <c r="G454" s="26">
        <f t="shared" si="7"/>
        <v>8183307.9699999988</v>
      </c>
      <c r="H454" t="s">
        <v>68</v>
      </c>
    </row>
    <row r="455" spans="1:8" hidden="1">
      <c r="A455" s="17" t="s">
        <v>590</v>
      </c>
      <c r="B455" s="18" t="s">
        <v>591</v>
      </c>
      <c r="C455" s="19" t="s">
        <v>73</v>
      </c>
      <c r="D455" s="20"/>
      <c r="E455" s="3">
        <v>22731351.550000001</v>
      </c>
      <c r="F455" s="24">
        <v>0.55426332667843492</v>
      </c>
      <c r="G455" s="26">
        <f t="shared" si="7"/>
        <v>12599154.529999997</v>
      </c>
      <c r="H455" t="s">
        <v>68</v>
      </c>
    </row>
    <row r="456" spans="1:8" hidden="1">
      <c r="A456" s="15" t="s">
        <v>590</v>
      </c>
      <c r="B456" s="16" t="s">
        <v>591</v>
      </c>
      <c r="C456" s="15" t="s">
        <v>74</v>
      </c>
      <c r="D456" s="16"/>
      <c r="E456" s="2">
        <v>22731351.550000001</v>
      </c>
      <c r="F456" s="23">
        <v>8.5735731362616668E-2</v>
      </c>
      <c r="G456" s="26">
        <f t="shared" si="7"/>
        <v>1948889.05</v>
      </c>
      <c r="H456" t="s">
        <v>68</v>
      </c>
    </row>
    <row r="457" spans="1:8" hidden="1">
      <c r="A457" s="17" t="s">
        <v>592</v>
      </c>
      <c r="B457" s="21" t="s">
        <v>593</v>
      </c>
      <c r="C457" s="19" t="s">
        <v>72</v>
      </c>
      <c r="D457" s="20"/>
      <c r="E457" s="3">
        <v>19764606.469999999</v>
      </c>
      <c r="F457" s="24">
        <v>0.4597458863545994</v>
      </c>
      <c r="G457" s="26">
        <f t="shared" si="7"/>
        <v>9086696.5199999996</v>
      </c>
      <c r="H457" t="s">
        <v>68</v>
      </c>
    </row>
    <row r="458" spans="1:8" hidden="1">
      <c r="A458" s="13" t="s">
        <v>592</v>
      </c>
      <c r="B458" s="22" t="s">
        <v>593</v>
      </c>
      <c r="C458" s="15" t="s">
        <v>73</v>
      </c>
      <c r="D458" s="16"/>
      <c r="E458" s="2">
        <v>19764606.469999999</v>
      </c>
      <c r="F458" s="23">
        <v>0.48533743814024954</v>
      </c>
      <c r="G458" s="26">
        <f t="shared" si="7"/>
        <v>9592503.4700000007</v>
      </c>
      <c r="H458" t="s">
        <v>68</v>
      </c>
    </row>
    <row r="459" spans="1:8" hidden="1">
      <c r="A459" s="19" t="s">
        <v>592</v>
      </c>
      <c r="B459" s="20" t="s">
        <v>593</v>
      </c>
      <c r="C459" s="19" t="s">
        <v>74</v>
      </c>
      <c r="D459" s="20"/>
      <c r="E459" s="3">
        <v>19764606.469999999</v>
      </c>
      <c r="F459" s="24">
        <v>5.4916675505151107E-2</v>
      </c>
      <c r="G459" s="26">
        <f t="shared" si="7"/>
        <v>1085406.48</v>
      </c>
      <c r="H459" t="s">
        <v>68</v>
      </c>
    </row>
    <row r="460" spans="1:8" hidden="1">
      <c r="A460" s="13" t="s">
        <v>594</v>
      </c>
      <c r="B460" s="14" t="s">
        <v>595</v>
      </c>
      <c r="C460" s="15" t="s">
        <v>72</v>
      </c>
      <c r="D460" s="16"/>
      <c r="E460" s="2">
        <v>10690220.98</v>
      </c>
      <c r="F460" s="23">
        <v>0.49849369250363246</v>
      </c>
      <c r="G460" s="26">
        <f t="shared" si="7"/>
        <v>5329007.7300000004</v>
      </c>
      <c r="H460" t="s">
        <v>68</v>
      </c>
    </row>
    <row r="461" spans="1:8" hidden="1">
      <c r="A461" s="17" t="s">
        <v>594</v>
      </c>
      <c r="B461" s="18" t="s">
        <v>595</v>
      </c>
      <c r="C461" s="19" t="s">
        <v>73</v>
      </c>
      <c r="D461" s="20"/>
      <c r="E461" s="3">
        <v>10690220.98</v>
      </c>
      <c r="F461" s="24">
        <v>0.37124538654765954</v>
      </c>
      <c r="G461" s="26">
        <f t="shared" si="7"/>
        <v>3968695.2199999997</v>
      </c>
      <c r="H461" t="s">
        <v>68</v>
      </c>
    </row>
    <row r="462" spans="1:8" hidden="1">
      <c r="A462" s="15" t="s">
        <v>594</v>
      </c>
      <c r="B462" s="16" t="s">
        <v>595</v>
      </c>
      <c r="C462" s="15" t="s">
        <v>74</v>
      </c>
      <c r="D462" s="16"/>
      <c r="E462" s="2">
        <v>10690220.98</v>
      </c>
      <c r="F462" s="23">
        <v>0.13026092094870803</v>
      </c>
      <c r="G462" s="26">
        <f t="shared" si="7"/>
        <v>1392518.0300000003</v>
      </c>
      <c r="H462" t="s">
        <v>68</v>
      </c>
    </row>
    <row r="463" spans="1:8" hidden="1">
      <c r="A463" s="17" t="s">
        <v>596</v>
      </c>
      <c r="B463" s="21" t="s">
        <v>597</v>
      </c>
      <c r="C463" s="19" t="s">
        <v>72</v>
      </c>
      <c r="D463" s="20"/>
      <c r="E463" s="3">
        <v>90945144.790000007</v>
      </c>
      <c r="F463" s="24">
        <v>0.79860708262884716</v>
      </c>
      <c r="G463" s="26">
        <f t="shared" si="7"/>
        <v>72629436.760000005</v>
      </c>
      <c r="H463" t="s">
        <v>68</v>
      </c>
    </row>
    <row r="464" spans="1:8" hidden="1">
      <c r="A464" s="13" t="s">
        <v>596</v>
      </c>
      <c r="B464" s="22" t="s">
        <v>597</v>
      </c>
      <c r="C464" s="15" t="s">
        <v>73</v>
      </c>
      <c r="D464" s="16"/>
      <c r="E464" s="2">
        <v>90945144.790000007</v>
      </c>
      <c r="F464" s="23">
        <v>0.17069653070371452</v>
      </c>
      <c r="G464" s="26">
        <f t="shared" si="7"/>
        <v>15524020.699999999</v>
      </c>
      <c r="H464" t="s">
        <v>68</v>
      </c>
    </row>
    <row r="465" spans="1:8" hidden="1">
      <c r="A465" s="19" t="s">
        <v>596</v>
      </c>
      <c r="B465" s="20" t="s">
        <v>597</v>
      </c>
      <c r="C465" s="19" t="s">
        <v>74</v>
      </c>
      <c r="D465" s="20"/>
      <c r="E465" s="3">
        <v>90945144.790000007</v>
      </c>
      <c r="F465" s="24">
        <v>3.0696386667438281E-2</v>
      </c>
      <c r="G465" s="26">
        <f t="shared" si="7"/>
        <v>2791687.33</v>
      </c>
      <c r="H465" t="s">
        <v>68</v>
      </c>
    </row>
    <row r="466" spans="1:8" hidden="1">
      <c r="A466" s="13" t="s">
        <v>598</v>
      </c>
      <c r="B466" s="14" t="s">
        <v>599</v>
      </c>
      <c r="C466" s="15" t="s">
        <v>72</v>
      </c>
      <c r="D466" s="16"/>
      <c r="E466" s="2">
        <v>31536525.390000001</v>
      </c>
      <c r="F466" s="23">
        <v>0.77397495469617428</v>
      </c>
      <c r="G466" s="26">
        <f t="shared" si="7"/>
        <v>24408480.809999999</v>
      </c>
      <c r="H466" t="s">
        <v>68</v>
      </c>
    </row>
    <row r="467" spans="1:8" hidden="1">
      <c r="A467" s="17" t="s">
        <v>598</v>
      </c>
      <c r="B467" s="18" t="s">
        <v>599</v>
      </c>
      <c r="C467" s="19" t="s">
        <v>73</v>
      </c>
      <c r="D467" s="20"/>
      <c r="E467" s="3">
        <v>31536525.390000001</v>
      </c>
      <c r="F467" s="24">
        <v>0.20008243178244439</v>
      </c>
      <c r="G467" s="26">
        <f t="shared" si="7"/>
        <v>6309904.6900000004</v>
      </c>
      <c r="H467" t="s">
        <v>68</v>
      </c>
    </row>
    <row r="468" spans="1:8" hidden="1">
      <c r="A468" s="15" t="s">
        <v>598</v>
      </c>
      <c r="B468" s="16" t="s">
        <v>599</v>
      </c>
      <c r="C468" s="15" t="s">
        <v>74</v>
      </c>
      <c r="D468" s="16"/>
      <c r="E468" s="2">
        <v>31536525.390000001</v>
      </c>
      <c r="F468" s="23">
        <v>2.5942613521381341E-2</v>
      </c>
      <c r="G468" s="26">
        <f t="shared" si="7"/>
        <v>818139.89</v>
      </c>
      <c r="H468" t="s">
        <v>68</v>
      </c>
    </row>
    <row r="469" spans="1:8" hidden="1">
      <c r="A469" s="17" t="s">
        <v>600</v>
      </c>
      <c r="B469" s="21" t="s">
        <v>601</v>
      </c>
      <c r="C469" s="19" t="s">
        <v>72</v>
      </c>
      <c r="D469" s="20"/>
      <c r="E469" s="3">
        <v>30994229.449999999</v>
      </c>
      <c r="F469" s="24">
        <v>0.64488764407724286</v>
      </c>
      <c r="G469" s="26">
        <f t="shared" si="7"/>
        <v>19987795.609999999</v>
      </c>
      <c r="H469" t="s">
        <v>68</v>
      </c>
    </row>
    <row r="470" spans="1:8" hidden="1">
      <c r="A470" s="13" t="s">
        <v>600</v>
      </c>
      <c r="B470" s="22" t="s">
        <v>601</v>
      </c>
      <c r="C470" s="15" t="s">
        <v>73</v>
      </c>
      <c r="D470" s="16"/>
      <c r="E470" s="2">
        <v>30994229.449999999</v>
      </c>
      <c r="F470" s="23">
        <v>0.29564111457528103</v>
      </c>
      <c r="G470" s="26">
        <f t="shared" si="7"/>
        <v>9163168.5399999991</v>
      </c>
      <c r="H470" t="s">
        <v>68</v>
      </c>
    </row>
    <row r="471" spans="1:8" hidden="1">
      <c r="A471" s="19" t="s">
        <v>600</v>
      </c>
      <c r="B471" s="20" t="s">
        <v>601</v>
      </c>
      <c r="C471" s="19" t="s">
        <v>74</v>
      </c>
      <c r="D471" s="20"/>
      <c r="E471" s="3">
        <v>30994229.449999999</v>
      </c>
      <c r="F471" s="24">
        <v>5.9471241347476056E-2</v>
      </c>
      <c r="G471" s="26">
        <f t="shared" si="7"/>
        <v>1843265.3</v>
      </c>
      <c r="H471" t="s">
        <v>68</v>
      </c>
    </row>
    <row r="472" spans="1:8" hidden="1">
      <c r="A472" s="13" t="s">
        <v>602</v>
      </c>
      <c r="B472" s="14" t="s">
        <v>603</v>
      </c>
      <c r="C472" s="15" t="s">
        <v>72</v>
      </c>
      <c r="D472" s="16"/>
      <c r="E472" s="2">
        <v>48468462.549999997</v>
      </c>
      <c r="F472" s="23">
        <v>0.7573131442354778</v>
      </c>
      <c r="G472" s="26">
        <f t="shared" si="7"/>
        <v>36705803.770000003</v>
      </c>
      <c r="H472" t="s">
        <v>68</v>
      </c>
    </row>
    <row r="473" spans="1:8" hidden="1">
      <c r="A473" s="17" t="s">
        <v>602</v>
      </c>
      <c r="B473" s="18" t="s">
        <v>603</v>
      </c>
      <c r="C473" s="19" t="s">
        <v>73</v>
      </c>
      <c r="D473" s="20"/>
      <c r="E473" s="3">
        <v>48468462.549999997</v>
      </c>
      <c r="F473" s="24">
        <v>0.21414571525335088</v>
      </c>
      <c r="G473" s="26">
        <f t="shared" si="7"/>
        <v>10379313.58</v>
      </c>
      <c r="H473" t="s">
        <v>68</v>
      </c>
    </row>
    <row r="474" spans="1:8" hidden="1">
      <c r="A474" s="15" t="s">
        <v>602</v>
      </c>
      <c r="B474" s="16" t="s">
        <v>603</v>
      </c>
      <c r="C474" s="15" t="s">
        <v>74</v>
      </c>
      <c r="D474" s="16"/>
      <c r="E474" s="2">
        <v>48468462.549999997</v>
      </c>
      <c r="F474" s="23">
        <v>2.8541140511171424E-2</v>
      </c>
      <c r="G474" s="26">
        <f t="shared" si="7"/>
        <v>1383345.2</v>
      </c>
      <c r="H474" t="s">
        <v>68</v>
      </c>
    </row>
    <row r="475" spans="1:8" hidden="1">
      <c r="A475" s="17" t="s">
        <v>604</v>
      </c>
      <c r="B475" s="21" t="s">
        <v>605</v>
      </c>
      <c r="C475" s="19" t="s">
        <v>72</v>
      </c>
      <c r="D475" s="20"/>
      <c r="E475" s="3">
        <v>13468889.23</v>
      </c>
      <c r="F475" s="24">
        <v>0.81318282918271489</v>
      </c>
      <c r="G475" s="26">
        <f t="shared" si="7"/>
        <v>10952669.449999999</v>
      </c>
      <c r="H475" t="s">
        <v>68</v>
      </c>
    </row>
    <row r="476" spans="1:8" hidden="1">
      <c r="A476" s="13" t="s">
        <v>604</v>
      </c>
      <c r="B476" s="22" t="s">
        <v>605</v>
      </c>
      <c r="C476" s="15" t="s">
        <v>73</v>
      </c>
      <c r="D476" s="16"/>
      <c r="E476" s="2">
        <v>13468889.23</v>
      </c>
      <c r="F476" s="23">
        <v>0.15284498482730485</v>
      </c>
      <c r="G476" s="26">
        <f t="shared" si="7"/>
        <v>2058652.17</v>
      </c>
      <c r="H476" t="s">
        <v>68</v>
      </c>
    </row>
    <row r="477" spans="1:8" hidden="1">
      <c r="A477" s="19" t="s">
        <v>604</v>
      </c>
      <c r="B477" s="20" t="s">
        <v>605</v>
      </c>
      <c r="C477" s="19" t="s">
        <v>74</v>
      </c>
      <c r="D477" s="20"/>
      <c r="E477" s="3">
        <v>13468889.23</v>
      </c>
      <c r="F477" s="24">
        <v>3.3972185989980107E-2</v>
      </c>
      <c r="G477" s="26">
        <f t="shared" si="7"/>
        <v>457567.61</v>
      </c>
      <c r="H477" t="s">
        <v>68</v>
      </c>
    </row>
    <row r="478" spans="1:8" hidden="1">
      <c r="A478" s="13" t="s">
        <v>606</v>
      </c>
      <c r="B478" s="14" t="s">
        <v>607</v>
      </c>
      <c r="C478" s="15" t="s">
        <v>72</v>
      </c>
      <c r="D478" s="16"/>
      <c r="E478" s="2">
        <v>59778905.079999998</v>
      </c>
      <c r="F478" s="23">
        <v>0.52257676446555623</v>
      </c>
      <c r="G478" s="26">
        <f t="shared" si="7"/>
        <v>31239066.800000001</v>
      </c>
      <c r="H478" t="s">
        <v>68</v>
      </c>
    </row>
    <row r="479" spans="1:8" hidden="1">
      <c r="A479" s="17" t="s">
        <v>606</v>
      </c>
      <c r="B479" s="18" t="s">
        <v>607</v>
      </c>
      <c r="C479" s="19" t="s">
        <v>73</v>
      </c>
      <c r="D479" s="20"/>
      <c r="E479" s="3">
        <v>59778905.079999998</v>
      </c>
      <c r="F479" s="24">
        <v>0.4398921066688764</v>
      </c>
      <c r="G479" s="26">
        <f t="shared" si="7"/>
        <v>26296268.489999998</v>
      </c>
      <c r="H479" t="s">
        <v>68</v>
      </c>
    </row>
    <row r="480" spans="1:8" hidden="1">
      <c r="A480" s="15" t="s">
        <v>606</v>
      </c>
      <c r="B480" s="16" t="s">
        <v>607</v>
      </c>
      <c r="C480" s="15" t="s">
        <v>74</v>
      </c>
      <c r="D480" s="16"/>
      <c r="E480" s="2">
        <v>59778905.079999998</v>
      </c>
      <c r="F480" s="23">
        <v>3.7531128865567372E-2</v>
      </c>
      <c r="G480" s="26">
        <f t="shared" si="7"/>
        <v>2243569.79</v>
      </c>
      <c r="H480" t="s">
        <v>68</v>
      </c>
    </row>
    <row r="481" spans="1:8" hidden="1">
      <c r="A481" s="17" t="s">
        <v>608</v>
      </c>
      <c r="B481" s="21" t="s">
        <v>609</v>
      </c>
      <c r="C481" s="19" t="s">
        <v>72</v>
      </c>
      <c r="D481" s="20"/>
      <c r="E481" s="3">
        <v>18066404.300000001</v>
      </c>
      <c r="F481" s="24">
        <v>0.55226099916296012</v>
      </c>
      <c r="G481" s="26">
        <f t="shared" si="7"/>
        <v>9977370.4900000002</v>
      </c>
      <c r="H481" t="s">
        <v>68</v>
      </c>
    </row>
    <row r="482" spans="1:8" hidden="1">
      <c r="A482" s="13" t="s">
        <v>608</v>
      </c>
      <c r="B482" s="22" t="s">
        <v>609</v>
      </c>
      <c r="C482" s="15" t="s">
        <v>73</v>
      </c>
      <c r="D482" s="16"/>
      <c r="E482" s="2">
        <v>18066404.300000001</v>
      </c>
      <c r="F482" s="23">
        <v>0.39266929944659767</v>
      </c>
      <c r="G482" s="26">
        <f t="shared" si="7"/>
        <v>7094122.3200000003</v>
      </c>
      <c r="H482" t="s">
        <v>68</v>
      </c>
    </row>
    <row r="483" spans="1:8" hidden="1">
      <c r="A483" s="19" t="s">
        <v>608</v>
      </c>
      <c r="B483" s="20" t="s">
        <v>609</v>
      </c>
      <c r="C483" s="19" t="s">
        <v>74</v>
      </c>
      <c r="D483" s="20"/>
      <c r="E483" s="3">
        <v>18066404.300000001</v>
      </c>
      <c r="F483" s="24">
        <v>5.5069701390442143E-2</v>
      </c>
      <c r="G483" s="26">
        <f t="shared" si="7"/>
        <v>994911.49</v>
      </c>
      <c r="H483" t="s">
        <v>68</v>
      </c>
    </row>
    <row r="484" spans="1:8" hidden="1">
      <c r="A484" s="13" t="s">
        <v>610</v>
      </c>
      <c r="B484" s="14" t="s">
        <v>611</v>
      </c>
      <c r="C484" s="15" t="s">
        <v>72</v>
      </c>
      <c r="D484" s="16"/>
      <c r="E484" s="2">
        <v>17173797.93</v>
      </c>
      <c r="F484" s="23">
        <v>0.371813722627165</v>
      </c>
      <c r="G484" s="26">
        <f t="shared" si="7"/>
        <v>6385453.7400000002</v>
      </c>
      <c r="H484" t="s">
        <v>68</v>
      </c>
    </row>
    <row r="485" spans="1:8" hidden="1">
      <c r="A485" s="17" t="s">
        <v>610</v>
      </c>
      <c r="B485" s="18" t="s">
        <v>611</v>
      </c>
      <c r="C485" s="19" t="s">
        <v>73</v>
      </c>
      <c r="D485" s="20"/>
      <c r="E485" s="3">
        <v>17173797.93</v>
      </c>
      <c r="F485" s="24">
        <v>0.49014641923180008</v>
      </c>
      <c r="G485" s="26">
        <f t="shared" si="7"/>
        <v>8417675.5600000005</v>
      </c>
      <c r="H485" t="s">
        <v>68</v>
      </c>
    </row>
    <row r="486" spans="1:8" hidden="1">
      <c r="A486" s="15" t="s">
        <v>610</v>
      </c>
      <c r="B486" s="16" t="s">
        <v>611</v>
      </c>
      <c r="C486" s="15" t="s">
        <v>74</v>
      </c>
      <c r="D486" s="16"/>
      <c r="E486" s="2">
        <v>17173797.93</v>
      </c>
      <c r="F486" s="23">
        <v>0.13803985814103498</v>
      </c>
      <c r="G486" s="26">
        <f t="shared" si="7"/>
        <v>2370668.63</v>
      </c>
      <c r="H486" t="s">
        <v>68</v>
      </c>
    </row>
    <row r="487" spans="1:8" hidden="1">
      <c r="A487" s="17" t="s">
        <v>612</v>
      </c>
      <c r="B487" s="21" t="s">
        <v>613</v>
      </c>
      <c r="C487" s="19" t="s">
        <v>72</v>
      </c>
      <c r="D487" s="20"/>
      <c r="E487" s="3">
        <v>20526336.670000002</v>
      </c>
      <c r="F487" s="24">
        <v>0.25042795909670712</v>
      </c>
      <c r="G487" s="26">
        <f t="shared" si="7"/>
        <v>5140368.5999999996</v>
      </c>
      <c r="H487" t="s">
        <v>68</v>
      </c>
    </row>
    <row r="488" spans="1:8" hidden="1">
      <c r="A488" s="13" t="s">
        <v>612</v>
      </c>
      <c r="B488" s="22" t="s">
        <v>613</v>
      </c>
      <c r="C488" s="15" t="s">
        <v>73</v>
      </c>
      <c r="D488" s="16"/>
      <c r="E488" s="2">
        <v>20526336.670000002</v>
      </c>
      <c r="F488" s="23">
        <v>0.63279508997744605</v>
      </c>
      <c r="G488" s="26">
        <f t="shared" si="7"/>
        <v>12988965.060000001</v>
      </c>
      <c r="H488" t="s">
        <v>68</v>
      </c>
    </row>
    <row r="489" spans="1:8" hidden="1">
      <c r="A489" s="19" t="s">
        <v>612</v>
      </c>
      <c r="B489" s="20" t="s">
        <v>613</v>
      </c>
      <c r="C489" s="19" t="s">
        <v>74</v>
      </c>
      <c r="D489" s="20"/>
      <c r="E489" s="3">
        <v>20526336.670000002</v>
      </c>
      <c r="F489" s="24">
        <v>0.11677695092584679</v>
      </c>
      <c r="G489" s="26">
        <f t="shared" si="7"/>
        <v>2397003.0099999998</v>
      </c>
      <c r="H489" t="s">
        <v>68</v>
      </c>
    </row>
    <row r="490" spans="1:8" hidden="1">
      <c r="A490" s="13" t="s">
        <v>614</v>
      </c>
      <c r="B490" s="14" t="s">
        <v>394</v>
      </c>
      <c r="C490" s="15" t="s">
        <v>72</v>
      </c>
      <c r="D490" s="16"/>
      <c r="E490" s="2">
        <v>13929004.85</v>
      </c>
      <c r="F490" s="23">
        <v>0.1817738587405259</v>
      </c>
      <c r="G490" s="26">
        <f t="shared" si="7"/>
        <v>2531928.96</v>
      </c>
      <c r="H490" t="s">
        <v>68</v>
      </c>
    </row>
    <row r="491" spans="1:8" hidden="1">
      <c r="A491" s="17" t="s">
        <v>614</v>
      </c>
      <c r="B491" s="18" t="s">
        <v>394</v>
      </c>
      <c r="C491" s="19" t="s">
        <v>73</v>
      </c>
      <c r="D491" s="20"/>
      <c r="E491" s="3">
        <v>13929004.85</v>
      </c>
      <c r="F491" s="24">
        <v>0.71862495474685695</v>
      </c>
      <c r="G491" s="26">
        <f t="shared" si="7"/>
        <v>10009730.48</v>
      </c>
      <c r="H491" t="s">
        <v>68</v>
      </c>
    </row>
    <row r="492" spans="1:8" hidden="1">
      <c r="A492" s="15" t="s">
        <v>614</v>
      </c>
      <c r="B492" s="16" t="s">
        <v>394</v>
      </c>
      <c r="C492" s="15" t="s">
        <v>74</v>
      </c>
      <c r="D492" s="16"/>
      <c r="E492" s="2">
        <v>13929004.85</v>
      </c>
      <c r="F492" s="23">
        <v>9.9601186512617235E-2</v>
      </c>
      <c r="G492" s="26">
        <f t="shared" si="7"/>
        <v>1387345.41</v>
      </c>
      <c r="H492" t="s">
        <v>68</v>
      </c>
    </row>
    <row r="493" spans="1:8" hidden="1">
      <c r="A493" s="17" t="s">
        <v>395</v>
      </c>
      <c r="B493" s="21" t="s">
        <v>396</v>
      </c>
      <c r="C493" s="19" t="s">
        <v>72</v>
      </c>
      <c r="D493" s="20"/>
      <c r="E493" s="3">
        <v>116056861.73</v>
      </c>
      <c r="F493" s="24">
        <v>0.2959220513811493</v>
      </c>
      <c r="G493" s="26">
        <f t="shared" si="7"/>
        <v>34343784.600000001</v>
      </c>
      <c r="H493" t="s">
        <v>68</v>
      </c>
    </row>
    <row r="494" spans="1:8" hidden="1">
      <c r="A494" s="13" t="s">
        <v>395</v>
      </c>
      <c r="B494" s="22" t="s">
        <v>396</v>
      </c>
      <c r="C494" s="15" t="s">
        <v>73</v>
      </c>
      <c r="D494" s="16"/>
      <c r="E494" s="2">
        <v>116056861.73</v>
      </c>
      <c r="F494" s="23">
        <v>0.57581526653262538</v>
      </c>
      <c r="G494" s="26">
        <f t="shared" si="7"/>
        <v>66827312.770000003</v>
      </c>
      <c r="H494" t="s">
        <v>68</v>
      </c>
    </row>
    <row r="495" spans="1:8" hidden="1">
      <c r="A495" s="19" t="s">
        <v>395</v>
      </c>
      <c r="B495" s="20" t="s">
        <v>396</v>
      </c>
      <c r="C495" s="19" t="s">
        <v>74</v>
      </c>
      <c r="D495" s="20"/>
      <c r="E495" s="3">
        <v>116056861.73</v>
      </c>
      <c r="F495" s="24">
        <v>0.12826268208622532</v>
      </c>
      <c r="G495" s="26">
        <f t="shared" si="7"/>
        <v>14885764.360000001</v>
      </c>
      <c r="H495" t="s">
        <v>68</v>
      </c>
    </row>
    <row r="496" spans="1:8" hidden="1">
      <c r="A496" s="13" t="s">
        <v>397</v>
      </c>
      <c r="B496" s="14" t="s">
        <v>398</v>
      </c>
      <c r="C496" s="15" t="s">
        <v>72</v>
      </c>
      <c r="D496" s="16"/>
      <c r="E496" s="2">
        <v>30424849.309999999</v>
      </c>
      <c r="F496" s="23">
        <v>0.51164556647067916</v>
      </c>
      <c r="G496" s="26">
        <f t="shared" si="7"/>
        <v>15566739.260000002</v>
      </c>
      <c r="H496" t="s">
        <v>68</v>
      </c>
    </row>
    <row r="497" spans="1:8" hidden="1">
      <c r="A497" s="17" t="s">
        <v>397</v>
      </c>
      <c r="B497" s="18" t="s">
        <v>398</v>
      </c>
      <c r="C497" s="19" t="s">
        <v>73</v>
      </c>
      <c r="D497" s="20"/>
      <c r="E497" s="3">
        <v>30424849.309999999</v>
      </c>
      <c r="F497" s="24">
        <v>0.39810892295919809</v>
      </c>
      <c r="G497" s="26">
        <f t="shared" si="7"/>
        <v>12112403.99</v>
      </c>
      <c r="H497" t="s">
        <v>68</v>
      </c>
    </row>
    <row r="498" spans="1:8" hidden="1">
      <c r="A498" s="15" t="s">
        <v>397</v>
      </c>
      <c r="B498" s="16" t="s">
        <v>398</v>
      </c>
      <c r="C498" s="15" t="s">
        <v>74</v>
      </c>
      <c r="D498" s="16"/>
      <c r="E498" s="2">
        <v>30424849.309999999</v>
      </c>
      <c r="F498" s="23">
        <v>9.0245510570122853E-2</v>
      </c>
      <c r="G498" s="26">
        <f t="shared" si="7"/>
        <v>2745706.06</v>
      </c>
      <c r="H498" t="s">
        <v>68</v>
      </c>
    </row>
    <row r="499" spans="1:8" hidden="1">
      <c r="A499" s="17" t="s">
        <v>399</v>
      </c>
      <c r="B499" s="21" t="s">
        <v>400</v>
      </c>
      <c r="C499" s="19" t="s">
        <v>72</v>
      </c>
      <c r="D499" s="20"/>
      <c r="E499" s="3">
        <v>74911637.209999993</v>
      </c>
      <c r="F499" s="24">
        <v>0.72290354472149976</v>
      </c>
      <c r="G499" s="26">
        <f t="shared" si="7"/>
        <v>54153888.079999998</v>
      </c>
      <c r="H499" t="s">
        <v>68</v>
      </c>
    </row>
    <row r="500" spans="1:8" hidden="1">
      <c r="A500" s="13" t="s">
        <v>399</v>
      </c>
      <c r="B500" s="22" t="s">
        <v>400</v>
      </c>
      <c r="C500" s="15" t="s">
        <v>73</v>
      </c>
      <c r="D500" s="16"/>
      <c r="E500" s="2">
        <v>74911637.209999993</v>
      </c>
      <c r="F500" s="23">
        <v>0.24204840496503685</v>
      </c>
      <c r="G500" s="26">
        <f t="shared" si="7"/>
        <v>18132242.300000001</v>
      </c>
      <c r="H500" t="s">
        <v>68</v>
      </c>
    </row>
    <row r="501" spans="1:8" hidden="1">
      <c r="A501" s="19" t="s">
        <v>399</v>
      </c>
      <c r="B501" s="20" t="s">
        <v>400</v>
      </c>
      <c r="C501" s="19" t="s">
        <v>74</v>
      </c>
      <c r="D501" s="20"/>
      <c r="E501" s="3">
        <v>74911637.209999993</v>
      </c>
      <c r="F501" s="24">
        <v>3.5048050313463447E-2</v>
      </c>
      <c r="G501" s="26">
        <f t="shared" si="7"/>
        <v>2625506.83</v>
      </c>
      <c r="H501" t="s">
        <v>68</v>
      </c>
    </row>
    <row r="502" spans="1:8" hidden="1">
      <c r="A502" s="13" t="s">
        <v>401</v>
      </c>
      <c r="B502" s="14" t="s">
        <v>402</v>
      </c>
      <c r="C502" s="15" t="s">
        <v>72</v>
      </c>
      <c r="D502" s="16"/>
      <c r="E502" s="2">
        <v>29309539.07</v>
      </c>
      <c r="F502" s="23">
        <v>0.50318171448473747</v>
      </c>
      <c r="G502" s="26">
        <f t="shared" si="7"/>
        <v>14748024.119999997</v>
      </c>
      <c r="H502" t="s">
        <v>68</v>
      </c>
    </row>
    <row r="503" spans="1:8" hidden="1">
      <c r="A503" s="17" t="s">
        <v>401</v>
      </c>
      <c r="B503" s="18" t="s">
        <v>402</v>
      </c>
      <c r="C503" s="19" t="s">
        <v>73</v>
      </c>
      <c r="D503" s="20"/>
      <c r="E503" s="3">
        <v>29309539.07</v>
      </c>
      <c r="F503" s="24">
        <v>0.40305766807816268</v>
      </c>
      <c r="G503" s="26">
        <f t="shared" si="7"/>
        <v>11813434.470000001</v>
      </c>
      <c r="H503" t="s">
        <v>68</v>
      </c>
    </row>
    <row r="504" spans="1:8" hidden="1">
      <c r="A504" s="15" t="s">
        <v>401</v>
      </c>
      <c r="B504" s="16" t="s">
        <v>402</v>
      </c>
      <c r="C504" s="15" t="s">
        <v>74</v>
      </c>
      <c r="D504" s="16"/>
      <c r="E504" s="2">
        <v>29309539.07</v>
      </c>
      <c r="F504" s="23">
        <v>9.3760617437099805E-2</v>
      </c>
      <c r="G504" s="26">
        <f t="shared" si="7"/>
        <v>2748080.48</v>
      </c>
      <c r="H504" t="s">
        <v>68</v>
      </c>
    </row>
    <row r="505" spans="1:8" hidden="1">
      <c r="A505" s="17" t="s">
        <v>403</v>
      </c>
      <c r="B505" s="21" t="s">
        <v>404</v>
      </c>
      <c r="C505" s="19" t="s">
        <v>72</v>
      </c>
      <c r="D505" s="20"/>
      <c r="E505" s="3">
        <v>455397346.29000002</v>
      </c>
      <c r="F505" s="24">
        <v>0.55818662770187921</v>
      </c>
      <c r="G505" s="26">
        <f t="shared" si="7"/>
        <v>254196708.99000001</v>
      </c>
      <c r="H505" t="s">
        <v>68</v>
      </c>
    </row>
    <row r="506" spans="1:8" hidden="1">
      <c r="A506" s="13" t="s">
        <v>403</v>
      </c>
      <c r="B506" s="22" t="s">
        <v>404</v>
      </c>
      <c r="C506" s="15" t="s">
        <v>73</v>
      </c>
      <c r="D506" s="16"/>
      <c r="E506" s="2">
        <v>455397346.29000002</v>
      </c>
      <c r="F506" s="23">
        <v>0.29509054546493496</v>
      </c>
      <c r="G506" s="26">
        <f t="shared" si="7"/>
        <v>134383451.31999999</v>
      </c>
      <c r="H506" t="s">
        <v>68</v>
      </c>
    </row>
    <row r="507" spans="1:8" hidden="1">
      <c r="A507" s="19" t="s">
        <v>403</v>
      </c>
      <c r="B507" s="20" t="s">
        <v>404</v>
      </c>
      <c r="C507" s="19" t="s">
        <v>74</v>
      </c>
      <c r="D507" s="20"/>
      <c r="E507" s="3">
        <v>455397346.29000002</v>
      </c>
      <c r="F507" s="24">
        <v>0.14672282683318574</v>
      </c>
      <c r="G507" s="26">
        <f t="shared" si="7"/>
        <v>66817185.979999997</v>
      </c>
      <c r="H507" t="s">
        <v>68</v>
      </c>
    </row>
    <row r="508" spans="1:8" hidden="1">
      <c r="A508" s="13" t="s">
        <v>405</v>
      </c>
      <c r="B508" s="14" t="s">
        <v>406</v>
      </c>
      <c r="C508" s="15" t="s">
        <v>72</v>
      </c>
      <c r="D508" s="16"/>
      <c r="E508" s="2">
        <v>22744503.600000001</v>
      </c>
      <c r="F508" s="23">
        <v>0.45315845143351463</v>
      </c>
      <c r="G508" s="26">
        <f t="shared" si="7"/>
        <v>10306864.029999999</v>
      </c>
      <c r="H508" t="s">
        <v>68</v>
      </c>
    </row>
    <row r="509" spans="1:8" hidden="1">
      <c r="A509" s="17" t="s">
        <v>405</v>
      </c>
      <c r="B509" s="18" t="s">
        <v>406</v>
      </c>
      <c r="C509" s="19" t="s">
        <v>73</v>
      </c>
      <c r="D509" s="20"/>
      <c r="E509" s="3">
        <v>22744503.600000001</v>
      </c>
      <c r="F509" s="24">
        <v>0.46315926938937457</v>
      </c>
      <c r="G509" s="26">
        <f t="shared" si="7"/>
        <v>10534327.67</v>
      </c>
      <c r="H509" t="s">
        <v>68</v>
      </c>
    </row>
    <row r="510" spans="1:8" hidden="1">
      <c r="A510" s="15" t="s">
        <v>405</v>
      </c>
      <c r="B510" s="16" t="s">
        <v>406</v>
      </c>
      <c r="C510" s="15" t="s">
        <v>74</v>
      </c>
      <c r="D510" s="16"/>
      <c r="E510" s="2">
        <v>22744503.600000001</v>
      </c>
      <c r="F510" s="23">
        <v>8.3682279177110713E-2</v>
      </c>
      <c r="G510" s="26">
        <f t="shared" si="7"/>
        <v>1903311.8999999997</v>
      </c>
      <c r="H510" t="s">
        <v>68</v>
      </c>
    </row>
    <row r="511" spans="1:8" hidden="1">
      <c r="A511" s="17" t="s">
        <v>407</v>
      </c>
      <c r="B511" s="21" t="s">
        <v>408</v>
      </c>
      <c r="C511" s="19" t="s">
        <v>72</v>
      </c>
      <c r="D511" s="20"/>
      <c r="E511" s="3">
        <v>18569454.02</v>
      </c>
      <c r="F511" s="24">
        <v>0.25178847019218931</v>
      </c>
      <c r="G511" s="26">
        <f t="shared" si="7"/>
        <v>4675574.42</v>
      </c>
      <c r="H511" t="s">
        <v>68</v>
      </c>
    </row>
    <row r="512" spans="1:8" hidden="1">
      <c r="A512" s="13" t="s">
        <v>407</v>
      </c>
      <c r="B512" s="22" t="s">
        <v>408</v>
      </c>
      <c r="C512" s="15" t="s">
        <v>73</v>
      </c>
      <c r="D512" s="16"/>
      <c r="E512" s="2">
        <v>18569454.02</v>
      </c>
      <c r="F512" s="23">
        <v>0.6544377829801159</v>
      </c>
      <c r="G512" s="26">
        <f t="shared" si="7"/>
        <v>12152552.32</v>
      </c>
      <c r="H512" t="s">
        <v>68</v>
      </c>
    </row>
    <row r="513" spans="1:12" hidden="1">
      <c r="A513" s="19" t="s">
        <v>407</v>
      </c>
      <c r="B513" s="20" t="s">
        <v>408</v>
      </c>
      <c r="C513" s="19" t="s">
        <v>74</v>
      </c>
      <c r="D513" s="20"/>
      <c r="E513" s="3">
        <v>18569454.02</v>
      </c>
      <c r="F513" s="24">
        <v>9.3773746827694834E-2</v>
      </c>
      <c r="G513" s="26">
        <f t="shared" si="7"/>
        <v>1741327.28</v>
      </c>
      <c r="H513" t="s">
        <v>68</v>
      </c>
    </row>
    <row r="514" spans="1:12" hidden="1">
      <c r="A514" s="13" t="s">
        <v>409</v>
      </c>
      <c r="B514" s="14" t="s">
        <v>410</v>
      </c>
      <c r="C514" s="15" t="s">
        <v>72</v>
      </c>
      <c r="D514" s="16"/>
      <c r="E514" s="2">
        <v>711491489.63</v>
      </c>
      <c r="F514" s="23">
        <v>0.3100519744160527</v>
      </c>
      <c r="G514" s="26">
        <f t="shared" si="7"/>
        <v>220599341.13999999</v>
      </c>
      <c r="H514" t="s">
        <v>68</v>
      </c>
      <c r="L514" t="s">
        <v>1814</v>
      </c>
    </row>
    <row r="515" spans="1:12" hidden="1">
      <c r="A515" s="17" t="s">
        <v>409</v>
      </c>
      <c r="B515" s="18" t="s">
        <v>410</v>
      </c>
      <c r="C515" s="19" t="s">
        <v>73</v>
      </c>
      <c r="D515" s="20"/>
      <c r="E515" s="3">
        <v>711491489.63</v>
      </c>
      <c r="F515" s="24">
        <v>0.51412033282397307</v>
      </c>
      <c r="G515" s="26">
        <f t="shared" si="7"/>
        <v>365792241.44999999</v>
      </c>
      <c r="H515" t="s">
        <v>68</v>
      </c>
      <c r="L515" t="s">
        <v>1814</v>
      </c>
    </row>
    <row r="516" spans="1:12" hidden="1">
      <c r="A516" s="15" t="s">
        <v>409</v>
      </c>
      <c r="B516" s="16" t="s">
        <v>410</v>
      </c>
      <c r="C516" s="15" t="s">
        <v>74</v>
      </c>
      <c r="D516" s="16"/>
      <c r="E516" s="2">
        <v>711491489.63</v>
      </c>
      <c r="F516" s="23">
        <v>0.1758276927599742</v>
      </c>
      <c r="G516" s="26">
        <f t="shared" si="7"/>
        <v>125099907.04000001</v>
      </c>
      <c r="H516" t="s">
        <v>68</v>
      </c>
      <c r="L516" t="s">
        <v>1814</v>
      </c>
    </row>
    <row r="517" spans="1:12" hidden="1">
      <c r="A517" s="17" t="s">
        <v>411</v>
      </c>
      <c r="B517" s="21" t="s">
        <v>412</v>
      </c>
      <c r="C517" s="19" t="s">
        <v>72</v>
      </c>
      <c r="D517" s="20"/>
      <c r="E517" s="3">
        <v>98409786.879999995</v>
      </c>
      <c r="F517" s="24">
        <v>0.6528364897115404</v>
      </c>
      <c r="G517" s="26">
        <f t="shared" ref="G517:G580" si="8">F517*E517</f>
        <v>64245499.82</v>
      </c>
      <c r="H517" t="s">
        <v>68</v>
      </c>
    </row>
    <row r="518" spans="1:12" hidden="1">
      <c r="A518" s="13" t="s">
        <v>411</v>
      </c>
      <c r="B518" s="22" t="s">
        <v>412</v>
      </c>
      <c r="C518" s="15" t="s">
        <v>73</v>
      </c>
      <c r="D518" s="16"/>
      <c r="E518" s="2">
        <v>98409786.879999995</v>
      </c>
      <c r="F518" s="23">
        <v>0.28816266846080585</v>
      </c>
      <c r="G518" s="26">
        <f t="shared" si="8"/>
        <v>28358026.789999999</v>
      </c>
      <c r="H518" t="s">
        <v>68</v>
      </c>
    </row>
    <row r="519" spans="1:12" hidden="1">
      <c r="A519" s="19" t="s">
        <v>411</v>
      </c>
      <c r="B519" s="20" t="s">
        <v>412</v>
      </c>
      <c r="C519" s="19" t="s">
        <v>74</v>
      </c>
      <c r="D519" s="20"/>
      <c r="E519" s="3">
        <v>98409786.879999995</v>
      </c>
      <c r="F519" s="24">
        <v>5.9000841827653798E-2</v>
      </c>
      <c r="G519" s="26">
        <f t="shared" si="8"/>
        <v>5806260.2699999996</v>
      </c>
      <c r="H519" t="s">
        <v>68</v>
      </c>
    </row>
    <row r="520" spans="1:12" hidden="1">
      <c r="A520" s="13" t="s">
        <v>413</v>
      </c>
      <c r="B520" s="14" t="s">
        <v>414</v>
      </c>
      <c r="C520" s="15" t="s">
        <v>72</v>
      </c>
      <c r="D520" s="16"/>
      <c r="E520" s="2">
        <v>696640716.53999996</v>
      </c>
      <c r="F520" s="23">
        <v>0.53949388479135829</v>
      </c>
      <c r="G520" s="26">
        <f t="shared" si="8"/>
        <v>375833406.47000003</v>
      </c>
      <c r="H520" t="s">
        <v>68</v>
      </c>
    </row>
    <row r="521" spans="1:12" hidden="1">
      <c r="A521" s="17" t="s">
        <v>413</v>
      </c>
      <c r="B521" s="18" t="s">
        <v>414</v>
      </c>
      <c r="C521" s="19" t="s">
        <v>73</v>
      </c>
      <c r="D521" s="20"/>
      <c r="E521" s="3">
        <v>696640716.53999996</v>
      </c>
      <c r="F521" s="24">
        <v>0.32360535891395292</v>
      </c>
      <c r="G521" s="26">
        <f t="shared" si="8"/>
        <v>225436669.11000001</v>
      </c>
      <c r="H521" t="s">
        <v>68</v>
      </c>
    </row>
    <row r="522" spans="1:12" hidden="1">
      <c r="A522" s="15" t="s">
        <v>413</v>
      </c>
      <c r="B522" s="16" t="s">
        <v>414</v>
      </c>
      <c r="C522" s="15" t="s">
        <v>74</v>
      </c>
      <c r="D522" s="16"/>
      <c r="E522" s="2">
        <v>696640716.53999996</v>
      </c>
      <c r="F522" s="23">
        <v>0.13690075629468892</v>
      </c>
      <c r="G522" s="26">
        <f t="shared" si="8"/>
        <v>95370640.960000008</v>
      </c>
      <c r="H522" t="s">
        <v>68</v>
      </c>
    </row>
    <row r="523" spans="1:12" hidden="1">
      <c r="A523" s="17" t="s">
        <v>415</v>
      </c>
      <c r="B523" s="21" t="s">
        <v>416</v>
      </c>
      <c r="C523" s="19" t="s">
        <v>72</v>
      </c>
      <c r="D523" s="20"/>
      <c r="E523" s="3">
        <v>19640706.07</v>
      </c>
      <c r="F523" s="24">
        <v>0.25151964457864318</v>
      </c>
      <c r="G523" s="26">
        <f t="shared" si="8"/>
        <v>4940023.41</v>
      </c>
      <c r="H523" t="s">
        <v>68</v>
      </c>
    </row>
    <row r="524" spans="1:12" hidden="1">
      <c r="A524" s="13" t="s">
        <v>415</v>
      </c>
      <c r="B524" s="22" t="s">
        <v>416</v>
      </c>
      <c r="C524" s="15" t="s">
        <v>73</v>
      </c>
      <c r="D524" s="16"/>
      <c r="E524" s="2">
        <v>19640706.07</v>
      </c>
      <c r="F524" s="23">
        <v>0.60849415735897727</v>
      </c>
      <c r="G524" s="26">
        <f t="shared" si="8"/>
        <v>11951254.890000001</v>
      </c>
      <c r="H524" t="s">
        <v>68</v>
      </c>
    </row>
    <row r="525" spans="1:12" hidden="1">
      <c r="A525" s="19" t="s">
        <v>415</v>
      </c>
      <c r="B525" s="20" t="s">
        <v>416</v>
      </c>
      <c r="C525" s="19" t="s">
        <v>74</v>
      </c>
      <c r="D525" s="20"/>
      <c r="E525" s="3">
        <v>19640706.07</v>
      </c>
      <c r="F525" s="24">
        <v>0.13998619806237952</v>
      </c>
      <c r="G525" s="26">
        <f t="shared" si="8"/>
        <v>2749427.77</v>
      </c>
      <c r="H525" t="s">
        <v>68</v>
      </c>
    </row>
    <row r="526" spans="1:12" hidden="1">
      <c r="A526" s="13" t="s">
        <v>417</v>
      </c>
      <c r="B526" s="14" t="s">
        <v>418</v>
      </c>
      <c r="C526" s="15" t="s">
        <v>72</v>
      </c>
      <c r="D526" s="16"/>
      <c r="E526" s="2">
        <v>16690161.66</v>
      </c>
      <c r="F526" s="23">
        <v>0.37029618142116905</v>
      </c>
      <c r="G526" s="26">
        <f t="shared" si="8"/>
        <v>6180303.1299999999</v>
      </c>
      <c r="H526" t="s">
        <v>68</v>
      </c>
    </row>
    <row r="527" spans="1:12" hidden="1">
      <c r="A527" s="17" t="s">
        <v>417</v>
      </c>
      <c r="B527" s="18" t="s">
        <v>418</v>
      </c>
      <c r="C527" s="19" t="s">
        <v>73</v>
      </c>
      <c r="D527" s="20"/>
      <c r="E527" s="3">
        <v>16690161.66</v>
      </c>
      <c r="F527" s="24">
        <v>0.53880509387468689</v>
      </c>
      <c r="G527" s="26">
        <f t="shared" si="8"/>
        <v>8992744.1199999992</v>
      </c>
      <c r="H527" t="s">
        <v>68</v>
      </c>
    </row>
    <row r="528" spans="1:12" hidden="1">
      <c r="A528" s="15" t="s">
        <v>417</v>
      </c>
      <c r="B528" s="16" t="s">
        <v>418</v>
      </c>
      <c r="C528" s="15" t="s">
        <v>74</v>
      </c>
      <c r="D528" s="16"/>
      <c r="E528" s="2">
        <v>16690161.66</v>
      </c>
      <c r="F528" s="23">
        <v>9.0898724704144049E-2</v>
      </c>
      <c r="G528" s="26">
        <f t="shared" si="8"/>
        <v>1517114.41</v>
      </c>
      <c r="H528" t="s">
        <v>68</v>
      </c>
    </row>
    <row r="529" spans="1:12" hidden="1">
      <c r="A529" s="17" t="s">
        <v>419</v>
      </c>
      <c r="B529" s="21" t="s">
        <v>420</v>
      </c>
      <c r="C529" s="19" t="s">
        <v>72</v>
      </c>
      <c r="D529" s="20"/>
      <c r="E529" s="3">
        <v>46276611.859999999</v>
      </c>
      <c r="F529" s="24">
        <v>0.65536885266690736</v>
      </c>
      <c r="G529" s="26">
        <f t="shared" si="8"/>
        <v>30328250.019999996</v>
      </c>
      <c r="H529" t="s">
        <v>68</v>
      </c>
    </row>
    <row r="530" spans="1:12" hidden="1">
      <c r="A530" s="13" t="s">
        <v>419</v>
      </c>
      <c r="B530" s="22" t="s">
        <v>420</v>
      </c>
      <c r="C530" s="15" t="s">
        <v>73</v>
      </c>
      <c r="D530" s="16"/>
      <c r="E530" s="2">
        <v>46276611.859999999</v>
      </c>
      <c r="F530" s="23">
        <v>0.32110555295091131</v>
      </c>
      <c r="G530" s="26">
        <f t="shared" si="8"/>
        <v>14859677.040000001</v>
      </c>
      <c r="H530" t="s">
        <v>68</v>
      </c>
    </row>
    <row r="531" spans="1:12" hidden="1">
      <c r="A531" s="19" t="s">
        <v>419</v>
      </c>
      <c r="B531" s="20" t="s">
        <v>420</v>
      </c>
      <c r="C531" s="19" t="s">
        <v>74</v>
      </c>
      <c r="D531" s="20"/>
      <c r="E531" s="3">
        <v>46276611.859999999</v>
      </c>
      <c r="F531" s="24">
        <v>2.352559438218129E-2</v>
      </c>
      <c r="G531" s="26">
        <f t="shared" si="8"/>
        <v>1088684.8</v>
      </c>
      <c r="H531" t="s">
        <v>68</v>
      </c>
    </row>
    <row r="532" spans="1:12" hidden="1">
      <c r="A532" s="13" t="s">
        <v>421</v>
      </c>
      <c r="B532" s="14" t="s">
        <v>422</v>
      </c>
      <c r="C532" s="15" t="s">
        <v>72</v>
      </c>
      <c r="D532" s="16"/>
      <c r="E532" s="2">
        <v>209025743.63999999</v>
      </c>
      <c r="F532" s="23">
        <v>0.39378958183143348</v>
      </c>
      <c r="G532" s="26">
        <f t="shared" si="8"/>
        <v>82312160.180000007</v>
      </c>
      <c r="H532" t="s">
        <v>68</v>
      </c>
      <c r="L532" t="s">
        <v>1812</v>
      </c>
    </row>
    <row r="533" spans="1:12" hidden="1">
      <c r="A533" s="17" t="s">
        <v>421</v>
      </c>
      <c r="B533" s="18" t="s">
        <v>422</v>
      </c>
      <c r="C533" s="19" t="s">
        <v>73</v>
      </c>
      <c r="D533" s="20"/>
      <c r="E533" s="3">
        <v>209025743.63999999</v>
      </c>
      <c r="F533" s="24">
        <v>0.444428325010503</v>
      </c>
      <c r="G533" s="26">
        <f t="shared" si="8"/>
        <v>92896961.129999995</v>
      </c>
      <c r="H533" t="s">
        <v>68</v>
      </c>
      <c r="L533" t="s">
        <v>1812</v>
      </c>
    </row>
    <row r="534" spans="1:12" hidden="1">
      <c r="A534" s="15" t="s">
        <v>421</v>
      </c>
      <c r="B534" s="16" t="s">
        <v>422</v>
      </c>
      <c r="C534" s="15" t="s">
        <v>74</v>
      </c>
      <c r="D534" s="16"/>
      <c r="E534" s="2">
        <v>209025743.63999999</v>
      </c>
      <c r="F534" s="23">
        <v>0.16178209315806361</v>
      </c>
      <c r="G534" s="26">
        <f t="shared" si="8"/>
        <v>33816622.329999998</v>
      </c>
      <c r="H534" t="s">
        <v>68</v>
      </c>
      <c r="L534" t="s">
        <v>1812</v>
      </c>
    </row>
    <row r="535" spans="1:12" hidden="1">
      <c r="A535" s="17" t="s">
        <v>423</v>
      </c>
      <c r="B535" s="21" t="s">
        <v>424</v>
      </c>
      <c r="C535" s="19" t="s">
        <v>72</v>
      </c>
      <c r="D535" s="20"/>
      <c r="E535" s="3">
        <v>14444274.01</v>
      </c>
      <c r="F535" s="24">
        <v>0.65159094832208875</v>
      </c>
      <c r="G535" s="26">
        <f t="shared" si="8"/>
        <v>9411758.1999999993</v>
      </c>
      <c r="H535" t="s">
        <v>68</v>
      </c>
    </row>
    <row r="536" spans="1:12" hidden="1">
      <c r="A536" s="13" t="s">
        <v>423</v>
      </c>
      <c r="B536" s="22" t="s">
        <v>424</v>
      </c>
      <c r="C536" s="15" t="s">
        <v>73</v>
      </c>
      <c r="D536" s="16"/>
      <c r="E536" s="2">
        <v>14444274.01</v>
      </c>
      <c r="F536" s="23">
        <v>0.31196384788050691</v>
      </c>
      <c r="G536" s="26">
        <f t="shared" si="8"/>
        <v>4506091.3</v>
      </c>
      <c r="H536" t="s">
        <v>68</v>
      </c>
    </row>
    <row r="537" spans="1:12" hidden="1">
      <c r="A537" s="19" t="s">
        <v>423</v>
      </c>
      <c r="B537" s="20" t="s">
        <v>424</v>
      </c>
      <c r="C537" s="19" t="s">
        <v>74</v>
      </c>
      <c r="D537" s="20"/>
      <c r="E537" s="3">
        <v>14444274.01</v>
      </c>
      <c r="F537" s="24">
        <v>3.6445203797404284E-2</v>
      </c>
      <c r="G537" s="26">
        <f t="shared" si="8"/>
        <v>526424.51</v>
      </c>
      <c r="H537" t="s">
        <v>68</v>
      </c>
    </row>
    <row r="538" spans="1:12" hidden="1">
      <c r="A538" s="13" t="s">
        <v>425</v>
      </c>
      <c r="B538" s="14" t="s">
        <v>426</v>
      </c>
      <c r="C538" s="15" t="s">
        <v>72</v>
      </c>
      <c r="D538" s="16"/>
      <c r="E538" s="2">
        <v>22578644.68</v>
      </c>
      <c r="F538" s="23">
        <v>0.4066241778512279</v>
      </c>
      <c r="G538" s="26">
        <f t="shared" si="8"/>
        <v>9181022.8300000001</v>
      </c>
      <c r="H538" t="s">
        <v>68</v>
      </c>
    </row>
    <row r="539" spans="1:12" hidden="1">
      <c r="A539" s="17" t="s">
        <v>425</v>
      </c>
      <c r="B539" s="18" t="s">
        <v>426</v>
      </c>
      <c r="C539" s="19" t="s">
        <v>73</v>
      </c>
      <c r="D539" s="20"/>
      <c r="E539" s="3">
        <v>22578644.68</v>
      </c>
      <c r="F539" s="24">
        <v>0.51978676870696916</v>
      </c>
      <c r="G539" s="26">
        <f t="shared" si="8"/>
        <v>11736080.76</v>
      </c>
      <c r="H539" t="s">
        <v>68</v>
      </c>
    </row>
    <row r="540" spans="1:12" hidden="1">
      <c r="A540" s="15" t="s">
        <v>425</v>
      </c>
      <c r="B540" s="16" t="s">
        <v>426</v>
      </c>
      <c r="C540" s="15" t="s">
        <v>74</v>
      </c>
      <c r="D540" s="16"/>
      <c r="E540" s="2">
        <v>22578644.68</v>
      </c>
      <c r="F540" s="23">
        <v>7.3589053441802957E-2</v>
      </c>
      <c r="G540" s="26">
        <f t="shared" si="8"/>
        <v>1661541.09</v>
      </c>
      <c r="H540" t="s">
        <v>68</v>
      </c>
    </row>
    <row r="541" spans="1:12" hidden="1">
      <c r="A541" s="17" t="s">
        <v>427</v>
      </c>
      <c r="B541" s="21" t="s">
        <v>428</v>
      </c>
      <c r="C541" s="19" t="s">
        <v>72</v>
      </c>
      <c r="D541" s="20"/>
      <c r="E541" s="3">
        <v>40689416.700000003</v>
      </c>
      <c r="F541" s="24">
        <v>0.58622417828860152</v>
      </c>
      <c r="G541" s="26">
        <f t="shared" si="8"/>
        <v>23853119.870000001</v>
      </c>
      <c r="H541" t="s">
        <v>68</v>
      </c>
    </row>
    <row r="542" spans="1:12" hidden="1">
      <c r="A542" s="13" t="s">
        <v>427</v>
      </c>
      <c r="B542" s="22" t="s">
        <v>428</v>
      </c>
      <c r="C542" s="15" t="s">
        <v>73</v>
      </c>
      <c r="D542" s="16"/>
      <c r="E542" s="2">
        <v>40689416.700000003</v>
      </c>
      <c r="F542" s="23">
        <v>0.35427826985782274</v>
      </c>
      <c r="G542" s="26">
        <f t="shared" si="8"/>
        <v>14415376.15</v>
      </c>
      <c r="H542" t="s">
        <v>68</v>
      </c>
    </row>
    <row r="543" spans="1:12" hidden="1">
      <c r="A543" s="19" t="s">
        <v>427</v>
      </c>
      <c r="B543" s="20" t="s">
        <v>428</v>
      </c>
      <c r="C543" s="19" t="s">
        <v>74</v>
      </c>
      <c r="D543" s="20"/>
      <c r="E543" s="3">
        <v>40689416.700000003</v>
      </c>
      <c r="F543" s="24">
        <v>5.9497551853575727E-2</v>
      </c>
      <c r="G543" s="26">
        <f t="shared" si="8"/>
        <v>2420920.6800000002</v>
      </c>
      <c r="H543" t="s">
        <v>68</v>
      </c>
    </row>
    <row r="544" spans="1:12" hidden="1">
      <c r="A544" s="13" t="s">
        <v>429</v>
      </c>
      <c r="B544" s="14" t="s">
        <v>430</v>
      </c>
      <c r="C544" s="15" t="s">
        <v>72</v>
      </c>
      <c r="D544" s="16"/>
      <c r="E544" s="2">
        <v>9189823.3000000007</v>
      </c>
      <c r="F544" s="23">
        <v>0.58222160484848495</v>
      </c>
      <c r="G544" s="26">
        <f t="shared" si="8"/>
        <v>5350513.6700000009</v>
      </c>
      <c r="H544" t="s">
        <v>68</v>
      </c>
    </row>
    <row r="545" spans="1:8" hidden="1">
      <c r="A545" s="17" t="s">
        <v>429</v>
      </c>
      <c r="B545" s="18" t="s">
        <v>430</v>
      </c>
      <c r="C545" s="19" t="s">
        <v>73</v>
      </c>
      <c r="D545" s="20"/>
      <c r="E545" s="3">
        <v>9189823.3000000007</v>
      </c>
      <c r="F545" s="24">
        <v>0.34612567142613065</v>
      </c>
      <c r="G545" s="26">
        <f t="shared" si="8"/>
        <v>3180833.76</v>
      </c>
      <c r="H545" t="s">
        <v>68</v>
      </c>
    </row>
    <row r="546" spans="1:8" hidden="1">
      <c r="A546" s="15" t="s">
        <v>429</v>
      </c>
      <c r="B546" s="16" t="s">
        <v>430</v>
      </c>
      <c r="C546" s="15" t="s">
        <v>74</v>
      </c>
      <c r="D546" s="16"/>
      <c r="E546" s="2">
        <v>9189823.3000000007</v>
      </c>
      <c r="F546" s="23">
        <v>7.1652723725384351E-2</v>
      </c>
      <c r="G546" s="26">
        <f t="shared" si="8"/>
        <v>658475.87</v>
      </c>
      <c r="H546" t="s">
        <v>68</v>
      </c>
    </row>
    <row r="547" spans="1:8" hidden="1">
      <c r="A547" s="17" t="s">
        <v>431</v>
      </c>
      <c r="B547" s="21" t="s">
        <v>432</v>
      </c>
      <c r="C547" s="19" t="s">
        <v>72</v>
      </c>
      <c r="D547" s="20"/>
      <c r="E547" s="3">
        <v>20473083.920000002</v>
      </c>
      <c r="F547" s="24">
        <v>0.55986735680806021</v>
      </c>
      <c r="G547" s="26">
        <f t="shared" si="8"/>
        <v>11462211.380000001</v>
      </c>
      <c r="H547" t="s">
        <v>68</v>
      </c>
    </row>
    <row r="548" spans="1:8" hidden="1">
      <c r="A548" s="13" t="s">
        <v>431</v>
      </c>
      <c r="B548" s="22" t="s">
        <v>432</v>
      </c>
      <c r="C548" s="15" t="s">
        <v>73</v>
      </c>
      <c r="D548" s="16"/>
      <c r="E548" s="2">
        <v>20473083.920000002</v>
      </c>
      <c r="F548" s="23">
        <v>0.37577310824601939</v>
      </c>
      <c r="G548" s="26">
        <f t="shared" si="8"/>
        <v>7693234.3799999999</v>
      </c>
      <c r="H548" t="s">
        <v>68</v>
      </c>
    </row>
    <row r="549" spans="1:8" hidden="1">
      <c r="A549" s="19" t="s">
        <v>431</v>
      </c>
      <c r="B549" s="20" t="s">
        <v>432</v>
      </c>
      <c r="C549" s="19" t="s">
        <v>74</v>
      </c>
      <c r="D549" s="20"/>
      <c r="E549" s="3">
        <v>20473083.920000002</v>
      </c>
      <c r="F549" s="24">
        <v>6.4359534945920338E-2</v>
      </c>
      <c r="G549" s="26">
        <f t="shared" si="8"/>
        <v>1317638.1599999999</v>
      </c>
      <c r="H549" t="s">
        <v>68</v>
      </c>
    </row>
    <row r="550" spans="1:8" hidden="1">
      <c r="A550" s="13" t="s">
        <v>433</v>
      </c>
      <c r="B550" s="14" t="s">
        <v>434</v>
      </c>
      <c r="C550" s="15" t="s">
        <v>72</v>
      </c>
      <c r="D550" s="16"/>
      <c r="E550" s="2">
        <v>57785808.520000003</v>
      </c>
      <c r="F550" s="23">
        <v>0.24460833000385954</v>
      </c>
      <c r="G550" s="26">
        <f t="shared" si="8"/>
        <v>14134890.119999999</v>
      </c>
      <c r="H550" t="s">
        <v>68</v>
      </c>
    </row>
    <row r="551" spans="1:8" hidden="1">
      <c r="A551" s="17" t="s">
        <v>433</v>
      </c>
      <c r="B551" s="18" t="s">
        <v>434</v>
      </c>
      <c r="C551" s="19" t="s">
        <v>73</v>
      </c>
      <c r="D551" s="20"/>
      <c r="E551" s="3">
        <v>57785808.520000003</v>
      </c>
      <c r="F551" s="24">
        <v>0.59402296686944411</v>
      </c>
      <c r="G551" s="26">
        <f t="shared" si="8"/>
        <v>34326097.420000002</v>
      </c>
      <c r="H551" t="s">
        <v>68</v>
      </c>
    </row>
    <row r="552" spans="1:8" hidden="1">
      <c r="A552" s="15" t="s">
        <v>433</v>
      </c>
      <c r="B552" s="16" t="s">
        <v>434</v>
      </c>
      <c r="C552" s="15" t="s">
        <v>74</v>
      </c>
      <c r="D552" s="16"/>
      <c r="E552" s="2">
        <v>57785808.520000003</v>
      </c>
      <c r="F552" s="23">
        <v>0.16136870312669635</v>
      </c>
      <c r="G552" s="26">
        <f t="shared" si="8"/>
        <v>9324820.9800000004</v>
      </c>
      <c r="H552" t="s">
        <v>68</v>
      </c>
    </row>
    <row r="553" spans="1:8" hidden="1">
      <c r="A553" s="17" t="s">
        <v>435</v>
      </c>
      <c r="B553" s="21" t="s">
        <v>436</v>
      </c>
      <c r="C553" s="19" t="s">
        <v>72</v>
      </c>
      <c r="D553" s="20"/>
      <c r="E553" s="3">
        <v>25065118.539999999</v>
      </c>
      <c r="F553" s="24">
        <v>0.18016359239608049</v>
      </c>
      <c r="G553" s="26">
        <f t="shared" si="8"/>
        <v>4515821.8</v>
      </c>
      <c r="H553" t="s">
        <v>68</v>
      </c>
    </row>
    <row r="554" spans="1:8" hidden="1">
      <c r="A554" s="13" t="s">
        <v>435</v>
      </c>
      <c r="B554" s="22" t="s">
        <v>436</v>
      </c>
      <c r="C554" s="15" t="s">
        <v>73</v>
      </c>
      <c r="D554" s="16"/>
      <c r="E554" s="2">
        <v>25065118.539999999</v>
      </c>
      <c r="F554" s="23">
        <v>0.69434609464248731</v>
      </c>
      <c r="G554" s="26">
        <f t="shared" si="8"/>
        <v>17403867.170000002</v>
      </c>
      <c r="H554" t="s">
        <v>68</v>
      </c>
    </row>
    <row r="555" spans="1:8" hidden="1">
      <c r="A555" s="19" t="s">
        <v>435</v>
      </c>
      <c r="B555" s="20" t="s">
        <v>436</v>
      </c>
      <c r="C555" s="19" t="s">
        <v>74</v>
      </c>
      <c r="D555" s="20"/>
      <c r="E555" s="3">
        <v>25065118.539999999</v>
      </c>
      <c r="F555" s="24">
        <v>0.12549031296143234</v>
      </c>
      <c r="G555" s="26">
        <f t="shared" si="8"/>
        <v>3145429.57</v>
      </c>
      <c r="H555" t="s">
        <v>68</v>
      </c>
    </row>
    <row r="556" spans="1:8" hidden="1">
      <c r="A556" s="13" t="s">
        <v>437</v>
      </c>
      <c r="B556" s="14" t="s">
        <v>438</v>
      </c>
      <c r="C556" s="15" t="s">
        <v>72</v>
      </c>
      <c r="D556" s="16"/>
      <c r="E556" s="2">
        <v>10582408.880000001</v>
      </c>
      <c r="F556" s="23">
        <v>0.23710321330921771</v>
      </c>
      <c r="G556" s="26">
        <f t="shared" si="8"/>
        <v>2509123.15</v>
      </c>
      <c r="H556" t="s">
        <v>68</v>
      </c>
    </row>
    <row r="557" spans="1:8" hidden="1">
      <c r="A557" s="17" t="s">
        <v>437</v>
      </c>
      <c r="B557" s="18" t="s">
        <v>438</v>
      </c>
      <c r="C557" s="19" t="s">
        <v>73</v>
      </c>
      <c r="D557" s="20"/>
      <c r="E557" s="3">
        <v>10582408.880000001</v>
      </c>
      <c r="F557" s="24">
        <v>0.67010602788199958</v>
      </c>
      <c r="G557" s="26">
        <f t="shared" si="8"/>
        <v>7091335.9800000004</v>
      </c>
      <c r="H557" t="s">
        <v>68</v>
      </c>
    </row>
    <row r="558" spans="1:8" hidden="1">
      <c r="A558" s="15" t="s">
        <v>437</v>
      </c>
      <c r="B558" s="16" t="s">
        <v>438</v>
      </c>
      <c r="C558" s="15" t="s">
        <v>74</v>
      </c>
      <c r="D558" s="16"/>
      <c r="E558" s="2">
        <v>10582408.880000001</v>
      </c>
      <c r="F558" s="23">
        <v>9.2790758808782667E-2</v>
      </c>
      <c r="G558" s="26">
        <f t="shared" si="8"/>
        <v>981949.75</v>
      </c>
      <c r="H558" t="s">
        <v>68</v>
      </c>
    </row>
    <row r="559" spans="1:8" hidden="1">
      <c r="A559" s="17" t="s">
        <v>439</v>
      </c>
      <c r="B559" s="21" t="s">
        <v>440</v>
      </c>
      <c r="C559" s="19" t="s">
        <v>72</v>
      </c>
      <c r="D559" s="20"/>
      <c r="E559" s="3">
        <v>19925240.859999999</v>
      </c>
      <c r="F559" s="24">
        <v>0.5039198406959684</v>
      </c>
      <c r="G559" s="26">
        <f t="shared" si="8"/>
        <v>10040724.199999999</v>
      </c>
      <c r="H559" t="s">
        <v>68</v>
      </c>
    </row>
    <row r="560" spans="1:8" hidden="1">
      <c r="A560" s="13" t="s">
        <v>439</v>
      </c>
      <c r="B560" s="22" t="s">
        <v>440</v>
      </c>
      <c r="C560" s="15" t="s">
        <v>73</v>
      </c>
      <c r="D560" s="16"/>
      <c r="E560" s="2">
        <v>19925240.859999999</v>
      </c>
      <c r="F560" s="23">
        <v>0.44195620629501386</v>
      </c>
      <c r="G560" s="26">
        <f t="shared" si="8"/>
        <v>8806083.8599999994</v>
      </c>
      <c r="H560" t="s">
        <v>68</v>
      </c>
    </row>
    <row r="561" spans="1:8" hidden="1">
      <c r="A561" s="19" t="s">
        <v>439</v>
      </c>
      <c r="B561" s="20" t="s">
        <v>440</v>
      </c>
      <c r="C561" s="19" t="s">
        <v>74</v>
      </c>
      <c r="D561" s="20"/>
      <c r="E561" s="3">
        <v>19925240.859999999</v>
      </c>
      <c r="F561" s="24">
        <v>5.4123953009017733E-2</v>
      </c>
      <c r="G561" s="26">
        <f t="shared" si="8"/>
        <v>1078432.8</v>
      </c>
      <c r="H561" t="s">
        <v>68</v>
      </c>
    </row>
    <row r="562" spans="1:8" hidden="1">
      <c r="A562" s="13" t="s">
        <v>441</v>
      </c>
      <c r="B562" s="14" t="s">
        <v>442</v>
      </c>
      <c r="C562" s="15" t="s">
        <v>72</v>
      </c>
      <c r="D562" s="16"/>
      <c r="E562" s="2">
        <v>76055634</v>
      </c>
      <c r="F562" s="23">
        <v>0.4758601191859107</v>
      </c>
      <c r="G562" s="26">
        <f t="shared" si="8"/>
        <v>36191843.060000002</v>
      </c>
      <c r="H562" t="s">
        <v>68</v>
      </c>
    </row>
    <row r="563" spans="1:8" hidden="1">
      <c r="A563" s="17" t="s">
        <v>441</v>
      </c>
      <c r="B563" s="18" t="s">
        <v>442</v>
      </c>
      <c r="C563" s="19" t="s">
        <v>73</v>
      </c>
      <c r="D563" s="20"/>
      <c r="E563" s="3">
        <v>76055634</v>
      </c>
      <c r="F563" s="24">
        <v>0.42645452340848278</v>
      </c>
      <c r="G563" s="26">
        <f t="shared" si="8"/>
        <v>32434269.149999999</v>
      </c>
      <c r="H563" t="s">
        <v>68</v>
      </c>
    </row>
    <row r="564" spans="1:8" hidden="1">
      <c r="A564" s="15" t="s">
        <v>441</v>
      </c>
      <c r="B564" s="16" t="s">
        <v>442</v>
      </c>
      <c r="C564" s="15" t="s">
        <v>74</v>
      </c>
      <c r="D564" s="16"/>
      <c r="E564" s="2">
        <v>76055634</v>
      </c>
      <c r="F564" s="23">
        <v>9.7685357405606535E-2</v>
      </c>
      <c r="G564" s="26">
        <f t="shared" si="8"/>
        <v>7429521.79</v>
      </c>
      <c r="H564" t="s">
        <v>68</v>
      </c>
    </row>
    <row r="565" spans="1:8" hidden="1">
      <c r="A565" s="17" t="s">
        <v>443</v>
      </c>
      <c r="B565" s="21" t="s">
        <v>444</v>
      </c>
      <c r="C565" s="19" t="s">
        <v>72</v>
      </c>
      <c r="D565" s="20"/>
      <c r="E565" s="3">
        <v>75583917.049999997</v>
      </c>
      <c r="F565" s="24">
        <v>0.54543351626945091</v>
      </c>
      <c r="G565" s="26">
        <f t="shared" si="8"/>
        <v>41226001.649999999</v>
      </c>
      <c r="H565" t="s">
        <v>68</v>
      </c>
    </row>
    <row r="566" spans="1:8" hidden="1">
      <c r="A566" s="13" t="s">
        <v>443</v>
      </c>
      <c r="B566" s="22" t="s">
        <v>444</v>
      </c>
      <c r="C566" s="15" t="s">
        <v>73</v>
      </c>
      <c r="D566" s="16"/>
      <c r="E566" s="2">
        <v>75583917.049999997</v>
      </c>
      <c r="F566" s="23">
        <v>0.3834338223147169</v>
      </c>
      <c r="G566" s="26">
        <f t="shared" si="8"/>
        <v>28981430.219999999</v>
      </c>
      <c r="H566" t="s">
        <v>68</v>
      </c>
    </row>
    <row r="567" spans="1:8" hidden="1">
      <c r="A567" s="19" t="s">
        <v>443</v>
      </c>
      <c r="B567" s="20" t="s">
        <v>444</v>
      </c>
      <c r="C567" s="19" t="s">
        <v>74</v>
      </c>
      <c r="D567" s="20"/>
      <c r="E567" s="3">
        <v>75583917.049999997</v>
      </c>
      <c r="F567" s="24">
        <v>7.1132661415832243E-2</v>
      </c>
      <c r="G567" s="26">
        <f t="shared" si="8"/>
        <v>5376485.1799999997</v>
      </c>
      <c r="H567" t="s">
        <v>68</v>
      </c>
    </row>
    <row r="568" spans="1:8" hidden="1">
      <c r="A568" s="13" t="s">
        <v>445</v>
      </c>
      <c r="B568" s="14" t="s">
        <v>446</v>
      </c>
      <c r="C568" s="15" t="s">
        <v>72</v>
      </c>
      <c r="D568" s="16"/>
      <c r="E568" s="2">
        <v>40189558.159999996</v>
      </c>
      <c r="F568" s="23">
        <v>0.41956233116248826</v>
      </c>
      <c r="G568" s="26">
        <f t="shared" si="8"/>
        <v>16862024.710000001</v>
      </c>
      <c r="H568" t="s">
        <v>68</v>
      </c>
    </row>
    <row r="569" spans="1:8" hidden="1">
      <c r="A569" s="17" t="s">
        <v>445</v>
      </c>
      <c r="B569" s="18" t="s">
        <v>446</v>
      </c>
      <c r="C569" s="19" t="s">
        <v>73</v>
      </c>
      <c r="D569" s="20"/>
      <c r="E569" s="3">
        <v>40189558.159999996</v>
      </c>
      <c r="F569" s="24">
        <v>0.46227263872960189</v>
      </c>
      <c r="G569" s="26">
        <f t="shared" si="8"/>
        <v>18578533.100000001</v>
      </c>
      <c r="H569" t="s">
        <v>68</v>
      </c>
    </row>
    <row r="570" spans="1:8" hidden="1">
      <c r="A570" s="15" t="s">
        <v>445</v>
      </c>
      <c r="B570" s="16" t="s">
        <v>446</v>
      </c>
      <c r="C570" s="15" t="s">
        <v>74</v>
      </c>
      <c r="D570" s="16"/>
      <c r="E570" s="2">
        <v>40189558.159999996</v>
      </c>
      <c r="F570" s="23">
        <v>0.11816503010791</v>
      </c>
      <c r="G570" s="26">
        <f t="shared" si="8"/>
        <v>4749000.3499999996</v>
      </c>
      <c r="H570" t="s">
        <v>68</v>
      </c>
    </row>
    <row r="571" spans="1:8" hidden="1">
      <c r="A571" s="17" t="s">
        <v>447</v>
      </c>
      <c r="B571" s="21" t="s">
        <v>448</v>
      </c>
      <c r="C571" s="19" t="s">
        <v>72</v>
      </c>
      <c r="D571" s="20"/>
      <c r="E571" s="3">
        <v>21089156.25</v>
      </c>
      <c r="F571" s="24">
        <v>0.77315716744239116</v>
      </c>
      <c r="G571" s="26">
        <f t="shared" si="8"/>
        <v>16305232.310000001</v>
      </c>
      <c r="H571" t="s">
        <v>68</v>
      </c>
    </row>
    <row r="572" spans="1:8" hidden="1">
      <c r="A572" s="13" t="s">
        <v>447</v>
      </c>
      <c r="B572" s="22" t="s">
        <v>448</v>
      </c>
      <c r="C572" s="15" t="s">
        <v>73</v>
      </c>
      <c r="D572" s="16"/>
      <c r="E572" s="2">
        <v>21089156.25</v>
      </c>
      <c r="F572" s="23">
        <v>0.19061832262729808</v>
      </c>
      <c r="G572" s="26">
        <f t="shared" si="8"/>
        <v>4019979.59</v>
      </c>
      <c r="H572" t="s">
        <v>68</v>
      </c>
    </row>
    <row r="573" spans="1:8" hidden="1">
      <c r="A573" s="19" t="s">
        <v>447</v>
      </c>
      <c r="B573" s="20" t="s">
        <v>448</v>
      </c>
      <c r="C573" s="19" t="s">
        <v>74</v>
      </c>
      <c r="D573" s="20"/>
      <c r="E573" s="3">
        <v>21089156.25</v>
      </c>
      <c r="F573" s="24">
        <v>3.6224509930310747E-2</v>
      </c>
      <c r="G573" s="26">
        <f t="shared" si="8"/>
        <v>763944.35</v>
      </c>
      <c r="H573" t="s">
        <v>68</v>
      </c>
    </row>
    <row r="574" spans="1:8" hidden="1">
      <c r="A574" s="13" t="s">
        <v>449</v>
      </c>
      <c r="B574" s="14" t="s">
        <v>450</v>
      </c>
      <c r="C574" s="15" t="s">
        <v>72</v>
      </c>
      <c r="D574" s="16"/>
      <c r="E574" s="2">
        <v>59118390</v>
      </c>
      <c r="F574" s="23">
        <v>0.54132197476961064</v>
      </c>
      <c r="G574" s="26">
        <f t="shared" si="8"/>
        <v>32002083.620000001</v>
      </c>
      <c r="H574" t="s">
        <v>68</v>
      </c>
    </row>
    <row r="575" spans="1:8" hidden="1">
      <c r="A575" s="17" t="s">
        <v>449</v>
      </c>
      <c r="B575" s="18" t="s">
        <v>450</v>
      </c>
      <c r="C575" s="19" t="s">
        <v>73</v>
      </c>
      <c r="D575" s="20"/>
      <c r="E575" s="3">
        <v>59118390</v>
      </c>
      <c r="F575" s="24">
        <v>0.39237593699693113</v>
      </c>
      <c r="G575" s="26">
        <f t="shared" si="8"/>
        <v>23196633.670000002</v>
      </c>
      <c r="H575" t="s">
        <v>68</v>
      </c>
    </row>
    <row r="576" spans="1:8" hidden="1">
      <c r="A576" s="15" t="s">
        <v>449</v>
      </c>
      <c r="B576" s="16" t="s">
        <v>450</v>
      </c>
      <c r="C576" s="15" t="s">
        <v>74</v>
      </c>
      <c r="D576" s="16"/>
      <c r="E576" s="2">
        <v>59118390</v>
      </c>
      <c r="F576" s="23">
        <v>6.6302088233458317E-2</v>
      </c>
      <c r="G576" s="26">
        <f t="shared" si="8"/>
        <v>3919672.71</v>
      </c>
      <c r="H576" t="s">
        <v>68</v>
      </c>
    </row>
    <row r="577" spans="1:8" hidden="1">
      <c r="A577" s="17" t="s">
        <v>451</v>
      </c>
      <c r="B577" s="21" t="s">
        <v>452</v>
      </c>
      <c r="C577" s="19" t="s">
        <v>72</v>
      </c>
      <c r="D577" s="20"/>
      <c r="E577" s="3">
        <v>23926241.140000001</v>
      </c>
      <c r="F577" s="24">
        <v>0.40985723844460087</v>
      </c>
      <c r="G577" s="26">
        <f t="shared" si="8"/>
        <v>9806343.1199999992</v>
      </c>
      <c r="H577" t="s">
        <v>68</v>
      </c>
    </row>
    <row r="578" spans="1:8" hidden="1">
      <c r="A578" s="13" t="s">
        <v>451</v>
      </c>
      <c r="B578" s="22" t="s">
        <v>452</v>
      </c>
      <c r="C578" s="15" t="s">
        <v>73</v>
      </c>
      <c r="D578" s="16"/>
      <c r="E578" s="2">
        <v>23926241.140000001</v>
      </c>
      <c r="F578" s="23">
        <v>0.46806418377508668</v>
      </c>
      <c r="G578" s="26">
        <f t="shared" si="8"/>
        <v>11199016.529999999</v>
      </c>
      <c r="H578" t="s">
        <v>68</v>
      </c>
    </row>
    <row r="579" spans="1:8" hidden="1">
      <c r="A579" s="19" t="s">
        <v>451</v>
      </c>
      <c r="B579" s="20" t="s">
        <v>452</v>
      </c>
      <c r="C579" s="19" t="s">
        <v>74</v>
      </c>
      <c r="D579" s="20"/>
      <c r="E579" s="3">
        <v>23926241.140000001</v>
      </c>
      <c r="F579" s="24">
        <v>0.12207857778031239</v>
      </c>
      <c r="G579" s="26">
        <f t="shared" si="8"/>
        <v>2920881.49</v>
      </c>
      <c r="H579" t="s">
        <v>68</v>
      </c>
    </row>
    <row r="580" spans="1:8" hidden="1">
      <c r="A580" s="13" t="s">
        <v>453</v>
      </c>
      <c r="B580" s="14" t="s">
        <v>454</v>
      </c>
      <c r="C580" s="15" t="s">
        <v>72</v>
      </c>
      <c r="D580" s="16"/>
      <c r="E580" s="2">
        <v>28030840.309999999</v>
      </c>
      <c r="F580" s="23">
        <v>0.52291325368404562</v>
      </c>
      <c r="G580" s="26">
        <f t="shared" si="8"/>
        <v>14657697.910000002</v>
      </c>
      <c r="H580" t="s">
        <v>68</v>
      </c>
    </row>
    <row r="581" spans="1:8" hidden="1">
      <c r="A581" s="17" t="s">
        <v>453</v>
      </c>
      <c r="B581" s="18" t="s">
        <v>454</v>
      </c>
      <c r="C581" s="19" t="s">
        <v>73</v>
      </c>
      <c r="D581" s="20"/>
      <c r="E581" s="3">
        <v>28030840.309999999</v>
      </c>
      <c r="F581" s="24">
        <v>0.41543464738178593</v>
      </c>
      <c r="G581" s="26">
        <f t="shared" ref="G581:G644" si="9">F581*E581</f>
        <v>11644982.26</v>
      </c>
      <c r="H581" t="s">
        <v>68</v>
      </c>
    </row>
    <row r="582" spans="1:8" hidden="1">
      <c r="A582" s="15" t="s">
        <v>453</v>
      </c>
      <c r="B582" s="16" t="s">
        <v>454</v>
      </c>
      <c r="C582" s="15" t="s">
        <v>74</v>
      </c>
      <c r="D582" s="16"/>
      <c r="E582" s="2">
        <v>28030840.309999999</v>
      </c>
      <c r="F582" s="23">
        <v>6.1652098934168557E-2</v>
      </c>
      <c r="G582" s="26">
        <f t="shared" si="9"/>
        <v>1728160.14</v>
      </c>
      <c r="H582" t="s">
        <v>68</v>
      </c>
    </row>
    <row r="583" spans="1:8" hidden="1">
      <c r="A583" s="17" t="s">
        <v>455</v>
      </c>
      <c r="B583" s="21" t="s">
        <v>456</v>
      </c>
      <c r="C583" s="19" t="s">
        <v>72</v>
      </c>
      <c r="D583" s="20"/>
      <c r="E583" s="3">
        <v>38039247.960000001</v>
      </c>
      <c r="F583" s="24">
        <v>0.51440443540251313</v>
      </c>
      <c r="G583" s="26">
        <f t="shared" si="9"/>
        <v>19567557.870000001</v>
      </c>
      <c r="H583" t="s">
        <v>68</v>
      </c>
    </row>
    <row r="584" spans="1:8" hidden="1">
      <c r="A584" s="13" t="s">
        <v>455</v>
      </c>
      <c r="B584" s="22" t="s">
        <v>456</v>
      </c>
      <c r="C584" s="15" t="s">
        <v>73</v>
      </c>
      <c r="D584" s="16"/>
      <c r="E584" s="2">
        <v>38039247.960000001</v>
      </c>
      <c r="F584" s="23">
        <v>0.38284563157804341</v>
      </c>
      <c r="G584" s="26">
        <f t="shared" si="9"/>
        <v>14563159.91</v>
      </c>
      <c r="H584" t="s">
        <v>68</v>
      </c>
    </row>
    <row r="585" spans="1:8" hidden="1">
      <c r="A585" s="19" t="s">
        <v>455</v>
      </c>
      <c r="B585" s="20" t="s">
        <v>456</v>
      </c>
      <c r="C585" s="19" t="s">
        <v>74</v>
      </c>
      <c r="D585" s="20"/>
      <c r="E585" s="3">
        <v>38039247.960000001</v>
      </c>
      <c r="F585" s="24">
        <v>0.10274993301944343</v>
      </c>
      <c r="G585" s="26">
        <f t="shared" si="9"/>
        <v>3908530.1800000006</v>
      </c>
      <c r="H585" t="s">
        <v>68</v>
      </c>
    </row>
    <row r="586" spans="1:8" hidden="1">
      <c r="A586" s="13" t="s">
        <v>457</v>
      </c>
      <c r="B586" s="14" t="s">
        <v>458</v>
      </c>
      <c r="C586" s="15" t="s">
        <v>72</v>
      </c>
      <c r="D586" s="16"/>
      <c r="E586" s="2">
        <v>17359661.91</v>
      </c>
      <c r="F586" s="23">
        <v>0.3475564167827736</v>
      </c>
      <c r="G586" s="26">
        <f t="shared" si="9"/>
        <v>6033461.8899999997</v>
      </c>
      <c r="H586" t="s">
        <v>68</v>
      </c>
    </row>
    <row r="587" spans="1:8" hidden="1">
      <c r="A587" s="17" t="s">
        <v>457</v>
      </c>
      <c r="B587" s="18" t="s">
        <v>458</v>
      </c>
      <c r="C587" s="19" t="s">
        <v>73</v>
      </c>
      <c r="D587" s="20"/>
      <c r="E587" s="3">
        <v>17359661.91</v>
      </c>
      <c r="F587" s="24">
        <v>0.55450601168994773</v>
      </c>
      <c r="G587" s="26">
        <f t="shared" si="9"/>
        <v>9626036.8900000006</v>
      </c>
      <c r="H587" t="s">
        <v>68</v>
      </c>
    </row>
    <row r="588" spans="1:8" hidden="1">
      <c r="A588" s="15" t="s">
        <v>457</v>
      </c>
      <c r="B588" s="16" t="s">
        <v>458</v>
      </c>
      <c r="C588" s="15" t="s">
        <v>74</v>
      </c>
      <c r="D588" s="16"/>
      <c r="E588" s="2">
        <v>17359661.91</v>
      </c>
      <c r="F588" s="23">
        <v>9.7937571527278666E-2</v>
      </c>
      <c r="G588" s="26">
        <f t="shared" si="9"/>
        <v>1700163.13</v>
      </c>
      <c r="H588" t="s">
        <v>68</v>
      </c>
    </row>
    <row r="589" spans="1:8" hidden="1">
      <c r="A589" s="17" t="s">
        <v>459</v>
      </c>
      <c r="B589" s="21" t="s">
        <v>460</v>
      </c>
      <c r="C589" s="19" t="s">
        <v>72</v>
      </c>
      <c r="D589" s="20"/>
      <c r="E589" s="3">
        <v>20089693.66</v>
      </c>
      <c r="F589" s="24">
        <v>0.28433308873063223</v>
      </c>
      <c r="G589" s="26">
        <f t="shared" si="9"/>
        <v>5712164.6499999994</v>
      </c>
      <c r="H589" t="s">
        <v>68</v>
      </c>
    </row>
    <row r="590" spans="1:8" hidden="1">
      <c r="A590" s="13" t="s">
        <v>459</v>
      </c>
      <c r="B590" s="22" t="s">
        <v>460</v>
      </c>
      <c r="C590" s="15" t="s">
        <v>73</v>
      </c>
      <c r="D590" s="16"/>
      <c r="E590" s="2">
        <v>20089693.66</v>
      </c>
      <c r="F590" s="23">
        <v>0.60179185081710196</v>
      </c>
      <c r="G590" s="26">
        <f t="shared" si="9"/>
        <v>12089813.93</v>
      </c>
      <c r="H590" t="s">
        <v>68</v>
      </c>
    </row>
    <row r="591" spans="1:8" hidden="1">
      <c r="A591" s="19" t="s">
        <v>459</v>
      </c>
      <c r="B591" s="20" t="s">
        <v>460</v>
      </c>
      <c r="C591" s="19" t="s">
        <v>74</v>
      </c>
      <c r="D591" s="20"/>
      <c r="E591" s="3">
        <v>20089693.66</v>
      </c>
      <c r="F591" s="24">
        <v>0.11387506045226575</v>
      </c>
      <c r="G591" s="26">
        <f t="shared" si="9"/>
        <v>2287715.08</v>
      </c>
      <c r="H591" t="s">
        <v>68</v>
      </c>
    </row>
    <row r="592" spans="1:8" hidden="1">
      <c r="A592" s="13" t="s">
        <v>461</v>
      </c>
      <c r="B592" s="14" t="s">
        <v>462</v>
      </c>
      <c r="C592" s="15" t="s">
        <v>72</v>
      </c>
      <c r="D592" s="16"/>
      <c r="E592" s="2">
        <v>36662718.210000001</v>
      </c>
      <c r="F592" s="23">
        <v>0.4183691940718216</v>
      </c>
      <c r="G592" s="26">
        <f t="shared" si="9"/>
        <v>15338551.869999999</v>
      </c>
      <c r="H592" t="s">
        <v>68</v>
      </c>
    </row>
    <row r="593" spans="1:8" hidden="1">
      <c r="A593" s="17" t="s">
        <v>461</v>
      </c>
      <c r="B593" s="18" t="s">
        <v>462</v>
      </c>
      <c r="C593" s="19" t="s">
        <v>73</v>
      </c>
      <c r="D593" s="20"/>
      <c r="E593" s="3">
        <v>36662718.210000001</v>
      </c>
      <c r="F593" s="24">
        <v>0.4713645998917329</v>
      </c>
      <c r="G593" s="26">
        <f t="shared" si="9"/>
        <v>17281507.5</v>
      </c>
      <c r="H593" t="s">
        <v>68</v>
      </c>
    </row>
    <row r="594" spans="1:8" hidden="1">
      <c r="A594" s="15" t="s">
        <v>461</v>
      </c>
      <c r="B594" s="16" t="s">
        <v>462</v>
      </c>
      <c r="C594" s="15" t="s">
        <v>74</v>
      </c>
      <c r="D594" s="16"/>
      <c r="E594" s="2">
        <v>36662718.210000001</v>
      </c>
      <c r="F594" s="23">
        <v>0.11026620603644544</v>
      </c>
      <c r="G594" s="26">
        <f t="shared" si="9"/>
        <v>4042658.8400000003</v>
      </c>
      <c r="H594" t="s">
        <v>68</v>
      </c>
    </row>
    <row r="595" spans="1:8" hidden="1">
      <c r="A595" s="17" t="s">
        <v>463</v>
      </c>
      <c r="B595" s="21" t="s">
        <v>464</v>
      </c>
      <c r="C595" s="19" t="s">
        <v>72</v>
      </c>
      <c r="D595" s="20"/>
      <c r="E595" s="3">
        <v>23166627.800000001</v>
      </c>
      <c r="F595" s="24">
        <v>0.34366470462308718</v>
      </c>
      <c r="G595" s="26">
        <f t="shared" si="9"/>
        <v>7961552.2999999998</v>
      </c>
      <c r="H595" t="s">
        <v>68</v>
      </c>
    </row>
    <row r="596" spans="1:8" hidden="1">
      <c r="A596" s="13" t="s">
        <v>463</v>
      </c>
      <c r="B596" s="22" t="s">
        <v>464</v>
      </c>
      <c r="C596" s="15" t="s">
        <v>73</v>
      </c>
      <c r="D596" s="16"/>
      <c r="E596" s="2">
        <v>23166627.800000001</v>
      </c>
      <c r="F596" s="23">
        <v>0.58137536659521938</v>
      </c>
      <c r="G596" s="26">
        <f t="shared" si="9"/>
        <v>13468506.73</v>
      </c>
      <c r="H596" t="s">
        <v>68</v>
      </c>
    </row>
    <row r="597" spans="1:8" hidden="1">
      <c r="A597" s="19" t="s">
        <v>463</v>
      </c>
      <c r="B597" s="20" t="s">
        <v>464</v>
      </c>
      <c r="C597" s="19" t="s">
        <v>74</v>
      </c>
      <c r="D597" s="20"/>
      <c r="E597" s="3">
        <v>23166627.800000001</v>
      </c>
      <c r="F597" s="24">
        <v>7.4959928781693469E-2</v>
      </c>
      <c r="G597" s="26">
        <f t="shared" si="9"/>
        <v>1736568.77</v>
      </c>
      <c r="H597" t="s">
        <v>68</v>
      </c>
    </row>
    <row r="598" spans="1:8" hidden="1">
      <c r="A598" s="13" t="s">
        <v>465</v>
      </c>
      <c r="B598" s="14" t="s">
        <v>466</v>
      </c>
      <c r="C598" s="15" t="s">
        <v>72</v>
      </c>
      <c r="D598" s="16"/>
      <c r="E598" s="2">
        <v>15469545.689999999</v>
      </c>
      <c r="F598" s="23">
        <v>0.34241466660679937</v>
      </c>
      <c r="G598" s="26">
        <f t="shared" si="9"/>
        <v>5296999.33</v>
      </c>
      <c r="H598" t="s">
        <v>68</v>
      </c>
    </row>
    <row r="599" spans="1:8" hidden="1">
      <c r="A599" s="17" t="s">
        <v>465</v>
      </c>
      <c r="B599" s="18" t="s">
        <v>466</v>
      </c>
      <c r="C599" s="19" t="s">
        <v>73</v>
      </c>
      <c r="D599" s="20"/>
      <c r="E599" s="3">
        <v>15469545.689999999</v>
      </c>
      <c r="F599" s="24">
        <v>0.54729559546619111</v>
      </c>
      <c r="G599" s="26">
        <f t="shared" si="9"/>
        <v>8466414.2200000007</v>
      </c>
      <c r="H599" t="s">
        <v>68</v>
      </c>
    </row>
    <row r="600" spans="1:8" hidden="1">
      <c r="A600" s="15" t="s">
        <v>465</v>
      </c>
      <c r="B600" s="16" t="s">
        <v>466</v>
      </c>
      <c r="C600" s="15" t="s">
        <v>74</v>
      </c>
      <c r="D600" s="16"/>
      <c r="E600" s="2">
        <v>15469545.689999999</v>
      </c>
      <c r="F600" s="23">
        <v>0.11028973792700954</v>
      </c>
      <c r="G600" s="26">
        <f t="shared" si="9"/>
        <v>1706132.14</v>
      </c>
      <c r="H600" t="s">
        <v>68</v>
      </c>
    </row>
    <row r="601" spans="1:8" hidden="1">
      <c r="A601" s="17" t="s">
        <v>467</v>
      </c>
      <c r="B601" s="21" t="s">
        <v>468</v>
      </c>
      <c r="C601" s="19" t="s">
        <v>72</v>
      </c>
      <c r="D601" s="20"/>
      <c r="E601" s="3">
        <v>15099765.460000001</v>
      </c>
      <c r="F601" s="24">
        <v>0.74642180634241451</v>
      </c>
      <c r="G601" s="26">
        <f t="shared" si="9"/>
        <v>11270794.210000001</v>
      </c>
      <c r="H601" t="s">
        <v>68</v>
      </c>
    </row>
    <row r="602" spans="1:8" hidden="1">
      <c r="A602" s="13" t="s">
        <v>467</v>
      </c>
      <c r="B602" s="22" t="s">
        <v>468</v>
      </c>
      <c r="C602" s="15" t="s">
        <v>73</v>
      </c>
      <c r="D602" s="16"/>
      <c r="E602" s="2">
        <v>15099765.460000001</v>
      </c>
      <c r="F602" s="23">
        <v>0.22472107325036556</v>
      </c>
      <c r="G602" s="26">
        <f t="shared" si="9"/>
        <v>3393235.5</v>
      </c>
      <c r="H602" t="s">
        <v>68</v>
      </c>
    </row>
    <row r="603" spans="1:8" hidden="1">
      <c r="A603" s="19" t="s">
        <v>467</v>
      </c>
      <c r="B603" s="20" t="s">
        <v>468</v>
      </c>
      <c r="C603" s="19" t="s">
        <v>74</v>
      </c>
      <c r="D603" s="20"/>
      <c r="E603" s="3">
        <v>15099765.460000001</v>
      </c>
      <c r="F603" s="24">
        <v>2.8857120407219886E-2</v>
      </c>
      <c r="G603" s="26">
        <f t="shared" si="9"/>
        <v>435735.75</v>
      </c>
      <c r="H603" t="s">
        <v>68</v>
      </c>
    </row>
    <row r="604" spans="1:8" hidden="1">
      <c r="A604" s="13" t="s">
        <v>469</v>
      </c>
      <c r="B604" s="14" t="s">
        <v>470</v>
      </c>
      <c r="C604" s="15" t="s">
        <v>72</v>
      </c>
      <c r="D604" s="16"/>
      <c r="E604" s="2">
        <v>41071987.07</v>
      </c>
      <c r="F604" s="23">
        <v>0.54995713018469261</v>
      </c>
      <c r="G604" s="26">
        <f t="shared" si="9"/>
        <v>22587832.140000001</v>
      </c>
      <c r="H604" t="s">
        <v>68</v>
      </c>
    </row>
    <row r="605" spans="1:8" hidden="1">
      <c r="A605" s="17" t="s">
        <v>469</v>
      </c>
      <c r="B605" s="18" t="s">
        <v>470</v>
      </c>
      <c r="C605" s="19" t="s">
        <v>73</v>
      </c>
      <c r="D605" s="20"/>
      <c r="E605" s="3">
        <v>41071987.07</v>
      </c>
      <c r="F605" s="24">
        <v>0.39185465077621334</v>
      </c>
      <c r="G605" s="26">
        <f t="shared" si="9"/>
        <v>16094249.15</v>
      </c>
      <c r="H605" t="s">
        <v>68</v>
      </c>
    </row>
    <row r="606" spans="1:8" hidden="1">
      <c r="A606" s="15" t="s">
        <v>469</v>
      </c>
      <c r="B606" s="16" t="s">
        <v>470</v>
      </c>
      <c r="C606" s="15" t="s">
        <v>74</v>
      </c>
      <c r="D606" s="16"/>
      <c r="E606" s="2">
        <v>41071987.07</v>
      </c>
      <c r="F606" s="23">
        <v>5.8188219039094075E-2</v>
      </c>
      <c r="G606" s="26">
        <f t="shared" si="9"/>
        <v>2389905.7799999998</v>
      </c>
      <c r="H606" t="s">
        <v>68</v>
      </c>
    </row>
    <row r="607" spans="1:8" hidden="1">
      <c r="A607" s="17" t="s">
        <v>471</v>
      </c>
      <c r="B607" s="21" t="s">
        <v>472</v>
      </c>
      <c r="C607" s="19" t="s">
        <v>72</v>
      </c>
      <c r="D607" s="20"/>
      <c r="E607" s="3">
        <v>26477148.899999999</v>
      </c>
      <c r="F607" s="24">
        <v>0.44661079690494926</v>
      </c>
      <c r="G607" s="26">
        <f t="shared" si="9"/>
        <v>11824980.57</v>
      </c>
      <c r="H607" t="s">
        <v>68</v>
      </c>
    </row>
    <row r="608" spans="1:8" hidden="1">
      <c r="A608" s="13" t="s">
        <v>471</v>
      </c>
      <c r="B608" s="22" t="s">
        <v>472</v>
      </c>
      <c r="C608" s="15" t="s">
        <v>73</v>
      </c>
      <c r="D608" s="16"/>
      <c r="E608" s="2">
        <v>26477148.899999999</v>
      </c>
      <c r="F608" s="23">
        <v>0.48487892440715175</v>
      </c>
      <c r="G608" s="26">
        <f t="shared" si="9"/>
        <v>12838211.48</v>
      </c>
      <c r="H608" t="s">
        <v>68</v>
      </c>
    </row>
    <row r="609" spans="1:8" hidden="1">
      <c r="A609" s="19" t="s">
        <v>471</v>
      </c>
      <c r="B609" s="20" t="s">
        <v>472</v>
      </c>
      <c r="C609" s="19" t="s">
        <v>74</v>
      </c>
      <c r="D609" s="20"/>
      <c r="E609" s="3">
        <v>26477148.899999999</v>
      </c>
      <c r="F609" s="24">
        <v>6.8510278687899065E-2</v>
      </c>
      <c r="G609" s="26">
        <f t="shared" si="9"/>
        <v>1813956.85</v>
      </c>
      <c r="H609" t="s">
        <v>68</v>
      </c>
    </row>
    <row r="610" spans="1:8" hidden="1">
      <c r="A610" s="13" t="s">
        <v>473</v>
      </c>
      <c r="B610" s="14" t="s">
        <v>474</v>
      </c>
      <c r="C610" s="15" t="s">
        <v>72</v>
      </c>
      <c r="D610" s="16"/>
      <c r="E610" s="2">
        <v>81616180.319999993</v>
      </c>
      <c r="F610" s="23">
        <v>0.25739833532557554</v>
      </c>
      <c r="G610" s="26">
        <f t="shared" si="9"/>
        <v>21007868.949999999</v>
      </c>
      <c r="H610" t="s">
        <v>68</v>
      </c>
    </row>
    <row r="611" spans="1:8" hidden="1">
      <c r="A611" s="17" t="s">
        <v>473</v>
      </c>
      <c r="B611" s="18" t="s">
        <v>474</v>
      </c>
      <c r="C611" s="19" t="s">
        <v>73</v>
      </c>
      <c r="D611" s="20"/>
      <c r="E611" s="3">
        <v>81616180.319999993</v>
      </c>
      <c r="F611" s="24">
        <v>0.61685274797971579</v>
      </c>
      <c r="G611" s="26">
        <f t="shared" si="9"/>
        <v>50345165.109999992</v>
      </c>
      <c r="H611" t="s">
        <v>68</v>
      </c>
    </row>
    <row r="612" spans="1:8" hidden="1">
      <c r="A612" s="15" t="s">
        <v>473</v>
      </c>
      <c r="B612" s="16" t="s">
        <v>474</v>
      </c>
      <c r="C612" s="15" t="s">
        <v>74</v>
      </c>
      <c r="D612" s="16"/>
      <c r="E612" s="2">
        <v>81616180.319999993</v>
      </c>
      <c r="F612" s="23">
        <v>0.12574891669470867</v>
      </c>
      <c r="G612" s="26">
        <f t="shared" si="9"/>
        <v>10263146.26</v>
      </c>
      <c r="H612" t="s">
        <v>68</v>
      </c>
    </row>
    <row r="613" spans="1:8" hidden="1">
      <c r="A613" s="17" t="s">
        <v>475</v>
      </c>
      <c r="B613" s="21" t="s">
        <v>476</v>
      </c>
      <c r="C613" s="19" t="s">
        <v>72</v>
      </c>
      <c r="D613" s="20"/>
      <c r="E613" s="3">
        <v>13853473.76</v>
      </c>
      <c r="F613" s="24">
        <v>0.57938514188227697</v>
      </c>
      <c r="G613" s="26">
        <f t="shared" si="9"/>
        <v>8026496.8600000013</v>
      </c>
      <c r="H613" t="s">
        <v>68</v>
      </c>
    </row>
    <row r="614" spans="1:8" hidden="1">
      <c r="A614" s="13" t="s">
        <v>475</v>
      </c>
      <c r="B614" s="22" t="s">
        <v>476</v>
      </c>
      <c r="C614" s="15" t="s">
        <v>73</v>
      </c>
      <c r="D614" s="16"/>
      <c r="E614" s="2">
        <v>13853473.76</v>
      </c>
      <c r="F614" s="23">
        <v>0.3704801177607312</v>
      </c>
      <c r="G614" s="26">
        <f t="shared" si="9"/>
        <v>5132436.59</v>
      </c>
      <c r="H614" t="s">
        <v>68</v>
      </c>
    </row>
    <row r="615" spans="1:8" hidden="1">
      <c r="A615" s="19" t="s">
        <v>475</v>
      </c>
      <c r="B615" s="20" t="s">
        <v>476</v>
      </c>
      <c r="C615" s="19" t="s">
        <v>74</v>
      </c>
      <c r="D615" s="20"/>
      <c r="E615" s="3">
        <v>13853473.76</v>
      </c>
      <c r="F615" s="24">
        <v>5.0134740356991885E-2</v>
      </c>
      <c r="G615" s="26">
        <f t="shared" si="9"/>
        <v>694540.31</v>
      </c>
      <c r="H615" t="s">
        <v>68</v>
      </c>
    </row>
    <row r="616" spans="1:8" hidden="1">
      <c r="A616" s="13" t="s">
        <v>477</v>
      </c>
      <c r="B616" s="14" t="s">
        <v>478</v>
      </c>
      <c r="C616" s="15" t="s">
        <v>72</v>
      </c>
      <c r="D616" s="16"/>
      <c r="E616" s="2">
        <v>23627362.699999999</v>
      </c>
      <c r="F616" s="23">
        <v>0.36761943346305004</v>
      </c>
      <c r="G616" s="26">
        <f t="shared" si="9"/>
        <v>8685877.6899999995</v>
      </c>
      <c r="H616" t="s">
        <v>68</v>
      </c>
    </row>
    <row r="617" spans="1:8" hidden="1">
      <c r="A617" s="17" t="s">
        <v>477</v>
      </c>
      <c r="B617" s="18" t="s">
        <v>478</v>
      </c>
      <c r="C617" s="19" t="s">
        <v>73</v>
      </c>
      <c r="D617" s="20"/>
      <c r="E617" s="3">
        <v>23627362.699999999</v>
      </c>
      <c r="F617" s="24">
        <v>0.52334000188688001</v>
      </c>
      <c r="G617" s="26">
        <f t="shared" si="9"/>
        <v>12365144.039999997</v>
      </c>
      <c r="H617" t="s">
        <v>68</v>
      </c>
    </row>
    <row r="618" spans="1:8" hidden="1">
      <c r="A618" s="15" t="s">
        <v>477</v>
      </c>
      <c r="B618" s="16" t="s">
        <v>478</v>
      </c>
      <c r="C618" s="15" t="s">
        <v>74</v>
      </c>
      <c r="D618" s="16"/>
      <c r="E618" s="2">
        <v>23627362.699999999</v>
      </c>
      <c r="F618" s="23">
        <v>0.10904056465006991</v>
      </c>
      <c r="G618" s="26">
        <f t="shared" si="9"/>
        <v>2576340.9700000002</v>
      </c>
      <c r="H618" t="s">
        <v>68</v>
      </c>
    </row>
    <row r="619" spans="1:8" hidden="1">
      <c r="A619" s="17" t="s">
        <v>479</v>
      </c>
      <c r="B619" s="21" t="s">
        <v>698</v>
      </c>
      <c r="C619" s="19" t="s">
        <v>72</v>
      </c>
      <c r="D619" s="20"/>
      <c r="E619" s="3">
        <v>15874233.560000001</v>
      </c>
      <c r="F619" s="24">
        <v>0.70141620242105085</v>
      </c>
      <c r="G619" s="26">
        <f t="shared" si="9"/>
        <v>11134444.619999999</v>
      </c>
      <c r="H619" t="s">
        <v>68</v>
      </c>
    </row>
    <row r="620" spans="1:8" hidden="1">
      <c r="A620" s="13" t="s">
        <v>479</v>
      </c>
      <c r="B620" s="22" t="s">
        <v>698</v>
      </c>
      <c r="C620" s="15" t="s">
        <v>73</v>
      </c>
      <c r="D620" s="16"/>
      <c r="E620" s="2">
        <v>15874233.560000001</v>
      </c>
      <c r="F620" s="23">
        <v>0.26051349845453575</v>
      </c>
      <c r="G620" s="26">
        <f t="shared" si="9"/>
        <v>4135452.1199999996</v>
      </c>
      <c r="H620" t="s">
        <v>68</v>
      </c>
    </row>
    <row r="621" spans="1:8" hidden="1">
      <c r="A621" s="19" t="s">
        <v>479</v>
      </c>
      <c r="B621" s="20" t="s">
        <v>698</v>
      </c>
      <c r="C621" s="19" t="s">
        <v>74</v>
      </c>
      <c r="D621" s="20"/>
      <c r="E621" s="3">
        <v>15874233.560000001</v>
      </c>
      <c r="F621" s="24">
        <v>3.807029912441328E-2</v>
      </c>
      <c r="G621" s="26">
        <f t="shared" si="9"/>
        <v>604336.81999999995</v>
      </c>
      <c r="H621" t="s">
        <v>68</v>
      </c>
    </row>
    <row r="622" spans="1:8" hidden="1">
      <c r="A622" s="13" t="s">
        <v>699</v>
      </c>
      <c r="B622" s="14" t="s">
        <v>700</v>
      </c>
      <c r="C622" s="15" t="s">
        <v>72</v>
      </c>
      <c r="D622" s="16"/>
      <c r="E622" s="2">
        <v>14026612.189999999</v>
      </c>
      <c r="F622" s="23">
        <v>0.2460958885325823</v>
      </c>
      <c r="G622" s="26">
        <f t="shared" si="9"/>
        <v>3451891.59</v>
      </c>
      <c r="H622" t="s">
        <v>68</v>
      </c>
    </row>
    <row r="623" spans="1:8" hidden="1">
      <c r="A623" s="17" t="s">
        <v>699</v>
      </c>
      <c r="B623" s="18" t="s">
        <v>700</v>
      </c>
      <c r="C623" s="19" t="s">
        <v>73</v>
      </c>
      <c r="D623" s="20"/>
      <c r="E623" s="3">
        <v>14026612.189999999</v>
      </c>
      <c r="F623" s="24">
        <v>0.63341833863020636</v>
      </c>
      <c r="G623" s="26">
        <f t="shared" si="9"/>
        <v>8884713.3900000006</v>
      </c>
      <c r="H623" t="s">
        <v>68</v>
      </c>
    </row>
    <row r="624" spans="1:8" hidden="1">
      <c r="A624" s="15" t="s">
        <v>699</v>
      </c>
      <c r="B624" s="16" t="s">
        <v>700</v>
      </c>
      <c r="C624" s="15" t="s">
        <v>74</v>
      </c>
      <c r="D624" s="16"/>
      <c r="E624" s="2">
        <v>14026612.189999999</v>
      </c>
      <c r="F624" s="23">
        <v>0.12048577283721137</v>
      </c>
      <c r="G624" s="26">
        <f t="shared" si="9"/>
        <v>1690007.21</v>
      </c>
      <c r="H624" t="s">
        <v>68</v>
      </c>
    </row>
    <row r="625" spans="1:8" hidden="1">
      <c r="A625" s="17" t="s">
        <v>701</v>
      </c>
      <c r="B625" s="21" t="s">
        <v>702</v>
      </c>
      <c r="C625" s="19" t="s">
        <v>72</v>
      </c>
      <c r="D625" s="20"/>
      <c r="E625" s="3">
        <v>21876566.219999999</v>
      </c>
      <c r="F625" s="24">
        <v>0.27248549612645745</v>
      </c>
      <c r="G625" s="26">
        <f t="shared" si="9"/>
        <v>5961047</v>
      </c>
      <c r="H625" t="s">
        <v>68</v>
      </c>
    </row>
    <row r="626" spans="1:8" hidden="1">
      <c r="A626" s="13" t="s">
        <v>701</v>
      </c>
      <c r="B626" s="22" t="s">
        <v>702</v>
      </c>
      <c r="C626" s="15" t="s">
        <v>73</v>
      </c>
      <c r="D626" s="16"/>
      <c r="E626" s="2">
        <v>21876566.219999999</v>
      </c>
      <c r="F626" s="23">
        <v>0.64162997743070849</v>
      </c>
      <c r="G626" s="26">
        <f t="shared" si="9"/>
        <v>14036660.689999999</v>
      </c>
      <c r="H626" t="s">
        <v>68</v>
      </c>
    </row>
    <row r="627" spans="1:8" hidden="1">
      <c r="A627" s="19" t="s">
        <v>701</v>
      </c>
      <c r="B627" s="20" t="s">
        <v>702</v>
      </c>
      <c r="C627" s="19" t="s">
        <v>74</v>
      </c>
      <c r="D627" s="20"/>
      <c r="E627" s="3">
        <v>21876566.219999999</v>
      </c>
      <c r="F627" s="24">
        <v>8.588452644283405E-2</v>
      </c>
      <c r="G627" s="26">
        <f t="shared" si="9"/>
        <v>1878858.53</v>
      </c>
      <c r="H627" t="s">
        <v>68</v>
      </c>
    </row>
    <row r="628" spans="1:8" hidden="1">
      <c r="A628" s="13" t="s">
        <v>703</v>
      </c>
      <c r="B628" s="14" t="s">
        <v>704</v>
      </c>
      <c r="C628" s="15" t="s">
        <v>72</v>
      </c>
      <c r="D628" s="16"/>
      <c r="E628" s="2">
        <v>42683193.149999999</v>
      </c>
      <c r="F628" s="23">
        <v>0.57587785978472428</v>
      </c>
      <c r="G628" s="26">
        <f t="shared" si="9"/>
        <v>24580305.920000002</v>
      </c>
      <c r="H628" t="s">
        <v>68</v>
      </c>
    </row>
    <row r="629" spans="1:8" hidden="1">
      <c r="A629" s="17" t="s">
        <v>703</v>
      </c>
      <c r="B629" s="18" t="s">
        <v>704</v>
      </c>
      <c r="C629" s="19" t="s">
        <v>73</v>
      </c>
      <c r="D629" s="20"/>
      <c r="E629" s="3">
        <v>42683193.149999999</v>
      </c>
      <c r="F629" s="24">
        <v>0.36233836736743769</v>
      </c>
      <c r="G629" s="26">
        <f t="shared" si="9"/>
        <v>15465758.52</v>
      </c>
      <c r="H629" t="s">
        <v>68</v>
      </c>
    </row>
    <row r="630" spans="1:8" hidden="1">
      <c r="A630" s="15" t="s">
        <v>703</v>
      </c>
      <c r="B630" s="16" t="s">
        <v>704</v>
      </c>
      <c r="C630" s="15" t="s">
        <v>74</v>
      </c>
      <c r="D630" s="16"/>
      <c r="E630" s="2">
        <v>42683193.149999999</v>
      </c>
      <c r="F630" s="23">
        <v>6.178377284783812E-2</v>
      </c>
      <c r="G630" s="26">
        <f t="shared" si="9"/>
        <v>2637128.71</v>
      </c>
      <c r="H630" t="s">
        <v>68</v>
      </c>
    </row>
    <row r="631" spans="1:8" hidden="1">
      <c r="A631" s="17" t="s">
        <v>705</v>
      </c>
      <c r="B631" s="21" t="s">
        <v>706</v>
      </c>
      <c r="C631" s="19" t="s">
        <v>72</v>
      </c>
      <c r="D631" s="20"/>
      <c r="E631" s="3">
        <v>17829259.850000001</v>
      </c>
      <c r="F631" s="24">
        <v>0.40897126697045699</v>
      </c>
      <c r="G631" s="26">
        <f t="shared" si="9"/>
        <v>7291654.9900000002</v>
      </c>
      <c r="H631" t="s">
        <v>68</v>
      </c>
    </row>
    <row r="632" spans="1:8" hidden="1">
      <c r="A632" s="13" t="s">
        <v>705</v>
      </c>
      <c r="B632" s="22" t="s">
        <v>706</v>
      </c>
      <c r="C632" s="15" t="s">
        <v>73</v>
      </c>
      <c r="D632" s="16"/>
      <c r="E632" s="2">
        <v>17829259.850000001</v>
      </c>
      <c r="F632" s="23">
        <v>0.51389978087060073</v>
      </c>
      <c r="G632" s="26">
        <f t="shared" si="9"/>
        <v>9162452.7300000004</v>
      </c>
      <c r="H632" t="s">
        <v>68</v>
      </c>
    </row>
    <row r="633" spans="1:8" hidden="1">
      <c r="A633" s="19" t="s">
        <v>705</v>
      </c>
      <c r="B633" s="20" t="s">
        <v>706</v>
      </c>
      <c r="C633" s="19" t="s">
        <v>74</v>
      </c>
      <c r="D633" s="20"/>
      <c r="E633" s="3">
        <v>17829259.850000001</v>
      </c>
      <c r="F633" s="24">
        <v>7.7128952158942249E-2</v>
      </c>
      <c r="G633" s="26">
        <f t="shared" si="9"/>
        <v>1375152.13</v>
      </c>
      <c r="H633" t="s">
        <v>68</v>
      </c>
    </row>
    <row r="634" spans="1:8" hidden="1">
      <c r="A634" s="13" t="s">
        <v>707</v>
      </c>
      <c r="B634" s="14" t="s">
        <v>708</v>
      </c>
      <c r="C634" s="15" t="s">
        <v>72</v>
      </c>
      <c r="D634" s="16"/>
      <c r="E634" s="2">
        <v>76561330.579999998</v>
      </c>
      <c r="F634" s="23">
        <v>0.70651084170329481</v>
      </c>
      <c r="G634" s="26">
        <f t="shared" si="9"/>
        <v>54091410.109999999</v>
      </c>
      <c r="H634" t="s">
        <v>68</v>
      </c>
    </row>
    <row r="635" spans="1:8" hidden="1">
      <c r="A635" s="17" t="s">
        <v>707</v>
      </c>
      <c r="B635" s="18" t="s">
        <v>708</v>
      </c>
      <c r="C635" s="19" t="s">
        <v>73</v>
      </c>
      <c r="D635" s="20"/>
      <c r="E635" s="3">
        <v>76561330.579999998</v>
      </c>
      <c r="F635" s="24">
        <v>0.250615495507236</v>
      </c>
      <c r="G635" s="26">
        <f t="shared" si="9"/>
        <v>19187455.800000001</v>
      </c>
      <c r="H635" t="s">
        <v>68</v>
      </c>
    </row>
    <row r="636" spans="1:8" hidden="1">
      <c r="A636" s="15" t="s">
        <v>707</v>
      </c>
      <c r="B636" s="16" t="s">
        <v>708</v>
      </c>
      <c r="C636" s="15" t="s">
        <v>74</v>
      </c>
      <c r="D636" s="16"/>
      <c r="E636" s="2">
        <v>76561330.579999998</v>
      </c>
      <c r="F636" s="23">
        <v>4.2873662789469247E-2</v>
      </c>
      <c r="G636" s="26">
        <f t="shared" si="9"/>
        <v>3282464.67</v>
      </c>
      <c r="H636" t="s">
        <v>68</v>
      </c>
    </row>
    <row r="637" spans="1:8" hidden="1">
      <c r="A637" s="17" t="s">
        <v>709</v>
      </c>
      <c r="B637" s="21" t="s">
        <v>710</v>
      </c>
      <c r="C637" s="19" t="s">
        <v>72</v>
      </c>
      <c r="D637" s="20"/>
      <c r="E637" s="3">
        <v>70620348.269999996</v>
      </c>
      <c r="F637" s="24">
        <v>0.59304321100029611</v>
      </c>
      <c r="G637" s="26">
        <f t="shared" si="9"/>
        <v>41880918.100000001</v>
      </c>
      <c r="H637" t="s">
        <v>68</v>
      </c>
    </row>
    <row r="638" spans="1:8" hidden="1">
      <c r="A638" s="13" t="s">
        <v>709</v>
      </c>
      <c r="B638" s="22" t="s">
        <v>710</v>
      </c>
      <c r="C638" s="15" t="s">
        <v>73</v>
      </c>
      <c r="D638" s="16"/>
      <c r="E638" s="2">
        <v>70620348.269999996</v>
      </c>
      <c r="F638" s="23">
        <v>0.34460069351340228</v>
      </c>
      <c r="G638" s="26">
        <f t="shared" si="9"/>
        <v>24335820.989999998</v>
      </c>
      <c r="H638" t="s">
        <v>68</v>
      </c>
    </row>
    <row r="639" spans="1:8" hidden="1">
      <c r="A639" s="19" t="s">
        <v>709</v>
      </c>
      <c r="B639" s="20" t="s">
        <v>710</v>
      </c>
      <c r="C639" s="19" t="s">
        <v>74</v>
      </c>
      <c r="D639" s="20"/>
      <c r="E639" s="3">
        <v>70620348.269999996</v>
      </c>
      <c r="F639" s="24">
        <v>6.2356095486301687E-2</v>
      </c>
      <c r="G639" s="26">
        <f t="shared" si="9"/>
        <v>4403609.18</v>
      </c>
      <c r="H639" t="s">
        <v>68</v>
      </c>
    </row>
    <row r="640" spans="1:8" hidden="1">
      <c r="A640" s="13" t="s">
        <v>711</v>
      </c>
      <c r="B640" s="14" t="s">
        <v>712</v>
      </c>
      <c r="C640" s="15" t="s">
        <v>72</v>
      </c>
      <c r="D640" s="16"/>
      <c r="E640" s="2">
        <v>52975437.609999999</v>
      </c>
      <c r="F640" s="23">
        <v>0.53386795175168733</v>
      </c>
      <c r="G640" s="26">
        <f t="shared" si="9"/>
        <v>28281888.370000001</v>
      </c>
      <c r="H640" t="s">
        <v>68</v>
      </c>
    </row>
    <row r="641" spans="1:8" hidden="1">
      <c r="A641" s="17" t="s">
        <v>711</v>
      </c>
      <c r="B641" s="18" t="s">
        <v>712</v>
      </c>
      <c r="C641" s="19" t="s">
        <v>73</v>
      </c>
      <c r="D641" s="20"/>
      <c r="E641" s="3">
        <v>52975437.609999999</v>
      </c>
      <c r="F641" s="24">
        <v>0.39424896597848036</v>
      </c>
      <c r="G641" s="26">
        <f t="shared" si="9"/>
        <v>20885511.5</v>
      </c>
      <c r="H641" t="s">
        <v>68</v>
      </c>
    </row>
    <row r="642" spans="1:8" hidden="1">
      <c r="A642" s="15" t="s">
        <v>711</v>
      </c>
      <c r="B642" s="16" t="s">
        <v>712</v>
      </c>
      <c r="C642" s="15" t="s">
        <v>74</v>
      </c>
      <c r="D642" s="16"/>
      <c r="E642" s="2">
        <v>52975437.609999999</v>
      </c>
      <c r="F642" s="23">
        <v>7.1883082269832338E-2</v>
      </c>
      <c r="G642" s="26">
        <f t="shared" si="9"/>
        <v>3808037.74</v>
      </c>
      <c r="H642" t="s">
        <v>68</v>
      </c>
    </row>
    <row r="643" spans="1:8" hidden="1">
      <c r="A643" s="17" t="s">
        <v>713</v>
      </c>
      <c r="B643" s="21" t="s">
        <v>714</v>
      </c>
      <c r="C643" s="19" t="s">
        <v>72</v>
      </c>
      <c r="D643" s="20"/>
      <c r="E643" s="3">
        <v>41493644.530000001</v>
      </c>
      <c r="F643" s="24">
        <v>0.47422011233005562</v>
      </c>
      <c r="G643" s="26">
        <f t="shared" si="9"/>
        <v>19677120.77</v>
      </c>
      <c r="H643" t="s">
        <v>68</v>
      </c>
    </row>
    <row r="644" spans="1:8" hidden="1">
      <c r="A644" s="13" t="s">
        <v>713</v>
      </c>
      <c r="B644" s="22" t="s">
        <v>714</v>
      </c>
      <c r="C644" s="15" t="s">
        <v>73</v>
      </c>
      <c r="D644" s="16"/>
      <c r="E644" s="2">
        <v>41493644.530000001</v>
      </c>
      <c r="F644" s="23">
        <v>0.47714792142892054</v>
      </c>
      <c r="G644" s="26">
        <f t="shared" si="9"/>
        <v>19798606.239999998</v>
      </c>
      <c r="H644" t="s">
        <v>68</v>
      </c>
    </row>
    <row r="645" spans="1:8" hidden="1">
      <c r="A645" s="19" t="s">
        <v>713</v>
      </c>
      <c r="B645" s="20" t="s">
        <v>714</v>
      </c>
      <c r="C645" s="19" t="s">
        <v>74</v>
      </c>
      <c r="D645" s="20"/>
      <c r="E645" s="3">
        <v>41493644.530000001</v>
      </c>
      <c r="F645" s="24">
        <v>4.8631966241023755E-2</v>
      </c>
      <c r="G645" s="26">
        <f t="shared" ref="G645:G708" si="10">F645*E645</f>
        <v>2017917.52</v>
      </c>
      <c r="H645" t="s">
        <v>68</v>
      </c>
    </row>
    <row r="646" spans="1:8" hidden="1">
      <c r="A646" s="13" t="s">
        <v>715</v>
      </c>
      <c r="B646" s="14" t="s">
        <v>716</v>
      </c>
      <c r="C646" s="15" t="s">
        <v>72</v>
      </c>
      <c r="D646" s="16"/>
      <c r="E646" s="2">
        <v>49260092.880000003</v>
      </c>
      <c r="F646" s="23">
        <v>0.2209180911718979</v>
      </c>
      <c r="G646" s="26">
        <f t="shared" si="10"/>
        <v>10882445.689999999</v>
      </c>
      <c r="H646" t="s">
        <v>68</v>
      </c>
    </row>
    <row r="647" spans="1:8" hidden="1">
      <c r="A647" s="17" t="s">
        <v>715</v>
      </c>
      <c r="B647" s="18" t="s">
        <v>716</v>
      </c>
      <c r="C647" s="19" t="s">
        <v>73</v>
      </c>
      <c r="D647" s="20"/>
      <c r="E647" s="3">
        <v>49260092.880000003</v>
      </c>
      <c r="F647" s="24">
        <v>0.63794722041133101</v>
      </c>
      <c r="G647" s="26">
        <f t="shared" si="10"/>
        <v>31425339.329999998</v>
      </c>
      <c r="H647" t="s">
        <v>68</v>
      </c>
    </row>
    <row r="648" spans="1:8" hidden="1">
      <c r="A648" s="15" t="s">
        <v>715</v>
      </c>
      <c r="B648" s="16" t="s">
        <v>716</v>
      </c>
      <c r="C648" s="15" t="s">
        <v>74</v>
      </c>
      <c r="D648" s="16"/>
      <c r="E648" s="2">
        <v>49260092.880000003</v>
      </c>
      <c r="F648" s="23">
        <v>0.14113468841677101</v>
      </c>
      <c r="G648" s="26">
        <f t="shared" si="10"/>
        <v>6952307.8600000003</v>
      </c>
      <c r="H648" t="s">
        <v>68</v>
      </c>
    </row>
    <row r="649" spans="1:8" hidden="1">
      <c r="A649" s="17" t="s">
        <v>717</v>
      </c>
      <c r="B649" s="21" t="s">
        <v>718</v>
      </c>
      <c r="C649" s="19" t="s">
        <v>72</v>
      </c>
      <c r="D649" s="20"/>
      <c r="E649" s="3">
        <v>8226898.5700000003</v>
      </c>
      <c r="F649" s="24">
        <v>0.57280500785364608</v>
      </c>
      <c r="G649" s="26">
        <f t="shared" si="10"/>
        <v>4712408.7</v>
      </c>
      <c r="H649" t="s">
        <v>68</v>
      </c>
    </row>
    <row r="650" spans="1:8" hidden="1">
      <c r="A650" s="13" t="s">
        <v>717</v>
      </c>
      <c r="B650" s="22" t="s">
        <v>718</v>
      </c>
      <c r="C650" s="15" t="s">
        <v>73</v>
      </c>
      <c r="D650" s="16"/>
      <c r="E650" s="2">
        <v>8226898.5700000003</v>
      </c>
      <c r="F650" s="23">
        <v>0.30976216836960468</v>
      </c>
      <c r="G650" s="26">
        <f t="shared" si="10"/>
        <v>2548381.94</v>
      </c>
      <c r="H650" t="s">
        <v>68</v>
      </c>
    </row>
    <row r="651" spans="1:8" hidden="1">
      <c r="A651" s="19" t="s">
        <v>717</v>
      </c>
      <c r="B651" s="20" t="s">
        <v>718</v>
      </c>
      <c r="C651" s="19" t="s">
        <v>74</v>
      </c>
      <c r="D651" s="20"/>
      <c r="E651" s="3">
        <v>8226898.5700000003</v>
      </c>
      <c r="F651" s="24">
        <v>0.1174328237767492</v>
      </c>
      <c r="G651" s="26">
        <f t="shared" si="10"/>
        <v>966107.93</v>
      </c>
      <c r="H651" t="s">
        <v>68</v>
      </c>
    </row>
    <row r="652" spans="1:8" hidden="1">
      <c r="A652" s="13" t="s">
        <v>719</v>
      </c>
      <c r="B652" s="14" t="s">
        <v>720</v>
      </c>
      <c r="C652" s="15" t="s">
        <v>72</v>
      </c>
      <c r="D652" s="16"/>
      <c r="E652" s="2">
        <v>34721668.590000004</v>
      </c>
      <c r="F652" s="23">
        <v>0.30328679950112958</v>
      </c>
      <c r="G652" s="26">
        <f t="shared" si="10"/>
        <v>10530623.74</v>
      </c>
      <c r="H652" t="s">
        <v>68</v>
      </c>
    </row>
    <row r="653" spans="1:8" hidden="1">
      <c r="A653" s="17" t="s">
        <v>719</v>
      </c>
      <c r="B653" s="18" t="s">
        <v>720</v>
      </c>
      <c r="C653" s="19" t="s">
        <v>73</v>
      </c>
      <c r="D653" s="20"/>
      <c r="E653" s="3">
        <v>34721668.590000004</v>
      </c>
      <c r="F653" s="24">
        <v>0.60266653388963753</v>
      </c>
      <c r="G653" s="26">
        <f t="shared" si="10"/>
        <v>20925587.66</v>
      </c>
      <c r="H653" t="s">
        <v>68</v>
      </c>
    </row>
    <row r="654" spans="1:8" hidden="1">
      <c r="A654" s="15" t="s">
        <v>719</v>
      </c>
      <c r="B654" s="16" t="s">
        <v>720</v>
      </c>
      <c r="C654" s="15" t="s">
        <v>74</v>
      </c>
      <c r="D654" s="16"/>
      <c r="E654" s="2">
        <v>34721668.590000004</v>
      </c>
      <c r="F654" s="23">
        <v>9.4046666609232776E-2</v>
      </c>
      <c r="G654" s="26">
        <f t="shared" si="10"/>
        <v>3265457.19</v>
      </c>
      <c r="H654" t="s">
        <v>68</v>
      </c>
    </row>
    <row r="655" spans="1:8" hidden="1">
      <c r="A655" s="17" t="s">
        <v>721</v>
      </c>
      <c r="B655" s="21" t="s">
        <v>722</v>
      </c>
      <c r="C655" s="19" t="s">
        <v>72</v>
      </c>
      <c r="D655" s="20"/>
      <c r="E655" s="3">
        <v>19308312.82</v>
      </c>
      <c r="F655" s="24">
        <v>0.45045836273124978</v>
      </c>
      <c r="G655" s="26">
        <f t="shared" si="10"/>
        <v>8697590.9800000004</v>
      </c>
      <c r="H655" t="s">
        <v>68</v>
      </c>
    </row>
    <row r="656" spans="1:8" hidden="1">
      <c r="A656" s="13" t="s">
        <v>721</v>
      </c>
      <c r="B656" s="22" t="s">
        <v>722</v>
      </c>
      <c r="C656" s="15" t="s">
        <v>73</v>
      </c>
      <c r="D656" s="16"/>
      <c r="E656" s="2">
        <v>19308312.82</v>
      </c>
      <c r="F656" s="23">
        <v>0.47201694964045027</v>
      </c>
      <c r="G656" s="26">
        <f t="shared" si="10"/>
        <v>9113850.9199999999</v>
      </c>
      <c r="H656" t="s">
        <v>68</v>
      </c>
    </row>
    <row r="657" spans="1:8" hidden="1">
      <c r="A657" s="19" t="s">
        <v>721</v>
      </c>
      <c r="B657" s="20" t="s">
        <v>722</v>
      </c>
      <c r="C657" s="19" t="s">
        <v>74</v>
      </c>
      <c r="D657" s="20"/>
      <c r="E657" s="3">
        <v>19308312.82</v>
      </c>
      <c r="F657" s="24">
        <v>7.7524687628299976E-2</v>
      </c>
      <c r="G657" s="26">
        <f t="shared" si="10"/>
        <v>1496870.92</v>
      </c>
      <c r="H657" t="s">
        <v>68</v>
      </c>
    </row>
    <row r="658" spans="1:8" hidden="1">
      <c r="A658" s="13" t="s">
        <v>723</v>
      </c>
      <c r="B658" s="14" t="s">
        <v>724</v>
      </c>
      <c r="C658" s="15" t="s">
        <v>72</v>
      </c>
      <c r="D658" s="16"/>
      <c r="E658" s="2">
        <v>96160434.400000006</v>
      </c>
      <c r="F658" s="23">
        <v>0.26482028725111495</v>
      </c>
      <c r="G658" s="26">
        <f t="shared" si="10"/>
        <v>25465233.859999996</v>
      </c>
      <c r="H658" t="s">
        <v>68</v>
      </c>
    </row>
    <row r="659" spans="1:8" hidden="1">
      <c r="A659" s="17" t="s">
        <v>723</v>
      </c>
      <c r="B659" s="18" t="s">
        <v>724</v>
      </c>
      <c r="C659" s="19" t="s">
        <v>73</v>
      </c>
      <c r="D659" s="20"/>
      <c r="E659" s="3">
        <v>96160434.400000006</v>
      </c>
      <c r="F659" s="24">
        <v>0.58612108120842676</v>
      </c>
      <c r="G659" s="26">
        <f t="shared" si="10"/>
        <v>56361657.780000001</v>
      </c>
      <c r="H659" t="s">
        <v>68</v>
      </c>
    </row>
    <row r="660" spans="1:8" hidden="1">
      <c r="A660" s="15" t="s">
        <v>723</v>
      </c>
      <c r="B660" s="16" t="s">
        <v>724</v>
      </c>
      <c r="C660" s="15" t="s">
        <v>74</v>
      </c>
      <c r="D660" s="16"/>
      <c r="E660" s="2">
        <v>96160434.400000006</v>
      </c>
      <c r="F660" s="23">
        <v>0.14905863154045818</v>
      </c>
      <c r="G660" s="26">
        <f t="shared" si="10"/>
        <v>14333542.76</v>
      </c>
      <c r="H660" t="s">
        <v>68</v>
      </c>
    </row>
    <row r="661" spans="1:8" hidden="1">
      <c r="A661" s="17" t="s">
        <v>725</v>
      </c>
      <c r="B661" s="21" t="s">
        <v>726</v>
      </c>
      <c r="C661" s="19" t="s">
        <v>72</v>
      </c>
      <c r="D661" s="20"/>
      <c r="E661" s="3">
        <v>36156785.460000001</v>
      </c>
      <c r="F661" s="24">
        <v>0.58204585286714261</v>
      </c>
      <c r="G661" s="26">
        <f t="shared" si="10"/>
        <v>21044907.030000001</v>
      </c>
      <c r="H661" t="s">
        <v>68</v>
      </c>
    </row>
    <row r="662" spans="1:8" hidden="1">
      <c r="A662" s="13" t="s">
        <v>725</v>
      </c>
      <c r="B662" s="22" t="s">
        <v>726</v>
      </c>
      <c r="C662" s="15" t="s">
        <v>73</v>
      </c>
      <c r="D662" s="16"/>
      <c r="E662" s="2">
        <v>36156785.460000001</v>
      </c>
      <c r="F662" s="23">
        <v>0.38249741159373518</v>
      </c>
      <c r="G662" s="26">
        <f t="shared" si="10"/>
        <v>13829876.85</v>
      </c>
      <c r="H662" t="s">
        <v>68</v>
      </c>
    </row>
    <row r="663" spans="1:8" hidden="1">
      <c r="A663" s="19" t="s">
        <v>725</v>
      </c>
      <c r="B663" s="20" t="s">
        <v>726</v>
      </c>
      <c r="C663" s="19" t="s">
        <v>74</v>
      </c>
      <c r="D663" s="20"/>
      <c r="E663" s="3">
        <v>36156785.460000001</v>
      </c>
      <c r="F663" s="24">
        <v>3.5456735539122236E-2</v>
      </c>
      <c r="G663" s="26">
        <f t="shared" si="10"/>
        <v>1282001.58</v>
      </c>
      <c r="H663" t="s">
        <v>68</v>
      </c>
    </row>
    <row r="664" spans="1:8" hidden="1">
      <c r="A664" s="13" t="s">
        <v>727</v>
      </c>
      <c r="B664" s="14" t="s">
        <v>500</v>
      </c>
      <c r="C664" s="15" t="s">
        <v>72</v>
      </c>
      <c r="D664" s="16"/>
      <c r="E664" s="2">
        <v>14710622.18</v>
      </c>
      <c r="F664" s="23">
        <v>0.67880161544601647</v>
      </c>
      <c r="G664" s="26">
        <f t="shared" si="10"/>
        <v>9985594.0999999996</v>
      </c>
      <c r="H664" t="s">
        <v>68</v>
      </c>
    </row>
    <row r="665" spans="1:8" hidden="1">
      <c r="A665" s="17" t="s">
        <v>727</v>
      </c>
      <c r="B665" s="18" t="s">
        <v>500</v>
      </c>
      <c r="C665" s="19" t="s">
        <v>73</v>
      </c>
      <c r="D665" s="20"/>
      <c r="E665" s="3">
        <v>14710622.18</v>
      </c>
      <c r="F665" s="24">
        <v>0.29328416345745612</v>
      </c>
      <c r="G665" s="26">
        <f t="shared" si="10"/>
        <v>4314392.5199999996</v>
      </c>
      <c r="H665" t="s">
        <v>68</v>
      </c>
    </row>
    <row r="666" spans="1:8" hidden="1">
      <c r="A666" s="15" t="s">
        <v>727</v>
      </c>
      <c r="B666" s="16" t="s">
        <v>500</v>
      </c>
      <c r="C666" s="15" t="s">
        <v>74</v>
      </c>
      <c r="D666" s="16"/>
      <c r="E666" s="2">
        <v>14710622.18</v>
      </c>
      <c r="F666" s="23">
        <v>2.7914221096527407E-2</v>
      </c>
      <c r="G666" s="26">
        <f t="shared" si="10"/>
        <v>410635.56</v>
      </c>
      <c r="H666" t="s">
        <v>68</v>
      </c>
    </row>
    <row r="667" spans="1:8" hidden="1">
      <c r="A667" s="17" t="s">
        <v>501</v>
      </c>
      <c r="B667" s="21" t="s">
        <v>502</v>
      </c>
      <c r="C667" s="19" t="s">
        <v>72</v>
      </c>
      <c r="D667" s="20"/>
      <c r="E667" s="3">
        <v>58910923.350000001</v>
      </c>
      <c r="F667" s="24">
        <v>0.33573447088060282</v>
      </c>
      <c r="G667" s="26">
        <f t="shared" si="10"/>
        <v>19778427.68</v>
      </c>
      <c r="H667" t="s">
        <v>68</v>
      </c>
    </row>
    <row r="668" spans="1:8" hidden="1">
      <c r="A668" s="13" t="s">
        <v>501</v>
      </c>
      <c r="B668" s="22" t="s">
        <v>502</v>
      </c>
      <c r="C668" s="15" t="s">
        <v>73</v>
      </c>
      <c r="D668" s="16"/>
      <c r="E668" s="2">
        <v>58910923.350000001</v>
      </c>
      <c r="F668" s="23">
        <v>0.51361113235717093</v>
      </c>
      <c r="G668" s="26">
        <f t="shared" si="10"/>
        <v>30257306.050000001</v>
      </c>
      <c r="H668" t="s">
        <v>68</v>
      </c>
    </row>
    <row r="669" spans="1:8" hidden="1">
      <c r="A669" s="19" t="s">
        <v>501</v>
      </c>
      <c r="B669" s="20" t="s">
        <v>502</v>
      </c>
      <c r="C669" s="19" t="s">
        <v>74</v>
      </c>
      <c r="D669" s="20"/>
      <c r="E669" s="3">
        <v>58910923.350000001</v>
      </c>
      <c r="F669" s="24">
        <v>0.15065439676222625</v>
      </c>
      <c r="G669" s="26">
        <f t="shared" si="10"/>
        <v>8875189.6199999992</v>
      </c>
      <c r="H669" t="s">
        <v>68</v>
      </c>
    </row>
    <row r="670" spans="1:8" hidden="1">
      <c r="A670" s="13" t="s">
        <v>503</v>
      </c>
      <c r="B670" s="14" t="s">
        <v>504</v>
      </c>
      <c r="C670" s="15" t="s">
        <v>72</v>
      </c>
      <c r="D670" s="16"/>
      <c r="E670" s="2">
        <v>40643249.810000002</v>
      </c>
      <c r="F670" s="23">
        <v>0.43821589841513708</v>
      </c>
      <c r="G670" s="26">
        <f t="shared" si="10"/>
        <v>17810518.23</v>
      </c>
      <c r="H670" t="s">
        <v>68</v>
      </c>
    </row>
    <row r="671" spans="1:8" hidden="1">
      <c r="A671" s="17" t="s">
        <v>503</v>
      </c>
      <c r="B671" s="18" t="s">
        <v>504</v>
      </c>
      <c r="C671" s="19" t="s">
        <v>73</v>
      </c>
      <c r="D671" s="20"/>
      <c r="E671" s="3">
        <v>40643249.810000002</v>
      </c>
      <c r="F671" s="24">
        <v>0.51281119982860934</v>
      </c>
      <c r="G671" s="26">
        <f t="shared" si="10"/>
        <v>20842313.699999999</v>
      </c>
      <c r="H671" t="s">
        <v>68</v>
      </c>
    </row>
    <row r="672" spans="1:8" hidden="1">
      <c r="A672" s="15" t="s">
        <v>503</v>
      </c>
      <c r="B672" s="16" t="s">
        <v>504</v>
      </c>
      <c r="C672" s="15" t="s">
        <v>74</v>
      </c>
      <c r="D672" s="16"/>
      <c r="E672" s="2">
        <v>40643249.810000002</v>
      </c>
      <c r="F672" s="23">
        <v>4.8972901756253524E-2</v>
      </c>
      <c r="G672" s="26">
        <f t="shared" si="10"/>
        <v>1990417.88</v>
      </c>
      <c r="H672" t="s">
        <v>68</v>
      </c>
    </row>
    <row r="673" spans="1:8" hidden="1">
      <c r="A673" s="17" t="s">
        <v>505</v>
      </c>
      <c r="B673" s="21" t="s">
        <v>506</v>
      </c>
      <c r="C673" s="19" t="s">
        <v>72</v>
      </c>
      <c r="D673" s="20"/>
      <c r="E673" s="3">
        <v>18373364.68</v>
      </c>
      <c r="F673" s="24">
        <v>0.70473857050770738</v>
      </c>
      <c r="G673" s="26">
        <f t="shared" si="10"/>
        <v>12948418.76</v>
      </c>
      <c r="H673" t="s">
        <v>68</v>
      </c>
    </row>
    <row r="674" spans="1:8" hidden="1">
      <c r="A674" s="13" t="s">
        <v>505</v>
      </c>
      <c r="B674" s="22" t="s">
        <v>506</v>
      </c>
      <c r="C674" s="15" t="s">
        <v>73</v>
      </c>
      <c r="D674" s="16"/>
      <c r="E674" s="2">
        <v>18373364.68</v>
      </c>
      <c r="F674" s="23">
        <v>0.26693049179710721</v>
      </c>
      <c r="G674" s="26">
        <f t="shared" si="10"/>
        <v>4904411.2699999996</v>
      </c>
      <c r="H674" t="s">
        <v>68</v>
      </c>
    </row>
    <row r="675" spans="1:8" hidden="1">
      <c r="A675" s="19" t="s">
        <v>505</v>
      </c>
      <c r="B675" s="20" t="s">
        <v>506</v>
      </c>
      <c r="C675" s="19" t="s">
        <v>74</v>
      </c>
      <c r="D675" s="20"/>
      <c r="E675" s="3">
        <v>18373364.68</v>
      </c>
      <c r="F675" s="24">
        <v>2.8330937695185399E-2</v>
      </c>
      <c r="G675" s="26">
        <f t="shared" si="10"/>
        <v>520534.65</v>
      </c>
      <c r="H675" t="s">
        <v>68</v>
      </c>
    </row>
    <row r="676" spans="1:8" hidden="1">
      <c r="A676" s="13" t="s">
        <v>507</v>
      </c>
      <c r="B676" s="14" t="s">
        <v>508</v>
      </c>
      <c r="C676" s="15" t="s">
        <v>72</v>
      </c>
      <c r="D676" s="16"/>
      <c r="E676" s="2">
        <v>23936041.170000002</v>
      </c>
      <c r="F676" s="23">
        <v>0.48751046370296658</v>
      </c>
      <c r="G676" s="26">
        <f t="shared" si="10"/>
        <v>11669070.529999999</v>
      </c>
      <c r="H676" t="s">
        <v>68</v>
      </c>
    </row>
    <row r="677" spans="1:8" hidden="1">
      <c r="A677" s="17" t="s">
        <v>507</v>
      </c>
      <c r="B677" s="18" t="s">
        <v>508</v>
      </c>
      <c r="C677" s="19" t="s">
        <v>73</v>
      </c>
      <c r="D677" s="20"/>
      <c r="E677" s="3">
        <v>23936041.170000002</v>
      </c>
      <c r="F677" s="24">
        <v>0.41423974873619418</v>
      </c>
      <c r="G677" s="26">
        <f t="shared" si="10"/>
        <v>9915259.6799999997</v>
      </c>
      <c r="H677" t="s">
        <v>68</v>
      </c>
    </row>
    <row r="678" spans="1:8" hidden="1">
      <c r="A678" s="15" t="s">
        <v>507</v>
      </c>
      <c r="B678" s="16" t="s">
        <v>508</v>
      </c>
      <c r="C678" s="15" t="s">
        <v>74</v>
      </c>
      <c r="D678" s="16"/>
      <c r="E678" s="2">
        <v>23936041.170000002</v>
      </c>
      <c r="F678" s="23">
        <v>9.8249787560839144E-2</v>
      </c>
      <c r="G678" s="26">
        <f t="shared" si="10"/>
        <v>2351710.96</v>
      </c>
      <c r="H678" t="s">
        <v>68</v>
      </c>
    </row>
    <row r="679" spans="1:8" hidden="1">
      <c r="A679" s="17" t="s">
        <v>509</v>
      </c>
      <c r="B679" s="21" t="s">
        <v>510</v>
      </c>
      <c r="C679" s="19" t="s">
        <v>72</v>
      </c>
      <c r="D679" s="20"/>
      <c r="E679" s="3">
        <v>51512424.140000001</v>
      </c>
      <c r="F679" s="24">
        <v>0.24650000736696062</v>
      </c>
      <c r="G679" s="26">
        <f t="shared" si="10"/>
        <v>12697812.93</v>
      </c>
      <c r="H679" t="s">
        <v>68</v>
      </c>
    </row>
    <row r="680" spans="1:8" hidden="1">
      <c r="A680" s="13" t="s">
        <v>509</v>
      </c>
      <c r="B680" s="22" t="s">
        <v>510</v>
      </c>
      <c r="C680" s="15" t="s">
        <v>73</v>
      </c>
      <c r="D680" s="16"/>
      <c r="E680" s="2">
        <v>51512424.140000001</v>
      </c>
      <c r="F680" s="23">
        <v>0.61154215970081505</v>
      </c>
      <c r="G680" s="26">
        <f t="shared" si="10"/>
        <v>31502019.109999999</v>
      </c>
      <c r="H680" t="s">
        <v>68</v>
      </c>
    </row>
    <row r="681" spans="1:8" hidden="1">
      <c r="A681" s="19" t="s">
        <v>509</v>
      </c>
      <c r="B681" s="20" t="s">
        <v>510</v>
      </c>
      <c r="C681" s="19" t="s">
        <v>74</v>
      </c>
      <c r="D681" s="20"/>
      <c r="E681" s="3">
        <v>51512424.140000001</v>
      </c>
      <c r="F681" s="24">
        <v>0.14195783293222433</v>
      </c>
      <c r="G681" s="26">
        <f t="shared" si="10"/>
        <v>7312592.0999999996</v>
      </c>
      <c r="H681" t="s">
        <v>68</v>
      </c>
    </row>
    <row r="682" spans="1:8" hidden="1">
      <c r="A682" s="13" t="s">
        <v>511</v>
      </c>
      <c r="B682" s="14" t="s">
        <v>512</v>
      </c>
      <c r="C682" s="15" t="s">
        <v>72</v>
      </c>
      <c r="D682" s="16"/>
      <c r="E682" s="2">
        <v>13163817.859999999</v>
      </c>
      <c r="F682" s="23">
        <v>0.27556281609019467</v>
      </c>
      <c r="G682" s="26">
        <f t="shared" si="10"/>
        <v>3627458.7199999997</v>
      </c>
      <c r="H682" t="s">
        <v>68</v>
      </c>
    </row>
    <row r="683" spans="1:8" hidden="1">
      <c r="A683" s="17" t="s">
        <v>511</v>
      </c>
      <c r="B683" s="18" t="s">
        <v>512</v>
      </c>
      <c r="C683" s="19" t="s">
        <v>73</v>
      </c>
      <c r="D683" s="20"/>
      <c r="E683" s="3">
        <v>13163817.859999999</v>
      </c>
      <c r="F683" s="24">
        <v>0.62218383656669651</v>
      </c>
      <c r="G683" s="26">
        <f t="shared" si="10"/>
        <v>8190314.7000000002</v>
      </c>
      <c r="H683" t="s">
        <v>68</v>
      </c>
    </row>
    <row r="684" spans="1:8" hidden="1">
      <c r="A684" s="15" t="s">
        <v>511</v>
      </c>
      <c r="B684" s="16" t="s">
        <v>512</v>
      </c>
      <c r="C684" s="15" t="s">
        <v>74</v>
      </c>
      <c r="D684" s="16"/>
      <c r="E684" s="2">
        <v>13163817.859999999</v>
      </c>
      <c r="F684" s="23">
        <v>0.10225334734310887</v>
      </c>
      <c r="G684" s="26">
        <f t="shared" si="10"/>
        <v>1346044.44</v>
      </c>
      <c r="H684" t="s">
        <v>68</v>
      </c>
    </row>
    <row r="685" spans="1:8" hidden="1">
      <c r="A685" s="17" t="s">
        <v>513</v>
      </c>
      <c r="B685" s="21" t="s">
        <v>514</v>
      </c>
      <c r="C685" s="19" t="s">
        <v>72</v>
      </c>
      <c r="D685" s="20"/>
      <c r="E685" s="3">
        <v>44372272.600000001</v>
      </c>
      <c r="F685" s="24">
        <v>0.38698026568961447</v>
      </c>
      <c r="G685" s="26">
        <f t="shared" si="10"/>
        <v>17171193.84</v>
      </c>
      <c r="H685" t="s">
        <v>68</v>
      </c>
    </row>
    <row r="686" spans="1:8" hidden="1">
      <c r="A686" s="13" t="s">
        <v>513</v>
      </c>
      <c r="B686" s="22" t="s">
        <v>514</v>
      </c>
      <c r="C686" s="15" t="s">
        <v>73</v>
      </c>
      <c r="D686" s="16"/>
      <c r="E686" s="2">
        <v>44372272.600000001</v>
      </c>
      <c r="F686" s="23">
        <v>0.51781199775645481</v>
      </c>
      <c r="G686" s="26">
        <f t="shared" si="10"/>
        <v>22976495.120000001</v>
      </c>
      <c r="H686" t="s">
        <v>68</v>
      </c>
    </row>
    <row r="687" spans="1:8" hidden="1">
      <c r="A687" s="19" t="s">
        <v>513</v>
      </c>
      <c r="B687" s="20" t="s">
        <v>514</v>
      </c>
      <c r="C687" s="19" t="s">
        <v>74</v>
      </c>
      <c r="D687" s="20"/>
      <c r="E687" s="3">
        <v>44372272.600000001</v>
      </c>
      <c r="F687" s="24">
        <v>9.520773655393075E-2</v>
      </c>
      <c r="G687" s="26">
        <f t="shared" si="10"/>
        <v>4224583.6399999997</v>
      </c>
      <c r="H687" t="s">
        <v>68</v>
      </c>
    </row>
    <row r="688" spans="1:8" hidden="1">
      <c r="A688" s="13" t="s">
        <v>515</v>
      </c>
      <c r="B688" s="14" t="s">
        <v>516</v>
      </c>
      <c r="C688" s="15" t="s">
        <v>72</v>
      </c>
      <c r="D688" s="16"/>
      <c r="E688" s="2">
        <v>29412593.77</v>
      </c>
      <c r="F688" s="23">
        <v>0.73678384060447999</v>
      </c>
      <c r="G688" s="26">
        <f t="shared" si="10"/>
        <v>21670723.800000001</v>
      </c>
      <c r="H688" t="s">
        <v>68</v>
      </c>
    </row>
    <row r="689" spans="1:8" hidden="1">
      <c r="A689" s="17" t="s">
        <v>515</v>
      </c>
      <c r="B689" s="18" t="s">
        <v>516</v>
      </c>
      <c r="C689" s="19" t="s">
        <v>73</v>
      </c>
      <c r="D689" s="20"/>
      <c r="E689" s="3">
        <v>29412593.77</v>
      </c>
      <c r="F689" s="24">
        <v>0.22380516221980243</v>
      </c>
      <c r="G689" s="26">
        <f t="shared" si="10"/>
        <v>6582690.3200000003</v>
      </c>
      <c r="H689" t="s">
        <v>68</v>
      </c>
    </row>
    <row r="690" spans="1:8" hidden="1">
      <c r="A690" s="15" t="s">
        <v>515</v>
      </c>
      <c r="B690" s="16" t="s">
        <v>516</v>
      </c>
      <c r="C690" s="15" t="s">
        <v>74</v>
      </c>
      <c r="D690" s="16"/>
      <c r="E690" s="2">
        <v>29412593.77</v>
      </c>
      <c r="F690" s="23">
        <v>3.9410997175717631E-2</v>
      </c>
      <c r="G690" s="26">
        <f t="shared" si="10"/>
        <v>1159179.6499999999</v>
      </c>
      <c r="H690" t="s">
        <v>68</v>
      </c>
    </row>
    <row r="691" spans="1:8" hidden="1">
      <c r="A691" s="17" t="s">
        <v>517</v>
      </c>
      <c r="B691" s="21" t="s">
        <v>518</v>
      </c>
      <c r="C691" s="19" t="s">
        <v>72</v>
      </c>
      <c r="D691" s="20"/>
      <c r="E691" s="3">
        <v>57068526.289999999</v>
      </c>
      <c r="F691" s="24">
        <v>0.83166812331575279</v>
      </c>
      <c r="G691" s="26">
        <f t="shared" si="10"/>
        <v>47462074.159999996</v>
      </c>
      <c r="H691" t="s">
        <v>68</v>
      </c>
    </row>
    <row r="692" spans="1:8" hidden="1">
      <c r="A692" s="13" t="s">
        <v>517</v>
      </c>
      <c r="B692" s="22" t="s">
        <v>518</v>
      </c>
      <c r="C692" s="15" t="s">
        <v>73</v>
      </c>
      <c r="D692" s="16"/>
      <c r="E692" s="2">
        <v>57068526.289999999</v>
      </c>
      <c r="F692" s="23">
        <v>0.13115468957381413</v>
      </c>
      <c r="G692" s="26">
        <f t="shared" si="10"/>
        <v>7484804.8500000006</v>
      </c>
      <c r="H692" t="s">
        <v>68</v>
      </c>
    </row>
    <row r="693" spans="1:8" hidden="1">
      <c r="A693" s="19" t="s">
        <v>517</v>
      </c>
      <c r="B693" s="20" t="s">
        <v>518</v>
      </c>
      <c r="C693" s="19" t="s">
        <v>74</v>
      </c>
      <c r="D693" s="20"/>
      <c r="E693" s="3">
        <v>57068526.289999999</v>
      </c>
      <c r="F693" s="24">
        <v>3.7177187110433087E-2</v>
      </c>
      <c r="G693" s="26">
        <f t="shared" si="10"/>
        <v>2121647.2799999998</v>
      </c>
      <c r="H693" t="s">
        <v>68</v>
      </c>
    </row>
    <row r="694" spans="1:8" hidden="1">
      <c r="A694" s="13" t="s">
        <v>519</v>
      </c>
      <c r="B694" s="14" t="s">
        <v>520</v>
      </c>
      <c r="C694" s="15" t="s">
        <v>72</v>
      </c>
      <c r="D694" s="16"/>
      <c r="E694" s="2">
        <v>72055843.319999993</v>
      </c>
      <c r="F694" s="23">
        <v>0.64486571288386674</v>
      </c>
      <c r="G694" s="26">
        <f t="shared" si="10"/>
        <v>46466342.770000003</v>
      </c>
      <c r="H694" t="s">
        <v>68</v>
      </c>
    </row>
    <row r="695" spans="1:8" hidden="1">
      <c r="A695" s="17" t="s">
        <v>519</v>
      </c>
      <c r="B695" s="18" t="s">
        <v>520</v>
      </c>
      <c r="C695" s="19" t="s">
        <v>73</v>
      </c>
      <c r="D695" s="20"/>
      <c r="E695" s="3">
        <v>72055843.319999993</v>
      </c>
      <c r="F695" s="24">
        <v>0.32116314741092955</v>
      </c>
      <c r="G695" s="26">
        <f t="shared" si="10"/>
        <v>23141681.43</v>
      </c>
      <c r="H695" t="s">
        <v>68</v>
      </c>
    </row>
    <row r="696" spans="1:8" hidden="1">
      <c r="A696" s="15" t="s">
        <v>519</v>
      </c>
      <c r="B696" s="16" t="s">
        <v>520</v>
      </c>
      <c r="C696" s="15" t="s">
        <v>74</v>
      </c>
      <c r="D696" s="16"/>
      <c r="E696" s="2">
        <v>72055843.319999993</v>
      </c>
      <c r="F696" s="23">
        <v>3.3971139705203858E-2</v>
      </c>
      <c r="G696" s="26">
        <f t="shared" si="10"/>
        <v>2447819.12</v>
      </c>
      <c r="H696" t="s">
        <v>68</v>
      </c>
    </row>
    <row r="697" spans="1:8" hidden="1">
      <c r="A697" s="17" t="s">
        <v>521</v>
      </c>
      <c r="B697" s="21" t="s">
        <v>522</v>
      </c>
      <c r="C697" s="19" t="s">
        <v>72</v>
      </c>
      <c r="D697" s="20"/>
      <c r="E697" s="3">
        <v>45020045.18</v>
      </c>
      <c r="F697" s="24">
        <v>0.62914928198657138</v>
      </c>
      <c r="G697" s="26">
        <f t="shared" si="10"/>
        <v>28324329.100000005</v>
      </c>
      <c r="H697" t="s">
        <v>68</v>
      </c>
    </row>
    <row r="698" spans="1:8" hidden="1">
      <c r="A698" s="13" t="s">
        <v>521</v>
      </c>
      <c r="B698" s="22" t="s">
        <v>522</v>
      </c>
      <c r="C698" s="15" t="s">
        <v>73</v>
      </c>
      <c r="D698" s="16"/>
      <c r="E698" s="2">
        <v>45020045.18</v>
      </c>
      <c r="F698" s="23">
        <v>0.31909388701328711</v>
      </c>
      <c r="G698" s="26">
        <f t="shared" si="10"/>
        <v>14365621.210000001</v>
      </c>
      <c r="H698" t="s">
        <v>68</v>
      </c>
    </row>
    <row r="699" spans="1:8" hidden="1">
      <c r="A699" s="19" t="s">
        <v>521</v>
      </c>
      <c r="B699" s="20" t="s">
        <v>522</v>
      </c>
      <c r="C699" s="19" t="s">
        <v>74</v>
      </c>
      <c r="D699" s="20"/>
      <c r="E699" s="3">
        <v>45020045.18</v>
      </c>
      <c r="F699" s="24">
        <v>5.1756831000141619E-2</v>
      </c>
      <c r="G699" s="26">
        <f t="shared" si="10"/>
        <v>2330094.87</v>
      </c>
      <c r="H699" t="s">
        <v>68</v>
      </c>
    </row>
    <row r="700" spans="1:8" hidden="1">
      <c r="A700" s="13" t="s">
        <v>523</v>
      </c>
      <c r="B700" s="14" t="s">
        <v>524</v>
      </c>
      <c r="C700" s="15" t="s">
        <v>72</v>
      </c>
      <c r="D700" s="16"/>
      <c r="E700" s="2">
        <v>73804848.060000002</v>
      </c>
      <c r="F700" s="23">
        <v>0.51343506268306238</v>
      </c>
      <c r="G700" s="26">
        <f t="shared" si="10"/>
        <v>37893996.789999999</v>
      </c>
      <c r="H700" t="s">
        <v>68</v>
      </c>
    </row>
    <row r="701" spans="1:8" hidden="1">
      <c r="A701" s="17" t="s">
        <v>523</v>
      </c>
      <c r="B701" s="18" t="s">
        <v>524</v>
      </c>
      <c r="C701" s="19" t="s">
        <v>73</v>
      </c>
      <c r="D701" s="20"/>
      <c r="E701" s="3">
        <v>73804848.060000002</v>
      </c>
      <c r="F701" s="24">
        <v>0.36175133222000427</v>
      </c>
      <c r="G701" s="26">
        <f t="shared" si="10"/>
        <v>26699002.109999999</v>
      </c>
      <c r="H701" t="s">
        <v>68</v>
      </c>
    </row>
    <row r="702" spans="1:8" hidden="1">
      <c r="A702" s="15" t="s">
        <v>523</v>
      </c>
      <c r="B702" s="16" t="s">
        <v>524</v>
      </c>
      <c r="C702" s="15" t="s">
        <v>74</v>
      </c>
      <c r="D702" s="16"/>
      <c r="E702" s="2">
        <v>73804848.060000002</v>
      </c>
      <c r="F702" s="23">
        <v>0.12481360509693325</v>
      </c>
      <c r="G702" s="26">
        <f t="shared" si="10"/>
        <v>9211849.1600000001</v>
      </c>
      <c r="H702" t="s">
        <v>68</v>
      </c>
    </row>
    <row r="703" spans="1:8" hidden="1">
      <c r="A703" s="17" t="s">
        <v>525</v>
      </c>
      <c r="B703" s="21" t="s">
        <v>526</v>
      </c>
      <c r="C703" s="19" t="s">
        <v>72</v>
      </c>
      <c r="D703" s="20"/>
      <c r="E703" s="3">
        <v>36891760.259999998</v>
      </c>
      <c r="F703" s="24">
        <v>0.37352473243031969</v>
      </c>
      <c r="G703" s="26">
        <f t="shared" si="10"/>
        <v>13779984.880000001</v>
      </c>
      <c r="H703" t="s">
        <v>68</v>
      </c>
    </row>
    <row r="704" spans="1:8" hidden="1">
      <c r="A704" s="13" t="s">
        <v>525</v>
      </c>
      <c r="B704" s="22" t="s">
        <v>526</v>
      </c>
      <c r="C704" s="15" t="s">
        <v>73</v>
      </c>
      <c r="D704" s="16"/>
      <c r="E704" s="2">
        <v>36891760.259999998</v>
      </c>
      <c r="F704" s="23">
        <v>0.52959273133908191</v>
      </c>
      <c r="G704" s="26">
        <f t="shared" si="10"/>
        <v>19537608.079999998</v>
      </c>
      <c r="H704" t="s">
        <v>68</v>
      </c>
    </row>
    <row r="705" spans="1:8" hidden="1">
      <c r="A705" s="19" t="s">
        <v>525</v>
      </c>
      <c r="B705" s="20" t="s">
        <v>526</v>
      </c>
      <c r="C705" s="19" t="s">
        <v>74</v>
      </c>
      <c r="D705" s="20"/>
      <c r="E705" s="3">
        <v>36891760.259999998</v>
      </c>
      <c r="F705" s="24">
        <v>9.6882536230598393E-2</v>
      </c>
      <c r="G705" s="26">
        <f t="shared" si="10"/>
        <v>3574167.3</v>
      </c>
      <c r="H705" t="s">
        <v>68</v>
      </c>
    </row>
    <row r="706" spans="1:8" hidden="1">
      <c r="A706" s="13" t="s">
        <v>527</v>
      </c>
      <c r="B706" s="14" t="s">
        <v>528</v>
      </c>
      <c r="C706" s="15" t="s">
        <v>72</v>
      </c>
      <c r="D706" s="16"/>
      <c r="E706" s="2">
        <v>32994182.260000002</v>
      </c>
      <c r="F706" s="23">
        <v>0.49111334635635245</v>
      </c>
      <c r="G706" s="26">
        <f t="shared" si="10"/>
        <v>16203883.26</v>
      </c>
      <c r="H706" t="s">
        <v>68</v>
      </c>
    </row>
    <row r="707" spans="1:8" hidden="1">
      <c r="A707" s="17" t="s">
        <v>527</v>
      </c>
      <c r="B707" s="18" t="s">
        <v>528</v>
      </c>
      <c r="C707" s="19" t="s">
        <v>73</v>
      </c>
      <c r="D707" s="20"/>
      <c r="E707" s="3">
        <v>32994182.260000002</v>
      </c>
      <c r="F707" s="24">
        <v>0.43225421614070941</v>
      </c>
      <c r="G707" s="26">
        <f t="shared" si="10"/>
        <v>14261874.390000001</v>
      </c>
      <c r="H707" t="s">
        <v>68</v>
      </c>
    </row>
    <row r="708" spans="1:8" hidden="1">
      <c r="A708" s="15" t="s">
        <v>527</v>
      </c>
      <c r="B708" s="16" t="s">
        <v>528</v>
      </c>
      <c r="C708" s="15" t="s">
        <v>74</v>
      </c>
      <c r="D708" s="16"/>
      <c r="E708" s="2">
        <v>32994182.260000002</v>
      </c>
      <c r="F708" s="23">
        <v>7.6632437502938119E-2</v>
      </c>
      <c r="G708" s="26">
        <f t="shared" si="10"/>
        <v>2528424.61</v>
      </c>
      <c r="H708" t="s">
        <v>68</v>
      </c>
    </row>
    <row r="709" spans="1:8" hidden="1">
      <c r="A709" s="17" t="s">
        <v>529</v>
      </c>
      <c r="B709" s="21" t="s">
        <v>530</v>
      </c>
      <c r="C709" s="19" t="s">
        <v>72</v>
      </c>
      <c r="D709" s="20"/>
      <c r="E709" s="3">
        <v>22351853.690000001</v>
      </c>
      <c r="F709" s="24">
        <v>0.50591501299326902</v>
      </c>
      <c r="G709" s="26">
        <f t="shared" ref="G709:G772" si="11">F709*E709</f>
        <v>11308138.35</v>
      </c>
      <c r="H709" t="s">
        <v>68</v>
      </c>
    </row>
    <row r="710" spans="1:8" hidden="1">
      <c r="A710" s="13" t="s">
        <v>529</v>
      </c>
      <c r="B710" s="22" t="s">
        <v>530</v>
      </c>
      <c r="C710" s="15" t="s">
        <v>73</v>
      </c>
      <c r="D710" s="16"/>
      <c r="E710" s="2">
        <v>22351853.690000001</v>
      </c>
      <c r="F710" s="23">
        <v>0.44094984141782823</v>
      </c>
      <c r="G710" s="26">
        <f t="shared" si="11"/>
        <v>9856046.3399999999</v>
      </c>
      <c r="H710" t="s">
        <v>68</v>
      </c>
    </row>
    <row r="711" spans="1:8" hidden="1">
      <c r="A711" s="19" t="s">
        <v>529</v>
      </c>
      <c r="B711" s="20" t="s">
        <v>530</v>
      </c>
      <c r="C711" s="19" t="s">
        <v>74</v>
      </c>
      <c r="D711" s="20"/>
      <c r="E711" s="3">
        <v>22351853.690000001</v>
      </c>
      <c r="F711" s="24">
        <v>5.3135145588902609E-2</v>
      </c>
      <c r="G711" s="26">
        <f t="shared" si="11"/>
        <v>1187669</v>
      </c>
      <c r="H711" t="s">
        <v>68</v>
      </c>
    </row>
    <row r="712" spans="1:8" hidden="1">
      <c r="A712" s="13" t="s">
        <v>531</v>
      </c>
      <c r="B712" s="14" t="s">
        <v>532</v>
      </c>
      <c r="C712" s="15" t="s">
        <v>72</v>
      </c>
      <c r="D712" s="16"/>
      <c r="E712" s="2">
        <v>12780852.82</v>
      </c>
      <c r="F712" s="23">
        <v>0.22199708031689858</v>
      </c>
      <c r="G712" s="26">
        <f t="shared" si="11"/>
        <v>2837312.01</v>
      </c>
      <c r="H712" t="s">
        <v>68</v>
      </c>
    </row>
    <row r="713" spans="1:8" hidden="1">
      <c r="A713" s="17" t="s">
        <v>531</v>
      </c>
      <c r="B713" s="18" t="s">
        <v>532</v>
      </c>
      <c r="C713" s="19" t="s">
        <v>73</v>
      </c>
      <c r="D713" s="20"/>
      <c r="E713" s="3">
        <v>12780852.82</v>
      </c>
      <c r="F713" s="24">
        <v>0.6480388528564559</v>
      </c>
      <c r="G713" s="26">
        <f t="shared" si="11"/>
        <v>8282489.1999999993</v>
      </c>
      <c r="H713" t="s">
        <v>68</v>
      </c>
    </row>
    <row r="714" spans="1:8" hidden="1">
      <c r="A714" s="15" t="s">
        <v>531</v>
      </c>
      <c r="B714" s="16" t="s">
        <v>532</v>
      </c>
      <c r="C714" s="15" t="s">
        <v>74</v>
      </c>
      <c r="D714" s="16"/>
      <c r="E714" s="2">
        <v>12780852.82</v>
      </c>
      <c r="F714" s="23">
        <v>0.12996406682664546</v>
      </c>
      <c r="G714" s="26">
        <f t="shared" si="11"/>
        <v>1661051.61</v>
      </c>
      <c r="H714" t="s">
        <v>68</v>
      </c>
    </row>
    <row r="715" spans="1:8" hidden="1">
      <c r="A715" s="17" t="s">
        <v>533</v>
      </c>
      <c r="B715" s="21" t="s">
        <v>534</v>
      </c>
      <c r="C715" s="19" t="s">
        <v>72</v>
      </c>
      <c r="D715" s="20"/>
      <c r="E715" s="3">
        <v>57361223.560000002</v>
      </c>
      <c r="F715" s="24">
        <v>0.42861321715502121</v>
      </c>
      <c r="G715" s="26">
        <f t="shared" si="11"/>
        <v>24585778.57</v>
      </c>
      <c r="H715" t="s">
        <v>68</v>
      </c>
    </row>
    <row r="716" spans="1:8" hidden="1">
      <c r="A716" s="13" t="s">
        <v>533</v>
      </c>
      <c r="B716" s="22" t="s">
        <v>534</v>
      </c>
      <c r="C716" s="15" t="s">
        <v>73</v>
      </c>
      <c r="D716" s="16"/>
      <c r="E716" s="2">
        <v>57361223.560000002</v>
      </c>
      <c r="F716" s="23">
        <v>0.45308432747803817</v>
      </c>
      <c r="G716" s="26">
        <f t="shared" si="11"/>
        <v>25989471.399999999</v>
      </c>
      <c r="H716" t="s">
        <v>68</v>
      </c>
    </row>
    <row r="717" spans="1:8" hidden="1">
      <c r="A717" s="19" t="s">
        <v>533</v>
      </c>
      <c r="B717" s="20" t="s">
        <v>534</v>
      </c>
      <c r="C717" s="19" t="s">
        <v>74</v>
      </c>
      <c r="D717" s="20"/>
      <c r="E717" s="3">
        <v>57361223.560000002</v>
      </c>
      <c r="F717" s="24">
        <v>0.11830245536694056</v>
      </c>
      <c r="G717" s="26">
        <f t="shared" si="11"/>
        <v>6785973.5899999999</v>
      </c>
      <c r="H717" t="s">
        <v>68</v>
      </c>
    </row>
    <row r="718" spans="1:8" hidden="1">
      <c r="A718" s="13" t="s">
        <v>535</v>
      </c>
      <c r="B718" s="14" t="s">
        <v>536</v>
      </c>
      <c r="C718" s="15" t="s">
        <v>72</v>
      </c>
      <c r="D718" s="16"/>
      <c r="E718" s="2">
        <v>5129057.97</v>
      </c>
      <c r="F718" s="23">
        <v>0.54730670747322441</v>
      </c>
      <c r="G718" s="26">
        <f t="shared" si="11"/>
        <v>2807167.83</v>
      </c>
      <c r="H718" t="s">
        <v>68</v>
      </c>
    </row>
    <row r="719" spans="1:8" hidden="1">
      <c r="A719" s="17" t="s">
        <v>535</v>
      </c>
      <c r="B719" s="18" t="s">
        <v>536</v>
      </c>
      <c r="C719" s="19" t="s">
        <v>73</v>
      </c>
      <c r="D719" s="20"/>
      <c r="E719" s="3">
        <v>5129057.97</v>
      </c>
      <c r="F719" s="24">
        <v>0.26539242838778054</v>
      </c>
      <c r="G719" s="26">
        <f t="shared" si="11"/>
        <v>1361213.15</v>
      </c>
      <c r="H719" t="s">
        <v>68</v>
      </c>
    </row>
    <row r="720" spans="1:8" hidden="1">
      <c r="A720" s="15" t="s">
        <v>535</v>
      </c>
      <c r="B720" s="16" t="s">
        <v>536</v>
      </c>
      <c r="C720" s="15" t="s">
        <v>74</v>
      </c>
      <c r="D720" s="16"/>
      <c r="E720" s="2">
        <v>5129057.97</v>
      </c>
      <c r="F720" s="23">
        <v>0.1873008641389951</v>
      </c>
      <c r="G720" s="26">
        <f t="shared" si="11"/>
        <v>960676.99</v>
      </c>
      <c r="H720" t="s">
        <v>68</v>
      </c>
    </row>
    <row r="721" spans="1:8" hidden="1">
      <c r="A721" s="17" t="s">
        <v>537</v>
      </c>
      <c r="B721" s="21" t="s">
        <v>538</v>
      </c>
      <c r="C721" s="19" t="s">
        <v>72</v>
      </c>
      <c r="D721" s="20"/>
      <c r="E721" s="3">
        <v>17066835.41</v>
      </c>
      <c r="F721" s="24">
        <v>0.1573774507971305</v>
      </c>
      <c r="G721" s="26">
        <f t="shared" si="11"/>
        <v>2685935.05</v>
      </c>
      <c r="H721" t="s">
        <v>68</v>
      </c>
    </row>
    <row r="722" spans="1:8" hidden="1">
      <c r="A722" s="13" t="s">
        <v>537</v>
      </c>
      <c r="B722" s="22" t="s">
        <v>538</v>
      </c>
      <c r="C722" s="15" t="s">
        <v>73</v>
      </c>
      <c r="D722" s="16"/>
      <c r="E722" s="2">
        <v>17066835.41</v>
      </c>
      <c r="F722" s="23">
        <v>0.70058068896558257</v>
      </c>
      <c r="G722" s="26">
        <f t="shared" si="11"/>
        <v>11956695.310000001</v>
      </c>
      <c r="H722" t="s">
        <v>68</v>
      </c>
    </row>
    <row r="723" spans="1:8" hidden="1">
      <c r="A723" s="19" t="s">
        <v>537</v>
      </c>
      <c r="B723" s="20" t="s">
        <v>538</v>
      </c>
      <c r="C723" s="19" t="s">
        <v>74</v>
      </c>
      <c r="D723" s="20"/>
      <c r="E723" s="3">
        <v>17066835.41</v>
      </c>
      <c r="F723" s="24">
        <v>0.14204186023728693</v>
      </c>
      <c r="G723" s="26">
        <f t="shared" si="11"/>
        <v>2424205.0499999998</v>
      </c>
      <c r="H723" t="s">
        <v>68</v>
      </c>
    </row>
    <row r="724" spans="1:8" hidden="1">
      <c r="A724" s="13" t="s">
        <v>539</v>
      </c>
      <c r="B724" s="14" t="s">
        <v>540</v>
      </c>
      <c r="C724" s="15" t="s">
        <v>72</v>
      </c>
      <c r="D724" s="16"/>
      <c r="E724" s="2">
        <v>21884074.739999998</v>
      </c>
      <c r="F724" s="23">
        <v>0.45878018784357344</v>
      </c>
      <c r="G724" s="26">
        <f t="shared" si="11"/>
        <v>10039979.92</v>
      </c>
      <c r="H724" t="s">
        <v>68</v>
      </c>
    </row>
    <row r="725" spans="1:8" hidden="1">
      <c r="A725" s="17" t="s">
        <v>539</v>
      </c>
      <c r="B725" s="18" t="s">
        <v>540</v>
      </c>
      <c r="C725" s="19" t="s">
        <v>73</v>
      </c>
      <c r="D725" s="20"/>
      <c r="E725" s="3">
        <v>21884074.739999998</v>
      </c>
      <c r="F725" s="24">
        <v>0.46917996543088031</v>
      </c>
      <c r="G725" s="26">
        <f t="shared" si="11"/>
        <v>10267569.43</v>
      </c>
      <c r="H725" t="s">
        <v>68</v>
      </c>
    </row>
    <row r="726" spans="1:8" hidden="1">
      <c r="A726" s="15" t="s">
        <v>539</v>
      </c>
      <c r="B726" s="16" t="s">
        <v>540</v>
      </c>
      <c r="C726" s="15" t="s">
        <v>74</v>
      </c>
      <c r="D726" s="16"/>
      <c r="E726" s="2">
        <v>21884074.739999998</v>
      </c>
      <c r="F726" s="23">
        <v>7.2039846725546322E-2</v>
      </c>
      <c r="G726" s="26">
        <f t="shared" si="11"/>
        <v>1576525.39</v>
      </c>
      <c r="H726" t="s">
        <v>68</v>
      </c>
    </row>
    <row r="727" spans="1:8" hidden="1">
      <c r="A727" s="17" t="s">
        <v>541</v>
      </c>
      <c r="B727" s="21" t="s">
        <v>542</v>
      </c>
      <c r="C727" s="19" t="s">
        <v>72</v>
      </c>
      <c r="D727" s="20"/>
      <c r="E727" s="3">
        <v>24556246.600000001</v>
      </c>
      <c r="F727" s="24">
        <v>0.3643234267732105</v>
      </c>
      <c r="G727" s="26">
        <f t="shared" si="11"/>
        <v>8946415.9100000001</v>
      </c>
      <c r="H727" t="s">
        <v>68</v>
      </c>
    </row>
    <row r="728" spans="1:8" hidden="1">
      <c r="A728" s="13" t="s">
        <v>541</v>
      </c>
      <c r="B728" s="22" t="s">
        <v>542</v>
      </c>
      <c r="C728" s="15" t="s">
        <v>73</v>
      </c>
      <c r="D728" s="16"/>
      <c r="E728" s="2">
        <v>24556246.600000001</v>
      </c>
      <c r="F728" s="23">
        <v>0.55056541947253457</v>
      </c>
      <c r="G728" s="26">
        <f t="shared" si="11"/>
        <v>13519820.210000001</v>
      </c>
      <c r="H728" t="s">
        <v>68</v>
      </c>
    </row>
    <row r="729" spans="1:8" hidden="1">
      <c r="A729" s="19" t="s">
        <v>541</v>
      </c>
      <c r="B729" s="20" t="s">
        <v>542</v>
      </c>
      <c r="C729" s="19" t="s">
        <v>74</v>
      </c>
      <c r="D729" s="20"/>
      <c r="E729" s="3">
        <v>24556246.600000001</v>
      </c>
      <c r="F729" s="24">
        <v>8.5111153754254931E-2</v>
      </c>
      <c r="G729" s="26">
        <f t="shared" si="11"/>
        <v>2090010.48</v>
      </c>
      <c r="H729" t="s">
        <v>68</v>
      </c>
    </row>
    <row r="730" spans="1:8" hidden="1">
      <c r="A730" s="13" t="s">
        <v>543</v>
      </c>
      <c r="B730" s="14" t="s">
        <v>544</v>
      </c>
      <c r="C730" s="15" t="s">
        <v>72</v>
      </c>
      <c r="D730" s="16"/>
      <c r="E730" s="2">
        <v>39180647.719999999</v>
      </c>
      <c r="F730" s="23">
        <v>0.53508613205744116</v>
      </c>
      <c r="G730" s="26">
        <f t="shared" si="11"/>
        <v>20965021.239999998</v>
      </c>
      <c r="H730" t="s">
        <v>68</v>
      </c>
    </row>
    <row r="731" spans="1:8" hidden="1">
      <c r="A731" s="17" t="s">
        <v>543</v>
      </c>
      <c r="B731" s="18" t="s">
        <v>544</v>
      </c>
      <c r="C731" s="19" t="s">
        <v>73</v>
      </c>
      <c r="D731" s="20"/>
      <c r="E731" s="3">
        <v>39180647.719999999</v>
      </c>
      <c r="F731" s="24">
        <v>0.42454265454905044</v>
      </c>
      <c r="G731" s="26">
        <f t="shared" si="11"/>
        <v>16633856.189999999</v>
      </c>
      <c r="H731" t="s">
        <v>68</v>
      </c>
    </row>
    <row r="732" spans="1:8" hidden="1">
      <c r="A732" s="15" t="s">
        <v>543</v>
      </c>
      <c r="B732" s="16" t="s">
        <v>544</v>
      </c>
      <c r="C732" s="15" t="s">
        <v>74</v>
      </c>
      <c r="D732" s="16"/>
      <c r="E732" s="2">
        <v>39180647.719999999</v>
      </c>
      <c r="F732" s="23">
        <v>4.0371213393508444E-2</v>
      </c>
      <c r="G732" s="26">
        <f t="shared" si="11"/>
        <v>1581770.29</v>
      </c>
      <c r="H732" t="s">
        <v>68</v>
      </c>
    </row>
    <row r="733" spans="1:8" hidden="1">
      <c r="A733" s="17" t="s">
        <v>545</v>
      </c>
      <c r="B733" s="21" t="s">
        <v>546</v>
      </c>
      <c r="C733" s="19" t="s">
        <v>72</v>
      </c>
      <c r="D733" s="20"/>
      <c r="E733" s="3">
        <v>13193535.550000001</v>
      </c>
      <c r="F733" s="24">
        <v>0.35710882213069872</v>
      </c>
      <c r="G733" s="26">
        <f t="shared" si="11"/>
        <v>4711527.9400000004</v>
      </c>
      <c r="H733" t="s">
        <v>68</v>
      </c>
    </row>
    <row r="734" spans="1:8" hidden="1">
      <c r="A734" s="13" t="s">
        <v>545</v>
      </c>
      <c r="B734" s="22" t="s">
        <v>546</v>
      </c>
      <c r="C734" s="15" t="s">
        <v>73</v>
      </c>
      <c r="D734" s="16"/>
      <c r="E734" s="2">
        <v>13193535.550000001</v>
      </c>
      <c r="F734" s="23">
        <v>0.55149165759438912</v>
      </c>
      <c r="G734" s="26">
        <f t="shared" si="11"/>
        <v>7276124.790000001</v>
      </c>
      <c r="H734" t="s">
        <v>68</v>
      </c>
    </row>
    <row r="735" spans="1:8" hidden="1">
      <c r="A735" s="19" t="s">
        <v>545</v>
      </c>
      <c r="B735" s="20" t="s">
        <v>546</v>
      </c>
      <c r="C735" s="19" t="s">
        <v>74</v>
      </c>
      <c r="D735" s="20"/>
      <c r="E735" s="3">
        <v>13193535.550000001</v>
      </c>
      <c r="F735" s="24">
        <v>9.1399520274912202E-2</v>
      </c>
      <c r="G735" s="26">
        <f t="shared" si="11"/>
        <v>1205882.82</v>
      </c>
      <c r="H735" t="s">
        <v>68</v>
      </c>
    </row>
    <row r="736" spans="1:8" hidden="1">
      <c r="A736" s="13" t="s">
        <v>547</v>
      </c>
      <c r="B736" s="14" t="s">
        <v>548</v>
      </c>
      <c r="C736" s="15" t="s">
        <v>72</v>
      </c>
      <c r="D736" s="16"/>
      <c r="E736" s="2">
        <v>47012029.640000001</v>
      </c>
      <c r="F736" s="23">
        <v>0.72608069511971818</v>
      </c>
      <c r="G736" s="26">
        <f t="shared" si="11"/>
        <v>34134527.159999996</v>
      </c>
      <c r="H736" t="s">
        <v>68</v>
      </c>
    </row>
    <row r="737" spans="1:8" hidden="1">
      <c r="A737" s="17" t="s">
        <v>547</v>
      </c>
      <c r="B737" s="18" t="s">
        <v>548</v>
      </c>
      <c r="C737" s="19" t="s">
        <v>73</v>
      </c>
      <c r="D737" s="20"/>
      <c r="E737" s="3">
        <v>47012029.640000001</v>
      </c>
      <c r="F737" s="24">
        <v>0.23896052406215576</v>
      </c>
      <c r="G737" s="26">
        <f t="shared" si="11"/>
        <v>11234019.24</v>
      </c>
      <c r="H737" t="s">
        <v>68</v>
      </c>
    </row>
    <row r="738" spans="1:8" hidden="1">
      <c r="A738" s="15" t="s">
        <v>547</v>
      </c>
      <c r="B738" s="16" t="s">
        <v>548</v>
      </c>
      <c r="C738" s="15" t="s">
        <v>74</v>
      </c>
      <c r="D738" s="16"/>
      <c r="E738" s="2">
        <v>47012029.640000001</v>
      </c>
      <c r="F738" s="23">
        <v>3.4958780818125937E-2</v>
      </c>
      <c r="G738" s="26">
        <f t="shared" si="11"/>
        <v>1643483.24</v>
      </c>
      <c r="H738" t="s">
        <v>68</v>
      </c>
    </row>
    <row r="739" spans="1:8" hidden="1">
      <c r="A739" s="17" t="s">
        <v>549</v>
      </c>
      <c r="B739" s="21" t="s">
        <v>550</v>
      </c>
      <c r="C739" s="19" t="s">
        <v>72</v>
      </c>
      <c r="D739" s="20"/>
      <c r="E739" s="3">
        <v>28915368.539999999</v>
      </c>
      <c r="F739" s="24">
        <v>0.58171930738946764</v>
      </c>
      <c r="G739" s="26">
        <f t="shared" si="11"/>
        <v>16820628.16</v>
      </c>
      <c r="H739" t="s">
        <v>68</v>
      </c>
    </row>
    <row r="740" spans="1:8" hidden="1">
      <c r="A740" s="13" t="s">
        <v>549</v>
      </c>
      <c r="B740" s="22" t="s">
        <v>550</v>
      </c>
      <c r="C740" s="15" t="s">
        <v>73</v>
      </c>
      <c r="D740" s="16"/>
      <c r="E740" s="2">
        <v>28915368.539999999</v>
      </c>
      <c r="F740" s="23">
        <v>0.37209976262678474</v>
      </c>
      <c r="G740" s="26">
        <f t="shared" si="11"/>
        <v>10759401.77</v>
      </c>
      <c r="H740" t="s">
        <v>68</v>
      </c>
    </row>
    <row r="741" spans="1:8" hidden="1">
      <c r="A741" s="19" t="s">
        <v>549</v>
      </c>
      <c r="B741" s="20" t="s">
        <v>550</v>
      </c>
      <c r="C741" s="19" t="s">
        <v>74</v>
      </c>
      <c r="D741" s="20"/>
      <c r="E741" s="3">
        <v>28915368.539999999</v>
      </c>
      <c r="F741" s="24">
        <v>4.6180929983747669E-2</v>
      </c>
      <c r="G741" s="26">
        <f t="shared" si="11"/>
        <v>1335338.6100000001</v>
      </c>
      <c r="H741" t="s">
        <v>68</v>
      </c>
    </row>
    <row r="742" spans="1:8" hidden="1">
      <c r="A742" s="13" t="s">
        <v>551</v>
      </c>
      <c r="B742" s="14" t="s">
        <v>552</v>
      </c>
      <c r="C742" s="15" t="s">
        <v>72</v>
      </c>
      <c r="D742" s="16"/>
      <c r="E742" s="2">
        <v>40362051.030000001</v>
      </c>
      <c r="F742" s="23">
        <v>0.75096610718496482</v>
      </c>
      <c r="G742" s="26">
        <f t="shared" si="11"/>
        <v>30310532.34</v>
      </c>
      <c r="H742" t="s">
        <v>68</v>
      </c>
    </row>
    <row r="743" spans="1:8" hidden="1">
      <c r="A743" s="17" t="s">
        <v>551</v>
      </c>
      <c r="B743" s="18" t="s">
        <v>552</v>
      </c>
      <c r="C743" s="19" t="s">
        <v>73</v>
      </c>
      <c r="D743" s="20"/>
      <c r="E743" s="3">
        <v>40362051.030000001</v>
      </c>
      <c r="F743" s="24">
        <v>0.21787674970887128</v>
      </c>
      <c r="G743" s="26">
        <f t="shared" si="11"/>
        <v>8793952.4900000002</v>
      </c>
      <c r="H743" t="s">
        <v>68</v>
      </c>
    </row>
    <row r="744" spans="1:8" hidden="1">
      <c r="A744" s="15" t="s">
        <v>551</v>
      </c>
      <c r="B744" s="16" t="s">
        <v>552</v>
      </c>
      <c r="C744" s="15" t="s">
        <v>74</v>
      </c>
      <c r="D744" s="16"/>
      <c r="E744" s="2">
        <v>40362051.030000001</v>
      </c>
      <c r="F744" s="23">
        <v>3.1157143106163895E-2</v>
      </c>
      <c r="G744" s="26">
        <f t="shared" si="11"/>
        <v>1257566.2</v>
      </c>
      <c r="H744" t="s">
        <v>68</v>
      </c>
    </row>
    <row r="745" spans="1:8" hidden="1">
      <c r="A745" s="17" t="s">
        <v>553</v>
      </c>
      <c r="B745" s="21" t="s">
        <v>554</v>
      </c>
      <c r="C745" s="19" t="s">
        <v>72</v>
      </c>
      <c r="D745" s="20"/>
      <c r="E745" s="3">
        <v>21012866.27</v>
      </c>
      <c r="F745" s="24">
        <v>0.55189849785304901</v>
      </c>
      <c r="G745" s="26">
        <f t="shared" si="11"/>
        <v>11596969.33</v>
      </c>
      <c r="H745" t="s">
        <v>68</v>
      </c>
    </row>
    <row r="746" spans="1:8" hidden="1">
      <c r="A746" s="13" t="s">
        <v>553</v>
      </c>
      <c r="B746" s="22" t="s">
        <v>554</v>
      </c>
      <c r="C746" s="15" t="s">
        <v>73</v>
      </c>
      <c r="D746" s="16"/>
      <c r="E746" s="2">
        <v>21012866.27</v>
      </c>
      <c r="F746" s="23">
        <v>0.40117452762906675</v>
      </c>
      <c r="G746" s="26">
        <f t="shared" si="11"/>
        <v>8429826.6999999993</v>
      </c>
      <c r="H746" t="s">
        <v>68</v>
      </c>
    </row>
    <row r="747" spans="1:8" hidden="1">
      <c r="A747" s="19" t="s">
        <v>553</v>
      </c>
      <c r="B747" s="20" t="s">
        <v>554</v>
      </c>
      <c r="C747" s="19" t="s">
        <v>74</v>
      </c>
      <c r="D747" s="20"/>
      <c r="E747" s="3">
        <v>21012866.27</v>
      </c>
      <c r="F747" s="24">
        <v>4.6926974517884273E-2</v>
      </c>
      <c r="G747" s="26">
        <f t="shared" si="11"/>
        <v>986070.24</v>
      </c>
      <c r="H747" t="s">
        <v>68</v>
      </c>
    </row>
    <row r="748" spans="1:8" hidden="1">
      <c r="A748" s="13" t="s">
        <v>555</v>
      </c>
      <c r="B748" s="14" t="s">
        <v>556</v>
      </c>
      <c r="C748" s="15" t="s">
        <v>72</v>
      </c>
      <c r="D748" s="16"/>
      <c r="E748" s="2">
        <v>24246755.640000001</v>
      </c>
      <c r="F748" s="23">
        <v>0.39767800909796275</v>
      </c>
      <c r="G748" s="26">
        <f t="shared" si="11"/>
        <v>9642401.5099999998</v>
      </c>
      <c r="H748" t="s">
        <v>68</v>
      </c>
    </row>
    <row r="749" spans="1:8" hidden="1">
      <c r="A749" s="17" t="s">
        <v>555</v>
      </c>
      <c r="B749" s="18" t="s">
        <v>556</v>
      </c>
      <c r="C749" s="19" t="s">
        <v>73</v>
      </c>
      <c r="D749" s="20"/>
      <c r="E749" s="3">
        <v>24246755.640000001</v>
      </c>
      <c r="F749" s="24">
        <v>0.52603009983565785</v>
      </c>
      <c r="G749" s="26">
        <f t="shared" si="11"/>
        <v>12754523.290000001</v>
      </c>
      <c r="H749" t="s">
        <v>68</v>
      </c>
    </row>
    <row r="750" spans="1:8" hidden="1">
      <c r="A750" s="15" t="s">
        <v>555</v>
      </c>
      <c r="B750" s="16" t="s">
        <v>556</v>
      </c>
      <c r="C750" s="15" t="s">
        <v>74</v>
      </c>
      <c r="D750" s="16"/>
      <c r="E750" s="2">
        <v>24246755.640000001</v>
      </c>
      <c r="F750" s="23">
        <v>7.6291891066379389E-2</v>
      </c>
      <c r="G750" s="26">
        <f t="shared" si="11"/>
        <v>1849830.84</v>
      </c>
      <c r="H750" t="s">
        <v>68</v>
      </c>
    </row>
    <row r="751" spans="1:8" hidden="1">
      <c r="A751" s="17" t="s">
        <v>557</v>
      </c>
      <c r="B751" s="21" t="s">
        <v>558</v>
      </c>
      <c r="C751" s="19" t="s">
        <v>72</v>
      </c>
      <c r="D751" s="20"/>
      <c r="E751" s="3">
        <v>25937598.300000001</v>
      </c>
      <c r="F751" s="24">
        <v>0.53282318664022177</v>
      </c>
      <c r="G751" s="26">
        <f t="shared" si="11"/>
        <v>13820153.779999999</v>
      </c>
      <c r="H751" t="s">
        <v>68</v>
      </c>
    </row>
    <row r="752" spans="1:8" hidden="1">
      <c r="A752" s="13" t="s">
        <v>557</v>
      </c>
      <c r="B752" s="22" t="s">
        <v>558</v>
      </c>
      <c r="C752" s="15" t="s">
        <v>73</v>
      </c>
      <c r="D752" s="16"/>
      <c r="E752" s="2">
        <v>25937598.300000001</v>
      </c>
      <c r="F752" s="23">
        <v>0.39106880917343839</v>
      </c>
      <c r="G752" s="26">
        <f t="shared" si="11"/>
        <v>10143385.68</v>
      </c>
      <c r="H752" t="s">
        <v>68</v>
      </c>
    </row>
    <row r="753" spans="1:8" hidden="1">
      <c r="A753" s="19" t="s">
        <v>557</v>
      </c>
      <c r="B753" s="20" t="s">
        <v>558</v>
      </c>
      <c r="C753" s="19" t="s">
        <v>74</v>
      </c>
      <c r="D753" s="20"/>
      <c r="E753" s="3">
        <v>25937598.300000001</v>
      </c>
      <c r="F753" s="24">
        <v>7.6108004186339798E-2</v>
      </c>
      <c r="G753" s="26">
        <f t="shared" si="11"/>
        <v>1974058.84</v>
      </c>
      <c r="H753" t="s">
        <v>68</v>
      </c>
    </row>
    <row r="754" spans="1:8" hidden="1">
      <c r="A754" s="13" t="s">
        <v>559</v>
      </c>
      <c r="B754" s="14" t="s">
        <v>560</v>
      </c>
      <c r="C754" s="15" t="s">
        <v>72</v>
      </c>
      <c r="D754" s="16"/>
      <c r="E754" s="2">
        <v>20491756.620000001</v>
      </c>
      <c r="F754" s="23">
        <v>0.62972299248398944</v>
      </c>
      <c r="G754" s="26">
        <f t="shared" si="11"/>
        <v>12904130.300000001</v>
      </c>
      <c r="H754" t="s">
        <v>68</v>
      </c>
    </row>
    <row r="755" spans="1:8" hidden="1">
      <c r="A755" s="17" t="s">
        <v>559</v>
      </c>
      <c r="B755" s="18" t="s">
        <v>560</v>
      </c>
      <c r="C755" s="19" t="s">
        <v>73</v>
      </c>
      <c r="D755" s="20"/>
      <c r="E755" s="3">
        <v>20491756.620000001</v>
      </c>
      <c r="F755" s="24">
        <v>0.3542342105954604</v>
      </c>
      <c r="G755" s="26">
        <f t="shared" si="11"/>
        <v>7258881.2300000004</v>
      </c>
      <c r="H755" t="s">
        <v>68</v>
      </c>
    </row>
    <row r="756" spans="1:8" hidden="1">
      <c r="A756" s="15" t="s">
        <v>559</v>
      </c>
      <c r="B756" s="16" t="s">
        <v>560</v>
      </c>
      <c r="C756" s="15" t="s">
        <v>74</v>
      </c>
      <c r="D756" s="16"/>
      <c r="E756" s="2">
        <v>20491756.620000001</v>
      </c>
      <c r="F756" s="23">
        <v>1.6042796920550193E-2</v>
      </c>
      <c r="G756" s="26">
        <f t="shared" si="11"/>
        <v>328745.09000000003</v>
      </c>
      <c r="H756" t="s">
        <v>68</v>
      </c>
    </row>
    <row r="757" spans="1:8" hidden="1">
      <c r="A757" s="17" t="s">
        <v>561</v>
      </c>
      <c r="B757" s="21" t="s">
        <v>562</v>
      </c>
      <c r="C757" s="19" t="s">
        <v>72</v>
      </c>
      <c r="D757" s="20"/>
      <c r="E757" s="3">
        <v>12459999.630000001</v>
      </c>
      <c r="F757" s="24">
        <v>0.60901848999493102</v>
      </c>
      <c r="G757" s="26">
        <f t="shared" si="11"/>
        <v>7588370.1600000001</v>
      </c>
      <c r="H757" t="s">
        <v>68</v>
      </c>
    </row>
    <row r="758" spans="1:8" hidden="1">
      <c r="A758" s="13" t="s">
        <v>561</v>
      </c>
      <c r="B758" s="22" t="s">
        <v>562</v>
      </c>
      <c r="C758" s="15" t="s">
        <v>73</v>
      </c>
      <c r="D758" s="16"/>
      <c r="E758" s="2">
        <v>12459999.630000001</v>
      </c>
      <c r="F758" s="23">
        <v>0.33888308791225863</v>
      </c>
      <c r="G758" s="26">
        <f t="shared" si="11"/>
        <v>4222483.1500000004</v>
      </c>
      <c r="H758" t="s">
        <v>68</v>
      </c>
    </row>
    <row r="759" spans="1:8" hidden="1">
      <c r="A759" s="19" t="s">
        <v>561</v>
      </c>
      <c r="B759" s="20" t="s">
        <v>562</v>
      </c>
      <c r="C759" s="19" t="s">
        <v>74</v>
      </c>
      <c r="D759" s="20"/>
      <c r="E759" s="3">
        <v>12459999.630000001</v>
      </c>
      <c r="F759" s="24">
        <v>5.2098422092810279E-2</v>
      </c>
      <c r="G759" s="26">
        <f t="shared" si="11"/>
        <v>649146.31999999995</v>
      </c>
      <c r="H759" t="s">
        <v>68</v>
      </c>
    </row>
    <row r="760" spans="1:8" hidden="1">
      <c r="A760" s="13" t="s">
        <v>563</v>
      </c>
      <c r="B760" s="14" t="s">
        <v>564</v>
      </c>
      <c r="C760" s="15" t="s">
        <v>72</v>
      </c>
      <c r="D760" s="16"/>
      <c r="E760" s="2">
        <v>40828774.039999999</v>
      </c>
      <c r="F760" s="23">
        <v>0.64477543396745107</v>
      </c>
      <c r="G760" s="26">
        <f t="shared" si="11"/>
        <v>26325390.5</v>
      </c>
      <c r="H760" t="s">
        <v>68</v>
      </c>
    </row>
    <row r="761" spans="1:8" hidden="1">
      <c r="A761" s="17" t="s">
        <v>563</v>
      </c>
      <c r="B761" s="18" t="s">
        <v>564</v>
      </c>
      <c r="C761" s="19" t="s">
        <v>73</v>
      </c>
      <c r="D761" s="20"/>
      <c r="E761" s="3">
        <v>40828774.039999999</v>
      </c>
      <c r="F761" s="24">
        <v>0.31787638485752584</v>
      </c>
      <c r="G761" s="26">
        <f t="shared" si="11"/>
        <v>12978503.09</v>
      </c>
      <c r="H761" t="s">
        <v>68</v>
      </c>
    </row>
    <row r="762" spans="1:8" hidden="1">
      <c r="A762" s="15" t="s">
        <v>563</v>
      </c>
      <c r="B762" s="16" t="s">
        <v>564</v>
      </c>
      <c r="C762" s="15" t="s">
        <v>74</v>
      </c>
      <c r="D762" s="16"/>
      <c r="E762" s="2">
        <v>40828774.039999999</v>
      </c>
      <c r="F762" s="23">
        <v>3.7348181175023101E-2</v>
      </c>
      <c r="G762" s="26">
        <f t="shared" si="11"/>
        <v>1524880.45</v>
      </c>
      <c r="H762" t="s">
        <v>68</v>
      </c>
    </row>
    <row r="763" spans="1:8" hidden="1">
      <c r="A763" s="17" t="s">
        <v>565</v>
      </c>
      <c r="B763" s="21" t="s">
        <v>566</v>
      </c>
      <c r="C763" s="19" t="s">
        <v>72</v>
      </c>
      <c r="D763" s="20"/>
      <c r="E763" s="3">
        <v>14640334.039999999</v>
      </c>
      <c r="F763" s="24">
        <v>0.49058560278587743</v>
      </c>
      <c r="G763" s="26">
        <f t="shared" si="11"/>
        <v>7182337.0999999996</v>
      </c>
      <c r="H763" t="s">
        <v>68</v>
      </c>
    </row>
    <row r="764" spans="1:8" hidden="1">
      <c r="A764" s="13" t="s">
        <v>565</v>
      </c>
      <c r="B764" s="22" t="s">
        <v>566</v>
      </c>
      <c r="C764" s="15" t="s">
        <v>73</v>
      </c>
      <c r="D764" s="16"/>
      <c r="E764" s="2">
        <v>14640334.039999999</v>
      </c>
      <c r="F764" s="23">
        <v>0.44428061082682785</v>
      </c>
      <c r="G764" s="26">
        <f t="shared" si="11"/>
        <v>6504416.5499999998</v>
      </c>
      <c r="H764" t="s">
        <v>68</v>
      </c>
    </row>
    <row r="765" spans="1:8" hidden="1">
      <c r="A765" s="19" t="s">
        <v>565</v>
      </c>
      <c r="B765" s="20" t="s">
        <v>566</v>
      </c>
      <c r="C765" s="19" t="s">
        <v>74</v>
      </c>
      <c r="D765" s="20"/>
      <c r="E765" s="3">
        <v>14640334.039999999</v>
      </c>
      <c r="F765" s="24">
        <v>6.5133786387294765E-2</v>
      </c>
      <c r="G765" s="26">
        <f t="shared" si="11"/>
        <v>953580.39000000013</v>
      </c>
      <c r="H765" t="s">
        <v>68</v>
      </c>
    </row>
    <row r="766" spans="1:8" hidden="1">
      <c r="A766" s="13" t="s">
        <v>567</v>
      </c>
      <c r="B766" s="14" t="s">
        <v>568</v>
      </c>
      <c r="C766" s="15" t="s">
        <v>72</v>
      </c>
      <c r="D766" s="16"/>
      <c r="E766" s="2">
        <v>34479909.659999996</v>
      </c>
      <c r="F766" s="23">
        <v>0.37521159676959553</v>
      </c>
      <c r="G766" s="26">
        <f t="shared" si="11"/>
        <v>12937261.960000001</v>
      </c>
      <c r="H766" t="s">
        <v>68</v>
      </c>
    </row>
    <row r="767" spans="1:8" hidden="1">
      <c r="A767" s="17" t="s">
        <v>567</v>
      </c>
      <c r="B767" s="18" t="s">
        <v>568</v>
      </c>
      <c r="C767" s="19" t="s">
        <v>73</v>
      </c>
      <c r="D767" s="20"/>
      <c r="E767" s="3">
        <v>34479909.659999996</v>
      </c>
      <c r="F767" s="24">
        <v>0.52481558532018502</v>
      </c>
      <c r="G767" s="26">
        <f t="shared" si="11"/>
        <v>18095593.969999999</v>
      </c>
      <c r="H767" t="s">
        <v>68</v>
      </c>
    </row>
    <row r="768" spans="1:8" hidden="1">
      <c r="A768" s="15" t="s">
        <v>567</v>
      </c>
      <c r="B768" s="16" t="s">
        <v>568</v>
      </c>
      <c r="C768" s="15" t="s">
        <v>74</v>
      </c>
      <c r="D768" s="16"/>
      <c r="E768" s="2">
        <v>34479909.659999996</v>
      </c>
      <c r="F768" s="23">
        <v>9.9972817910219558E-2</v>
      </c>
      <c r="G768" s="26">
        <f t="shared" si="11"/>
        <v>3447053.73</v>
      </c>
      <c r="H768" t="s">
        <v>68</v>
      </c>
    </row>
    <row r="769" spans="1:8" hidden="1">
      <c r="A769" s="17" t="s">
        <v>569</v>
      </c>
      <c r="B769" s="21" t="s">
        <v>570</v>
      </c>
      <c r="C769" s="19" t="s">
        <v>72</v>
      </c>
      <c r="D769" s="20"/>
      <c r="E769" s="3">
        <v>131863712.38</v>
      </c>
      <c r="F769" s="24">
        <v>0.68475829210535089</v>
      </c>
      <c r="G769" s="26">
        <f t="shared" si="11"/>
        <v>90294770.480000004</v>
      </c>
      <c r="H769" t="s">
        <v>68</v>
      </c>
    </row>
    <row r="770" spans="1:8" hidden="1">
      <c r="A770" s="13" t="s">
        <v>569</v>
      </c>
      <c r="B770" s="22" t="s">
        <v>570</v>
      </c>
      <c r="C770" s="15" t="s">
        <v>73</v>
      </c>
      <c r="D770" s="16"/>
      <c r="E770" s="2">
        <v>131863712.38</v>
      </c>
      <c r="F770" s="23">
        <v>0.26686134816675489</v>
      </c>
      <c r="G770" s="26">
        <f t="shared" si="11"/>
        <v>35189328.060000002</v>
      </c>
      <c r="H770" t="s">
        <v>68</v>
      </c>
    </row>
    <row r="771" spans="1:8" hidden="1">
      <c r="A771" s="19" t="s">
        <v>569</v>
      </c>
      <c r="B771" s="20" t="s">
        <v>570</v>
      </c>
      <c r="C771" s="19" t="s">
        <v>74</v>
      </c>
      <c r="D771" s="20"/>
      <c r="E771" s="3">
        <v>131863712.38</v>
      </c>
      <c r="F771" s="24">
        <v>4.8380359727894381E-2</v>
      </c>
      <c r="G771" s="26">
        <f t="shared" si="11"/>
        <v>6379613.8399999999</v>
      </c>
      <c r="H771" t="s">
        <v>68</v>
      </c>
    </row>
    <row r="772" spans="1:8" hidden="1">
      <c r="A772" s="13" t="s">
        <v>571</v>
      </c>
      <c r="B772" s="14" t="s">
        <v>572</v>
      </c>
      <c r="C772" s="15" t="s">
        <v>72</v>
      </c>
      <c r="D772" s="16"/>
      <c r="E772" s="2">
        <v>30273810.760000002</v>
      </c>
      <c r="F772" s="23">
        <v>0.42818247569702389</v>
      </c>
      <c r="G772" s="26">
        <f t="shared" si="11"/>
        <v>12962715.24</v>
      </c>
      <c r="H772" t="s">
        <v>68</v>
      </c>
    </row>
    <row r="773" spans="1:8" hidden="1">
      <c r="A773" s="17" t="s">
        <v>571</v>
      </c>
      <c r="B773" s="18" t="s">
        <v>572</v>
      </c>
      <c r="C773" s="19" t="s">
        <v>73</v>
      </c>
      <c r="D773" s="20"/>
      <c r="E773" s="3">
        <v>30273810.760000002</v>
      </c>
      <c r="F773" s="24">
        <v>0.46034960879170134</v>
      </c>
      <c r="G773" s="26">
        <f t="shared" ref="G773:G836" si="12">F773*E773</f>
        <v>13936536.939999999</v>
      </c>
      <c r="H773" t="s">
        <v>68</v>
      </c>
    </row>
    <row r="774" spans="1:8" hidden="1">
      <c r="A774" s="15" t="s">
        <v>571</v>
      </c>
      <c r="B774" s="16" t="s">
        <v>572</v>
      </c>
      <c r="C774" s="15" t="s">
        <v>74</v>
      </c>
      <c r="D774" s="16"/>
      <c r="E774" s="2">
        <v>30273810.760000002</v>
      </c>
      <c r="F774" s="23">
        <v>0.11146791551127473</v>
      </c>
      <c r="G774" s="26">
        <f t="shared" si="12"/>
        <v>3374558.58</v>
      </c>
      <c r="H774" t="s">
        <v>68</v>
      </c>
    </row>
    <row r="775" spans="1:8" hidden="1">
      <c r="A775" s="17" t="s">
        <v>573</v>
      </c>
      <c r="B775" s="21" t="s">
        <v>574</v>
      </c>
      <c r="C775" s="19" t="s">
        <v>72</v>
      </c>
      <c r="D775" s="20"/>
      <c r="E775" s="3">
        <v>20651056.600000001</v>
      </c>
      <c r="F775" s="24">
        <v>0.68927522914251271</v>
      </c>
      <c r="G775" s="26">
        <f t="shared" si="12"/>
        <v>14234261.770000001</v>
      </c>
      <c r="H775" t="s">
        <v>68</v>
      </c>
    </row>
    <row r="776" spans="1:8" hidden="1">
      <c r="A776" s="13" t="s">
        <v>573</v>
      </c>
      <c r="B776" s="22" t="s">
        <v>574</v>
      </c>
      <c r="C776" s="15" t="s">
        <v>73</v>
      </c>
      <c r="D776" s="16"/>
      <c r="E776" s="2">
        <v>20651056.600000001</v>
      </c>
      <c r="F776" s="23">
        <v>0.25334237958555594</v>
      </c>
      <c r="G776" s="26">
        <f t="shared" si="12"/>
        <v>5231787.82</v>
      </c>
      <c r="H776" t="s">
        <v>68</v>
      </c>
    </row>
    <row r="777" spans="1:8" hidden="1">
      <c r="A777" s="19" t="s">
        <v>573</v>
      </c>
      <c r="B777" s="20" t="s">
        <v>574</v>
      </c>
      <c r="C777" s="19" t="s">
        <v>74</v>
      </c>
      <c r="D777" s="20"/>
      <c r="E777" s="3">
        <v>20651056.600000001</v>
      </c>
      <c r="F777" s="24">
        <v>5.7382391271931329E-2</v>
      </c>
      <c r="G777" s="26">
        <f t="shared" si="12"/>
        <v>1185007.01</v>
      </c>
      <c r="H777" t="s">
        <v>68</v>
      </c>
    </row>
    <row r="778" spans="1:8" hidden="1">
      <c r="A778" s="13" t="s">
        <v>575</v>
      </c>
      <c r="B778" s="14" t="s">
        <v>576</v>
      </c>
      <c r="C778" s="15" t="s">
        <v>72</v>
      </c>
      <c r="D778" s="16"/>
      <c r="E778" s="2">
        <v>24194654.350000001</v>
      </c>
      <c r="F778" s="23">
        <v>0.23696122775980058</v>
      </c>
      <c r="G778" s="26">
        <f t="shared" si="12"/>
        <v>5733195</v>
      </c>
      <c r="H778" t="s">
        <v>68</v>
      </c>
    </row>
    <row r="779" spans="1:8" hidden="1">
      <c r="A779" s="17" t="s">
        <v>575</v>
      </c>
      <c r="B779" s="18" t="s">
        <v>576</v>
      </c>
      <c r="C779" s="19" t="s">
        <v>73</v>
      </c>
      <c r="D779" s="20"/>
      <c r="E779" s="3">
        <v>24194654.350000001</v>
      </c>
      <c r="F779" s="24">
        <v>0.61673068910777795</v>
      </c>
      <c r="G779" s="26">
        <f t="shared" si="12"/>
        <v>14921585.849999998</v>
      </c>
      <c r="H779" t="s">
        <v>68</v>
      </c>
    </row>
    <row r="780" spans="1:8" hidden="1">
      <c r="A780" s="15" t="s">
        <v>575</v>
      </c>
      <c r="B780" s="16" t="s">
        <v>576</v>
      </c>
      <c r="C780" s="15" t="s">
        <v>74</v>
      </c>
      <c r="D780" s="16"/>
      <c r="E780" s="2">
        <v>24194654.350000001</v>
      </c>
      <c r="F780" s="23">
        <v>0.14630808313242136</v>
      </c>
      <c r="G780" s="26">
        <f t="shared" si="12"/>
        <v>3539873.5</v>
      </c>
      <c r="H780" t="s">
        <v>68</v>
      </c>
    </row>
    <row r="781" spans="1:8" hidden="1">
      <c r="A781" s="17" t="s">
        <v>577</v>
      </c>
      <c r="B781" s="21" t="s">
        <v>578</v>
      </c>
      <c r="C781" s="19" t="s">
        <v>72</v>
      </c>
      <c r="D781" s="20"/>
      <c r="E781" s="3">
        <v>84352399.329999998</v>
      </c>
      <c r="F781" s="24">
        <v>0.80171953053086908</v>
      </c>
      <c r="G781" s="26">
        <f t="shared" si="12"/>
        <v>67626965.989999995</v>
      </c>
      <c r="H781" t="s">
        <v>68</v>
      </c>
    </row>
    <row r="782" spans="1:8" hidden="1">
      <c r="A782" s="13" t="s">
        <v>577</v>
      </c>
      <c r="B782" s="22" t="s">
        <v>578</v>
      </c>
      <c r="C782" s="15" t="s">
        <v>73</v>
      </c>
      <c r="D782" s="16"/>
      <c r="E782" s="2">
        <v>84352399.329999998</v>
      </c>
      <c r="F782" s="23">
        <v>0.15388687320223499</v>
      </c>
      <c r="G782" s="26">
        <f t="shared" si="12"/>
        <v>12980726.98</v>
      </c>
      <c r="H782" t="s">
        <v>68</v>
      </c>
    </row>
    <row r="783" spans="1:8" hidden="1">
      <c r="A783" s="19" t="s">
        <v>577</v>
      </c>
      <c r="B783" s="20" t="s">
        <v>578</v>
      </c>
      <c r="C783" s="19" t="s">
        <v>74</v>
      </c>
      <c r="D783" s="20"/>
      <c r="E783" s="3">
        <v>84352399.329999998</v>
      </c>
      <c r="F783" s="24">
        <v>4.4393596266895895E-2</v>
      </c>
      <c r="G783" s="26">
        <f t="shared" si="12"/>
        <v>3744706.36</v>
      </c>
      <c r="H783" t="s">
        <v>68</v>
      </c>
    </row>
    <row r="784" spans="1:8" hidden="1">
      <c r="A784" s="13" t="s">
        <v>579</v>
      </c>
      <c r="B784" s="14" t="s">
        <v>580</v>
      </c>
      <c r="C784" s="15" t="s">
        <v>72</v>
      </c>
      <c r="D784" s="16"/>
      <c r="E784" s="2">
        <v>31303731.359999999</v>
      </c>
      <c r="F784" s="23">
        <v>0.46943324298959871</v>
      </c>
      <c r="G784" s="26">
        <f t="shared" si="12"/>
        <v>14695012.130000001</v>
      </c>
      <c r="H784" t="s">
        <v>68</v>
      </c>
    </row>
    <row r="785" spans="1:8" hidden="1">
      <c r="A785" s="17" t="s">
        <v>579</v>
      </c>
      <c r="B785" s="18" t="s">
        <v>580</v>
      </c>
      <c r="C785" s="19" t="s">
        <v>73</v>
      </c>
      <c r="D785" s="20"/>
      <c r="E785" s="3">
        <v>31303731.359999999</v>
      </c>
      <c r="F785" s="24">
        <v>0.45676878757881084</v>
      </c>
      <c r="G785" s="26">
        <f t="shared" si="12"/>
        <v>14298567.42</v>
      </c>
      <c r="H785" t="s">
        <v>68</v>
      </c>
    </row>
    <row r="786" spans="1:8" hidden="1">
      <c r="A786" s="15" t="s">
        <v>579</v>
      </c>
      <c r="B786" s="16" t="s">
        <v>580</v>
      </c>
      <c r="C786" s="15" t="s">
        <v>74</v>
      </c>
      <c r="D786" s="16"/>
      <c r="E786" s="2">
        <v>31303731.359999999</v>
      </c>
      <c r="F786" s="23">
        <v>7.3797969431590477E-2</v>
      </c>
      <c r="G786" s="26">
        <f t="shared" si="12"/>
        <v>2310151.81</v>
      </c>
      <c r="H786" t="s">
        <v>68</v>
      </c>
    </row>
    <row r="787" spans="1:8" hidden="1">
      <c r="A787" s="17" t="s">
        <v>581</v>
      </c>
      <c r="B787" s="21" t="s">
        <v>582</v>
      </c>
      <c r="C787" s="19" t="s">
        <v>72</v>
      </c>
      <c r="D787" s="20"/>
      <c r="E787" s="3">
        <v>13825564.310000001</v>
      </c>
      <c r="F787" s="24">
        <v>0.61485917459813255</v>
      </c>
      <c r="G787" s="26">
        <f t="shared" si="12"/>
        <v>8500775.0600000005</v>
      </c>
      <c r="H787" t="s">
        <v>68</v>
      </c>
    </row>
    <row r="788" spans="1:8" hidden="1">
      <c r="A788" s="13" t="s">
        <v>581</v>
      </c>
      <c r="B788" s="22" t="s">
        <v>582</v>
      </c>
      <c r="C788" s="15" t="s">
        <v>73</v>
      </c>
      <c r="D788" s="16"/>
      <c r="E788" s="2">
        <v>13825564.310000001</v>
      </c>
      <c r="F788" s="23">
        <v>0.33633020148311038</v>
      </c>
      <c r="G788" s="26">
        <f t="shared" si="12"/>
        <v>4649954.83</v>
      </c>
      <c r="H788" t="s">
        <v>68</v>
      </c>
    </row>
    <row r="789" spans="1:8" hidden="1">
      <c r="A789" s="19" t="s">
        <v>581</v>
      </c>
      <c r="B789" s="20" t="s">
        <v>582</v>
      </c>
      <c r="C789" s="19" t="s">
        <v>74</v>
      </c>
      <c r="D789" s="20"/>
      <c r="E789" s="3">
        <v>13825564.310000001</v>
      </c>
      <c r="F789" s="24">
        <v>4.8810623918757068E-2</v>
      </c>
      <c r="G789" s="26">
        <f t="shared" si="12"/>
        <v>674834.42</v>
      </c>
      <c r="H789" t="s">
        <v>68</v>
      </c>
    </row>
    <row r="790" spans="1:8" hidden="1">
      <c r="A790" s="13" t="s">
        <v>583</v>
      </c>
      <c r="B790" s="14" t="s">
        <v>584</v>
      </c>
      <c r="C790" s="15" t="s">
        <v>72</v>
      </c>
      <c r="D790" s="16"/>
      <c r="E790" s="2">
        <v>28094671.059999999</v>
      </c>
      <c r="F790" s="23">
        <v>0.82141567063430143</v>
      </c>
      <c r="G790" s="26">
        <f t="shared" si="12"/>
        <v>23077403.07</v>
      </c>
      <c r="H790" t="s">
        <v>68</v>
      </c>
    </row>
    <row r="791" spans="1:8" hidden="1">
      <c r="A791" s="17" t="s">
        <v>583</v>
      </c>
      <c r="B791" s="18" t="s">
        <v>584</v>
      </c>
      <c r="C791" s="19" t="s">
        <v>73</v>
      </c>
      <c r="D791" s="20"/>
      <c r="E791" s="3">
        <v>28094671.059999999</v>
      </c>
      <c r="F791" s="24">
        <v>0.14568594311920732</v>
      </c>
      <c r="G791" s="26">
        <f t="shared" si="12"/>
        <v>4092998.65</v>
      </c>
      <c r="H791" t="s">
        <v>68</v>
      </c>
    </row>
    <row r="792" spans="1:8" hidden="1">
      <c r="A792" s="15" t="s">
        <v>583</v>
      </c>
      <c r="B792" s="16" t="s">
        <v>584</v>
      </c>
      <c r="C792" s="15" t="s">
        <v>74</v>
      </c>
      <c r="D792" s="16"/>
      <c r="E792" s="2">
        <v>28094671.059999999</v>
      </c>
      <c r="F792" s="23">
        <v>3.289838624649126E-2</v>
      </c>
      <c r="G792" s="26">
        <f t="shared" si="12"/>
        <v>924269.34</v>
      </c>
      <c r="H792" t="s">
        <v>68</v>
      </c>
    </row>
    <row r="793" spans="1:8" hidden="1">
      <c r="A793" s="17" t="s">
        <v>585</v>
      </c>
      <c r="B793" s="21" t="s">
        <v>586</v>
      </c>
      <c r="C793" s="19" t="s">
        <v>72</v>
      </c>
      <c r="D793" s="20"/>
      <c r="E793" s="3">
        <v>13418512.42</v>
      </c>
      <c r="F793" s="24">
        <v>0.55479552032191659</v>
      </c>
      <c r="G793" s="26">
        <f t="shared" si="12"/>
        <v>7444530.5800000001</v>
      </c>
      <c r="H793" t="s">
        <v>68</v>
      </c>
    </row>
    <row r="794" spans="1:8" hidden="1">
      <c r="A794" s="13" t="s">
        <v>585</v>
      </c>
      <c r="B794" s="22" t="s">
        <v>586</v>
      </c>
      <c r="C794" s="15" t="s">
        <v>73</v>
      </c>
      <c r="D794" s="16"/>
      <c r="E794" s="2">
        <v>13418512.42</v>
      </c>
      <c r="F794" s="23">
        <v>0.32251047541974853</v>
      </c>
      <c r="G794" s="26">
        <f t="shared" si="12"/>
        <v>4327610.82</v>
      </c>
      <c r="H794" t="s">
        <v>68</v>
      </c>
    </row>
    <row r="795" spans="1:8" hidden="1">
      <c r="A795" s="19" t="s">
        <v>585</v>
      </c>
      <c r="B795" s="20" t="s">
        <v>586</v>
      </c>
      <c r="C795" s="19" t="s">
        <v>74</v>
      </c>
      <c r="D795" s="20"/>
      <c r="E795" s="3">
        <v>13418512.42</v>
      </c>
      <c r="F795" s="24">
        <v>0.12269400425833492</v>
      </c>
      <c r="G795" s="26">
        <f t="shared" si="12"/>
        <v>1646371.02</v>
      </c>
      <c r="H795" t="s">
        <v>68</v>
      </c>
    </row>
    <row r="796" spans="1:8" hidden="1">
      <c r="A796" s="13" t="s">
        <v>794</v>
      </c>
      <c r="B796" s="14" t="s">
        <v>795</v>
      </c>
      <c r="C796" s="15" t="s">
        <v>72</v>
      </c>
      <c r="D796" s="16"/>
      <c r="E796" s="2">
        <v>21120455.260000002</v>
      </c>
      <c r="F796" s="23">
        <v>0.41225538525631189</v>
      </c>
      <c r="G796" s="26">
        <f t="shared" si="12"/>
        <v>8707021.4199999999</v>
      </c>
      <c r="H796" t="s">
        <v>68</v>
      </c>
    </row>
    <row r="797" spans="1:8" hidden="1">
      <c r="A797" s="17" t="s">
        <v>794</v>
      </c>
      <c r="B797" s="18" t="s">
        <v>795</v>
      </c>
      <c r="C797" s="19" t="s">
        <v>73</v>
      </c>
      <c r="D797" s="20"/>
      <c r="E797" s="3">
        <v>21120455.260000002</v>
      </c>
      <c r="F797" s="24">
        <v>0.53134862207510958</v>
      </c>
      <c r="G797" s="26">
        <f t="shared" si="12"/>
        <v>11222324.800000001</v>
      </c>
      <c r="H797" t="s">
        <v>68</v>
      </c>
    </row>
    <row r="798" spans="1:8" hidden="1">
      <c r="A798" s="15" t="s">
        <v>794</v>
      </c>
      <c r="B798" s="16" t="s">
        <v>795</v>
      </c>
      <c r="C798" s="15" t="s">
        <v>74</v>
      </c>
      <c r="D798" s="16"/>
      <c r="E798" s="2">
        <v>21120455.260000002</v>
      </c>
      <c r="F798" s="23">
        <v>5.639599266857849E-2</v>
      </c>
      <c r="G798" s="26">
        <f t="shared" si="12"/>
        <v>1191109.04</v>
      </c>
      <c r="H798" t="s">
        <v>68</v>
      </c>
    </row>
    <row r="799" spans="1:8" hidden="1">
      <c r="A799" s="17" t="s">
        <v>796</v>
      </c>
      <c r="B799" s="21" t="s">
        <v>797</v>
      </c>
      <c r="C799" s="19" t="s">
        <v>72</v>
      </c>
      <c r="D799" s="20"/>
      <c r="E799" s="3">
        <v>19408406.780000001</v>
      </c>
      <c r="F799" s="24">
        <v>0.49185713480805349</v>
      </c>
      <c r="G799" s="26">
        <f t="shared" si="12"/>
        <v>9546163.3499999996</v>
      </c>
      <c r="H799" t="s">
        <v>68</v>
      </c>
    </row>
    <row r="800" spans="1:8" hidden="1">
      <c r="A800" s="13" t="s">
        <v>796</v>
      </c>
      <c r="B800" s="22" t="s">
        <v>797</v>
      </c>
      <c r="C800" s="15" t="s">
        <v>73</v>
      </c>
      <c r="D800" s="16"/>
      <c r="E800" s="2">
        <v>19408406.780000001</v>
      </c>
      <c r="F800" s="23">
        <v>0.41986699023627944</v>
      </c>
      <c r="G800" s="26">
        <f t="shared" si="12"/>
        <v>8148949.3399999999</v>
      </c>
      <c r="H800" t="s">
        <v>68</v>
      </c>
    </row>
    <row r="801" spans="1:8" hidden="1">
      <c r="A801" s="19" t="s">
        <v>796</v>
      </c>
      <c r="B801" s="20" t="s">
        <v>797</v>
      </c>
      <c r="C801" s="19" t="s">
        <v>74</v>
      </c>
      <c r="D801" s="20"/>
      <c r="E801" s="3">
        <v>19408406.780000001</v>
      </c>
      <c r="F801" s="24">
        <v>8.8275874955667022E-2</v>
      </c>
      <c r="G801" s="26">
        <f t="shared" si="12"/>
        <v>1713294.09</v>
      </c>
      <c r="H801" t="s">
        <v>68</v>
      </c>
    </row>
    <row r="802" spans="1:8" hidden="1">
      <c r="A802" s="13" t="s">
        <v>798</v>
      </c>
      <c r="B802" s="14" t="s">
        <v>799</v>
      </c>
      <c r="C802" s="15" t="s">
        <v>72</v>
      </c>
      <c r="D802" s="16"/>
      <c r="E802" s="2">
        <v>46150474.909999996</v>
      </c>
      <c r="F802" s="23">
        <v>0.43453858945348828</v>
      </c>
      <c r="G802" s="26">
        <f t="shared" si="12"/>
        <v>20054162.27</v>
      </c>
      <c r="H802" t="s">
        <v>68</v>
      </c>
    </row>
    <row r="803" spans="1:8" hidden="1">
      <c r="A803" s="17" t="s">
        <v>798</v>
      </c>
      <c r="B803" s="18" t="s">
        <v>799</v>
      </c>
      <c r="C803" s="19" t="s">
        <v>73</v>
      </c>
      <c r="D803" s="20"/>
      <c r="E803" s="3">
        <v>46150474.909999996</v>
      </c>
      <c r="F803" s="24">
        <v>0.41476692899323409</v>
      </c>
      <c r="G803" s="26">
        <f t="shared" si="12"/>
        <v>19141690.75</v>
      </c>
      <c r="H803" t="s">
        <v>68</v>
      </c>
    </row>
    <row r="804" spans="1:8" hidden="1">
      <c r="A804" s="15" t="s">
        <v>798</v>
      </c>
      <c r="B804" s="16" t="s">
        <v>799</v>
      </c>
      <c r="C804" s="15" t="s">
        <v>74</v>
      </c>
      <c r="D804" s="16"/>
      <c r="E804" s="2">
        <v>46150474.909999996</v>
      </c>
      <c r="F804" s="23">
        <v>0.15069448155327769</v>
      </c>
      <c r="G804" s="26">
        <f t="shared" si="12"/>
        <v>6954621.8899999997</v>
      </c>
      <c r="H804" t="s">
        <v>68</v>
      </c>
    </row>
    <row r="805" spans="1:8" hidden="1">
      <c r="A805" s="17" t="s">
        <v>800</v>
      </c>
      <c r="B805" s="21" t="s">
        <v>801</v>
      </c>
      <c r="C805" s="19" t="s">
        <v>72</v>
      </c>
      <c r="D805" s="20"/>
      <c r="E805" s="3">
        <v>85527257.239999995</v>
      </c>
      <c r="F805" s="24">
        <v>0.69855093438046045</v>
      </c>
      <c r="G805" s="26">
        <f t="shared" si="12"/>
        <v>59745145.460000001</v>
      </c>
      <c r="H805" t="s">
        <v>68</v>
      </c>
    </row>
    <row r="806" spans="1:8" hidden="1">
      <c r="A806" s="13" t="s">
        <v>800</v>
      </c>
      <c r="B806" s="22" t="s">
        <v>801</v>
      </c>
      <c r="C806" s="15" t="s">
        <v>73</v>
      </c>
      <c r="D806" s="16"/>
      <c r="E806" s="2">
        <v>85527257.239999995</v>
      </c>
      <c r="F806" s="23">
        <v>0.26970155707520971</v>
      </c>
      <c r="G806" s="26">
        <f t="shared" si="12"/>
        <v>23066834.450000003</v>
      </c>
      <c r="H806" t="s">
        <v>68</v>
      </c>
    </row>
    <row r="807" spans="1:8" hidden="1">
      <c r="A807" s="19" t="s">
        <v>800</v>
      </c>
      <c r="B807" s="20" t="s">
        <v>801</v>
      </c>
      <c r="C807" s="19" t="s">
        <v>74</v>
      </c>
      <c r="D807" s="20"/>
      <c r="E807" s="3">
        <v>85527257.239999995</v>
      </c>
      <c r="F807" s="24">
        <v>3.1747508544329887E-2</v>
      </c>
      <c r="G807" s="26">
        <f t="shared" si="12"/>
        <v>2715277.33</v>
      </c>
      <c r="H807" t="s">
        <v>68</v>
      </c>
    </row>
    <row r="808" spans="1:8" hidden="1">
      <c r="A808" s="13" t="s">
        <v>802</v>
      </c>
      <c r="B808" s="14" t="s">
        <v>803</v>
      </c>
      <c r="C808" s="15" t="s">
        <v>72</v>
      </c>
      <c r="D808" s="16"/>
      <c r="E808" s="2">
        <v>20263659.73</v>
      </c>
      <c r="F808" s="23">
        <v>0.64721410617567643</v>
      </c>
      <c r="G808" s="26">
        <f t="shared" si="12"/>
        <v>13114926.42</v>
      </c>
      <c r="H808" t="s">
        <v>68</v>
      </c>
    </row>
    <row r="809" spans="1:8" hidden="1">
      <c r="A809" s="17" t="s">
        <v>802</v>
      </c>
      <c r="B809" s="18" t="s">
        <v>803</v>
      </c>
      <c r="C809" s="19" t="s">
        <v>73</v>
      </c>
      <c r="D809" s="20"/>
      <c r="E809" s="3">
        <v>20263659.73</v>
      </c>
      <c r="F809" s="24">
        <v>0.31697535270446431</v>
      </c>
      <c r="G809" s="26">
        <f t="shared" si="12"/>
        <v>6423080.6900000004</v>
      </c>
      <c r="H809" t="s">
        <v>68</v>
      </c>
    </row>
    <row r="810" spans="1:8" hidden="1">
      <c r="A810" s="15" t="s">
        <v>802</v>
      </c>
      <c r="B810" s="16" t="s">
        <v>803</v>
      </c>
      <c r="C810" s="15" t="s">
        <v>74</v>
      </c>
      <c r="D810" s="16"/>
      <c r="E810" s="2">
        <v>20263659.73</v>
      </c>
      <c r="F810" s="23">
        <v>3.58105411198592E-2</v>
      </c>
      <c r="G810" s="26">
        <f t="shared" si="12"/>
        <v>725652.62</v>
      </c>
      <c r="H810" t="s">
        <v>68</v>
      </c>
    </row>
    <row r="811" spans="1:8" hidden="1">
      <c r="A811" s="17" t="s">
        <v>804</v>
      </c>
      <c r="B811" s="21" t="s">
        <v>805</v>
      </c>
      <c r="C811" s="19" t="s">
        <v>72</v>
      </c>
      <c r="D811" s="20"/>
      <c r="E811" s="3">
        <v>16900481.82</v>
      </c>
      <c r="F811" s="24">
        <v>0.48910911405009871</v>
      </c>
      <c r="G811" s="26">
        <f t="shared" si="12"/>
        <v>8266179.6900000004</v>
      </c>
      <c r="H811" t="s">
        <v>68</v>
      </c>
    </row>
    <row r="812" spans="1:8" hidden="1">
      <c r="A812" s="13" t="s">
        <v>804</v>
      </c>
      <c r="B812" s="22" t="s">
        <v>805</v>
      </c>
      <c r="C812" s="15" t="s">
        <v>73</v>
      </c>
      <c r="D812" s="16"/>
      <c r="E812" s="2">
        <v>16900481.82</v>
      </c>
      <c r="F812" s="23">
        <v>0.43350135386850169</v>
      </c>
      <c r="G812" s="26">
        <f t="shared" si="12"/>
        <v>7326381.75</v>
      </c>
      <c r="H812" t="s">
        <v>68</v>
      </c>
    </row>
    <row r="813" spans="1:8" hidden="1">
      <c r="A813" s="19" t="s">
        <v>804</v>
      </c>
      <c r="B813" s="20" t="s">
        <v>805</v>
      </c>
      <c r="C813" s="19" t="s">
        <v>74</v>
      </c>
      <c r="D813" s="20"/>
      <c r="E813" s="3">
        <v>16900481.82</v>
      </c>
      <c r="F813" s="24">
        <v>7.7389532081399551E-2</v>
      </c>
      <c r="G813" s="26">
        <f t="shared" si="12"/>
        <v>1307920.3799999999</v>
      </c>
      <c r="H813" t="s">
        <v>68</v>
      </c>
    </row>
    <row r="814" spans="1:8" hidden="1">
      <c r="A814" s="13" t="s">
        <v>806</v>
      </c>
      <c r="B814" s="14" t="s">
        <v>807</v>
      </c>
      <c r="C814" s="15" t="s">
        <v>72</v>
      </c>
      <c r="D814" s="16"/>
      <c r="E814" s="2">
        <v>32586362.199999999</v>
      </c>
      <c r="F814" s="23">
        <v>0.48438835587483897</v>
      </c>
      <c r="G814" s="26">
        <f t="shared" si="12"/>
        <v>15784454.41</v>
      </c>
      <c r="H814" t="s">
        <v>68</v>
      </c>
    </row>
    <row r="815" spans="1:8" hidden="1">
      <c r="A815" s="17" t="s">
        <v>806</v>
      </c>
      <c r="B815" s="18" t="s">
        <v>807</v>
      </c>
      <c r="C815" s="19" t="s">
        <v>73</v>
      </c>
      <c r="D815" s="20"/>
      <c r="E815" s="3">
        <v>32586362.199999999</v>
      </c>
      <c r="F815" s="24">
        <v>0.43436590108238593</v>
      </c>
      <c r="G815" s="26">
        <f t="shared" si="12"/>
        <v>14154404.58</v>
      </c>
      <c r="H815" t="s">
        <v>68</v>
      </c>
    </row>
    <row r="816" spans="1:8" hidden="1">
      <c r="A816" s="15" t="s">
        <v>806</v>
      </c>
      <c r="B816" s="16" t="s">
        <v>807</v>
      </c>
      <c r="C816" s="15" t="s">
        <v>74</v>
      </c>
      <c r="D816" s="16"/>
      <c r="E816" s="2">
        <v>32586362.199999999</v>
      </c>
      <c r="F816" s="23">
        <v>8.1245743042775112E-2</v>
      </c>
      <c r="G816" s="26">
        <f t="shared" si="12"/>
        <v>2647503.21</v>
      </c>
      <c r="H816" t="s">
        <v>68</v>
      </c>
    </row>
    <row r="817" spans="1:8" hidden="1">
      <c r="A817" s="17" t="s">
        <v>808</v>
      </c>
      <c r="B817" s="21" t="s">
        <v>809</v>
      </c>
      <c r="C817" s="19" t="s">
        <v>72</v>
      </c>
      <c r="D817" s="20"/>
      <c r="E817" s="3">
        <v>55166502.920000002</v>
      </c>
      <c r="F817" s="24">
        <v>0.74110924303628123</v>
      </c>
      <c r="G817" s="26">
        <f t="shared" si="12"/>
        <v>40884405.219999999</v>
      </c>
      <c r="H817" t="s">
        <v>68</v>
      </c>
    </row>
    <row r="818" spans="1:8" hidden="1">
      <c r="A818" s="13" t="s">
        <v>808</v>
      </c>
      <c r="B818" s="22" t="s">
        <v>809</v>
      </c>
      <c r="C818" s="15" t="s">
        <v>73</v>
      </c>
      <c r="D818" s="16"/>
      <c r="E818" s="2">
        <v>55166502.920000002</v>
      </c>
      <c r="F818" s="23">
        <v>0.21104066152032969</v>
      </c>
      <c r="G818" s="26">
        <f t="shared" si="12"/>
        <v>11642375.27</v>
      </c>
      <c r="H818" t="s">
        <v>68</v>
      </c>
    </row>
    <row r="819" spans="1:8" hidden="1">
      <c r="A819" s="19" t="s">
        <v>808</v>
      </c>
      <c r="B819" s="20" t="s">
        <v>809</v>
      </c>
      <c r="C819" s="19" t="s">
        <v>74</v>
      </c>
      <c r="D819" s="20"/>
      <c r="E819" s="3">
        <v>55166502.920000002</v>
      </c>
      <c r="F819" s="24">
        <v>4.7850095443389036E-2</v>
      </c>
      <c r="G819" s="26">
        <f t="shared" si="12"/>
        <v>2639722.4300000002</v>
      </c>
      <c r="H819" t="s">
        <v>68</v>
      </c>
    </row>
    <row r="820" spans="1:8" hidden="1">
      <c r="A820" s="13" t="s">
        <v>810</v>
      </c>
      <c r="B820" s="14" t="s">
        <v>811</v>
      </c>
      <c r="C820" s="15" t="s">
        <v>72</v>
      </c>
      <c r="D820" s="16"/>
      <c r="E820" s="2">
        <v>202297280.97999999</v>
      </c>
      <c r="F820" s="23">
        <v>0.4591923090611576</v>
      </c>
      <c r="G820" s="26">
        <f t="shared" si="12"/>
        <v>92893355.569999993</v>
      </c>
      <c r="H820" t="s">
        <v>68</v>
      </c>
    </row>
    <row r="821" spans="1:8" hidden="1">
      <c r="A821" s="17" t="s">
        <v>810</v>
      </c>
      <c r="B821" s="18" t="s">
        <v>811</v>
      </c>
      <c r="C821" s="19" t="s">
        <v>73</v>
      </c>
      <c r="D821" s="20"/>
      <c r="E821" s="3">
        <v>202297280.97999999</v>
      </c>
      <c r="F821" s="24">
        <v>0.45537169967750307</v>
      </c>
      <c r="G821" s="26">
        <f t="shared" si="12"/>
        <v>92120456.680000007</v>
      </c>
      <c r="H821" t="s">
        <v>68</v>
      </c>
    </row>
    <row r="822" spans="1:8" hidden="1">
      <c r="A822" s="15" t="s">
        <v>810</v>
      </c>
      <c r="B822" s="16" t="s">
        <v>811</v>
      </c>
      <c r="C822" s="15" t="s">
        <v>74</v>
      </c>
      <c r="D822" s="16"/>
      <c r="E822" s="2">
        <v>202297280.97999999</v>
      </c>
      <c r="F822" s="23">
        <v>8.5435991261339397E-2</v>
      </c>
      <c r="G822" s="26">
        <f t="shared" si="12"/>
        <v>17283468.73</v>
      </c>
      <c r="H822" t="s">
        <v>68</v>
      </c>
    </row>
    <row r="823" spans="1:8" hidden="1">
      <c r="A823" s="17" t="s">
        <v>812</v>
      </c>
      <c r="B823" s="21" t="s">
        <v>813</v>
      </c>
      <c r="C823" s="19" t="s">
        <v>72</v>
      </c>
      <c r="D823" s="20"/>
      <c r="E823" s="3">
        <v>85308539.040000007</v>
      </c>
      <c r="F823" s="24">
        <v>0.2707115854975729</v>
      </c>
      <c r="G823" s="26">
        <f t="shared" si="12"/>
        <v>23094009.859999999</v>
      </c>
      <c r="H823" t="s">
        <v>68</v>
      </c>
    </row>
    <row r="824" spans="1:8" hidden="1">
      <c r="A824" s="13" t="s">
        <v>812</v>
      </c>
      <c r="B824" s="22" t="s">
        <v>813</v>
      </c>
      <c r="C824" s="15" t="s">
        <v>73</v>
      </c>
      <c r="D824" s="16"/>
      <c r="E824" s="2">
        <v>85308539.040000007</v>
      </c>
      <c r="F824" s="23">
        <v>0.58256688532313661</v>
      </c>
      <c r="G824" s="26">
        <f t="shared" si="12"/>
        <v>49697929.880000003</v>
      </c>
      <c r="H824" t="s">
        <v>68</v>
      </c>
    </row>
    <row r="825" spans="1:8" hidden="1">
      <c r="A825" s="19" t="s">
        <v>812</v>
      </c>
      <c r="B825" s="20" t="s">
        <v>813</v>
      </c>
      <c r="C825" s="19" t="s">
        <v>74</v>
      </c>
      <c r="D825" s="20"/>
      <c r="E825" s="3">
        <v>85308539.040000007</v>
      </c>
      <c r="F825" s="24">
        <v>0.14672152917929046</v>
      </c>
      <c r="G825" s="26">
        <f t="shared" si="12"/>
        <v>12516599.300000001</v>
      </c>
      <c r="H825" t="s">
        <v>68</v>
      </c>
    </row>
    <row r="826" spans="1:8" hidden="1">
      <c r="A826" s="13" t="s">
        <v>814</v>
      </c>
      <c r="B826" s="14" t="s">
        <v>815</v>
      </c>
      <c r="C826" s="15" t="s">
        <v>72</v>
      </c>
      <c r="D826" s="16"/>
      <c r="E826" s="2">
        <v>20436271.66</v>
      </c>
      <c r="F826" s="23">
        <v>0.31827829646300565</v>
      </c>
      <c r="G826" s="26">
        <f t="shared" si="12"/>
        <v>6504421.7300000004</v>
      </c>
      <c r="H826" t="s">
        <v>68</v>
      </c>
    </row>
    <row r="827" spans="1:8" hidden="1">
      <c r="A827" s="17" t="s">
        <v>814</v>
      </c>
      <c r="B827" s="18" t="s">
        <v>815</v>
      </c>
      <c r="C827" s="19" t="s">
        <v>73</v>
      </c>
      <c r="D827" s="20"/>
      <c r="E827" s="3">
        <v>20436271.66</v>
      </c>
      <c r="F827" s="24">
        <v>0.55452512711411084</v>
      </c>
      <c r="G827" s="26">
        <f t="shared" si="12"/>
        <v>11332426.140000001</v>
      </c>
      <c r="H827" t="s">
        <v>68</v>
      </c>
    </row>
    <row r="828" spans="1:8" hidden="1">
      <c r="A828" s="15" t="s">
        <v>814</v>
      </c>
      <c r="B828" s="16" t="s">
        <v>815</v>
      </c>
      <c r="C828" s="15" t="s">
        <v>74</v>
      </c>
      <c r="D828" s="16"/>
      <c r="E828" s="2">
        <v>20436271.66</v>
      </c>
      <c r="F828" s="23">
        <v>0.12719657642288359</v>
      </c>
      <c r="G828" s="26">
        <f t="shared" si="12"/>
        <v>2599423.79</v>
      </c>
      <c r="H828" t="s">
        <v>68</v>
      </c>
    </row>
    <row r="829" spans="1:8" hidden="1">
      <c r="A829" s="17" t="s">
        <v>816</v>
      </c>
      <c r="B829" s="21" t="s">
        <v>817</v>
      </c>
      <c r="C829" s="19" t="s">
        <v>72</v>
      </c>
      <c r="D829" s="20"/>
      <c r="E829" s="3">
        <v>51093954</v>
      </c>
      <c r="F829" s="24">
        <v>0.60053651807804898</v>
      </c>
      <c r="G829" s="26">
        <f t="shared" si="12"/>
        <v>30683785.230000004</v>
      </c>
      <c r="H829" t="s">
        <v>68</v>
      </c>
    </row>
    <row r="830" spans="1:8" hidden="1">
      <c r="A830" s="13" t="s">
        <v>816</v>
      </c>
      <c r="B830" s="22" t="s">
        <v>817</v>
      </c>
      <c r="C830" s="15" t="s">
        <v>73</v>
      </c>
      <c r="D830" s="16"/>
      <c r="E830" s="2">
        <v>51093954</v>
      </c>
      <c r="F830" s="23">
        <v>0.36470076557394637</v>
      </c>
      <c r="G830" s="26">
        <f t="shared" si="12"/>
        <v>18634004.140000001</v>
      </c>
      <c r="H830" t="s">
        <v>68</v>
      </c>
    </row>
    <row r="831" spans="1:8" hidden="1">
      <c r="A831" s="19" t="s">
        <v>816</v>
      </c>
      <c r="B831" s="20" t="s">
        <v>817</v>
      </c>
      <c r="C831" s="19" t="s">
        <v>74</v>
      </c>
      <c r="D831" s="20"/>
      <c r="E831" s="3">
        <v>51093954</v>
      </c>
      <c r="F831" s="24">
        <v>3.4762716348004694E-2</v>
      </c>
      <c r="G831" s="26">
        <f t="shared" si="12"/>
        <v>1776164.63</v>
      </c>
      <c r="H831" t="s">
        <v>68</v>
      </c>
    </row>
    <row r="832" spans="1:8" hidden="1">
      <c r="A832" s="13" t="s">
        <v>818</v>
      </c>
      <c r="B832" s="14" t="s">
        <v>819</v>
      </c>
      <c r="C832" s="15" t="s">
        <v>72</v>
      </c>
      <c r="D832" s="16"/>
      <c r="E832" s="2">
        <v>68330395.480000004</v>
      </c>
      <c r="F832" s="23">
        <v>0.73139149640408319</v>
      </c>
      <c r="G832" s="26">
        <f t="shared" si="12"/>
        <v>49976270.200000003</v>
      </c>
      <c r="H832" t="s">
        <v>68</v>
      </c>
    </row>
    <row r="833" spans="1:8" hidden="1">
      <c r="A833" s="17" t="s">
        <v>818</v>
      </c>
      <c r="B833" s="18" t="s">
        <v>819</v>
      </c>
      <c r="C833" s="19" t="s">
        <v>73</v>
      </c>
      <c r="D833" s="20"/>
      <c r="E833" s="3">
        <v>68330395.480000004</v>
      </c>
      <c r="F833" s="24">
        <v>0.24015391780957973</v>
      </c>
      <c r="G833" s="26">
        <f t="shared" si="12"/>
        <v>16409812.18</v>
      </c>
      <c r="H833" t="s">
        <v>68</v>
      </c>
    </row>
    <row r="834" spans="1:8" hidden="1">
      <c r="A834" s="15" t="s">
        <v>818</v>
      </c>
      <c r="B834" s="16" t="s">
        <v>819</v>
      </c>
      <c r="C834" s="15" t="s">
        <v>74</v>
      </c>
      <c r="D834" s="16"/>
      <c r="E834" s="2">
        <v>68330395.480000004</v>
      </c>
      <c r="F834" s="23">
        <v>2.8454585786337087E-2</v>
      </c>
      <c r="G834" s="26">
        <f t="shared" si="12"/>
        <v>1944313.1</v>
      </c>
      <c r="H834" t="s">
        <v>68</v>
      </c>
    </row>
    <row r="835" spans="1:8" hidden="1">
      <c r="A835" s="17" t="s">
        <v>615</v>
      </c>
      <c r="B835" s="21" t="s">
        <v>616</v>
      </c>
      <c r="C835" s="19" t="s">
        <v>72</v>
      </c>
      <c r="D835" s="20"/>
      <c r="E835" s="3">
        <v>16790640.850000001</v>
      </c>
      <c r="F835" s="24">
        <v>0.33064415048815715</v>
      </c>
      <c r="G835" s="26">
        <f t="shared" si="12"/>
        <v>5551727.1799999997</v>
      </c>
      <c r="H835" t="s">
        <v>68</v>
      </c>
    </row>
    <row r="836" spans="1:8" hidden="1">
      <c r="A836" s="13" t="s">
        <v>615</v>
      </c>
      <c r="B836" s="22" t="s">
        <v>616</v>
      </c>
      <c r="C836" s="15" t="s">
        <v>73</v>
      </c>
      <c r="D836" s="16"/>
      <c r="E836" s="2">
        <v>16790640.850000001</v>
      </c>
      <c r="F836" s="23">
        <v>0.57508944573726617</v>
      </c>
      <c r="G836" s="26">
        <f t="shared" si="12"/>
        <v>9656120.3399999999</v>
      </c>
      <c r="H836" t="s">
        <v>68</v>
      </c>
    </row>
    <row r="837" spans="1:8" hidden="1">
      <c r="A837" s="19" t="s">
        <v>615</v>
      </c>
      <c r="B837" s="20" t="s">
        <v>616</v>
      </c>
      <c r="C837" s="19" t="s">
        <v>74</v>
      </c>
      <c r="D837" s="20"/>
      <c r="E837" s="3">
        <v>16790640.850000001</v>
      </c>
      <c r="F837" s="24">
        <v>9.4266403774576596E-2</v>
      </c>
      <c r="G837" s="26">
        <f t="shared" ref="G837:G900" si="13">F837*E837</f>
        <v>1582793.33</v>
      </c>
      <c r="H837" t="s">
        <v>68</v>
      </c>
    </row>
    <row r="838" spans="1:8" hidden="1">
      <c r="A838" s="13" t="s">
        <v>617</v>
      </c>
      <c r="B838" s="14" t="s">
        <v>618</v>
      </c>
      <c r="C838" s="15" t="s">
        <v>72</v>
      </c>
      <c r="D838" s="16"/>
      <c r="E838" s="2">
        <v>77458918.129999995</v>
      </c>
      <c r="F838" s="23">
        <v>0.83164425963045663</v>
      </c>
      <c r="G838" s="26">
        <f t="shared" si="13"/>
        <v>64418264.619999997</v>
      </c>
      <c r="H838" t="s">
        <v>68</v>
      </c>
    </row>
    <row r="839" spans="1:8" hidden="1">
      <c r="A839" s="17" t="s">
        <v>617</v>
      </c>
      <c r="B839" s="18" t="s">
        <v>618</v>
      </c>
      <c r="C839" s="19" t="s">
        <v>73</v>
      </c>
      <c r="D839" s="20"/>
      <c r="E839" s="3">
        <v>77458918.129999995</v>
      </c>
      <c r="F839" s="24">
        <v>0.1427950883775144</v>
      </c>
      <c r="G839" s="26">
        <f t="shared" si="13"/>
        <v>11060753.060000001</v>
      </c>
      <c r="H839" t="s">
        <v>68</v>
      </c>
    </row>
    <row r="840" spans="1:8" hidden="1">
      <c r="A840" s="15" t="s">
        <v>617</v>
      </c>
      <c r="B840" s="16" t="s">
        <v>618</v>
      </c>
      <c r="C840" s="15" t="s">
        <v>74</v>
      </c>
      <c r="D840" s="16"/>
      <c r="E840" s="2">
        <v>77458918.129999995</v>
      </c>
      <c r="F840" s="23">
        <v>2.5560651992029056E-2</v>
      </c>
      <c r="G840" s="26">
        <f t="shared" si="13"/>
        <v>1979900.45</v>
      </c>
      <c r="H840" t="s">
        <v>68</v>
      </c>
    </row>
    <row r="841" spans="1:8" hidden="1">
      <c r="A841" s="17" t="s">
        <v>619</v>
      </c>
      <c r="B841" s="21" t="s">
        <v>620</v>
      </c>
      <c r="C841" s="19" t="s">
        <v>72</v>
      </c>
      <c r="D841" s="20"/>
      <c r="E841" s="3">
        <v>77115712.599999994</v>
      </c>
      <c r="F841" s="24">
        <v>0.70347285813708482</v>
      </c>
      <c r="G841" s="26">
        <f t="shared" si="13"/>
        <v>54248810.75</v>
      </c>
      <c r="H841" t="s">
        <v>68</v>
      </c>
    </row>
    <row r="842" spans="1:8" hidden="1">
      <c r="A842" s="13" t="s">
        <v>619</v>
      </c>
      <c r="B842" s="22" t="s">
        <v>620</v>
      </c>
      <c r="C842" s="15" t="s">
        <v>73</v>
      </c>
      <c r="D842" s="16"/>
      <c r="E842" s="2">
        <v>77115712.599999994</v>
      </c>
      <c r="F842" s="23">
        <v>0.2638938860042383</v>
      </c>
      <c r="G842" s="26">
        <f t="shared" si="13"/>
        <v>20350365.07</v>
      </c>
      <c r="H842" t="s">
        <v>68</v>
      </c>
    </row>
    <row r="843" spans="1:8" hidden="1">
      <c r="A843" s="19" t="s">
        <v>619</v>
      </c>
      <c r="B843" s="20" t="s">
        <v>620</v>
      </c>
      <c r="C843" s="19" t="s">
        <v>74</v>
      </c>
      <c r="D843" s="20"/>
      <c r="E843" s="3">
        <v>77115712.599999994</v>
      </c>
      <c r="F843" s="24">
        <v>3.2633255858676977E-2</v>
      </c>
      <c r="G843" s="26">
        <f t="shared" si="13"/>
        <v>2516536.7799999998</v>
      </c>
      <c r="H843" t="s">
        <v>68</v>
      </c>
    </row>
    <row r="844" spans="1:8" hidden="1">
      <c r="A844" s="13" t="s">
        <v>621</v>
      </c>
      <c r="B844" s="14" t="s">
        <v>622</v>
      </c>
      <c r="C844" s="15" t="s">
        <v>72</v>
      </c>
      <c r="D844" s="16"/>
      <c r="E844" s="2">
        <v>24037651.84</v>
      </c>
      <c r="F844" s="23">
        <v>0.58717617901899022</v>
      </c>
      <c r="G844" s="26">
        <f t="shared" si="13"/>
        <v>14114336.559999999</v>
      </c>
      <c r="H844" t="s">
        <v>68</v>
      </c>
    </row>
    <row r="845" spans="1:8" hidden="1">
      <c r="A845" s="17" t="s">
        <v>621</v>
      </c>
      <c r="B845" s="18" t="s">
        <v>622</v>
      </c>
      <c r="C845" s="19" t="s">
        <v>73</v>
      </c>
      <c r="D845" s="20"/>
      <c r="E845" s="3">
        <v>24037651.84</v>
      </c>
      <c r="F845" s="24">
        <v>0.3834144899571022</v>
      </c>
      <c r="G845" s="26">
        <f t="shared" si="13"/>
        <v>9216384.0199999996</v>
      </c>
      <c r="H845" t="s">
        <v>68</v>
      </c>
    </row>
    <row r="846" spans="1:8" hidden="1">
      <c r="A846" s="15" t="s">
        <v>621</v>
      </c>
      <c r="B846" s="16" t="s">
        <v>622</v>
      </c>
      <c r="C846" s="15" t="s">
        <v>74</v>
      </c>
      <c r="D846" s="16"/>
      <c r="E846" s="2">
        <v>24037651.84</v>
      </c>
      <c r="F846" s="23">
        <v>2.9409331023907533E-2</v>
      </c>
      <c r="G846" s="26">
        <f t="shared" si="13"/>
        <v>706931.26</v>
      </c>
      <c r="H846" t="s">
        <v>68</v>
      </c>
    </row>
    <row r="847" spans="1:8" hidden="1">
      <c r="A847" s="17" t="s">
        <v>623</v>
      </c>
      <c r="B847" s="21" t="s">
        <v>624</v>
      </c>
      <c r="C847" s="19" t="s">
        <v>72</v>
      </c>
      <c r="D847" s="20"/>
      <c r="E847" s="3">
        <v>24575565.170000002</v>
      </c>
      <c r="F847" s="24">
        <v>0.49368579058399736</v>
      </c>
      <c r="G847" s="26">
        <f t="shared" si="13"/>
        <v>12132607.32</v>
      </c>
      <c r="H847" t="s">
        <v>68</v>
      </c>
    </row>
    <row r="848" spans="1:8" hidden="1">
      <c r="A848" s="13" t="s">
        <v>623</v>
      </c>
      <c r="B848" s="22" t="s">
        <v>624</v>
      </c>
      <c r="C848" s="15" t="s">
        <v>73</v>
      </c>
      <c r="D848" s="16"/>
      <c r="E848" s="2">
        <v>24575565.170000002</v>
      </c>
      <c r="F848" s="23">
        <v>0.42206624703231593</v>
      </c>
      <c r="G848" s="26">
        <f t="shared" si="13"/>
        <v>10372516.560000001</v>
      </c>
      <c r="H848" t="s">
        <v>68</v>
      </c>
    </row>
    <row r="849" spans="1:8" hidden="1">
      <c r="A849" s="19" t="s">
        <v>623</v>
      </c>
      <c r="B849" s="20" t="s">
        <v>624</v>
      </c>
      <c r="C849" s="19" t="s">
        <v>74</v>
      </c>
      <c r="D849" s="20"/>
      <c r="E849" s="3">
        <v>24575565.170000002</v>
      </c>
      <c r="F849" s="24">
        <v>8.4247962383686648E-2</v>
      </c>
      <c r="G849" s="26">
        <f t="shared" si="13"/>
        <v>2070441.2899999998</v>
      </c>
      <c r="H849" t="s">
        <v>68</v>
      </c>
    </row>
    <row r="850" spans="1:8" hidden="1">
      <c r="A850" s="13" t="s">
        <v>625</v>
      </c>
      <c r="B850" s="14" t="s">
        <v>626</v>
      </c>
      <c r="C850" s="15" t="s">
        <v>72</v>
      </c>
      <c r="D850" s="16"/>
      <c r="E850" s="2">
        <v>338500277</v>
      </c>
      <c r="F850" s="23">
        <v>0.34867616075835589</v>
      </c>
      <c r="G850" s="26">
        <f t="shared" si="13"/>
        <v>118026977</v>
      </c>
      <c r="H850" t="s">
        <v>68</v>
      </c>
    </row>
    <row r="851" spans="1:8" hidden="1">
      <c r="A851" s="17" t="s">
        <v>625</v>
      </c>
      <c r="B851" s="18" t="s">
        <v>626</v>
      </c>
      <c r="C851" s="19" t="s">
        <v>73</v>
      </c>
      <c r="D851" s="20"/>
      <c r="E851" s="3">
        <v>338500277</v>
      </c>
      <c r="F851" s="24">
        <v>0.50994046728653053</v>
      </c>
      <c r="G851" s="26">
        <f t="shared" si="13"/>
        <v>172614989.43000004</v>
      </c>
      <c r="H851" t="s">
        <v>68</v>
      </c>
    </row>
    <row r="852" spans="1:8" hidden="1">
      <c r="A852" s="15" t="s">
        <v>625</v>
      </c>
      <c r="B852" s="16" t="s">
        <v>626</v>
      </c>
      <c r="C852" s="15" t="s">
        <v>74</v>
      </c>
      <c r="D852" s="16"/>
      <c r="E852" s="2">
        <v>338500277</v>
      </c>
      <c r="F852" s="23">
        <v>0.14138337195511363</v>
      </c>
      <c r="G852" s="26">
        <f t="shared" si="13"/>
        <v>47858310.57</v>
      </c>
      <c r="H852" t="s">
        <v>68</v>
      </c>
    </row>
    <row r="853" spans="1:8" hidden="1">
      <c r="A853" s="17" t="s">
        <v>627</v>
      </c>
      <c r="B853" s="21" t="s">
        <v>628</v>
      </c>
      <c r="C853" s="19" t="s">
        <v>72</v>
      </c>
      <c r="D853" s="20"/>
      <c r="E853" s="3">
        <v>7265312.5</v>
      </c>
      <c r="F853" s="24">
        <v>0.33812982304615252</v>
      </c>
      <c r="G853" s="26">
        <f t="shared" si="13"/>
        <v>2456618.83</v>
      </c>
      <c r="H853" t="s">
        <v>68</v>
      </c>
    </row>
    <row r="854" spans="1:8" hidden="1">
      <c r="A854" s="13" t="s">
        <v>627</v>
      </c>
      <c r="B854" s="22" t="s">
        <v>628</v>
      </c>
      <c r="C854" s="15" t="s">
        <v>73</v>
      </c>
      <c r="D854" s="16"/>
      <c r="E854" s="2">
        <v>7265312.5</v>
      </c>
      <c r="F854" s="23">
        <v>0.58839782184179967</v>
      </c>
      <c r="G854" s="26">
        <f t="shared" si="13"/>
        <v>4274894.05</v>
      </c>
      <c r="H854" t="s">
        <v>68</v>
      </c>
    </row>
    <row r="855" spans="1:8" hidden="1">
      <c r="A855" s="19" t="s">
        <v>627</v>
      </c>
      <c r="B855" s="20" t="s">
        <v>628</v>
      </c>
      <c r="C855" s="19" t="s">
        <v>74</v>
      </c>
      <c r="D855" s="20"/>
      <c r="E855" s="3">
        <v>7265312.5</v>
      </c>
      <c r="F855" s="24">
        <v>7.3472355112047832E-2</v>
      </c>
      <c r="G855" s="26">
        <f t="shared" si="13"/>
        <v>533799.62</v>
      </c>
      <c r="H855" t="s">
        <v>68</v>
      </c>
    </row>
    <row r="856" spans="1:8" hidden="1">
      <c r="A856" s="13" t="s">
        <v>629</v>
      </c>
      <c r="B856" s="14" t="s">
        <v>630</v>
      </c>
      <c r="C856" s="15" t="s">
        <v>72</v>
      </c>
      <c r="D856" s="16"/>
      <c r="E856" s="2">
        <v>37318535.93</v>
      </c>
      <c r="F856" s="23">
        <v>0.58860773962843937</v>
      </c>
      <c r="G856" s="26">
        <f t="shared" si="13"/>
        <v>21965979.079999998</v>
      </c>
      <c r="H856" t="s">
        <v>68</v>
      </c>
    </row>
    <row r="857" spans="1:8" hidden="1">
      <c r="A857" s="17" t="s">
        <v>629</v>
      </c>
      <c r="B857" s="18" t="s">
        <v>630</v>
      </c>
      <c r="C857" s="19" t="s">
        <v>73</v>
      </c>
      <c r="D857" s="20"/>
      <c r="E857" s="3">
        <v>37318535.93</v>
      </c>
      <c r="F857" s="24">
        <v>0.34041902886622699</v>
      </c>
      <c r="G857" s="26">
        <f t="shared" si="13"/>
        <v>12703939.76</v>
      </c>
      <c r="H857" t="s">
        <v>68</v>
      </c>
    </row>
    <row r="858" spans="1:8" hidden="1">
      <c r="A858" s="15" t="s">
        <v>629</v>
      </c>
      <c r="B858" s="16" t="s">
        <v>630</v>
      </c>
      <c r="C858" s="15" t="s">
        <v>74</v>
      </c>
      <c r="D858" s="16"/>
      <c r="E858" s="2">
        <v>37318535.93</v>
      </c>
      <c r="F858" s="23">
        <v>7.0973231505333592E-2</v>
      </c>
      <c r="G858" s="26">
        <f t="shared" si="13"/>
        <v>2648617.09</v>
      </c>
      <c r="H858" t="s">
        <v>68</v>
      </c>
    </row>
    <row r="859" spans="1:8" hidden="1">
      <c r="A859" s="17" t="s">
        <v>631</v>
      </c>
      <c r="B859" s="21" t="s">
        <v>632</v>
      </c>
      <c r="C859" s="19" t="s">
        <v>72</v>
      </c>
      <c r="D859" s="20"/>
      <c r="E859" s="3">
        <v>71551821.780000001</v>
      </c>
      <c r="F859" s="24">
        <v>0.81385541767263714</v>
      </c>
      <c r="G859" s="26">
        <f t="shared" si="13"/>
        <v>58232837.799999997</v>
      </c>
      <c r="H859" t="s">
        <v>68</v>
      </c>
    </row>
    <row r="860" spans="1:8" hidden="1">
      <c r="A860" s="13" t="s">
        <v>631</v>
      </c>
      <c r="B860" s="22" t="s">
        <v>632</v>
      </c>
      <c r="C860" s="15" t="s">
        <v>73</v>
      </c>
      <c r="D860" s="16"/>
      <c r="E860" s="2">
        <v>71551821.780000001</v>
      </c>
      <c r="F860" s="23">
        <v>0.16092179435211021</v>
      </c>
      <c r="G860" s="26">
        <f t="shared" si="13"/>
        <v>11514247.550000001</v>
      </c>
      <c r="H860" t="s">
        <v>68</v>
      </c>
    </row>
    <row r="861" spans="1:8" hidden="1">
      <c r="A861" s="19" t="s">
        <v>631</v>
      </c>
      <c r="B861" s="20" t="s">
        <v>632</v>
      </c>
      <c r="C861" s="19" t="s">
        <v>74</v>
      </c>
      <c r="D861" s="20"/>
      <c r="E861" s="3">
        <v>71551821.780000001</v>
      </c>
      <c r="F861" s="24">
        <v>2.5222787975252584E-2</v>
      </c>
      <c r="G861" s="26">
        <f t="shared" si="13"/>
        <v>1804736.43</v>
      </c>
      <c r="H861" t="s">
        <v>68</v>
      </c>
    </row>
    <row r="862" spans="1:8" hidden="1">
      <c r="A862" s="13" t="s">
        <v>633</v>
      </c>
      <c r="B862" s="14" t="s">
        <v>634</v>
      </c>
      <c r="C862" s="15" t="s">
        <v>72</v>
      </c>
      <c r="D862" s="16"/>
      <c r="E862" s="2">
        <v>21097366.870000001</v>
      </c>
      <c r="F862" s="23">
        <v>0.43655647772313683</v>
      </c>
      <c r="G862" s="26">
        <f t="shared" si="13"/>
        <v>9210192.1699999999</v>
      </c>
      <c r="H862" t="s">
        <v>68</v>
      </c>
    </row>
    <row r="863" spans="1:8" hidden="1">
      <c r="A863" s="17" t="s">
        <v>633</v>
      </c>
      <c r="B863" s="18" t="s">
        <v>634</v>
      </c>
      <c r="C863" s="19" t="s">
        <v>73</v>
      </c>
      <c r="D863" s="20"/>
      <c r="E863" s="3">
        <v>21097366.870000001</v>
      </c>
      <c r="F863" s="24">
        <v>0.47998052706754674</v>
      </c>
      <c r="G863" s="26">
        <f t="shared" si="13"/>
        <v>10126325.27</v>
      </c>
      <c r="H863" t="s">
        <v>68</v>
      </c>
    </row>
    <row r="864" spans="1:8" hidden="1">
      <c r="A864" s="15" t="s">
        <v>633</v>
      </c>
      <c r="B864" s="16" t="s">
        <v>634</v>
      </c>
      <c r="C864" s="15" t="s">
        <v>74</v>
      </c>
      <c r="D864" s="16"/>
      <c r="E864" s="2">
        <v>21097366.870000001</v>
      </c>
      <c r="F864" s="23">
        <v>8.3462995209316368E-2</v>
      </c>
      <c r="G864" s="26">
        <f t="shared" si="13"/>
        <v>1760849.43</v>
      </c>
      <c r="H864" t="s">
        <v>68</v>
      </c>
    </row>
    <row r="865" spans="1:8" hidden="1">
      <c r="A865" s="17" t="s">
        <v>635</v>
      </c>
      <c r="B865" s="21" t="s">
        <v>636</v>
      </c>
      <c r="C865" s="19" t="s">
        <v>72</v>
      </c>
      <c r="D865" s="20"/>
      <c r="E865" s="3">
        <v>34313731.310000002</v>
      </c>
      <c r="F865" s="24">
        <v>0.72852414108385688</v>
      </c>
      <c r="G865" s="26">
        <f t="shared" si="13"/>
        <v>24998381.629999999</v>
      </c>
      <c r="H865" t="s">
        <v>68</v>
      </c>
    </row>
    <row r="866" spans="1:8" hidden="1">
      <c r="A866" s="13" t="s">
        <v>635</v>
      </c>
      <c r="B866" s="22" t="s">
        <v>636</v>
      </c>
      <c r="C866" s="15" t="s">
        <v>73</v>
      </c>
      <c r="D866" s="16"/>
      <c r="E866" s="2">
        <v>34313731.310000002</v>
      </c>
      <c r="F866" s="23">
        <v>0.23256673860106644</v>
      </c>
      <c r="G866" s="26">
        <f t="shared" si="13"/>
        <v>7980232.5800000001</v>
      </c>
      <c r="H866" t="s">
        <v>68</v>
      </c>
    </row>
    <row r="867" spans="1:8" hidden="1">
      <c r="A867" s="19" t="s">
        <v>635</v>
      </c>
      <c r="B867" s="20" t="s">
        <v>636</v>
      </c>
      <c r="C867" s="19" t="s">
        <v>74</v>
      </c>
      <c r="D867" s="20"/>
      <c r="E867" s="3">
        <v>34313731.310000002</v>
      </c>
      <c r="F867" s="24">
        <v>3.8909120315076574E-2</v>
      </c>
      <c r="G867" s="26">
        <f t="shared" si="13"/>
        <v>1335117.1000000001</v>
      </c>
      <c r="H867" t="s">
        <v>68</v>
      </c>
    </row>
    <row r="868" spans="1:8" hidden="1">
      <c r="A868" s="13" t="s">
        <v>637</v>
      </c>
      <c r="B868" s="14" t="s">
        <v>638</v>
      </c>
      <c r="C868" s="15" t="s">
        <v>72</v>
      </c>
      <c r="D868" s="16"/>
      <c r="E868" s="2">
        <v>20563769.02</v>
      </c>
      <c r="F868" s="23">
        <v>0.48307278691656891</v>
      </c>
      <c r="G868" s="26">
        <f t="shared" si="13"/>
        <v>9933797.2100000009</v>
      </c>
      <c r="H868" t="s">
        <v>68</v>
      </c>
    </row>
    <row r="869" spans="1:8" hidden="1">
      <c r="A869" s="17" t="s">
        <v>637</v>
      </c>
      <c r="B869" s="18" t="s">
        <v>638</v>
      </c>
      <c r="C869" s="19" t="s">
        <v>73</v>
      </c>
      <c r="D869" s="20"/>
      <c r="E869" s="3">
        <v>20563769.02</v>
      </c>
      <c r="F869" s="24">
        <v>0.45195194815507617</v>
      </c>
      <c r="G869" s="26">
        <f t="shared" si="13"/>
        <v>9293835.4700000007</v>
      </c>
      <c r="H869" t="s">
        <v>68</v>
      </c>
    </row>
    <row r="870" spans="1:8" hidden="1">
      <c r="A870" s="15" t="s">
        <v>637</v>
      </c>
      <c r="B870" s="16" t="s">
        <v>638</v>
      </c>
      <c r="C870" s="15" t="s">
        <v>74</v>
      </c>
      <c r="D870" s="16"/>
      <c r="E870" s="2">
        <v>20563769.02</v>
      </c>
      <c r="F870" s="23">
        <v>6.497526492835505E-2</v>
      </c>
      <c r="G870" s="26">
        <f t="shared" si="13"/>
        <v>1336136.3400000001</v>
      </c>
      <c r="H870" t="s">
        <v>68</v>
      </c>
    </row>
    <row r="871" spans="1:8" hidden="1">
      <c r="A871" s="17" t="s">
        <v>639</v>
      </c>
      <c r="B871" s="21" t="s">
        <v>640</v>
      </c>
      <c r="C871" s="19" t="s">
        <v>72</v>
      </c>
      <c r="D871" s="20"/>
      <c r="E871" s="3">
        <v>37338497.359999999</v>
      </c>
      <c r="F871" s="24">
        <v>0.49612214657156739</v>
      </c>
      <c r="G871" s="26">
        <f t="shared" si="13"/>
        <v>18524455.460000001</v>
      </c>
      <c r="H871" t="s">
        <v>68</v>
      </c>
    </row>
    <row r="872" spans="1:8" hidden="1">
      <c r="A872" s="13" t="s">
        <v>639</v>
      </c>
      <c r="B872" s="22" t="s">
        <v>640</v>
      </c>
      <c r="C872" s="15" t="s">
        <v>73</v>
      </c>
      <c r="D872" s="16"/>
      <c r="E872" s="2">
        <v>37338497.359999999</v>
      </c>
      <c r="F872" s="23">
        <v>0.46439558220079369</v>
      </c>
      <c r="G872" s="26">
        <f t="shared" si="13"/>
        <v>17339833.219999999</v>
      </c>
      <c r="H872" t="s">
        <v>68</v>
      </c>
    </row>
    <row r="873" spans="1:8" hidden="1">
      <c r="A873" s="19" t="s">
        <v>639</v>
      </c>
      <c r="B873" s="20" t="s">
        <v>640</v>
      </c>
      <c r="C873" s="19" t="s">
        <v>74</v>
      </c>
      <c r="D873" s="20"/>
      <c r="E873" s="3">
        <v>37338497.359999999</v>
      </c>
      <c r="F873" s="24">
        <v>3.9482271227638928E-2</v>
      </c>
      <c r="G873" s="26">
        <f t="shared" si="13"/>
        <v>1474208.68</v>
      </c>
      <c r="H873" t="s">
        <v>68</v>
      </c>
    </row>
    <row r="874" spans="1:8" hidden="1">
      <c r="A874" s="13" t="s">
        <v>641</v>
      </c>
      <c r="B874" s="14" t="s">
        <v>642</v>
      </c>
      <c r="C874" s="15" t="s">
        <v>72</v>
      </c>
      <c r="D874" s="16"/>
      <c r="E874" s="2">
        <v>23111061.09</v>
      </c>
      <c r="F874" s="23">
        <v>0.37693911915491368</v>
      </c>
      <c r="G874" s="26">
        <f t="shared" si="13"/>
        <v>8711463.0099999998</v>
      </c>
      <c r="H874" t="s">
        <v>68</v>
      </c>
    </row>
    <row r="875" spans="1:8" hidden="1">
      <c r="A875" s="17" t="s">
        <v>641</v>
      </c>
      <c r="B875" s="18" t="s">
        <v>642</v>
      </c>
      <c r="C875" s="19" t="s">
        <v>73</v>
      </c>
      <c r="D875" s="20"/>
      <c r="E875" s="3">
        <v>23111061.09</v>
      </c>
      <c r="F875" s="24">
        <v>0.55316489105433797</v>
      </c>
      <c r="G875" s="26">
        <f t="shared" si="13"/>
        <v>12784227.59</v>
      </c>
      <c r="H875" t="s">
        <v>68</v>
      </c>
    </row>
    <row r="876" spans="1:8" hidden="1">
      <c r="A876" s="15" t="s">
        <v>641</v>
      </c>
      <c r="B876" s="16" t="s">
        <v>642</v>
      </c>
      <c r="C876" s="15" t="s">
        <v>74</v>
      </c>
      <c r="D876" s="16"/>
      <c r="E876" s="2">
        <v>23111061.09</v>
      </c>
      <c r="F876" s="23">
        <v>6.9895989790748292E-2</v>
      </c>
      <c r="G876" s="26">
        <f t="shared" si="13"/>
        <v>1615370.49</v>
      </c>
      <c r="H876" t="s">
        <v>68</v>
      </c>
    </row>
    <row r="877" spans="1:8" hidden="1">
      <c r="A877" s="17" t="s">
        <v>643</v>
      </c>
      <c r="B877" s="21" t="s">
        <v>644</v>
      </c>
      <c r="C877" s="19" t="s">
        <v>72</v>
      </c>
      <c r="D877" s="20"/>
      <c r="E877" s="3">
        <v>66082089.369999997</v>
      </c>
      <c r="F877" s="24">
        <v>0.28722180080790022</v>
      </c>
      <c r="G877" s="26">
        <f t="shared" si="13"/>
        <v>18980216.710000001</v>
      </c>
      <c r="H877" t="s">
        <v>68</v>
      </c>
    </row>
    <row r="878" spans="1:8" hidden="1">
      <c r="A878" s="13" t="s">
        <v>643</v>
      </c>
      <c r="B878" s="22" t="s">
        <v>644</v>
      </c>
      <c r="C878" s="15" t="s">
        <v>73</v>
      </c>
      <c r="D878" s="16"/>
      <c r="E878" s="2">
        <v>66082089.369999997</v>
      </c>
      <c r="F878" s="23">
        <v>0.60274661621220471</v>
      </c>
      <c r="G878" s="26">
        <f t="shared" si="13"/>
        <v>39830755.759999998</v>
      </c>
      <c r="H878" t="s">
        <v>68</v>
      </c>
    </row>
    <row r="879" spans="1:8" hidden="1">
      <c r="A879" s="19" t="s">
        <v>643</v>
      </c>
      <c r="B879" s="20" t="s">
        <v>644</v>
      </c>
      <c r="C879" s="19" t="s">
        <v>74</v>
      </c>
      <c r="D879" s="20"/>
      <c r="E879" s="3">
        <v>66082089.369999997</v>
      </c>
      <c r="F879" s="24">
        <v>0.11003158297989513</v>
      </c>
      <c r="G879" s="26">
        <f t="shared" si="13"/>
        <v>7271116.9000000004</v>
      </c>
      <c r="H879" t="s">
        <v>68</v>
      </c>
    </row>
    <row r="880" spans="1:8" hidden="1">
      <c r="A880" s="13" t="s">
        <v>645</v>
      </c>
      <c r="B880" s="14" t="s">
        <v>646</v>
      </c>
      <c r="C880" s="15" t="s">
        <v>72</v>
      </c>
      <c r="D880" s="16"/>
      <c r="E880" s="2">
        <v>34612757.700000003</v>
      </c>
      <c r="F880" s="23">
        <v>0.56624223847959954</v>
      </c>
      <c r="G880" s="26">
        <f t="shared" si="13"/>
        <v>19599205.399999999</v>
      </c>
      <c r="H880" t="s">
        <v>68</v>
      </c>
    </row>
    <row r="881" spans="1:8" hidden="1">
      <c r="A881" s="17" t="s">
        <v>645</v>
      </c>
      <c r="B881" s="18" t="s">
        <v>646</v>
      </c>
      <c r="C881" s="19" t="s">
        <v>73</v>
      </c>
      <c r="D881" s="20"/>
      <c r="E881" s="3">
        <v>34612757.700000003</v>
      </c>
      <c r="F881" s="24">
        <v>0.38090680997659998</v>
      </c>
      <c r="G881" s="26">
        <f t="shared" si="13"/>
        <v>13184235.119999999</v>
      </c>
      <c r="H881" t="s">
        <v>68</v>
      </c>
    </row>
    <row r="882" spans="1:8" hidden="1">
      <c r="A882" s="15" t="s">
        <v>645</v>
      </c>
      <c r="B882" s="16" t="s">
        <v>646</v>
      </c>
      <c r="C882" s="15" t="s">
        <v>74</v>
      </c>
      <c r="D882" s="16"/>
      <c r="E882" s="2">
        <v>34612757.700000003</v>
      </c>
      <c r="F882" s="23">
        <v>5.2850951543800276E-2</v>
      </c>
      <c r="G882" s="26">
        <f t="shared" si="13"/>
        <v>1829317.18</v>
      </c>
      <c r="H882" t="s">
        <v>68</v>
      </c>
    </row>
    <row r="883" spans="1:8" hidden="1">
      <c r="A883" s="17" t="s">
        <v>647</v>
      </c>
      <c r="B883" s="21" t="s">
        <v>648</v>
      </c>
      <c r="C883" s="19" t="s">
        <v>72</v>
      </c>
      <c r="D883" s="20"/>
      <c r="E883" s="3">
        <v>18633515.129999999</v>
      </c>
      <c r="F883" s="24">
        <v>0.28529861182450983</v>
      </c>
      <c r="G883" s="26">
        <f t="shared" si="13"/>
        <v>5316116.0000000009</v>
      </c>
      <c r="H883" t="s">
        <v>68</v>
      </c>
    </row>
    <row r="884" spans="1:8" hidden="1">
      <c r="A884" s="13" t="s">
        <v>647</v>
      </c>
      <c r="B884" s="22" t="s">
        <v>648</v>
      </c>
      <c r="C884" s="15" t="s">
        <v>73</v>
      </c>
      <c r="D884" s="16"/>
      <c r="E884" s="2">
        <v>18633515.129999999</v>
      </c>
      <c r="F884" s="23">
        <v>0.62759481656642213</v>
      </c>
      <c r="G884" s="26">
        <f t="shared" si="13"/>
        <v>11694297.510000002</v>
      </c>
      <c r="H884" t="s">
        <v>68</v>
      </c>
    </row>
    <row r="885" spans="1:8" hidden="1">
      <c r="A885" s="19" t="s">
        <v>647</v>
      </c>
      <c r="B885" s="20" t="s">
        <v>648</v>
      </c>
      <c r="C885" s="19" t="s">
        <v>74</v>
      </c>
      <c r="D885" s="20"/>
      <c r="E885" s="3">
        <v>18633515.129999999</v>
      </c>
      <c r="F885" s="24">
        <v>8.7106571609068165E-2</v>
      </c>
      <c r="G885" s="26">
        <f t="shared" si="13"/>
        <v>1623101.62</v>
      </c>
      <c r="H885" t="s">
        <v>68</v>
      </c>
    </row>
    <row r="886" spans="1:8" hidden="1">
      <c r="A886" s="13" t="s">
        <v>649</v>
      </c>
      <c r="B886" s="14" t="s">
        <v>650</v>
      </c>
      <c r="C886" s="15" t="s">
        <v>72</v>
      </c>
      <c r="D886" s="16"/>
      <c r="E886" s="2">
        <v>15576986.710000001</v>
      </c>
      <c r="F886" s="23">
        <v>0.20222836859568713</v>
      </c>
      <c r="G886" s="26">
        <f t="shared" si="13"/>
        <v>3150108.61</v>
      </c>
      <c r="H886" t="s">
        <v>68</v>
      </c>
    </row>
    <row r="887" spans="1:8" hidden="1">
      <c r="A887" s="17" t="s">
        <v>649</v>
      </c>
      <c r="B887" s="18" t="s">
        <v>650</v>
      </c>
      <c r="C887" s="19" t="s">
        <v>73</v>
      </c>
      <c r="D887" s="20"/>
      <c r="E887" s="3">
        <v>15576986.710000001</v>
      </c>
      <c r="F887" s="24">
        <v>0.68328544141128045</v>
      </c>
      <c r="G887" s="26">
        <f t="shared" si="13"/>
        <v>10643528.24</v>
      </c>
      <c r="H887" t="s">
        <v>68</v>
      </c>
    </row>
    <row r="888" spans="1:8" hidden="1">
      <c r="A888" s="15" t="s">
        <v>649</v>
      </c>
      <c r="B888" s="16" t="s">
        <v>650</v>
      </c>
      <c r="C888" s="15" t="s">
        <v>74</v>
      </c>
      <c r="D888" s="16"/>
      <c r="E888" s="2">
        <v>15576986.710000001</v>
      </c>
      <c r="F888" s="23">
        <v>0.11448618999303235</v>
      </c>
      <c r="G888" s="26">
        <f t="shared" si="13"/>
        <v>1783349.86</v>
      </c>
      <c r="H888" t="s">
        <v>68</v>
      </c>
    </row>
    <row r="889" spans="1:8" hidden="1">
      <c r="A889" s="17" t="s">
        <v>651</v>
      </c>
      <c r="B889" s="21" t="s">
        <v>652</v>
      </c>
      <c r="C889" s="19" t="s">
        <v>72</v>
      </c>
      <c r="D889" s="20"/>
      <c r="E889" s="3">
        <v>8415045.6899999995</v>
      </c>
      <c r="F889" s="24">
        <v>0.20064015362464421</v>
      </c>
      <c r="G889" s="26">
        <f t="shared" si="13"/>
        <v>1688396.06</v>
      </c>
      <c r="H889" t="s">
        <v>68</v>
      </c>
    </row>
    <row r="890" spans="1:8" hidden="1">
      <c r="A890" s="13" t="s">
        <v>651</v>
      </c>
      <c r="B890" s="22" t="s">
        <v>652</v>
      </c>
      <c r="C890" s="15" t="s">
        <v>73</v>
      </c>
      <c r="D890" s="16"/>
      <c r="E890" s="2">
        <v>8415045.6899999995</v>
      </c>
      <c r="F890" s="23">
        <v>0.70608067013359255</v>
      </c>
      <c r="G890" s="26">
        <f t="shared" si="13"/>
        <v>5941701.0999999996</v>
      </c>
      <c r="H890" t="s">
        <v>68</v>
      </c>
    </row>
    <row r="891" spans="1:8" hidden="1">
      <c r="A891" s="19" t="s">
        <v>651</v>
      </c>
      <c r="B891" s="20" t="s">
        <v>652</v>
      </c>
      <c r="C891" s="19" t="s">
        <v>74</v>
      </c>
      <c r="D891" s="20"/>
      <c r="E891" s="3">
        <v>8415045.6899999995</v>
      </c>
      <c r="F891" s="24">
        <v>9.3279176241763226E-2</v>
      </c>
      <c r="G891" s="26">
        <f t="shared" si="13"/>
        <v>784948.53</v>
      </c>
      <c r="H891" t="s">
        <v>68</v>
      </c>
    </row>
    <row r="892" spans="1:8" hidden="1">
      <c r="A892" s="13" t="s">
        <v>653</v>
      </c>
      <c r="B892" s="14" t="s">
        <v>654</v>
      </c>
      <c r="C892" s="15" t="s">
        <v>72</v>
      </c>
      <c r="D892" s="16"/>
      <c r="E892" s="2">
        <v>124714545.84999999</v>
      </c>
      <c r="F892" s="23">
        <v>0.63485787828814033</v>
      </c>
      <c r="G892" s="26">
        <f t="shared" si="13"/>
        <v>79176011.969999999</v>
      </c>
      <c r="H892" t="s">
        <v>68</v>
      </c>
    </row>
    <row r="893" spans="1:8" hidden="1">
      <c r="A893" s="17" t="s">
        <v>653</v>
      </c>
      <c r="B893" s="18" t="s">
        <v>654</v>
      </c>
      <c r="C893" s="19" t="s">
        <v>73</v>
      </c>
      <c r="D893" s="20"/>
      <c r="E893" s="3">
        <v>124714545.84999999</v>
      </c>
      <c r="F893" s="24">
        <v>0.32677069889678795</v>
      </c>
      <c r="G893" s="26">
        <f t="shared" si="13"/>
        <v>40753059.310000002</v>
      </c>
      <c r="H893" t="s">
        <v>68</v>
      </c>
    </row>
    <row r="894" spans="1:8" hidden="1">
      <c r="A894" s="15" t="s">
        <v>653</v>
      </c>
      <c r="B894" s="16" t="s">
        <v>654</v>
      </c>
      <c r="C894" s="15" t="s">
        <v>74</v>
      </c>
      <c r="D894" s="16"/>
      <c r="E894" s="2">
        <v>124714545.84999999</v>
      </c>
      <c r="F894" s="23">
        <v>3.8371422815071742E-2</v>
      </c>
      <c r="G894" s="26">
        <f t="shared" si="13"/>
        <v>4785474.57</v>
      </c>
      <c r="H894" t="s">
        <v>68</v>
      </c>
    </row>
    <row r="895" spans="1:8" hidden="1">
      <c r="A895" s="17" t="s">
        <v>655</v>
      </c>
      <c r="B895" s="21" t="s">
        <v>656</v>
      </c>
      <c r="C895" s="19" t="s">
        <v>72</v>
      </c>
      <c r="D895" s="20"/>
      <c r="E895" s="3">
        <v>35129934.140000001</v>
      </c>
      <c r="F895" s="24">
        <v>0.51993493774309707</v>
      </c>
      <c r="G895" s="26">
        <f t="shared" si="13"/>
        <v>18265280.120000001</v>
      </c>
      <c r="H895" t="s">
        <v>68</v>
      </c>
    </row>
    <row r="896" spans="1:8" hidden="1">
      <c r="A896" s="13" t="s">
        <v>655</v>
      </c>
      <c r="B896" s="22" t="s">
        <v>656</v>
      </c>
      <c r="C896" s="15" t="s">
        <v>73</v>
      </c>
      <c r="D896" s="16"/>
      <c r="E896" s="2">
        <v>35129934.140000001</v>
      </c>
      <c r="F896" s="23">
        <v>0.42185812221963931</v>
      </c>
      <c r="G896" s="26">
        <f t="shared" si="13"/>
        <v>14819848.049999999</v>
      </c>
      <c r="H896" t="s">
        <v>68</v>
      </c>
    </row>
    <row r="897" spans="1:8" hidden="1">
      <c r="A897" s="19" t="s">
        <v>655</v>
      </c>
      <c r="B897" s="20" t="s">
        <v>656</v>
      </c>
      <c r="C897" s="19" t="s">
        <v>74</v>
      </c>
      <c r="D897" s="20"/>
      <c r="E897" s="3">
        <v>35129934.140000001</v>
      </c>
      <c r="F897" s="24">
        <v>5.8206940037263614E-2</v>
      </c>
      <c r="G897" s="26">
        <f t="shared" si="13"/>
        <v>2044805.97</v>
      </c>
      <c r="H897" t="s">
        <v>68</v>
      </c>
    </row>
    <row r="898" spans="1:8" hidden="1">
      <c r="A898" s="13" t="s">
        <v>657</v>
      </c>
      <c r="B898" s="14" t="s">
        <v>658</v>
      </c>
      <c r="C898" s="15" t="s">
        <v>72</v>
      </c>
      <c r="D898" s="16"/>
      <c r="E898" s="2">
        <v>46274133.109999999</v>
      </c>
      <c r="F898" s="23">
        <v>0.82806037206387773</v>
      </c>
      <c r="G898" s="26">
        <f t="shared" si="13"/>
        <v>38317775.880000003</v>
      </c>
      <c r="H898" t="s">
        <v>68</v>
      </c>
    </row>
    <row r="899" spans="1:8" hidden="1">
      <c r="A899" s="17" t="s">
        <v>657</v>
      </c>
      <c r="B899" s="18" t="s">
        <v>658</v>
      </c>
      <c r="C899" s="19" t="s">
        <v>73</v>
      </c>
      <c r="D899" s="20"/>
      <c r="E899" s="3">
        <v>46274133.109999999</v>
      </c>
      <c r="F899" s="24">
        <v>0.14915347703204115</v>
      </c>
      <c r="G899" s="26">
        <f t="shared" si="13"/>
        <v>6901947.8499999996</v>
      </c>
      <c r="H899" t="s">
        <v>68</v>
      </c>
    </row>
    <row r="900" spans="1:8" hidden="1">
      <c r="A900" s="15" t="s">
        <v>657</v>
      </c>
      <c r="B900" s="16" t="s">
        <v>658</v>
      </c>
      <c r="C900" s="15" t="s">
        <v>74</v>
      </c>
      <c r="D900" s="16"/>
      <c r="E900" s="2">
        <v>46274133.109999999</v>
      </c>
      <c r="F900" s="23">
        <v>2.278615090408119E-2</v>
      </c>
      <c r="G900" s="26">
        <f t="shared" si="13"/>
        <v>1054409.3799999999</v>
      </c>
      <c r="H900" t="s">
        <v>68</v>
      </c>
    </row>
    <row r="901" spans="1:8" hidden="1">
      <c r="A901" s="17" t="s">
        <v>659</v>
      </c>
      <c r="B901" s="21" t="s">
        <v>660</v>
      </c>
      <c r="C901" s="19" t="s">
        <v>72</v>
      </c>
      <c r="D901" s="20"/>
      <c r="E901" s="3">
        <v>27779796.359999999</v>
      </c>
      <c r="F901" s="24">
        <v>0.3945565225878423</v>
      </c>
      <c r="G901" s="26">
        <f t="shared" ref="G901:G964" si="14">F901*E901</f>
        <v>10960699.85</v>
      </c>
      <c r="H901" t="s">
        <v>68</v>
      </c>
    </row>
    <row r="902" spans="1:8" hidden="1">
      <c r="A902" s="13" t="s">
        <v>659</v>
      </c>
      <c r="B902" s="22" t="s">
        <v>660</v>
      </c>
      <c r="C902" s="15" t="s">
        <v>73</v>
      </c>
      <c r="D902" s="16"/>
      <c r="E902" s="2">
        <v>27779796.359999999</v>
      </c>
      <c r="F902" s="23">
        <v>0.50086172553930131</v>
      </c>
      <c r="G902" s="26">
        <f t="shared" si="14"/>
        <v>13913836.74</v>
      </c>
      <c r="H902" t="s">
        <v>68</v>
      </c>
    </row>
    <row r="903" spans="1:8" hidden="1">
      <c r="A903" s="19" t="s">
        <v>659</v>
      </c>
      <c r="B903" s="20" t="s">
        <v>660</v>
      </c>
      <c r="C903" s="19" t="s">
        <v>74</v>
      </c>
      <c r="D903" s="20"/>
      <c r="E903" s="3">
        <v>27779796.359999999</v>
      </c>
      <c r="F903" s="24">
        <v>0.10458175187285643</v>
      </c>
      <c r="G903" s="26">
        <f t="shared" si="14"/>
        <v>2905259.77</v>
      </c>
      <c r="H903" t="s">
        <v>68</v>
      </c>
    </row>
    <row r="904" spans="1:8" hidden="1">
      <c r="A904" s="13" t="s">
        <v>661</v>
      </c>
      <c r="B904" s="14" t="s">
        <v>662</v>
      </c>
      <c r="C904" s="15" t="s">
        <v>72</v>
      </c>
      <c r="D904" s="16"/>
      <c r="E904" s="2">
        <v>18506766.800000001</v>
      </c>
      <c r="F904" s="23">
        <v>0.72433007909301583</v>
      </c>
      <c r="G904" s="26">
        <f t="shared" si="14"/>
        <v>13405007.859999999</v>
      </c>
      <c r="H904" t="s">
        <v>68</v>
      </c>
    </row>
    <row r="905" spans="1:8" hidden="1">
      <c r="A905" s="17" t="s">
        <v>661</v>
      </c>
      <c r="B905" s="18" t="s">
        <v>662</v>
      </c>
      <c r="C905" s="19" t="s">
        <v>73</v>
      </c>
      <c r="D905" s="20"/>
      <c r="E905" s="3">
        <v>18506766.800000001</v>
      </c>
      <c r="F905" s="24">
        <v>0.22738860793339657</v>
      </c>
      <c r="G905" s="26">
        <f t="shared" si="14"/>
        <v>4208227.9400000004</v>
      </c>
      <c r="H905" t="s">
        <v>68</v>
      </c>
    </row>
    <row r="906" spans="1:8" hidden="1">
      <c r="A906" s="15" t="s">
        <v>661</v>
      </c>
      <c r="B906" s="16" t="s">
        <v>662</v>
      </c>
      <c r="C906" s="15" t="s">
        <v>74</v>
      </c>
      <c r="D906" s="16"/>
      <c r="E906" s="2">
        <v>18506766.800000001</v>
      </c>
      <c r="F906" s="23">
        <v>4.8281312973587585E-2</v>
      </c>
      <c r="G906" s="26">
        <f t="shared" si="14"/>
        <v>893531</v>
      </c>
      <c r="H906" t="s">
        <v>68</v>
      </c>
    </row>
    <row r="907" spans="1:8" hidden="1">
      <c r="A907" s="17" t="s">
        <v>663</v>
      </c>
      <c r="B907" s="21" t="s">
        <v>664</v>
      </c>
      <c r="C907" s="19" t="s">
        <v>72</v>
      </c>
      <c r="D907" s="20"/>
      <c r="E907" s="3">
        <v>18763524.219999999</v>
      </c>
      <c r="F907" s="24">
        <v>0.37587183608517227</v>
      </c>
      <c r="G907" s="26">
        <f t="shared" si="14"/>
        <v>7052680.2999999998</v>
      </c>
      <c r="H907" t="s">
        <v>68</v>
      </c>
    </row>
    <row r="908" spans="1:8" hidden="1">
      <c r="A908" s="13" t="s">
        <v>663</v>
      </c>
      <c r="B908" s="22" t="s">
        <v>664</v>
      </c>
      <c r="C908" s="15" t="s">
        <v>73</v>
      </c>
      <c r="D908" s="16"/>
      <c r="E908" s="2">
        <v>18763524.219999999</v>
      </c>
      <c r="F908" s="23">
        <v>0.5366163473313651</v>
      </c>
      <c r="G908" s="26">
        <f t="shared" si="14"/>
        <v>10068813.83</v>
      </c>
      <c r="H908" t="s">
        <v>68</v>
      </c>
    </row>
    <row r="909" spans="1:8" hidden="1">
      <c r="A909" s="19" t="s">
        <v>663</v>
      </c>
      <c r="B909" s="20" t="s">
        <v>664</v>
      </c>
      <c r="C909" s="19" t="s">
        <v>74</v>
      </c>
      <c r="D909" s="20"/>
      <c r="E909" s="3">
        <v>18763524.219999999</v>
      </c>
      <c r="F909" s="24">
        <v>8.7511816583462715E-2</v>
      </c>
      <c r="G909" s="26">
        <f t="shared" si="14"/>
        <v>1642030.09</v>
      </c>
      <c r="H909" t="s">
        <v>68</v>
      </c>
    </row>
    <row r="910" spans="1:8" hidden="1">
      <c r="A910" s="13" t="s">
        <v>665</v>
      </c>
      <c r="B910" s="14" t="s">
        <v>666</v>
      </c>
      <c r="C910" s="15" t="s">
        <v>72</v>
      </c>
      <c r="D910" s="16"/>
      <c r="E910" s="2">
        <v>84521732.920000002</v>
      </c>
      <c r="F910" s="23">
        <v>0.68701143793349473</v>
      </c>
      <c r="G910" s="26">
        <f t="shared" si="14"/>
        <v>58067397.269999996</v>
      </c>
      <c r="H910" t="s">
        <v>68</v>
      </c>
    </row>
    <row r="911" spans="1:8" hidden="1">
      <c r="A911" s="17" t="s">
        <v>665</v>
      </c>
      <c r="B911" s="18" t="s">
        <v>666</v>
      </c>
      <c r="C911" s="19" t="s">
        <v>73</v>
      </c>
      <c r="D911" s="20"/>
      <c r="E911" s="3">
        <v>84521732.920000002</v>
      </c>
      <c r="F911" s="24">
        <v>0.26486330233182825</v>
      </c>
      <c r="G911" s="26">
        <f t="shared" si="14"/>
        <v>22386705.300000001</v>
      </c>
      <c r="H911" t="s">
        <v>68</v>
      </c>
    </row>
    <row r="912" spans="1:8" hidden="1">
      <c r="A912" s="15" t="s">
        <v>665</v>
      </c>
      <c r="B912" s="16" t="s">
        <v>666</v>
      </c>
      <c r="C912" s="15" t="s">
        <v>74</v>
      </c>
      <c r="D912" s="16"/>
      <c r="E912" s="2">
        <v>84521732.920000002</v>
      </c>
      <c r="F912" s="23">
        <v>4.8125259734677003E-2</v>
      </c>
      <c r="G912" s="26">
        <f t="shared" si="14"/>
        <v>4067630.3499999996</v>
      </c>
      <c r="H912" t="s">
        <v>68</v>
      </c>
    </row>
    <row r="913" spans="1:8" hidden="1">
      <c r="A913" s="17" t="s">
        <v>667</v>
      </c>
      <c r="B913" s="21" t="s">
        <v>668</v>
      </c>
      <c r="C913" s="19" t="s">
        <v>72</v>
      </c>
      <c r="D913" s="20"/>
      <c r="E913" s="3">
        <v>26650110.190000001</v>
      </c>
      <c r="F913" s="24">
        <v>0.5820804431728317</v>
      </c>
      <c r="G913" s="26">
        <f t="shared" si="14"/>
        <v>15512507.949999999</v>
      </c>
      <c r="H913" t="s">
        <v>68</v>
      </c>
    </row>
    <row r="914" spans="1:8" hidden="1">
      <c r="A914" s="13" t="s">
        <v>667</v>
      </c>
      <c r="B914" s="22" t="s">
        <v>668</v>
      </c>
      <c r="C914" s="15" t="s">
        <v>73</v>
      </c>
      <c r="D914" s="16"/>
      <c r="E914" s="2">
        <v>26650110.190000001</v>
      </c>
      <c r="F914" s="23">
        <v>0.35204202433355869</v>
      </c>
      <c r="G914" s="26">
        <f t="shared" si="14"/>
        <v>9381958.7400000002</v>
      </c>
      <c r="H914" t="s">
        <v>68</v>
      </c>
    </row>
    <row r="915" spans="1:8" hidden="1">
      <c r="A915" s="19" t="s">
        <v>667</v>
      </c>
      <c r="B915" s="20" t="s">
        <v>668</v>
      </c>
      <c r="C915" s="19" t="s">
        <v>74</v>
      </c>
      <c r="D915" s="20"/>
      <c r="E915" s="3">
        <v>26650110.190000001</v>
      </c>
      <c r="F915" s="24">
        <v>6.5877532493609545E-2</v>
      </c>
      <c r="G915" s="26">
        <f t="shared" si="14"/>
        <v>1755643.5</v>
      </c>
      <c r="H915" t="s">
        <v>68</v>
      </c>
    </row>
    <row r="916" spans="1:8" hidden="1">
      <c r="A916" s="13" t="s">
        <v>669</v>
      </c>
      <c r="B916" s="14" t="s">
        <v>670</v>
      </c>
      <c r="C916" s="15" t="s">
        <v>72</v>
      </c>
      <c r="D916" s="16"/>
      <c r="E916" s="2">
        <v>42480929.549999997</v>
      </c>
      <c r="F916" s="23">
        <v>0.66028329010517151</v>
      </c>
      <c r="G916" s="26">
        <f t="shared" si="14"/>
        <v>28049447.93</v>
      </c>
      <c r="H916" t="s">
        <v>68</v>
      </c>
    </row>
    <row r="917" spans="1:8" hidden="1">
      <c r="A917" s="17" t="s">
        <v>669</v>
      </c>
      <c r="B917" s="18" t="s">
        <v>670</v>
      </c>
      <c r="C917" s="19" t="s">
        <v>73</v>
      </c>
      <c r="D917" s="20"/>
      <c r="E917" s="3">
        <v>42480929.549999997</v>
      </c>
      <c r="F917" s="24">
        <v>0.27156934916929099</v>
      </c>
      <c r="G917" s="26">
        <f t="shared" si="14"/>
        <v>11536518.390000001</v>
      </c>
      <c r="H917" t="s">
        <v>68</v>
      </c>
    </row>
    <row r="918" spans="1:8" hidden="1">
      <c r="A918" s="15" t="s">
        <v>669</v>
      </c>
      <c r="B918" s="16" t="s">
        <v>670</v>
      </c>
      <c r="C918" s="15" t="s">
        <v>74</v>
      </c>
      <c r="D918" s="16"/>
      <c r="E918" s="2">
        <v>42480929.549999997</v>
      </c>
      <c r="F918" s="23">
        <v>6.8147360725537606E-2</v>
      </c>
      <c r="G918" s="26">
        <f t="shared" si="14"/>
        <v>2894963.2299999995</v>
      </c>
      <c r="H918" t="s">
        <v>68</v>
      </c>
    </row>
    <row r="919" spans="1:8" hidden="1">
      <c r="A919" s="17" t="s">
        <v>671</v>
      </c>
      <c r="B919" s="21" t="s">
        <v>672</v>
      </c>
      <c r="C919" s="19" t="s">
        <v>72</v>
      </c>
      <c r="D919" s="20"/>
      <c r="E919" s="3">
        <v>98655374.400000006</v>
      </c>
      <c r="F919" s="24">
        <v>0.69844259189188174</v>
      </c>
      <c r="G919" s="26">
        <f t="shared" si="14"/>
        <v>68905115.400000006</v>
      </c>
      <c r="H919" t="s">
        <v>68</v>
      </c>
    </row>
    <row r="920" spans="1:8" hidden="1">
      <c r="A920" s="13" t="s">
        <v>671</v>
      </c>
      <c r="B920" s="22" t="s">
        <v>672</v>
      </c>
      <c r="C920" s="15" t="s">
        <v>73</v>
      </c>
      <c r="D920" s="16"/>
      <c r="E920" s="2">
        <v>98655374.400000006</v>
      </c>
      <c r="F920" s="23">
        <v>0.26914375188869588</v>
      </c>
      <c r="G920" s="26">
        <f t="shared" si="14"/>
        <v>26552477.609999999</v>
      </c>
      <c r="H920" t="s">
        <v>68</v>
      </c>
    </row>
    <row r="921" spans="1:8" hidden="1">
      <c r="A921" s="19" t="s">
        <v>671</v>
      </c>
      <c r="B921" s="20" t="s">
        <v>672</v>
      </c>
      <c r="C921" s="19" t="s">
        <v>74</v>
      </c>
      <c r="D921" s="20"/>
      <c r="E921" s="3">
        <v>98655374.400000006</v>
      </c>
      <c r="F921" s="24">
        <v>3.2413656219422347E-2</v>
      </c>
      <c r="G921" s="26">
        <f t="shared" si="14"/>
        <v>3197781.3900000006</v>
      </c>
      <c r="H921" t="s">
        <v>68</v>
      </c>
    </row>
    <row r="922" spans="1:8" hidden="1">
      <c r="A922" s="13" t="s">
        <v>673</v>
      </c>
      <c r="B922" s="14" t="s">
        <v>674</v>
      </c>
      <c r="C922" s="15" t="s">
        <v>72</v>
      </c>
      <c r="D922" s="16"/>
      <c r="E922" s="2">
        <v>22355659.460000001</v>
      </c>
      <c r="F922" s="23">
        <v>0.68035834895473934</v>
      </c>
      <c r="G922" s="26">
        <f t="shared" si="14"/>
        <v>15209859.560000001</v>
      </c>
      <c r="H922" t="s">
        <v>68</v>
      </c>
    </row>
    <row r="923" spans="1:8" hidden="1">
      <c r="A923" s="17" t="s">
        <v>673</v>
      </c>
      <c r="B923" s="18" t="s">
        <v>674</v>
      </c>
      <c r="C923" s="19" t="s">
        <v>73</v>
      </c>
      <c r="D923" s="20"/>
      <c r="E923" s="3">
        <v>22355659.460000001</v>
      </c>
      <c r="F923" s="24">
        <v>0.3031794902819655</v>
      </c>
      <c r="G923" s="26">
        <f t="shared" si="14"/>
        <v>6777777.4400000004</v>
      </c>
      <c r="H923" t="s">
        <v>68</v>
      </c>
    </row>
    <row r="924" spans="1:8" hidden="1">
      <c r="A924" s="15" t="s">
        <v>673</v>
      </c>
      <c r="B924" s="16" t="s">
        <v>674</v>
      </c>
      <c r="C924" s="15" t="s">
        <v>74</v>
      </c>
      <c r="D924" s="16"/>
      <c r="E924" s="2">
        <v>22355659.460000001</v>
      </c>
      <c r="F924" s="23">
        <v>1.6462160763295149E-2</v>
      </c>
      <c r="G924" s="26">
        <f t="shared" si="14"/>
        <v>368022.46</v>
      </c>
      <c r="H924" t="s">
        <v>68</v>
      </c>
    </row>
    <row r="925" spans="1:8" hidden="1">
      <c r="A925" s="17" t="s">
        <v>675</v>
      </c>
      <c r="B925" s="21" t="s">
        <v>676</v>
      </c>
      <c r="C925" s="19" t="s">
        <v>72</v>
      </c>
      <c r="D925" s="20"/>
      <c r="E925" s="3">
        <v>47566667.240000002</v>
      </c>
      <c r="F925" s="24">
        <v>0.45867123231314277</v>
      </c>
      <c r="G925" s="26">
        <f t="shared" si="14"/>
        <v>21817461.879999999</v>
      </c>
      <c r="H925" t="s">
        <v>68</v>
      </c>
    </row>
    <row r="926" spans="1:8" hidden="1">
      <c r="A926" s="13" t="s">
        <v>675</v>
      </c>
      <c r="B926" s="22" t="s">
        <v>676</v>
      </c>
      <c r="C926" s="15" t="s">
        <v>73</v>
      </c>
      <c r="D926" s="16"/>
      <c r="E926" s="2">
        <v>47566667.240000002</v>
      </c>
      <c r="F926" s="23">
        <v>0.4484328107827299</v>
      </c>
      <c r="G926" s="26">
        <f t="shared" si="14"/>
        <v>21330454.289999999</v>
      </c>
      <c r="H926" t="s">
        <v>68</v>
      </c>
    </row>
    <row r="927" spans="1:8" hidden="1">
      <c r="A927" s="19" t="s">
        <v>675</v>
      </c>
      <c r="B927" s="20" t="s">
        <v>676</v>
      </c>
      <c r="C927" s="19" t="s">
        <v>74</v>
      </c>
      <c r="D927" s="20"/>
      <c r="E927" s="3">
        <v>47566667.240000002</v>
      </c>
      <c r="F927" s="24">
        <v>9.2895956904127219E-2</v>
      </c>
      <c r="G927" s="26">
        <f t="shared" si="14"/>
        <v>4418751.07</v>
      </c>
      <c r="H927" t="s">
        <v>68</v>
      </c>
    </row>
    <row r="928" spans="1:8" hidden="1">
      <c r="A928" s="13" t="s">
        <v>677</v>
      </c>
      <c r="B928" s="14" t="s">
        <v>678</v>
      </c>
      <c r="C928" s="15" t="s">
        <v>72</v>
      </c>
      <c r="D928" s="16"/>
      <c r="E928" s="2">
        <v>110331526.36</v>
      </c>
      <c r="F928" s="23">
        <v>0.23240311337971414</v>
      </c>
      <c r="G928" s="26">
        <f t="shared" si="14"/>
        <v>25641390.23</v>
      </c>
      <c r="H928" t="s">
        <v>68</v>
      </c>
    </row>
    <row r="929" spans="1:8" hidden="1">
      <c r="A929" s="17" t="s">
        <v>677</v>
      </c>
      <c r="B929" s="18" t="s">
        <v>678</v>
      </c>
      <c r="C929" s="19" t="s">
        <v>73</v>
      </c>
      <c r="D929" s="20"/>
      <c r="E929" s="3">
        <v>110331526.36</v>
      </c>
      <c r="F929" s="24">
        <v>0.57292262787834425</v>
      </c>
      <c r="G929" s="26">
        <f t="shared" si="14"/>
        <v>63211428.020000011</v>
      </c>
      <c r="H929" t="s">
        <v>68</v>
      </c>
    </row>
    <row r="930" spans="1:8" hidden="1">
      <c r="A930" s="15" t="s">
        <v>677</v>
      </c>
      <c r="B930" s="16" t="s">
        <v>678</v>
      </c>
      <c r="C930" s="15" t="s">
        <v>74</v>
      </c>
      <c r="D930" s="16"/>
      <c r="E930" s="2">
        <v>110331526.36</v>
      </c>
      <c r="F930" s="23">
        <v>0.19467425874194169</v>
      </c>
      <c r="G930" s="26">
        <f t="shared" si="14"/>
        <v>21478708.109999999</v>
      </c>
      <c r="H930" t="s">
        <v>68</v>
      </c>
    </row>
    <row r="931" spans="1:8" hidden="1">
      <c r="A931" s="17" t="s">
        <v>679</v>
      </c>
      <c r="B931" s="21" t="s">
        <v>680</v>
      </c>
      <c r="C931" s="19" t="s">
        <v>72</v>
      </c>
      <c r="D931" s="20"/>
      <c r="E931" s="3">
        <v>36369036.479999997</v>
      </c>
      <c r="F931" s="24">
        <v>0.26189420457255957</v>
      </c>
      <c r="G931" s="26">
        <f t="shared" si="14"/>
        <v>9524839.8800000008</v>
      </c>
      <c r="H931" t="s">
        <v>68</v>
      </c>
    </row>
    <row r="932" spans="1:8" hidden="1">
      <c r="A932" s="13" t="s">
        <v>679</v>
      </c>
      <c r="B932" s="22" t="s">
        <v>680</v>
      </c>
      <c r="C932" s="15" t="s">
        <v>73</v>
      </c>
      <c r="D932" s="16"/>
      <c r="E932" s="2">
        <v>36369036.479999997</v>
      </c>
      <c r="F932" s="23">
        <v>0.59444383086389652</v>
      </c>
      <c r="G932" s="26">
        <f t="shared" si="14"/>
        <v>21619349.370000001</v>
      </c>
      <c r="H932" t="s">
        <v>68</v>
      </c>
    </row>
    <row r="933" spans="1:8" hidden="1">
      <c r="A933" s="19" t="s">
        <v>679</v>
      </c>
      <c r="B933" s="20" t="s">
        <v>680</v>
      </c>
      <c r="C933" s="19" t="s">
        <v>74</v>
      </c>
      <c r="D933" s="20"/>
      <c r="E933" s="3">
        <v>36369036.479999997</v>
      </c>
      <c r="F933" s="24">
        <v>0.14366196456354405</v>
      </c>
      <c r="G933" s="26">
        <f t="shared" si="14"/>
        <v>5224847.2300000004</v>
      </c>
      <c r="H933" t="s">
        <v>68</v>
      </c>
    </row>
    <row r="934" spans="1:8" hidden="1">
      <c r="A934" s="13" t="s">
        <v>681</v>
      </c>
      <c r="B934" s="14" t="s">
        <v>682</v>
      </c>
      <c r="C934" s="15" t="s">
        <v>72</v>
      </c>
      <c r="D934" s="16"/>
      <c r="E934" s="2">
        <v>6767167.5999999996</v>
      </c>
      <c r="F934" s="23">
        <v>0.39576687889332013</v>
      </c>
      <c r="G934" s="26">
        <f t="shared" si="14"/>
        <v>2678220.7999999998</v>
      </c>
      <c r="H934" t="s">
        <v>68</v>
      </c>
    </row>
    <row r="935" spans="1:8" hidden="1">
      <c r="A935" s="17" t="s">
        <v>681</v>
      </c>
      <c r="B935" s="18" t="s">
        <v>682</v>
      </c>
      <c r="C935" s="19" t="s">
        <v>73</v>
      </c>
      <c r="D935" s="20"/>
      <c r="E935" s="3">
        <v>6767167.5999999996</v>
      </c>
      <c r="F935" s="24">
        <v>0.55479488493827167</v>
      </c>
      <c r="G935" s="26">
        <f t="shared" si="14"/>
        <v>3754389.9699999997</v>
      </c>
      <c r="H935" t="s">
        <v>68</v>
      </c>
    </row>
    <row r="936" spans="1:8" hidden="1">
      <c r="A936" s="15" t="s">
        <v>681</v>
      </c>
      <c r="B936" s="16" t="s">
        <v>682</v>
      </c>
      <c r="C936" s="15" t="s">
        <v>74</v>
      </c>
      <c r="D936" s="16"/>
      <c r="E936" s="2">
        <v>6767167.5999999996</v>
      </c>
      <c r="F936" s="23">
        <v>4.9438236168408187E-2</v>
      </c>
      <c r="G936" s="26">
        <f t="shared" si="14"/>
        <v>334556.83</v>
      </c>
      <c r="H936" t="s">
        <v>68</v>
      </c>
    </row>
    <row r="937" spans="1:8" hidden="1">
      <c r="A937" s="17" t="s">
        <v>683</v>
      </c>
      <c r="B937" s="21" t="s">
        <v>684</v>
      </c>
      <c r="C937" s="19" t="s">
        <v>72</v>
      </c>
      <c r="D937" s="20"/>
      <c r="E937" s="3">
        <v>31651655.960000001</v>
      </c>
      <c r="F937" s="24">
        <v>0.4163761607498529</v>
      </c>
      <c r="G937" s="26">
        <f t="shared" si="14"/>
        <v>13178994.99</v>
      </c>
      <c r="H937" t="s">
        <v>68</v>
      </c>
    </row>
    <row r="938" spans="1:8" hidden="1">
      <c r="A938" s="13" t="s">
        <v>683</v>
      </c>
      <c r="B938" s="22" t="s">
        <v>684</v>
      </c>
      <c r="C938" s="15" t="s">
        <v>73</v>
      </c>
      <c r="D938" s="16"/>
      <c r="E938" s="2">
        <v>31651655.960000001</v>
      </c>
      <c r="F938" s="23">
        <v>0.54808431387992373</v>
      </c>
      <c r="G938" s="26">
        <f t="shared" si="14"/>
        <v>17347776.140000001</v>
      </c>
      <c r="H938" t="s">
        <v>68</v>
      </c>
    </row>
    <row r="939" spans="1:8" hidden="1">
      <c r="A939" s="19" t="s">
        <v>683</v>
      </c>
      <c r="B939" s="20" t="s">
        <v>684</v>
      </c>
      <c r="C939" s="19" t="s">
        <v>74</v>
      </c>
      <c r="D939" s="20"/>
      <c r="E939" s="3">
        <v>31651655.960000001</v>
      </c>
      <c r="F939" s="24">
        <v>3.553952537022332E-2</v>
      </c>
      <c r="G939" s="26">
        <f t="shared" si="14"/>
        <v>1124884.83</v>
      </c>
      <c r="H939" t="s">
        <v>68</v>
      </c>
    </row>
    <row r="940" spans="1:8" hidden="1">
      <c r="A940" s="13" t="s">
        <v>685</v>
      </c>
      <c r="B940" s="14" t="s">
        <v>686</v>
      </c>
      <c r="C940" s="15" t="s">
        <v>72</v>
      </c>
      <c r="D940" s="16"/>
      <c r="E940" s="2">
        <v>10141965.359999999</v>
      </c>
      <c r="F940" s="23">
        <v>0.26540227899181074</v>
      </c>
      <c r="G940" s="26">
        <f t="shared" si="14"/>
        <v>2691700.72</v>
      </c>
      <c r="H940" t="s">
        <v>68</v>
      </c>
    </row>
    <row r="941" spans="1:8" hidden="1">
      <c r="A941" s="17" t="s">
        <v>685</v>
      </c>
      <c r="B941" s="18" t="s">
        <v>686</v>
      </c>
      <c r="C941" s="19" t="s">
        <v>73</v>
      </c>
      <c r="D941" s="20"/>
      <c r="E941" s="3">
        <v>10141965.359999999</v>
      </c>
      <c r="F941" s="24">
        <v>0.61207168035525616</v>
      </c>
      <c r="G941" s="26">
        <f t="shared" si="14"/>
        <v>6207609.7800000003</v>
      </c>
      <c r="H941" t="s">
        <v>68</v>
      </c>
    </row>
    <row r="942" spans="1:8" hidden="1">
      <c r="A942" s="15" t="s">
        <v>685</v>
      </c>
      <c r="B942" s="16" t="s">
        <v>686</v>
      </c>
      <c r="C942" s="15" t="s">
        <v>74</v>
      </c>
      <c r="D942" s="16"/>
      <c r="E942" s="2">
        <v>10141965.359999999</v>
      </c>
      <c r="F942" s="23">
        <v>0.12252604065293318</v>
      </c>
      <c r="G942" s="26">
        <f t="shared" si="14"/>
        <v>1242654.8600000001</v>
      </c>
      <c r="H942" t="s">
        <v>68</v>
      </c>
    </row>
    <row r="943" spans="1:8" hidden="1">
      <c r="A943" s="17" t="s">
        <v>687</v>
      </c>
      <c r="B943" s="21" t="s">
        <v>688</v>
      </c>
      <c r="C943" s="19" t="s">
        <v>72</v>
      </c>
      <c r="D943" s="20"/>
      <c r="E943" s="3">
        <v>8467641.5099999998</v>
      </c>
      <c r="F943" s="24">
        <v>0.43976296181201935</v>
      </c>
      <c r="G943" s="26">
        <f t="shared" si="14"/>
        <v>3723755.11</v>
      </c>
      <c r="H943" t="s">
        <v>68</v>
      </c>
    </row>
    <row r="944" spans="1:8" hidden="1">
      <c r="A944" s="13" t="s">
        <v>687</v>
      </c>
      <c r="B944" s="22" t="s">
        <v>688</v>
      </c>
      <c r="C944" s="15" t="s">
        <v>73</v>
      </c>
      <c r="D944" s="16"/>
      <c r="E944" s="2">
        <v>8467641.5099999998</v>
      </c>
      <c r="F944" s="23">
        <v>0.52332118982207598</v>
      </c>
      <c r="G944" s="26">
        <f t="shared" si="14"/>
        <v>4431296.2300000004</v>
      </c>
      <c r="H944" t="s">
        <v>68</v>
      </c>
    </row>
    <row r="945" spans="1:8" hidden="1">
      <c r="A945" s="19" t="s">
        <v>687</v>
      </c>
      <c r="B945" s="20" t="s">
        <v>688</v>
      </c>
      <c r="C945" s="19" t="s">
        <v>74</v>
      </c>
      <c r="D945" s="20"/>
      <c r="E945" s="3">
        <v>8467641.5099999998</v>
      </c>
      <c r="F945" s="24">
        <v>3.6915848365904662E-2</v>
      </c>
      <c r="G945" s="26">
        <f t="shared" si="14"/>
        <v>312590.17</v>
      </c>
      <c r="H945" t="s">
        <v>68</v>
      </c>
    </row>
    <row r="946" spans="1:8" hidden="1">
      <c r="A946" s="13" t="s">
        <v>689</v>
      </c>
      <c r="B946" s="14" t="s">
        <v>690</v>
      </c>
      <c r="C946" s="15" t="s">
        <v>72</v>
      </c>
      <c r="D946" s="16"/>
      <c r="E946" s="2">
        <v>5942926.5800000001</v>
      </c>
      <c r="F946" s="23">
        <v>0.35525809238585609</v>
      </c>
      <c r="G946" s="26">
        <f t="shared" si="14"/>
        <v>2111272.7599999998</v>
      </c>
      <c r="H946" t="s">
        <v>68</v>
      </c>
    </row>
    <row r="947" spans="1:8" hidden="1">
      <c r="A947" s="17" t="s">
        <v>689</v>
      </c>
      <c r="B947" s="18" t="s">
        <v>690</v>
      </c>
      <c r="C947" s="19" t="s">
        <v>73</v>
      </c>
      <c r="D947" s="20"/>
      <c r="E947" s="3">
        <v>5942926.5800000001</v>
      </c>
      <c r="F947" s="24">
        <v>0.57683133618655602</v>
      </c>
      <c r="G947" s="26">
        <f t="shared" si="14"/>
        <v>3428066.28</v>
      </c>
      <c r="H947" t="s">
        <v>68</v>
      </c>
    </row>
    <row r="948" spans="1:8" hidden="1">
      <c r="A948" s="15" t="s">
        <v>689</v>
      </c>
      <c r="B948" s="16" t="s">
        <v>690</v>
      </c>
      <c r="C948" s="15" t="s">
        <v>74</v>
      </c>
      <c r="D948" s="16"/>
      <c r="E948" s="2">
        <v>5942926.5800000001</v>
      </c>
      <c r="F948" s="23">
        <v>6.7910571427587788E-2</v>
      </c>
      <c r="G948" s="26">
        <f t="shared" si="14"/>
        <v>403587.54000000004</v>
      </c>
      <c r="H948" t="s">
        <v>68</v>
      </c>
    </row>
    <row r="949" spans="1:8" hidden="1">
      <c r="A949" s="17" t="s">
        <v>691</v>
      </c>
      <c r="B949" s="21" t="s">
        <v>692</v>
      </c>
      <c r="C949" s="19" t="s">
        <v>72</v>
      </c>
      <c r="D949" s="20"/>
      <c r="E949" s="3">
        <v>7192294.0499999998</v>
      </c>
      <c r="F949" s="24">
        <v>0.24788501243215993</v>
      </c>
      <c r="G949" s="26">
        <f t="shared" si="14"/>
        <v>1782861.9</v>
      </c>
      <c r="H949" t="s">
        <v>68</v>
      </c>
    </row>
    <row r="950" spans="1:8" hidden="1">
      <c r="A950" s="13" t="s">
        <v>691</v>
      </c>
      <c r="B950" s="22" t="s">
        <v>692</v>
      </c>
      <c r="C950" s="15" t="s">
        <v>73</v>
      </c>
      <c r="D950" s="16"/>
      <c r="E950" s="2">
        <v>7192294.0499999998</v>
      </c>
      <c r="F950" s="23">
        <v>0.62799367053130983</v>
      </c>
      <c r="G950" s="26">
        <f t="shared" si="14"/>
        <v>4516715.1399999997</v>
      </c>
      <c r="H950" t="s">
        <v>68</v>
      </c>
    </row>
    <row r="951" spans="1:8" hidden="1">
      <c r="A951" s="19" t="s">
        <v>691</v>
      </c>
      <c r="B951" s="20" t="s">
        <v>692</v>
      </c>
      <c r="C951" s="19" t="s">
        <v>74</v>
      </c>
      <c r="D951" s="20"/>
      <c r="E951" s="3">
        <v>7192294.0499999998</v>
      </c>
      <c r="F951" s="24">
        <v>0.12412131703653023</v>
      </c>
      <c r="G951" s="26">
        <f t="shared" si="14"/>
        <v>892717.01</v>
      </c>
      <c r="H951" t="s">
        <v>68</v>
      </c>
    </row>
    <row r="952" spans="1:8" hidden="1">
      <c r="A952" s="13" t="s">
        <v>693</v>
      </c>
      <c r="B952" s="14" t="s">
        <v>694</v>
      </c>
      <c r="C952" s="15" t="s">
        <v>72</v>
      </c>
      <c r="D952" s="16"/>
      <c r="E952" s="2">
        <v>17117750.629999999</v>
      </c>
      <c r="F952" s="23">
        <v>0.28929449476388358</v>
      </c>
      <c r="G952" s="26">
        <f t="shared" si="14"/>
        <v>4952071.0199999996</v>
      </c>
      <c r="H952" t="s">
        <v>68</v>
      </c>
    </row>
    <row r="953" spans="1:8" hidden="1">
      <c r="A953" s="17" t="s">
        <v>693</v>
      </c>
      <c r="B953" s="18" t="s">
        <v>694</v>
      </c>
      <c r="C953" s="19" t="s">
        <v>73</v>
      </c>
      <c r="D953" s="20"/>
      <c r="E953" s="3">
        <v>17117750.629999999</v>
      </c>
      <c r="F953" s="24">
        <v>0.61346670932312797</v>
      </c>
      <c r="G953" s="26">
        <f t="shared" si="14"/>
        <v>10501170.15</v>
      </c>
      <c r="H953" t="s">
        <v>68</v>
      </c>
    </row>
    <row r="954" spans="1:8" hidden="1">
      <c r="A954" s="15" t="s">
        <v>693</v>
      </c>
      <c r="B954" s="16" t="s">
        <v>694</v>
      </c>
      <c r="C954" s="15" t="s">
        <v>74</v>
      </c>
      <c r="D954" s="16"/>
      <c r="E954" s="2">
        <v>17117750.629999999</v>
      </c>
      <c r="F954" s="23">
        <v>9.7238795912988479E-2</v>
      </c>
      <c r="G954" s="26">
        <f t="shared" si="14"/>
        <v>1664509.46</v>
      </c>
      <c r="H954" t="s">
        <v>68</v>
      </c>
    </row>
    <row r="955" spans="1:8" hidden="1">
      <c r="A955" s="17" t="s">
        <v>695</v>
      </c>
      <c r="B955" s="21" t="s">
        <v>696</v>
      </c>
      <c r="C955" s="19" t="s">
        <v>72</v>
      </c>
      <c r="D955" s="20"/>
      <c r="E955" s="3">
        <v>7490004.71</v>
      </c>
      <c r="F955" s="24">
        <v>0.31024410797733665</v>
      </c>
      <c r="G955" s="26">
        <f t="shared" si="14"/>
        <v>2323729.83</v>
      </c>
      <c r="H955" t="s">
        <v>68</v>
      </c>
    </row>
    <row r="956" spans="1:8" hidden="1">
      <c r="A956" s="13" t="s">
        <v>695</v>
      </c>
      <c r="B956" s="22" t="s">
        <v>696</v>
      </c>
      <c r="C956" s="15" t="s">
        <v>73</v>
      </c>
      <c r="D956" s="16"/>
      <c r="E956" s="2">
        <v>7490004.71</v>
      </c>
      <c r="F956" s="23">
        <v>0.59761612219333304</v>
      </c>
      <c r="G956" s="26">
        <f t="shared" si="14"/>
        <v>4476147.57</v>
      </c>
      <c r="H956" t="s">
        <v>68</v>
      </c>
    </row>
    <row r="957" spans="1:8" hidden="1">
      <c r="A957" s="19" t="s">
        <v>695</v>
      </c>
      <c r="B957" s="20" t="s">
        <v>696</v>
      </c>
      <c r="C957" s="19" t="s">
        <v>74</v>
      </c>
      <c r="D957" s="20"/>
      <c r="E957" s="3">
        <v>7490004.71</v>
      </c>
      <c r="F957" s="24">
        <v>9.2139769829330323E-2</v>
      </c>
      <c r="G957" s="26">
        <f t="shared" si="14"/>
        <v>690127.31</v>
      </c>
      <c r="H957" t="s">
        <v>68</v>
      </c>
    </row>
    <row r="958" spans="1:8" hidden="1">
      <c r="A958" s="13" t="s">
        <v>697</v>
      </c>
      <c r="B958" s="14" t="s">
        <v>904</v>
      </c>
      <c r="C958" s="15" t="s">
        <v>72</v>
      </c>
      <c r="D958" s="16"/>
      <c r="E958" s="2">
        <v>8201064.1500000004</v>
      </c>
      <c r="F958" s="23">
        <v>0.46562704914337238</v>
      </c>
      <c r="G958" s="26">
        <f t="shared" si="14"/>
        <v>3818637.3</v>
      </c>
      <c r="H958" t="s">
        <v>68</v>
      </c>
    </row>
    <row r="959" spans="1:8" hidden="1">
      <c r="A959" s="17" t="s">
        <v>697</v>
      </c>
      <c r="B959" s="18" t="s">
        <v>904</v>
      </c>
      <c r="C959" s="19" t="s">
        <v>73</v>
      </c>
      <c r="D959" s="20"/>
      <c r="E959" s="3">
        <v>8201064.1500000004</v>
      </c>
      <c r="F959" s="24">
        <v>0.47516052657629798</v>
      </c>
      <c r="G959" s="26">
        <f t="shared" si="14"/>
        <v>3896821.96</v>
      </c>
      <c r="H959" t="s">
        <v>68</v>
      </c>
    </row>
    <row r="960" spans="1:8" hidden="1">
      <c r="A960" s="15" t="s">
        <v>697</v>
      </c>
      <c r="B960" s="16" t="s">
        <v>904</v>
      </c>
      <c r="C960" s="15" t="s">
        <v>74</v>
      </c>
      <c r="D960" s="16"/>
      <c r="E960" s="2">
        <v>8201064.1500000004</v>
      </c>
      <c r="F960" s="23">
        <v>5.9212424280329523E-2</v>
      </c>
      <c r="G960" s="26">
        <f t="shared" si="14"/>
        <v>485604.89</v>
      </c>
      <c r="H960" t="s">
        <v>68</v>
      </c>
    </row>
    <row r="961" spans="1:8" hidden="1">
      <c r="A961" s="17" t="s">
        <v>905</v>
      </c>
      <c r="B961" s="21" t="s">
        <v>906</v>
      </c>
      <c r="C961" s="19" t="s">
        <v>72</v>
      </c>
      <c r="D961" s="20"/>
      <c r="E961" s="3">
        <v>20910889.09</v>
      </c>
      <c r="F961" s="24">
        <v>0.30570230287611361</v>
      </c>
      <c r="G961" s="26">
        <f t="shared" si="14"/>
        <v>6392506.9499999993</v>
      </c>
      <c r="H961" t="s">
        <v>68</v>
      </c>
    </row>
    <row r="962" spans="1:8" hidden="1">
      <c r="A962" s="13" t="s">
        <v>905</v>
      </c>
      <c r="B962" s="22" t="s">
        <v>906</v>
      </c>
      <c r="C962" s="15" t="s">
        <v>73</v>
      </c>
      <c r="D962" s="16"/>
      <c r="E962" s="2">
        <v>20910889.09</v>
      </c>
      <c r="F962" s="23">
        <v>0.5970096946270016</v>
      </c>
      <c r="G962" s="26">
        <f t="shared" si="14"/>
        <v>12484003.51</v>
      </c>
      <c r="H962" t="s">
        <v>68</v>
      </c>
    </row>
    <row r="963" spans="1:8" hidden="1">
      <c r="A963" s="19" t="s">
        <v>905</v>
      </c>
      <c r="B963" s="20" t="s">
        <v>906</v>
      </c>
      <c r="C963" s="19" t="s">
        <v>74</v>
      </c>
      <c r="D963" s="20"/>
      <c r="E963" s="3">
        <v>20910889.09</v>
      </c>
      <c r="F963" s="24">
        <v>9.728800249688474E-2</v>
      </c>
      <c r="G963" s="26">
        <f t="shared" si="14"/>
        <v>2034378.63</v>
      </c>
      <c r="H963" t="s">
        <v>68</v>
      </c>
    </row>
    <row r="964" spans="1:8" hidden="1">
      <c r="A964" s="13" t="s">
        <v>907</v>
      </c>
      <c r="B964" s="14" t="s">
        <v>908</v>
      </c>
      <c r="C964" s="15" t="s">
        <v>72</v>
      </c>
      <c r="D964" s="16"/>
      <c r="E964" s="2">
        <v>20887714.239999998</v>
      </c>
      <c r="F964" s="23">
        <v>0.78663177220869529</v>
      </c>
      <c r="G964" s="26">
        <f t="shared" si="14"/>
        <v>16430939.67</v>
      </c>
      <c r="H964" t="s">
        <v>68</v>
      </c>
    </row>
    <row r="965" spans="1:8" hidden="1">
      <c r="A965" s="17" t="s">
        <v>907</v>
      </c>
      <c r="B965" s="18" t="s">
        <v>908</v>
      </c>
      <c r="C965" s="19" t="s">
        <v>73</v>
      </c>
      <c r="D965" s="20"/>
      <c r="E965" s="3">
        <v>20887714.239999998</v>
      </c>
      <c r="F965" s="24">
        <v>0.19093418476410562</v>
      </c>
      <c r="G965" s="26">
        <f t="shared" ref="G965:G1028" si="15">F965*E965</f>
        <v>3988178.6899999995</v>
      </c>
      <c r="H965" t="s">
        <v>68</v>
      </c>
    </row>
    <row r="966" spans="1:8" hidden="1">
      <c r="A966" s="15" t="s">
        <v>907</v>
      </c>
      <c r="B966" s="16" t="s">
        <v>908</v>
      </c>
      <c r="C966" s="15" t="s">
        <v>74</v>
      </c>
      <c r="D966" s="16"/>
      <c r="E966" s="2">
        <v>20887714.239999998</v>
      </c>
      <c r="F966" s="23">
        <v>2.2434043027199133E-2</v>
      </c>
      <c r="G966" s="26">
        <f t="shared" si="15"/>
        <v>468595.88</v>
      </c>
      <c r="H966" t="s">
        <v>68</v>
      </c>
    </row>
    <row r="967" spans="1:8" hidden="1">
      <c r="A967" s="17" t="s">
        <v>909</v>
      </c>
      <c r="B967" s="21" t="s">
        <v>910</v>
      </c>
      <c r="C967" s="19" t="s">
        <v>72</v>
      </c>
      <c r="D967" s="20"/>
      <c r="E967" s="3">
        <v>11820390.279999999</v>
      </c>
      <c r="F967" s="24">
        <v>0.23417786337254512</v>
      </c>
      <c r="G967" s="26">
        <f t="shared" si="15"/>
        <v>2768073.74</v>
      </c>
      <c r="H967" t="s">
        <v>68</v>
      </c>
    </row>
    <row r="968" spans="1:8" hidden="1">
      <c r="A968" s="13" t="s">
        <v>909</v>
      </c>
      <c r="B968" s="22" t="s">
        <v>910</v>
      </c>
      <c r="C968" s="15" t="s">
        <v>73</v>
      </c>
      <c r="D968" s="16"/>
      <c r="E968" s="2">
        <v>11820390.279999999</v>
      </c>
      <c r="F968" s="23">
        <v>0.66153507327340133</v>
      </c>
      <c r="G968" s="26">
        <f t="shared" si="15"/>
        <v>7819602.75</v>
      </c>
      <c r="H968" t="s">
        <v>68</v>
      </c>
    </row>
    <row r="969" spans="1:8" hidden="1">
      <c r="A969" s="19" t="s">
        <v>909</v>
      </c>
      <c r="B969" s="20" t="s">
        <v>910</v>
      </c>
      <c r="C969" s="19" t="s">
        <v>74</v>
      </c>
      <c r="D969" s="20"/>
      <c r="E969" s="3">
        <v>11820390.279999999</v>
      </c>
      <c r="F969" s="24">
        <v>0.10428706335405366</v>
      </c>
      <c r="G969" s="26">
        <f t="shared" si="15"/>
        <v>1232713.79</v>
      </c>
      <c r="H969" t="s">
        <v>68</v>
      </c>
    </row>
    <row r="970" spans="1:8" hidden="1">
      <c r="A970" s="13" t="s">
        <v>911</v>
      </c>
      <c r="B970" s="14" t="s">
        <v>912</v>
      </c>
      <c r="C970" s="15" t="s">
        <v>72</v>
      </c>
      <c r="D970" s="16"/>
      <c r="E970" s="2">
        <v>19855832.559999999</v>
      </c>
      <c r="F970" s="23">
        <v>0.40578201924563373</v>
      </c>
      <c r="G970" s="26">
        <f t="shared" si="15"/>
        <v>8057139.8300000001</v>
      </c>
      <c r="H970" t="s">
        <v>68</v>
      </c>
    </row>
    <row r="971" spans="1:8" hidden="1">
      <c r="A971" s="17" t="s">
        <v>911</v>
      </c>
      <c r="B971" s="18" t="s">
        <v>912</v>
      </c>
      <c r="C971" s="19" t="s">
        <v>73</v>
      </c>
      <c r="D971" s="20"/>
      <c r="E971" s="3">
        <v>19855832.559999999</v>
      </c>
      <c r="F971" s="24">
        <v>0.52727239406172755</v>
      </c>
      <c r="G971" s="26">
        <f t="shared" si="15"/>
        <v>10469432.369999999</v>
      </c>
      <c r="H971" t="s">
        <v>68</v>
      </c>
    </row>
    <row r="972" spans="1:8" hidden="1">
      <c r="A972" s="15" t="s">
        <v>911</v>
      </c>
      <c r="B972" s="16" t="s">
        <v>912</v>
      </c>
      <c r="C972" s="15" t="s">
        <v>74</v>
      </c>
      <c r="D972" s="16"/>
      <c r="E972" s="2">
        <v>19855832.559999999</v>
      </c>
      <c r="F972" s="23">
        <v>6.6945586692638795E-2</v>
      </c>
      <c r="G972" s="26">
        <f t="shared" si="15"/>
        <v>1329260.3600000001</v>
      </c>
      <c r="H972" t="s">
        <v>68</v>
      </c>
    </row>
    <row r="973" spans="1:8" hidden="1">
      <c r="A973" s="17" t="s">
        <v>913</v>
      </c>
      <c r="B973" s="21" t="s">
        <v>914</v>
      </c>
      <c r="C973" s="19" t="s">
        <v>72</v>
      </c>
      <c r="D973" s="20"/>
      <c r="E973" s="3">
        <v>12483184.029999999</v>
      </c>
      <c r="F973" s="24">
        <v>0.33413908021990446</v>
      </c>
      <c r="G973" s="26">
        <f t="shared" si="15"/>
        <v>4171119.63</v>
      </c>
      <c r="H973" t="s">
        <v>68</v>
      </c>
    </row>
    <row r="974" spans="1:8" hidden="1">
      <c r="A974" s="13" t="s">
        <v>913</v>
      </c>
      <c r="B974" s="22" t="s">
        <v>914</v>
      </c>
      <c r="C974" s="15" t="s">
        <v>73</v>
      </c>
      <c r="D974" s="16"/>
      <c r="E974" s="2">
        <v>12483184.029999999</v>
      </c>
      <c r="F974" s="23">
        <v>0.61851897251890475</v>
      </c>
      <c r="G974" s="26">
        <f t="shared" si="15"/>
        <v>7721086.1600000001</v>
      </c>
      <c r="H974" t="s">
        <v>68</v>
      </c>
    </row>
    <row r="975" spans="1:8" hidden="1">
      <c r="A975" s="19" t="s">
        <v>913</v>
      </c>
      <c r="B975" s="20" t="s">
        <v>914</v>
      </c>
      <c r="C975" s="19" t="s">
        <v>74</v>
      </c>
      <c r="D975" s="20"/>
      <c r="E975" s="3">
        <v>12483184.029999999</v>
      </c>
      <c r="F975" s="24">
        <v>4.7341947261190863E-2</v>
      </c>
      <c r="G975" s="26">
        <f t="shared" si="15"/>
        <v>590978.24</v>
      </c>
      <c r="H975" t="s">
        <v>68</v>
      </c>
    </row>
    <row r="976" spans="1:8" hidden="1">
      <c r="A976" s="13" t="s">
        <v>915</v>
      </c>
      <c r="B976" s="14" t="s">
        <v>916</v>
      </c>
      <c r="C976" s="15" t="s">
        <v>72</v>
      </c>
      <c r="D976" s="16"/>
      <c r="E976" s="2">
        <v>8466364.6999999993</v>
      </c>
      <c r="F976" s="23">
        <v>0.63373520632769342</v>
      </c>
      <c r="G976" s="26">
        <f t="shared" si="15"/>
        <v>5365433.38</v>
      </c>
      <c r="H976" t="s">
        <v>68</v>
      </c>
    </row>
    <row r="977" spans="1:8" hidden="1">
      <c r="A977" s="17" t="s">
        <v>915</v>
      </c>
      <c r="B977" s="18" t="s">
        <v>916</v>
      </c>
      <c r="C977" s="19" t="s">
        <v>73</v>
      </c>
      <c r="D977" s="20"/>
      <c r="E977" s="3">
        <v>8466364.6999999993</v>
      </c>
      <c r="F977" s="24">
        <v>0.30388755164303283</v>
      </c>
      <c r="G977" s="26">
        <f t="shared" si="15"/>
        <v>2572822.84</v>
      </c>
      <c r="H977" t="s">
        <v>68</v>
      </c>
    </row>
    <row r="978" spans="1:8" hidden="1">
      <c r="A978" s="15" t="s">
        <v>915</v>
      </c>
      <c r="B978" s="16" t="s">
        <v>916</v>
      </c>
      <c r="C978" s="15" t="s">
        <v>74</v>
      </c>
      <c r="D978" s="16"/>
      <c r="E978" s="2">
        <v>8466364.6999999993</v>
      </c>
      <c r="F978" s="23">
        <v>6.2377242029273798E-2</v>
      </c>
      <c r="G978" s="26">
        <f t="shared" si="15"/>
        <v>528108.48</v>
      </c>
      <c r="H978" t="s">
        <v>68</v>
      </c>
    </row>
    <row r="979" spans="1:8" hidden="1">
      <c r="A979" s="17" t="s">
        <v>917</v>
      </c>
      <c r="B979" s="21" t="s">
        <v>918</v>
      </c>
      <c r="C979" s="19" t="s">
        <v>72</v>
      </c>
      <c r="D979" s="20"/>
      <c r="E979" s="3">
        <v>7345793.79</v>
      </c>
      <c r="F979" s="24">
        <v>0.50716305364733083</v>
      </c>
      <c r="G979" s="26">
        <f t="shared" si="15"/>
        <v>3725515.2099999995</v>
      </c>
      <c r="H979" t="s">
        <v>68</v>
      </c>
    </row>
    <row r="980" spans="1:8" hidden="1">
      <c r="A980" s="13" t="s">
        <v>917</v>
      </c>
      <c r="B980" s="22" t="s">
        <v>918</v>
      </c>
      <c r="C980" s="15" t="s">
        <v>73</v>
      </c>
      <c r="D980" s="16"/>
      <c r="E980" s="2">
        <v>7345793.79</v>
      </c>
      <c r="F980" s="23">
        <v>0.44441572324615986</v>
      </c>
      <c r="G980" s="26">
        <f t="shared" si="15"/>
        <v>3264586.26</v>
      </c>
      <c r="H980" t="s">
        <v>68</v>
      </c>
    </row>
    <row r="981" spans="1:8" hidden="1">
      <c r="A981" s="19" t="s">
        <v>917</v>
      </c>
      <c r="B981" s="20" t="s">
        <v>918</v>
      </c>
      <c r="C981" s="19" t="s">
        <v>74</v>
      </c>
      <c r="D981" s="20"/>
      <c r="E981" s="3">
        <v>7345793.79</v>
      </c>
      <c r="F981" s="24">
        <v>4.8421223106509231E-2</v>
      </c>
      <c r="G981" s="26">
        <f t="shared" si="15"/>
        <v>355692.32</v>
      </c>
      <c r="H981" t="s">
        <v>68</v>
      </c>
    </row>
    <row r="982" spans="1:8" hidden="1">
      <c r="A982" s="13" t="s">
        <v>919</v>
      </c>
      <c r="B982" s="14" t="s">
        <v>920</v>
      </c>
      <c r="C982" s="15" t="s">
        <v>72</v>
      </c>
      <c r="D982" s="16"/>
      <c r="E982" s="2">
        <v>7764306.0199999996</v>
      </c>
      <c r="F982" s="23">
        <v>0.38919973945076419</v>
      </c>
      <c r="G982" s="26">
        <f t="shared" si="15"/>
        <v>3021865.88</v>
      </c>
      <c r="H982" t="s">
        <v>68</v>
      </c>
    </row>
    <row r="983" spans="1:8" hidden="1">
      <c r="A983" s="17" t="s">
        <v>919</v>
      </c>
      <c r="B983" s="18" t="s">
        <v>920</v>
      </c>
      <c r="C983" s="19" t="s">
        <v>73</v>
      </c>
      <c r="D983" s="20"/>
      <c r="E983" s="3">
        <v>7764306.0199999996</v>
      </c>
      <c r="F983" s="24">
        <v>0.48845609256395595</v>
      </c>
      <c r="G983" s="26">
        <f t="shared" si="15"/>
        <v>3792522.58</v>
      </c>
      <c r="H983" t="s">
        <v>68</v>
      </c>
    </row>
    <row r="984" spans="1:8" hidden="1">
      <c r="A984" s="15" t="s">
        <v>919</v>
      </c>
      <c r="B984" s="16" t="s">
        <v>920</v>
      </c>
      <c r="C984" s="15" t="s">
        <v>74</v>
      </c>
      <c r="D984" s="16"/>
      <c r="E984" s="2">
        <v>7764306.0199999996</v>
      </c>
      <c r="F984" s="23">
        <v>0.12234416798527992</v>
      </c>
      <c r="G984" s="26">
        <f t="shared" si="15"/>
        <v>949917.56</v>
      </c>
      <c r="H984" t="s">
        <v>68</v>
      </c>
    </row>
    <row r="985" spans="1:8" hidden="1">
      <c r="A985" s="17" t="s">
        <v>921</v>
      </c>
      <c r="B985" s="21" t="s">
        <v>922</v>
      </c>
      <c r="C985" s="19" t="s">
        <v>72</v>
      </c>
      <c r="D985" s="20"/>
      <c r="E985" s="3">
        <v>9482963.4600000009</v>
      </c>
      <c r="F985" s="24">
        <v>0.16787221280719772</v>
      </c>
      <c r="G985" s="26">
        <f t="shared" si="15"/>
        <v>1591926.06</v>
      </c>
      <c r="H985" t="s">
        <v>68</v>
      </c>
    </row>
    <row r="986" spans="1:8" hidden="1">
      <c r="A986" s="13" t="s">
        <v>921</v>
      </c>
      <c r="B986" s="22" t="s">
        <v>922</v>
      </c>
      <c r="C986" s="15" t="s">
        <v>73</v>
      </c>
      <c r="D986" s="16"/>
      <c r="E986" s="2">
        <v>9482963.4600000009</v>
      </c>
      <c r="F986" s="23">
        <v>0.71969842220608948</v>
      </c>
      <c r="G986" s="26">
        <f t="shared" si="15"/>
        <v>6824873.8399999999</v>
      </c>
      <c r="H986" t="s">
        <v>68</v>
      </c>
    </row>
    <row r="987" spans="1:8" hidden="1">
      <c r="A987" s="19" t="s">
        <v>921</v>
      </c>
      <c r="B987" s="20" t="s">
        <v>922</v>
      </c>
      <c r="C987" s="19" t="s">
        <v>74</v>
      </c>
      <c r="D987" s="20"/>
      <c r="E987" s="3">
        <v>9482963.4600000009</v>
      </c>
      <c r="F987" s="24">
        <v>0.1124293649867127</v>
      </c>
      <c r="G987" s="26">
        <f t="shared" si="15"/>
        <v>1066163.56</v>
      </c>
      <c r="H987" t="s">
        <v>68</v>
      </c>
    </row>
    <row r="988" spans="1:8" hidden="1">
      <c r="A988" s="13" t="s">
        <v>923</v>
      </c>
      <c r="B988" s="14" t="s">
        <v>728</v>
      </c>
      <c r="C988" s="15" t="s">
        <v>72</v>
      </c>
      <c r="D988" s="16"/>
      <c r="E988" s="2">
        <v>5306242.29</v>
      </c>
      <c r="F988" s="23">
        <v>0.65444974243722287</v>
      </c>
      <c r="G988" s="26">
        <f t="shared" si="15"/>
        <v>3472668.9</v>
      </c>
      <c r="H988" t="s">
        <v>68</v>
      </c>
    </row>
    <row r="989" spans="1:8" hidden="1">
      <c r="A989" s="17" t="s">
        <v>923</v>
      </c>
      <c r="B989" s="18" t="s">
        <v>728</v>
      </c>
      <c r="C989" s="19" t="s">
        <v>73</v>
      </c>
      <c r="D989" s="20"/>
      <c r="E989" s="3">
        <v>5306242.29</v>
      </c>
      <c r="F989" s="24">
        <v>0.31310104198050104</v>
      </c>
      <c r="G989" s="26">
        <f t="shared" si="15"/>
        <v>1661389.99</v>
      </c>
      <c r="H989" t="s">
        <v>68</v>
      </c>
    </row>
    <row r="990" spans="1:8" hidden="1">
      <c r="A990" s="15" t="s">
        <v>923</v>
      </c>
      <c r="B990" s="16" t="s">
        <v>728</v>
      </c>
      <c r="C990" s="15" t="s">
        <v>74</v>
      </c>
      <c r="D990" s="16"/>
      <c r="E990" s="2">
        <v>5306242.29</v>
      </c>
      <c r="F990" s="23">
        <v>3.2449215582276023E-2</v>
      </c>
      <c r="G990" s="26">
        <f t="shared" si="15"/>
        <v>172183.4</v>
      </c>
      <c r="H990" t="s">
        <v>68</v>
      </c>
    </row>
    <row r="991" spans="1:8" hidden="1">
      <c r="A991" s="17" t="s">
        <v>729</v>
      </c>
      <c r="B991" s="21" t="s">
        <v>730</v>
      </c>
      <c r="C991" s="19" t="s">
        <v>72</v>
      </c>
      <c r="D991" s="20"/>
      <c r="E991" s="3">
        <v>8675374.1099999994</v>
      </c>
      <c r="F991" s="24">
        <v>0.30237874318021779</v>
      </c>
      <c r="G991" s="26">
        <f t="shared" si="15"/>
        <v>2623248.7200000002</v>
      </c>
      <c r="H991" t="s">
        <v>68</v>
      </c>
    </row>
    <row r="992" spans="1:8" hidden="1">
      <c r="A992" s="13" t="s">
        <v>729</v>
      </c>
      <c r="B992" s="22" t="s">
        <v>730</v>
      </c>
      <c r="C992" s="15" t="s">
        <v>73</v>
      </c>
      <c r="D992" s="16"/>
      <c r="E992" s="2">
        <v>8675374.1099999994</v>
      </c>
      <c r="F992" s="23">
        <v>0.61683321112707612</v>
      </c>
      <c r="G992" s="26">
        <f t="shared" si="15"/>
        <v>5351258.87</v>
      </c>
      <c r="H992" t="s">
        <v>68</v>
      </c>
    </row>
    <row r="993" spans="1:8" hidden="1">
      <c r="A993" s="19" t="s">
        <v>729</v>
      </c>
      <c r="B993" s="20" t="s">
        <v>730</v>
      </c>
      <c r="C993" s="19" t="s">
        <v>74</v>
      </c>
      <c r="D993" s="20"/>
      <c r="E993" s="3">
        <v>8675374.1099999994</v>
      </c>
      <c r="F993" s="24">
        <v>8.0788045692706159E-2</v>
      </c>
      <c r="G993" s="26">
        <f t="shared" si="15"/>
        <v>700866.52</v>
      </c>
      <c r="H993" t="s">
        <v>68</v>
      </c>
    </row>
    <row r="994" spans="1:8" hidden="1">
      <c r="A994" s="13" t="s">
        <v>731</v>
      </c>
      <c r="B994" s="14" t="s">
        <v>732</v>
      </c>
      <c r="C994" s="15" t="s">
        <v>72</v>
      </c>
      <c r="D994" s="16"/>
      <c r="E994" s="2">
        <v>8621998.0899999999</v>
      </c>
      <c r="F994" s="23">
        <v>0.27372316200547897</v>
      </c>
      <c r="G994" s="26">
        <f t="shared" si="15"/>
        <v>2360040.58</v>
      </c>
      <c r="H994" t="s">
        <v>68</v>
      </c>
    </row>
    <row r="995" spans="1:8" hidden="1">
      <c r="A995" s="17" t="s">
        <v>731</v>
      </c>
      <c r="B995" s="18" t="s">
        <v>732</v>
      </c>
      <c r="C995" s="19" t="s">
        <v>73</v>
      </c>
      <c r="D995" s="20"/>
      <c r="E995" s="3">
        <v>8621998.0899999999</v>
      </c>
      <c r="F995" s="24">
        <v>0.66280871328747881</v>
      </c>
      <c r="G995" s="26">
        <f t="shared" si="15"/>
        <v>5714735.46</v>
      </c>
      <c r="H995" t="s">
        <v>68</v>
      </c>
    </row>
    <row r="996" spans="1:8" hidden="1">
      <c r="A996" s="15" t="s">
        <v>731</v>
      </c>
      <c r="B996" s="16" t="s">
        <v>732</v>
      </c>
      <c r="C996" s="15" t="s">
        <v>74</v>
      </c>
      <c r="D996" s="16"/>
      <c r="E996" s="2">
        <v>8621998.0899999999</v>
      </c>
      <c r="F996" s="23">
        <v>6.3468124707042245E-2</v>
      </c>
      <c r="G996" s="26">
        <f t="shared" si="15"/>
        <v>547222.05000000005</v>
      </c>
      <c r="H996" t="s">
        <v>68</v>
      </c>
    </row>
    <row r="997" spans="1:8" hidden="1">
      <c r="A997" s="17" t="s">
        <v>733</v>
      </c>
      <c r="B997" s="21" t="s">
        <v>734</v>
      </c>
      <c r="C997" s="19" t="s">
        <v>72</v>
      </c>
      <c r="D997" s="20"/>
      <c r="E997" s="3">
        <v>20937075.800000001</v>
      </c>
      <c r="F997" s="24">
        <v>0.62780233904488225</v>
      </c>
      <c r="G997" s="26">
        <f t="shared" si="15"/>
        <v>13144345.16</v>
      </c>
      <c r="H997" t="s">
        <v>68</v>
      </c>
    </row>
    <row r="998" spans="1:8" hidden="1">
      <c r="A998" s="13" t="s">
        <v>733</v>
      </c>
      <c r="B998" s="22" t="s">
        <v>734</v>
      </c>
      <c r="C998" s="15" t="s">
        <v>73</v>
      </c>
      <c r="D998" s="16"/>
      <c r="E998" s="2">
        <v>20937075.800000001</v>
      </c>
      <c r="F998" s="23">
        <v>0.34517987798468014</v>
      </c>
      <c r="G998" s="26">
        <f t="shared" si="15"/>
        <v>7227057.2699999996</v>
      </c>
      <c r="H998" t="s">
        <v>68</v>
      </c>
    </row>
    <row r="999" spans="1:8" hidden="1">
      <c r="A999" s="19" t="s">
        <v>733</v>
      </c>
      <c r="B999" s="20" t="s">
        <v>734</v>
      </c>
      <c r="C999" s="19" t="s">
        <v>74</v>
      </c>
      <c r="D999" s="20"/>
      <c r="E999" s="3">
        <v>20937075.800000001</v>
      </c>
      <c r="F999" s="24">
        <v>2.7017782970437543E-2</v>
      </c>
      <c r="G999" s="26">
        <f t="shared" si="15"/>
        <v>565673.37</v>
      </c>
      <c r="H999" t="s">
        <v>68</v>
      </c>
    </row>
    <row r="1000" spans="1:8" hidden="1">
      <c r="A1000" s="13" t="s">
        <v>735</v>
      </c>
      <c r="B1000" s="14" t="s">
        <v>736</v>
      </c>
      <c r="C1000" s="15" t="s">
        <v>72</v>
      </c>
      <c r="D1000" s="16"/>
      <c r="E1000" s="2">
        <v>18915163.329999998</v>
      </c>
      <c r="F1000" s="23">
        <v>0.30003169314425376</v>
      </c>
      <c r="G1000" s="26">
        <f t="shared" si="15"/>
        <v>5675148.4800000004</v>
      </c>
      <c r="H1000" t="s">
        <v>68</v>
      </c>
    </row>
    <row r="1001" spans="1:8" hidden="1">
      <c r="A1001" s="17" t="s">
        <v>735</v>
      </c>
      <c r="B1001" s="18" t="s">
        <v>736</v>
      </c>
      <c r="C1001" s="19" t="s">
        <v>73</v>
      </c>
      <c r="D1001" s="20"/>
      <c r="E1001" s="3">
        <v>18915163.329999998</v>
      </c>
      <c r="F1001" s="24">
        <v>0.63705224532153171</v>
      </c>
      <c r="G1001" s="26">
        <f t="shared" si="15"/>
        <v>12049947.27</v>
      </c>
      <c r="H1001" t="s">
        <v>68</v>
      </c>
    </row>
    <row r="1002" spans="1:8" hidden="1">
      <c r="A1002" s="15" t="s">
        <v>735</v>
      </c>
      <c r="B1002" s="16" t="s">
        <v>736</v>
      </c>
      <c r="C1002" s="15" t="s">
        <v>74</v>
      </c>
      <c r="D1002" s="16"/>
      <c r="E1002" s="2">
        <v>18915163.329999998</v>
      </c>
      <c r="F1002" s="23">
        <v>6.291606153421464E-2</v>
      </c>
      <c r="G1002" s="26">
        <f t="shared" si="15"/>
        <v>1190067.58</v>
      </c>
      <c r="H1002" t="s">
        <v>68</v>
      </c>
    </row>
    <row r="1003" spans="1:8" hidden="1">
      <c r="A1003" s="17" t="s">
        <v>737</v>
      </c>
      <c r="B1003" s="21" t="s">
        <v>738</v>
      </c>
      <c r="C1003" s="19" t="s">
        <v>72</v>
      </c>
      <c r="D1003" s="20"/>
      <c r="E1003" s="3">
        <v>8661488.2899999991</v>
      </c>
      <c r="F1003" s="24">
        <v>0.43105820096883146</v>
      </c>
      <c r="G1003" s="26">
        <f t="shared" si="15"/>
        <v>3733605.56</v>
      </c>
      <c r="H1003" t="s">
        <v>68</v>
      </c>
    </row>
    <row r="1004" spans="1:8" hidden="1">
      <c r="A1004" s="13" t="s">
        <v>737</v>
      </c>
      <c r="B1004" s="22" t="s">
        <v>738</v>
      </c>
      <c r="C1004" s="15" t="s">
        <v>73</v>
      </c>
      <c r="D1004" s="16"/>
      <c r="E1004" s="2">
        <v>8661488.2899999991</v>
      </c>
      <c r="F1004" s="23">
        <v>0.52156390088475202</v>
      </c>
      <c r="G1004" s="26">
        <f t="shared" si="15"/>
        <v>4517519.62</v>
      </c>
      <c r="H1004" t="s">
        <v>68</v>
      </c>
    </row>
    <row r="1005" spans="1:8" hidden="1">
      <c r="A1005" s="19" t="s">
        <v>737</v>
      </c>
      <c r="B1005" s="20" t="s">
        <v>738</v>
      </c>
      <c r="C1005" s="19" t="s">
        <v>74</v>
      </c>
      <c r="D1005" s="20"/>
      <c r="E1005" s="3">
        <v>8661488.2899999991</v>
      </c>
      <c r="F1005" s="24">
        <v>4.7377898146416596E-2</v>
      </c>
      <c r="G1005" s="26">
        <f t="shared" si="15"/>
        <v>410363.11</v>
      </c>
      <c r="H1005" t="s">
        <v>68</v>
      </c>
    </row>
    <row r="1006" spans="1:8" hidden="1">
      <c r="A1006" s="13" t="s">
        <v>739</v>
      </c>
      <c r="B1006" s="14" t="s">
        <v>740</v>
      </c>
      <c r="C1006" s="15" t="s">
        <v>72</v>
      </c>
      <c r="D1006" s="16"/>
      <c r="E1006" s="2">
        <v>19522158.219999999</v>
      </c>
      <c r="F1006" s="23">
        <v>0.40512520136720831</v>
      </c>
      <c r="G1006" s="26">
        <f t="shared" si="15"/>
        <v>7908918.2800000003</v>
      </c>
      <c r="H1006" t="s">
        <v>68</v>
      </c>
    </row>
    <row r="1007" spans="1:8" hidden="1">
      <c r="A1007" s="17" t="s">
        <v>739</v>
      </c>
      <c r="B1007" s="18" t="s">
        <v>740</v>
      </c>
      <c r="C1007" s="19" t="s">
        <v>73</v>
      </c>
      <c r="D1007" s="20"/>
      <c r="E1007" s="3">
        <v>19522158.219999999</v>
      </c>
      <c r="F1007" s="24">
        <v>0.52809770537757694</v>
      </c>
      <c r="G1007" s="26">
        <f t="shared" si="15"/>
        <v>10309606.960000001</v>
      </c>
      <c r="H1007" t="s">
        <v>68</v>
      </c>
    </row>
    <row r="1008" spans="1:8" hidden="1">
      <c r="A1008" s="15" t="s">
        <v>739</v>
      </c>
      <c r="B1008" s="16" t="s">
        <v>740</v>
      </c>
      <c r="C1008" s="15" t="s">
        <v>74</v>
      </c>
      <c r="D1008" s="16"/>
      <c r="E1008" s="2">
        <v>19522158.219999999</v>
      </c>
      <c r="F1008" s="23">
        <v>6.67770932552149E-2</v>
      </c>
      <c r="G1008" s="26">
        <f t="shared" si="15"/>
        <v>1303632.98</v>
      </c>
      <c r="H1008" t="s">
        <v>68</v>
      </c>
    </row>
    <row r="1009" spans="1:8" hidden="1">
      <c r="A1009" s="17" t="s">
        <v>741</v>
      </c>
      <c r="B1009" s="21" t="s">
        <v>742</v>
      </c>
      <c r="C1009" s="19" t="s">
        <v>72</v>
      </c>
      <c r="D1009" s="20"/>
      <c r="E1009" s="3">
        <v>33031800.510000002</v>
      </c>
      <c r="F1009" s="24">
        <v>0.84795858316958572</v>
      </c>
      <c r="G1009" s="26">
        <f t="shared" si="15"/>
        <v>28009598.760000002</v>
      </c>
      <c r="H1009" t="s">
        <v>68</v>
      </c>
    </row>
    <row r="1010" spans="1:8" hidden="1">
      <c r="A1010" s="13" t="s">
        <v>741</v>
      </c>
      <c r="B1010" s="22" t="s">
        <v>742</v>
      </c>
      <c r="C1010" s="15" t="s">
        <v>73</v>
      </c>
      <c r="D1010" s="16"/>
      <c r="E1010" s="2">
        <v>33031800.510000002</v>
      </c>
      <c r="F1010" s="23">
        <v>0.12841224530633374</v>
      </c>
      <c r="G1010" s="26">
        <f t="shared" si="15"/>
        <v>4241687.67</v>
      </c>
      <c r="H1010" t="s">
        <v>68</v>
      </c>
    </row>
    <row r="1011" spans="1:8" hidden="1">
      <c r="A1011" s="19" t="s">
        <v>741</v>
      </c>
      <c r="B1011" s="20" t="s">
        <v>742</v>
      </c>
      <c r="C1011" s="19" t="s">
        <v>74</v>
      </c>
      <c r="D1011" s="20"/>
      <c r="E1011" s="3">
        <v>33031800.510000002</v>
      </c>
      <c r="F1011" s="24">
        <v>2.3629171524080506E-2</v>
      </c>
      <c r="G1011" s="26">
        <f t="shared" si="15"/>
        <v>780514.08</v>
      </c>
      <c r="H1011" t="s">
        <v>68</v>
      </c>
    </row>
    <row r="1012" spans="1:8" hidden="1">
      <c r="A1012" s="13" t="s">
        <v>743</v>
      </c>
      <c r="B1012" s="14" t="s">
        <v>744</v>
      </c>
      <c r="C1012" s="15" t="s">
        <v>72</v>
      </c>
      <c r="D1012" s="16"/>
      <c r="E1012" s="2">
        <v>7066328.1699999999</v>
      </c>
      <c r="F1012" s="23">
        <v>0.28709971589106087</v>
      </c>
      <c r="G1012" s="26">
        <f t="shared" si="15"/>
        <v>2028740.81</v>
      </c>
      <c r="H1012" t="s">
        <v>68</v>
      </c>
    </row>
    <row r="1013" spans="1:8" hidden="1">
      <c r="A1013" s="17" t="s">
        <v>743</v>
      </c>
      <c r="B1013" s="18" t="s">
        <v>744</v>
      </c>
      <c r="C1013" s="19" t="s">
        <v>73</v>
      </c>
      <c r="D1013" s="20"/>
      <c r="E1013" s="3">
        <v>7066328.1699999999</v>
      </c>
      <c r="F1013" s="24">
        <v>0.64578228186082109</v>
      </c>
      <c r="G1013" s="26">
        <f t="shared" si="15"/>
        <v>4563309.53</v>
      </c>
      <c r="H1013" t="s">
        <v>68</v>
      </c>
    </row>
    <row r="1014" spans="1:8" hidden="1">
      <c r="A1014" s="15" t="s">
        <v>743</v>
      </c>
      <c r="B1014" s="16" t="s">
        <v>744</v>
      </c>
      <c r="C1014" s="15" t="s">
        <v>74</v>
      </c>
      <c r="D1014" s="16"/>
      <c r="E1014" s="2">
        <v>7066328.1699999999</v>
      </c>
      <c r="F1014" s="23">
        <v>6.7118002248118064E-2</v>
      </c>
      <c r="G1014" s="26">
        <f t="shared" si="15"/>
        <v>474277.83</v>
      </c>
      <c r="H1014" t="s">
        <v>68</v>
      </c>
    </row>
    <row r="1015" spans="1:8" hidden="1">
      <c r="A1015" s="17" t="s">
        <v>745</v>
      </c>
      <c r="B1015" s="21" t="s">
        <v>746</v>
      </c>
      <c r="C1015" s="19" t="s">
        <v>72</v>
      </c>
      <c r="D1015" s="20"/>
      <c r="E1015" s="3">
        <v>8920036.3900000006</v>
      </c>
      <c r="F1015" s="24">
        <v>0.32192016539519963</v>
      </c>
      <c r="G1015" s="26">
        <f t="shared" si="15"/>
        <v>2871539.59</v>
      </c>
      <c r="H1015" t="s">
        <v>68</v>
      </c>
    </row>
    <row r="1016" spans="1:8" hidden="1">
      <c r="A1016" s="13" t="s">
        <v>745</v>
      </c>
      <c r="B1016" s="22" t="s">
        <v>746</v>
      </c>
      <c r="C1016" s="15" t="s">
        <v>73</v>
      </c>
      <c r="D1016" s="16"/>
      <c r="E1016" s="2">
        <v>8920036.3900000006</v>
      </c>
      <c r="F1016" s="23">
        <v>0.59489291948953582</v>
      </c>
      <c r="G1016" s="26">
        <f t="shared" si="15"/>
        <v>5306466.49</v>
      </c>
      <c r="H1016" t="s">
        <v>68</v>
      </c>
    </row>
    <row r="1017" spans="1:8" hidden="1">
      <c r="A1017" s="19" t="s">
        <v>745</v>
      </c>
      <c r="B1017" s="20" t="s">
        <v>746</v>
      </c>
      <c r="C1017" s="19" t="s">
        <v>74</v>
      </c>
      <c r="D1017" s="20"/>
      <c r="E1017" s="3">
        <v>8920036.3900000006</v>
      </c>
      <c r="F1017" s="24">
        <v>8.3186915115264451E-2</v>
      </c>
      <c r="G1017" s="26">
        <f t="shared" si="15"/>
        <v>742030.30999999994</v>
      </c>
      <c r="H1017" t="s">
        <v>68</v>
      </c>
    </row>
    <row r="1018" spans="1:8" hidden="1">
      <c r="A1018" s="13" t="s">
        <v>747</v>
      </c>
      <c r="B1018" s="14" t="s">
        <v>748</v>
      </c>
      <c r="C1018" s="15" t="s">
        <v>72</v>
      </c>
      <c r="D1018" s="16"/>
      <c r="E1018" s="2">
        <v>12850004.18</v>
      </c>
      <c r="F1018" s="23">
        <v>0.55250562883474486</v>
      </c>
      <c r="G1018" s="26">
        <f t="shared" si="15"/>
        <v>7099699.6399999997</v>
      </c>
      <c r="H1018" t="s">
        <v>68</v>
      </c>
    </row>
    <row r="1019" spans="1:8" hidden="1">
      <c r="A1019" s="17" t="s">
        <v>747</v>
      </c>
      <c r="B1019" s="18" t="s">
        <v>748</v>
      </c>
      <c r="C1019" s="19" t="s">
        <v>73</v>
      </c>
      <c r="D1019" s="20"/>
      <c r="E1019" s="3">
        <v>12850004.18</v>
      </c>
      <c r="F1019" s="24">
        <v>0.38811278970338825</v>
      </c>
      <c r="G1019" s="26">
        <f t="shared" si="15"/>
        <v>4987250.97</v>
      </c>
      <c r="H1019" t="s">
        <v>68</v>
      </c>
    </row>
    <row r="1020" spans="1:8" hidden="1">
      <c r="A1020" s="15" t="s">
        <v>747</v>
      </c>
      <c r="B1020" s="16" t="s">
        <v>748</v>
      </c>
      <c r="C1020" s="15" t="s">
        <v>74</v>
      </c>
      <c r="D1020" s="16"/>
      <c r="E1020" s="2">
        <v>12850004.18</v>
      </c>
      <c r="F1020" s="23">
        <v>5.9381581461866881E-2</v>
      </c>
      <c r="G1020" s="26">
        <f t="shared" si="15"/>
        <v>763053.57</v>
      </c>
      <c r="H1020" t="s">
        <v>68</v>
      </c>
    </row>
    <row r="1021" spans="1:8" hidden="1">
      <c r="A1021" s="17" t="s">
        <v>749</v>
      </c>
      <c r="B1021" s="21" t="s">
        <v>750</v>
      </c>
      <c r="C1021" s="19" t="s">
        <v>72</v>
      </c>
      <c r="D1021" s="20"/>
      <c r="E1021" s="3">
        <v>46219149.960000001</v>
      </c>
      <c r="F1021" s="24">
        <v>0.54890535529009543</v>
      </c>
      <c r="G1021" s="26">
        <f t="shared" si="15"/>
        <v>25369938.93</v>
      </c>
      <c r="H1021" t="s">
        <v>68</v>
      </c>
    </row>
    <row r="1022" spans="1:8" hidden="1">
      <c r="A1022" s="13" t="s">
        <v>749</v>
      </c>
      <c r="B1022" s="22" t="s">
        <v>750</v>
      </c>
      <c r="C1022" s="15" t="s">
        <v>73</v>
      </c>
      <c r="D1022" s="16"/>
      <c r="E1022" s="2">
        <v>46219149.960000001</v>
      </c>
      <c r="F1022" s="23">
        <v>0.40406953581281307</v>
      </c>
      <c r="G1022" s="26">
        <f t="shared" si="15"/>
        <v>18675750.469999999</v>
      </c>
      <c r="H1022" t="s">
        <v>68</v>
      </c>
    </row>
    <row r="1023" spans="1:8" hidden="1">
      <c r="A1023" s="19" t="s">
        <v>749</v>
      </c>
      <c r="B1023" s="20" t="s">
        <v>750</v>
      </c>
      <c r="C1023" s="19" t="s">
        <v>74</v>
      </c>
      <c r="D1023" s="20"/>
      <c r="E1023" s="3">
        <v>46219149.960000001</v>
      </c>
      <c r="F1023" s="24">
        <v>4.7025108897091453E-2</v>
      </c>
      <c r="G1023" s="26">
        <f t="shared" si="15"/>
        <v>2173460.56</v>
      </c>
      <c r="H1023" t="s">
        <v>68</v>
      </c>
    </row>
    <row r="1024" spans="1:8" hidden="1">
      <c r="A1024" s="13" t="s">
        <v>751</v>
      </c>
      <c r="B1024" s="14" t="s">
        <v>752</v>
      </c>
      <c r="C1024" s="15" t="s">
        <v>72</v>
      </c>
      <c r="D1024" s="16"/>
      <c r="E1024" s="2">
        <v>6432850.25</v>
      </c>
      <c r="F1024" s="23">
        <v>0.30608292801468523</v>
      </c>
      <c r="G1024" s="26">
        <f t="shared" si="15"/>
        <v>1968985.64</v>
      </c>
      <c r="H1024" t="s">
        <v>68</v>
      </c>
    </row>
    <row r="1025" spans="1:8" hidden="1">
      <c r="A1025" s="17" t="s">
        <v>751</v>
      </c>
      <c r="B1025" s="18" t="s">
        <v>752</v>
      </c>
      <c r="C1025" s="19" t="s">
        <v>73</v>
      </c>
      <c r="D1025" s="20"/>
      <c r="E1025" s="3">
        <v>6432850.25</v>
      </c>
      <c r="F1025" s="24">
        <v>0.62303144395441201</v>
      </c>
      <c r="G1025" s="26">
        <f t="shared" si="15"/>
        <v>4007867.9800000004</v>
      </c>
      <c r="H1025" t="s">
        <v>68</v>
      </c>
    </row>
    <row r="1026" spans="1:8" hidden="1">
      <c r="A1026" s="15" t="s">
        <v>751</v>
      </c>
      <c r="B1026" s="16" t="s">
        <v>752</v>
      </c>
      <c r="C1026" s="15" t="s">
        <v>74</v>
      </c>
      <c r="D1026" s="16"/>
      <c r="E1026" s="2">
        <v>6432850.25</v>
      </c>
      <c r="F1026" s="23">
        <v>7.0885628030902786E-2</v>
      </c>
      <c r="G1026" s="26">
        <f t="shared" si="15"/>
        <v>455996.63</v>
      </c>
      <c r="H1026" t="s">
        <v>68</v>
      </c>
    </row>
    <row r="1027" spans="1:8" hidden="1">
      <c r="A1027" s="17" t="s">
        <v>753</v>
      </c>
      <c r="B1027" s="21" t="s">
        <v>754</v>
      </c>
      <c r="C1027" s="19" t="s">
        <v>72</v>
      </c>
      <c r="D1027" s="20"/>
      <c r="E1027" s="3">
        <v>101279238.12</v>
      </c>
      <c r="F1027" s="24">
        <v>0.71642658522005076</v>
      </c>
      <c r="G1027" s="26">
        <f t="shared" si="15"/>
        <v>72559138.719999999</v>
      </c>
      <c r="H1027" t="s">
        <v>68</v>
      </c>
    </row>
    <row r="1028" spans="1:8" hidden="1">
      <c r="A1028" s="13" t="s">
        <v>753</v>
      </c>
      <c r="B1028" s="22" t="s">
        <v>754</v>
      </c>
      <c r="C1028" s="15" t="s">
        <v>73</v>
      </c>
      <c r="D1028" s="16"/>
      <c r="E1028" s="2">
        <v>101279238.12</v>
      </c>
      <c r="F1028" s="23">
        <v>0.26866735764500832</v>
      </c>
      <c r="G1028" s="26">
        <f t="shared" si="15"/>
        <v>27210425.290000003</v>
      </c>
      <c r="H1028" t="s">
        <v>68</v>
      </c>
    </row>
    <row r="1029" spans="1:8" hidden="1">
      <c r="A1029" s="19" t="s">
        <v>753</v>
      </c>
      <c r="B1029" s="20" t="s">
        <v>754</v>
      </c>
      <c r="C1029" s="19" t="s">
        <v>74</v>
      </c>
      <c r="D1029" s="20"/>
      <c r="E1029" s="3">
        <v>101279238.12</v>
      </c>
      <c r="F1029" s="24">
        <v>1.4906057134940857E-2</v>
      </c>
      <c r="G1029" s="26">
        <f t="shared" ref="G1029:G1092" si="16">F1029*E1029</f>
        <v>1509674.11</v>
      </c>
      <c r="H1029" t="s">
        <v>68</v>
      </c>
    </row>
    <row r="1030" spans="1:8" hidden="1">
      <c r="A1030" s="13" t="s">
        <v>755</v>
      </c>
      <c r="B1030" s="14" t="s">
        <v>756</v>
      </c>
      <c r="C1030" s="15" t="s">
        <v>72</v>
      </c>
      <c r="D1030" s="16"/>
      <c r="E1030" s="2">
        <v>53491132.020000003</v>
      </c>
      <c r="F1030" s="23">
        <v>0.58141822906966401</v>
      </c>
      <c r="G1030" s="26">
        <f t="shared" si="16"/>
        <v>31100719.25</v>
      </c>
      <c r="H1030" t="s">
        <v>68</v>
      </c>
    </row>
    <row r="1031" spans="1:8" hidden="1">
      <c r="A1031" s="17" t="s">
        <v>755</v>
      </c>
      <c r="B1031" s="18" t="s">
        <v>756</v>
      </c>
      <c r="C1031" s="19" t="s">
        <v>73</v>
      </c>
      <c r="D1031" s="20"/>
      <c r="E1031" s="3">
        <v>53491132.020000003</v>
      </c>
      <c r="F1031" s="24">
        <v>0.37795640242649697</v>
      </c>
      <c r="G1031" s="26">
        <f t="shared" si="16"/>
        <v>20217315.82</v>
      </c>
      <c r="H1031" t="s">
        <v>68</v>
      </c>
    </row>
    <row r="1032" spans="1:8" hidden="1">
      <c r="A1032" s="15" t="s">
        <v>755</v>
      </c>
      <c r="B1032" s="16" t="s">
        <v>756</v>
      </c>
      <c r="C1032" s="15" t="s">
        <v>74</v>
      </c>
      <c r="D1032" s="16"/>
      <c r="E1032" s="2">
        <v>53491132.020000003</v>
      </c>
      <c r="F1032" s="23">
        <v>4.0625368503838966E-2</v>
      </c>
      <c r="G1032" s="26">
        <f t="shared" si="16"/>
        <v>2173096.9500000002</v>
      </c>
      <c r="H1032" t="s">
        <v>68</v>
      </c>
    </row>
    <row r="1033" spans="1:8" hidden="1">
      <c r="A1033" s="17" t="s">
        <v>757</v>
      </c>
      <c r="B1033" s="21" t="s">
        <v>758</v>
      </c>
      <c r="C1033" s="19" t="s">
        <v>72</v>
      </c>
      <c r="D1033" s="20"/>
      <c r="E1033" s="3">
        <v>13916160.23</v>
      </c>
      <c r="F1033" s="24">
        <v>0.43330736139418535</v>
      </c>
      <c r="G1033" s="26">
        <f t="shared" si="16"/>
        <v>6029974.6699999999</v>
      </c>
      <c r="H1033" t="s">
        <v>68</v>
      </c>
    </row>
    <row r="1034" spans="1:8" hidden="1">
      <c r="A1034" s="13" t="s">
        <v>757</v>
      </c>
      <c r="B1034" s="22" t="s">
        <v>758</v>
      </c>
      <c r="C1034" s="15" t="s">
        <v>73</v>
      </c>
      <c r="D1034" s="16"/>
      <c r="E1034" s="2">
        <v>13916160.23</v>
      </c>
      <c r="F1034" s="23">
        <v>0.50533982677490341</v>
      </c>
      <c r="G1034" s="26">
        <f t="shared" si="16"/>
        <v>7032390</v>
      </c>
      <c r="H1034" t="s">
        <v>68</v>
      </c>
    </row>
    <row r="1035" spans="1:8" hidden="1">
      <c r="A1035" s="19" t="s">
        <v>757</v>
      </c>
      <c r="B1035" s="20" t="s">
        <v>758</v>
      </c>
      <c r="C1035" s="19" t="s">
        <v>74</v>
      </c>
      <c r="D1035" s="20"/>
      <c r="E1035" s="3">
        <v>13916160.23</v>
      </c>
      <c r="F1035" s="24">
        <v>6.1352811830911208E-2</v>
      </c>
      <c r="G1035" s="26">
        <f t="shared" si="16"/>
        <v>853795.56</v>
      </c>
      <c r="H1035" t="s">
        <v>68</v>
      </c>
    </row>
    <row r="1036" spans="1:8" hidden="1">
      <c r="A1036" s="13" t="s">
        <v>759</v>
      </c>
      <c r="B1036" s="14" t="s">
        <v>760</v>
      </c>
      <c r="C1036" s="15" t="s">
        <v>72</v>
      </c>
      <c r="D1036" s="16"/>
      <c r="E1036" s="2">
        <v>9743968.8499999996</v>
      </c>
      <c r="F1036" s="23">
        <v>0.40861923732442967</v>
      </c>
      <c r="G1036" s="26">
        <f t="shared" si="16"/>
        <v>3981573.12</v>
      </c>
      <c r="H1036" t="s">
        <v>68</v>
      </c>
    </row>
    <row r="1037" spans="1:8" hidden="1">
      <c r="A1037" s="17" t="s">
        <v>759</v>
      </c>
      <c r="B1037" s="18" t="s">
        <v>760</v>
      </c>
      <c r="C1037" s="19" t="s">
        <v>73</v>
      </c>
      <c r="D1037" s="20"/>
      <c r="E1037" s="3">
        <v>9743968.8499999996</v>
      </c>
      <c r="F1037" s="24">
        <v>0.54297235976898672</v>
      </c>
      <c r="G1037" s="26">
        <f t="shared" si="16"/>
        <v>5290705.76</v>
      </c>
      <c r="H1037" t="s">
        <v>68</v>
      </c>
    </row>
    <row r="1038" spans="1:8" hidden="1">
      <c r="A1038" s="15" t="s">
        <v>759</v>
      </c>
      <c r="B1038" s="16" t="s">
        <v>760</v>
      </c>
      <c r="C1038" s="15" t="s">
        <v>74</v>
      </c>
      <c r="D1038" s="16"/>
      <c r="E1038" s="2">
        <v>9743968.8499999996</v>
      </c>
      <c r="F1038" s="23">
        <v>4.8408402906583596E-2</v>
      </c>
      <c r="G1038" s="26">
        <f t="shared" si="16"/>
        <v>471689.97000000003</v>
      </c>
      <c r="H1038" t="s">
        <v>68</v>
      </c>
    </row>
    <row r="1039" spans="1:8" hidden="1">
      <c r="A1039" s="17" t="s">
        <v>762</v>
      </c>
      <c r="B1039" s="21" t="s">
        <v>763</v>
      </c>
      <c r="C1039" s="19" t="s">
        <v>72</v>
      </c>
      <c r="D1039" s="20"/>
      <c r="E1039" s="3">
        <v>14031403.789999999</v>
      </c>
      <c r="F1039" s="24">
        <v>0.38502941408116942</v>
      </c>
      <c r="G1039" s="26">
        <f t="shared" si="16"/>
        <v>5402503.1799999997</v>
      </c>
      <c r="H1039" t="s">
        <v>68</v>
      </c>
    </row>
    <row r="1040" spans="1:8" hidden="1">
      <c r="A1040" s="13" t="s">
        <v>762</v>
      </c>
      <c r="B1040" s="22" t="s">
        <v>763</v>
      </c>
      <c r="C1040" s="15" t="s">
        <v>73</v>
      </c>
      <c r="D1040" s="16"/>
      <c r="E1040" s="2">
        <v>14031403.789999999</v>
      </c>
      <c r="F1040" s="23">
        <v>0.55214375524717196</v>
      </c>
      <c r="G1040" s="26">
        <f t="shared" si="16"/>
        <v>7747351.9800000004</v>
      </c>
      <c r="H1040" t="s">
        <v>68</v>
      </c>
    </row>
    <row r="1041" spans="1:8" hidden="1">
      <c r="A1041" s="19" t="s">
        <v>762</v>
      </c>
      <c r="B1041" s="20" t="s">
        <v>763</v>
      </c>
      <c r="C1041" s="19" t="s">
        <v>74</v>
      </c>
      <c r="D1041" s="20"/>
      <c r="E1041" s="3">
        <v>14031403.789999999</v>
      </c>
      <c r="F1041" s="24">
        <v>6.2826830671658701E-2</v>
      </c>
      <c r="G1041" s="26">
        <f t="shared" si="16"/>
        <v>881548.63000000012</v>
      </c>
      <c r="H1041" t="s">
        <v>68</v>
      </c>
    </row>
    <row r="1042" spans="1:8" hidden="1">
      <c r="A1042" s="13" t="s">
        <v>764</v>
      </c>
      <c r="B1042" s="14" t="s">
        <v>765</v>
      </c>
      <c r="C1042" s="15" t="s">
        <v>72</v>
      </c>
      <c r="D1042" s="16"/>
      <c r="E1042" s="2">
        <v>10450182.859999999</v>
      </c>
      <c r="F1042" s="23">
        <v>0.30437917140906379</v>
      </c>
      <c r="G1042" s="26">
        <f t="shared" si="16"/>
        <v>3180818.0000000005</v>
      </c>
      <c r="H1042" t="s">
        <v>68</v>
      </c>
    </row>
    <row r="1043" spans="1:8" hidden="1">
      <c r="A1043" s="17" t="s">
        <v>764</v>
      </c>
      <c r="B1043" s="18" t="s">
        <v>765</v>
      </c>
      <c r="C1043" s="19" t="s">
        <v>73</v>
      </c>
      <c r="D1043" s="20"/>
      <c r="E1043" s="3">
        <v>10450182.859999999</v>
      </c>
      <c r="F1043" s="24">
        <v>0.59970452517038542</v>
      </c>
      <c r="G1043" s="26">
        <f t="shared" si="16"/>
        <v>6267021.9500000002</v>
      </c>
      <c r="H1043" t="s">
        <v>68</v>
      </c>
    </row>
    <row r="1044" spans="1:8" hidden="1">
      <c r="A1044" s="15" t="s">
        <v>764</v>
      </c>
      <c r="B1044" s="16" t="s">
        <v>765</v>
      </c>
      <c r="C1044" s="15" t="s">
        <v>74</v>
      </c>
      <c r="D1044" s="16"/>
      <c r="E1044" s="2">
        <v>10450182.859999999</v>
      </c>
      <c r="F1044" s="23">
        <v>9.5916303420550866E-2</v>
      </c>
      <c r="G1044" s="26">
        <f t="shared" si="16"/>
        <v>1002342.91</v>
      </c>
      <c r="H1044" t="s">
        <v>68</v>
      </c>
    </row>
    <row r="1045" spans="1:8" hidden="1">
      <c r="A1045" s="17" t="s">
        <v>766</v>
      </c>
      <c r="B1045" s="21" t="s">
        <v>767</v>
      </c>
      <c r="C1045" s="19" t="s">
        <v>72</v>
      </c>
      <c r="D1045" s="20"/>
      <c r="E1045" s="3">
        <v>27670914.18</v>
      </c>
      <c r="F1045" s="24">
        <v>0.47420000599344131</v>
      </c>
      <c r="G1045" s="26">
        <f t="shared" si="16"/>
        <v>13121547.67</v>
      </c>
      <c r="H1045" t="s">
        <v>68</v>
      </c>
    </row>
    <row r="1046" spans="1:8" hidden="1">
      <c r="A1046" s="13" t="s">
        <v>766</v>
      </c>
      <c r="B1046" s="22" t="s">
        <v>767</v>
      </c>
      <c r="C1046" s="15" t="s">
        <v>73</v>
      </c>
      <c r="D1046" s="16"/>
      <c r="E1046" s="2">
        <v>27670914.18</v>
      </c>
      <c r="F1046" s="23">
        <v>0.465680242661213</v>
      </c>
      <c r="G1046" s="26">
        <f t="shared" si="16"/>
        <v>12885798.029999999</v>
      </c>
      <c r="H1046" t="s">
        <v>68</v>
      </c>
    </row>
    <row r="1047" spans="1:8" hidden="1">
      <c r="A1047" s="19" t="s">
        <v>766</v>
      </c>
      <c r="B1047" s="20" t="s">
        <v>767</v>
      </c>
      <c r="C1047" s="19" t="s">
        <v>74</v>
      </c>
      <c r="D1047" s="20"/>
      <c r="E1047" s="3">
        <v>27670914.18</v>
      </c>
      <c r="F1047" s="24">
        <v>6.0119751345345689E-2</v>
      </c>
      <c r="G1047" s="26">
        <f t="shared" si="16"/>
        <v>1663568.48</v>
      </c>
      <c r="H1047" t="s">
        <v>68</v>
      </c>
    </row>
    <row r="1048" spans="1:8" hidden="1">
      <c r="A1048" s="13" t="s">
        <v>768</v>
      </c>
      <c r="B1048" s="14" t="s">
        <v>769</v>
      </c>
      <c r="C1048" s="15" t="s">
        <v>72</v>
      </c>
      <c r="D1048" s="16"/>
      <c r="E1048" s="2">
        <v>11167731.67</v>
      </c>
      <c r="F1048" s="23">
        <v>0.31664794825787573</v>
      </c>
      <c r="G1048" s="26">
        <f t="shared" si="16"/>
        <v>3536239.3200000003</v>
      </c>
      <c r="H1048" t="s">
        <v>68</v>
      </c>
    </row>
    <row r="1049" spans="1:8" hidden="1">
      <c r="A1049" s="17" t="s">
        <v>768</v>
      </c>
      <c r="B1049" s="18" t="s">
        <v>769</v>
      </c>
      <c r="C1049" s="19" t="s">
        <v>73</v>
      </c>
      <c r="D1049" s="20"/>
      <c r="E1049" s="3">
        <v>11167731.67</v>
      </c>
      <c r="F1049" s="24">
        <v>0.61446975471608911</v>
      </c>
      <c r="G1049" s="26">
        <f t="shared" si="16"/>
        <v>6862233.3399999999</v>
      </c>
      <c r="H1049" t="s">
        <v>68</v>
      </c>
    </row>
    <row r="1050" spans="1:8" hidden="1">
      <c r="A1050" s="15" t="s">
        <v>768</v>
      </c>
      <c r="B1050" s="16" t="s">
        <v>769</v>
      </c>
      <c r="C1050" s="15" t="s">
        <v>74</v>
      </c>
      <c r="D1050" s="16"/>
      <c r="E1050" s="2">
        <v>11167731.67</v>
      </c>
      <c r="F1050" s="23">
        <v>6.8882297026035197E-2</v>
      </c>
      <c r="G1050" s="26">
        <f t="shared" si="16"/>
        <v>769259.01000000013</v>
      </c>
      <c r="H1050" t="s">
        <v>68</v>
      </c>
    </row>
    <row r="1051" spans="1:8" hidden="1">
      <c r="A1051" s="17" t="s">
        <v>770</v>
      </c>
      <c r="B1051" s="21" t="s">
        <v>771</v>
      </c>
      <c r="C1051" s="19" t="s">
        <v>72</v>
      </c>
      <c r="D1051" s="20"/>
      <c r="E1051" s="3">
        <v>15347984.77</v>
      </c>
      <c r="F1051" s="24">
        <v>0.33223572973352644</v>
      </c>
      <c r="G1051" s="26">
        <f t="shared" si="16"/>
        <v>5099148.92</v>
      </c>
      <c r="H1051" t="s">
        <v>68</v>
      </c>
    </row>
    <row r="1052" spans="1:8" hidden="1">
      <c r="A1052" s="13" t="s">
        <v>770</v>
      </c>
      <c r="B1052" s="22" t="s">
        <v>771</v>
      </c>
      <c r="C1052" s="15" t="s">
        <v>73</v>
      </c>
      <c r="D1052" s="16"/>
      <c r="E1052" s="2">
        <v>15347984.77</v>
      </c>
      <c r="F1052" s="23">
        <v>0.59893276203713619</v>
      </c>
      <c r="G1052" s="26">
        <f t="shared" si="16"/>
        <v>9192410.9100000001</v>
      </c>
      <c r="H1052" t="s">
        <v>68</v>
      </c>
    </row>
    <row r="1053" spans="1:8" hidden="1">
      <c r="A1053" s="19" t="s">
        <v>770</v>
      </c>
      <c r="B1053" s="20" t="s">
        <v>771</v>
      </c>
      <c r="C1053" s="19" t="s">
        <v>74</v>
      </c>
      <c r="D1053" s="20"/>
      <c r="E1053" s="3">
        <v>15347984.77</v>
      </c>
      <c r="F1053" s="24">
        <v>6.8831508229337396E-2</v>
      </c>
      <c r="G1053" s="26">
        <f t="shared" si="16"/>
        <v>1056424.94</v>
      </c>
      <c r="H1053" t="s">
        <v>68</v>
      </c>
    </row>
    <row r="1054" spans="1:8" hidden="1">
      <c r="A1054" s="13" t="s">
        <v>772</v>
      </c>
      <c r="B1054" s="14" t="s">
        <v>773</v>
      </c>
      <c r="C1054" s="15" t="s">
        <v>72</v>
      </c>
      <c r="D1054" s="16"/>
      <c r="E1054" s="2">
        <v>38857278.240000002</v>
      </c>
      <c r="F1054" s="23">
        <v>0.6726582983646463</v>
      </c>
      <c r="G1054" s="26">
        <f t="shared" si="16"/>
        <v>26137670.66</v>
      </c>
      <c r="H1054" t="s">
        <v>68</v>
      </c>
    </row>
    <row r="1055" spans="1:8" hidden="1">
      <c r="A1055" s="17" t="s">
        <v>772</v>
      </c>
      <c r="B1055" s="18" t="s">
        <v>773</v>
      </c>
      <c r="C1055" s="19" t="s">
        <v>73</v>
      </c>
      <c r="D1055" s="20"/>
      <c r="E1055" s="3">
        <v>38857278.240000002</v>
      </c>
      <c r="F1055" s="24">
        <v>0.29780646828958135</v>
      </c>
      <c r="G1055" s="26">
        <f t="shared" si="16"/>
        <v>11571948.800000001</v>
      </c>
      <c r="H1055" t="s">
        <v>68</v>
      </c>
    </row>
    <row r="1056" spans="1:8" hidden="1">
      <c r="A1056" s="15" t="s">
        <v>772</v>
      </c>
      <c r="B1056" s="16" t="s">
        <v>773</v>
      </c>
      <c r="C1056" s="15" t="s">
        <v>74</v>
      </c>
      <c r="D1056" s="16"/>
      <c r="E1056" s="2">
        <v>38857278.240000002</v>
      </c>
      <c r="F1056" s="23">
        <v>2.953523334577229E-2</v>
      </c>
      <c r="G1056" s="26">
        <f t="shared" si="16"/>
        <v>1147658.78</v>
      </c>
      <c r="H1056" t="s">
        <v>68</v>
      </c>
    </row>
    <row r="1057" spans="1:8" hidden="1">
      <c r="A1057" s="17" t="s">
        <v>774</v>
      </c>
      <c r="B1057" s="21" t="s">
        <v>775</v>
      </c>
      <c r="C1057" s="19" t="s">
        <v>72</v>
      </c>
      <c r="D1057" s="20"/>
      <c r="E1057" s="3">
        <v>9061250.9100000001</v>
      </c>
      <c r="F1057" s="24">
        <v>0.40099034185115617</v>
      </c>
      <c r="G1057" s="26">
        <f t="shared" si="16"/>
        <v>3633474.1</v>
      </c>
      <c r="H1057" t="s">
        <v>68</v>
      </c>
    </row>
    <row r="1058" spans="1:8" hidden="1">
      <c r="A1058" s="13" t="s">
        <v>774</v>
      </c>
      <c r="B1058" s="22" t="s">
        <v>775</v>
      </c>
      <c r="C1058" s="15" t="s">
        <v>73</v>
      </c>
      <c r="D1058" s="16"/>
      <c r="E1058" s="2">
        <v>9061250.9100000001</v>
      </c>
      <c r="F1058" s="23">
        <v>0.51084701394721665</v>
      </c>
      <c r="G1058" s="26">
        <f t="shared" si="16"/>
        <v>4628912.97</v>
      </c>
      <c r="H1058" t="s">
        <v>68</v>
      </c>
    </row>
    <row r="1059" spans="1:8" hidden="1">
      <c r="A1059" s="19" t="s">
        <v>774</v>
      </c>
      <c r="B1059" s="20" t="s">
        <v>775</v>
      </c>
      <c r="C1059" s="19" t="s">
        <v>74</v>
      </c>
      <c r="D1059" s="20"/>
      <c r="E1059" s="3">
        <v>9061250.9100000001</v>
      </c>
      <c r="F1059" s="24">
        <v>8.8162644201627116E-2</v>
      </c>
      <c r="G1059" s="26">
        <f t="shared" si="16"/>
        <v>798863.84</v>
      </c>
      <c r="H1059" t="s">
        <v>68</v>
      </c>
    </row>
    <row r="1060" spans="1:8" hidden="1">
      <c r="A1060" s="13" t="s">
        <v>776</v>
      </c>
      <c r="B1060" s="14" t="s">
        <v>777</v>
      </c>
      <c r="C1060" s="15" t="s">
        <v>72</v>
      </c>
      <c r="D1060" s="16"/>
      <c r="E1060" s="2">
        <v>23311031.41</v>
      </c>
      <c r="F1060" s="23">
        <v>0.76541929767834327</v>
      </c>
      <c r="G1060" s="26">
        <f t="shared" si="16"/>
        <v>17842713.289999999</v>
      </c>
      <c r="H1060" t="s">
        <v>68</v>
      </c>
    </row>
    <row r="1061" spans="1:8" hidden="1">
      <c r="A1061" s="17" t="s">
        <v>776</v>
      </c>
      <c r="B1061" s="18" t="s">
        <v>777</v>
      </c>
      <c r="C1061" s="19" t="s">
        <v>73</v>
      </c>
      <c r="D1061" s="20"/>
      <c r="E1061" s="3">
        <v>23311031.41</v>
      </c>
      <c r="F1061" s="24">
        <v>0.19252438731967716</v>
      </c>
      <c r="G1061" s="26">
        <f t="shared" si="16"/>
        <v>4487942.04</v>
      </c>
      <c r="H1061" t="s">
        <v>68</v>
      </c>
    </row>
    <row r="1062" spans="1:8" hidden="1">
      <c r="A1062" s="15" t="s">
        <v>776</v>
      </c>
      <c r="B1062" s="16" t="s">
        <v>777</v>
      </c>
      <c r="C1062" s="15" t="s">
        <v>74</v>
      </c>
      <c r="D1062" s="16"/>
      <c r="E1062" s="2">
        <v>23311031.41</v>
      </c>
      <c r="F1062" s="23">
        <v>4.2056315001979566E-2</v>
      </c>
      <c r="G1062" s="26">
        <f t="shared" si="16"/>
        <v>980376.07999999984</v>
      </c>
      <c r="H1062" t="s">
        <v>68</v>
      </c>
    </row>
    <row r="1063" spans="1:8" hidden="1">
      <c r="A1063" s="17" t="s">
        <v>778</v>
      </c>
      <c r="B1063" s="21" t="s">
        <v>779</v>
      </c>
      <c r="C1063" s="19" t="s">
        <v>72</v>
      </c>
      <c r="D1063" s="20"/>
      <c r="E1063" s="3">
        <v>19264099.41</v>
      </c>
      <c r="F1063" s="24">
        <v>0.49747594092175629</v>
      </c>
      <c r="G1063" s="26">
        <f t="shared" si="16"/>
        <v>9583425.9800000004</v>
      </c>
      <c r="H1063" t="s">
        <v>68</v>
      </c>
    </row>
    <row r="1064" spans="1:8" hidden="1">
      <c r="A1064" s="13" t="s">
        <v>778</v>
      </c>
      <c r="B1064" s="22" t="s">
        <v>779</v>
      </c>
      <c r="C1064" s="15" t="s">
        <v>73</v>
      </c>
      <c r="D1064" s="16"/>
      <c r="E1064" s="2">
        <v>19264099.41</v>
      </c>
      <c r="F1064" s="23">
        <v>0.45790493457591641</v>
      </c>
      <c r="G1064" s="26">
        <f t="shared" si="16"/>
        <v>8821126.1799999997</v>
      </c>
      <c r="H1064" t="s">
        <v>68</v>
      </c>
    </row>
    <row r="1065" spans="1:8" hidden="1">
      <c r="A1065" s="19" t="s">
        <v>778</v>
      </c>
      <c r="B1065" s="20" t="s">
        <v>779</v>
      </c>
      <c r="C1065" s="19" t="s">
        <v>74</v>
      </c>
      <c r="D1065" s="20"/>
      <c r="E1065" s="3">
        <v>19264099.41</v>
      </c>
      <c r="F1065" s="24">
        <v>4.4619124502327308E-2</v>
      </c>
      <c r="G1065" s="26">
        <f t="shared" si="16"/>
        <v>859547.25</v>
      </c>
      <c r="H1065" t="s">
        <v>68</v>
      </c>
    </row>
    <row r="1066" spans="1:8" hidden="1">
      <c r="A1066" s="13" t="s">
        <v>780</v>
      </c>
      <c r="B1066" s="14" t="s">
        <v>781</v>
      </c>
      <c r="C1066" s="15" t="s">
        <v>72</v>
      </c>
      <c r="D1066" s="16"/>
      <c r="E1066" s="2">
        <v>14394648.390000001</v>
      </c>
      <c r="F1066" s="23">
        <v>0.53601868840090505</v>
      </c>
      <c r="G1066" s="26">
        <f t="shared" si="16"/>
        <v>7715800.5499999998</v>
      </c>
      <c r="H1066" t="s">
        <v>68</v>
      </c>
    </row>
    <row r="1067" spans="1:8" hidden="1">
      <c r="A1067" s="17" t="s">
        <v>780</v>
      </c>
      <c r="B1067" s="18" t="s">
        <v>781</v>
      </c>
      <c r="C1067" s="19" t="s">
        <v>73</v>
      </c>
      <c r="D1067" s="20"/>
      <c r="E1067" s="3">
        <v>14394648.390000001</v>
      </c>
      <c r="F1067" s="24">
        <v>0.41079864334220118</v>
      </c>
      <c r="G1067" s="26">
        <f t="shared" si="16"/>
        <v>5913302.0300000003</v>
      </c>
      <c r="H1067" t="s">
        <v>68</v>
      </c>
    </row>
    <row r="1068" spans="1:8" hidden="1">
      <c r="A1068" s="15" t="s">
        <v>780</v>
      </c>
      <c r="B1068" s="16" t="s">
        <v>781</v>
      </c>
      <c r="C1068" s="15" t="s">
        <v>74</v>
      </c>
      <c r="D1068" s="16"/>
      <c r="E1068" s="2">
        <v>14394648.390000001</v>
      </c>
      <c r="F1068" s="23">
        <v>5.3182668256893773E-2</v>
      </c>
      <c r="G1068" s="26">
        <f t="shared" si="16"/>
        <v>765545.81</v>
      </c>
      <c r="H1068" t="s">
        <v>68</v>
      </c>
    </row>
    <row r="1069" spans="1:8" hidden="1">
      <c r="A1069" s="17" t="s">
        <v>782</v>
      </c>
      <c r="B1069" s="21" t="s">
        <v>783</v>
      </c>
      <c r="C1069" s="19" t="s">
        <v>72</v>
      </c>
      <c r="D1069" s="20"/>
      <c r="E1069" s="3">
        <v>11105015.6</v>
      </c>
      <c r="F1069" s="24">
        <v>0.36198488726121197</v>
      </c>
      <c r="G1069" s="26">
        <f t="shared" si="16"/>
        <v>4019847.8200000003</v>
      </c>
      <c r="H1069" t="s">
        <v>68</v>
      </c>
    </row>
    <row r="1070" spans="1:8" hidden="1">
      <c r="A1070" s="13" t="s">
        <v>782</v>
      </c>
      <c r="B1070" s="22" t="s">
        <v>783</v>
      </c>
      <c r="C1070" s="15" t="s">
        <v>73</v>
      </c>
      <c r="D1070" s="16"/>
      <c r="E1070" s="2">
        <v>11105015.6</v>
      </c>
      <c r="F1070" s="23">
        <v>0.59271519078280277</v>
      </c>
      <c r="G1070" s="26">
        <f t="shared" si="16"/>
        <v>6582111.4400000004</v>
      </c>
      <c r="H1070" t="s">
        <v>68</v>
      </c>
    </row>
    <row r="1071" spans="1:8" hidden="1">
      <c r="A1071" s="19" t="s">
        <v>782</v>
      </c>
      <c r="B1071" s="20" t="s">
        <v>783</v>
      </c>
      <c r="C1071" s="19" t="s">
        <v>74</v>
      </c>
      <c r="D1071" s="20"/>
      <c r="E1071" s="3">
        <v>11105015.6</v>
      </c>
      <c r="F1071" s="24">
        <v>4.5299921955985367E-2</v>
      </c>
      <c r="G1071" s="26">
        <f t="shared" si="16"/>
        <v>503056.34</v>
      </c>
      <c r="H1071" t="s">
        <v>68</v>
      </c>
    </row>
    <row r="1072" spans="1:8" hidden="1">
      <c r="A1072" s="13" t="s">
        <v>784</v>
      </c>
      <c r="B1072" s="14" t="s">
        <v>785</v>
      </c>
      <c r="C1072" s="15" t="s">
        <v>72</v>
      </c>
      <c r="D1072" s="16"/>
      <c r="E1072" s="2">
        <v>15895713.51</v>
      </c>
      <c r="F1072" s="23">
        <v>0.39042229882262136</v>
      </c>
      <c r="G1072" s="26">
        <f t="shared" si="16"/>
        <v>6206041.0099999998</v>
      </c>
      <c r="H1072" t="s">
        <v>68</v>
      </c>
    </row>
    <row r="1073" spans="1:9" hidden="1">
      <c r="A1073" s="17" t="s">
        <v>784</v>
      </c>
      <c r="B1073" s="18" t="s">
        <v>785</v>
      </c>
      <c r="C1073" s="19" t="s">
        <v>73</v>
      </c>
      <c r="D1073" s="20"/>
      <c r="E1073" s="3">
        <v>15895713.51</v>
      </c>
      <c r="F1073" s="24">
        <v>0.55478635384640873</v>
      </c>
      <c r="G1073" s="26">
        <f t="shared" si="16"/>
        <v>8818724.9399999995</v>
      </c>
      <c r="H1073" t="s">
        <v>68</v>
      </c>
    </row>
    <row r="1074" spans="1:9" hidden="1">
      <c r="A1074" s="15" t="s">
        <v>784</v>
      </c>
      <c r="B1074" s="16" t="s">
        <v>785</v>
      </c>
      <c r="C1074" s="15" t="s">
        <v>74</v>
      </c>
      <c r="D1074" s="16"/>
      <c r="E1074" s="2">
        <v>15895713.51</v>
      </c>
      <c r="F1074" s="23">
        <v>5.479134733096986E-2</v>
      </c>
      <c r="G1074" s="26">
        <f t="shared" si="16"/>
        <v>870947.56</v>
      </c>
      <c r="H1074" t="s">
        <v>68</v>
      </c>
    </row>
    <row r="1075" spans="1:9" hidden="1">
      <c r="A1075" s="17" t="s">
        <v>786</v>
      </c>
      <c r="B1075" s="21" t="s">
        <v>787</v>
      </c>
      <c r="C1075" s="19" t="s">
        <v>72</v>
      </c>
      <c r="D1075" s="20"/>
      <c r="E1075" s="3">
        <v>12765815.470000001</v>
      </c>
      <c r="F1075" s="24">
        <v>0.46619086919952163</v>
      </c>
      <c r="G1075" s="26">
        <f t="shared" si="16"/>
        <v>5951306.6100000003</v>
      </c>
      <c r="H1075" t="s">
        <v>68</v>
      </c>
    </row>
    <row r="1076" spans="1:9" hidden="1">
      <c r="A1076" s="13" t="s">
        <v>786</v>
      </c>
      <c r="B1076" s="22" t="s">
        <v>787</v>
      </c>
      <c r="C1076" s="15" t="s">
        <v>73</v>
      </c>
      <c r="D1076" s="16"/>
      <c r="E1076" s="2">
        <v>12765815.470000001</v>
      </c>
      <c r="F1076" s="23">
        <v>0.47929333103543598</v>
      </c>
      <c r="G1076" s="26">
        <f t="shared" si="16"/>
        <v>6118570.2199999997</v>
      </c>
      <c r="H1076" t="s">
        <v>68</v>
      </c>
    </row>
    <row r="1077" spans="1:9" hidden="1">
      <c r="A1077" s="19" t="s">
        <v>786</v>
      </c>
      <c r="B1077" s="20" t="s">
        <v>787</v>
      </c>
      <c r="C1077" s="19" t="s">
        <v>74</v>
      </c>
      <c r="D1077" s="20"/>
      <c r="E1077" s="3">
        <v>12765815.470000001</v>
      </c>
      <c r="F1077" s="24">
        <v>5.4515799765042346E-2</v>
      </c>
      <c r="G1077" s="26">
        <f t="shared" si="16"/>
        <v>695938.64</v>
      </c>
      <c r="H1077" t="s">
        <v>68</v>
      </c>
    </row>
    <row r="1078" spans="1:9" hidden="1">
      <c r="A1078" s="13" t="s">
        <v>788</v>
      </c>
      <c r="B1078" s="14" t="s">
        <v>789</v>
      </c>
      <c r="C1078" s="15" t="s">
        <v>72</v>
      </c>
      <c r="D1078" s="16"/>
      <c r="E1078" s="2">
        <v>9234233.5899999999</v>
      </c>
      <c r="F1078" s="23">
        <v>0.21758910692663125</v>
      </c>
      <c r="G1078" s="26">
        <f t="shared" si="16"/>
        <v>2009268.64</v>
      </c>
      <c r="H1078" t="s">
        <v>68</v>
      </c>
    </row>
    <row r="1079" spans="1:9" hidden="1">
      <c r="A1079" s="17" t="s">
        <v>788</v>
      </c>
      <c r="B1079" s="18" t="s">
        <v>789</v>
      </c>
      <c r="C1079" s="19" t="s">
        <v>73</v>
      </c>
      <c r="D1079" s="20"/>
      <c r="E1079" s="3">
        <v>9234233.5899999999</v>
      </c>
      <c r="F1079" s="24">
        <v>0.69011385491711397</v>
      </c>
      <c r="G1079" s="26">
        <f t="shared" si="16"/>
        <v>6372672.54</v>
      </c>
      <c r="H1079" t="s">
        <v>68</v>
      </c>
    </row>
    <row r="1080" spans="1:9" hidden="1">
      <c r="A1080" s="15" t="s">
        <v>788</v>
      </c>
      <c r="B1080" s="16" t="s">
        <v>789</v>
      </c>
      <c r="C1080" s="15" t="s">
        <v>74</v>
      </c>
      <c r="D1080" s="16"/>
      <c r="E1080" s="2">
        <v>9234233.5899999999</v>
      </c>
      <c r="F1080" s="23">
        <v>9.2297038156254826E-2</v>
      </c>
      <c r="G1080" s="26">
        <f t="shared" si="16"/>
        <v>852292.40999999992</v>
      </c>
      <c r="H1080" t="s">
        <v>68</v>
      </c>
    </row>
    <row r="1081" spans="1:9" hidden="1">
      <c r="A1081" s="17" t="s">
        <v>790</v>
      </c>
      <c r="B1081" s="21" t="s">
        <v>791</v>
      </c>
      <c r="C1081" s="19" t="s">
        <v>72</v>
      </c>
      <c r="D1081" s="20"/>
      <c r="E1081" s="3">
        <v>7167728.6200000001</v>
      </c>
      <c r="F1081" s="24">
        <v>0.73426676831969673</v>
      </c>
      <c r="G1081" s="26">
        <f t="shared" si="16"/>
        <v>5263024.93</v>
      </c>
      <c r="H1081" t="s">
        <v>68</v>
      </c>
    </row>
    <row r="1082" spans="1:9" hidden="1">
      <c r="A1082" s="13" t="s">
        <v>790</v>
      </c>
      <c r="B1082" s="22" t="s">
        <v>791</v>
      </c>
      <c r="C1082" s="15" t="s">
        <v>73</v>
      </c>
      <c r="D1082" s="16"/>
      <c r="E1082" s="2">
        <v>7167728.6200000001</v>
      </c>
      <c r="F1082" s="23">
        <v>0.22419172449081923</v>
      </c>
      <c r="G1082" s="26">
        <f t="shared" si="16"/>
        <v>1606945.44</v>
      </c>
      <c r="H1082" t="s">
        <v>68</v>
      </c>
    </row>
    <row r="1083" spans="1:9" hidden="1">
      <c r="A1083" s="19" t="s">
        <v>790</v>
      </c>
      <c r="B1083" s="20" t="s">
        <v>791</v>
      </c>
      <c r="C1083" s="19" t="s">
        <v>74</v>
      </c>
      <c r="D1083" s="20"/>
      <c r="E1083" s="3">
        <v>7167728.6200000001</v>
      </c>
      <c r="F1083" s="24">
        <v>4.1541507189483969E-2</v>
      </c>
      <c r="G1083" s="26">
        <f t="shared" si="16"/>
        <v>297758.25</v>
      </c>
      <c r="H1083" t="s">
        <v>68</v>
      </c>
    </row>
    <row r="1084" spans="1:9" hidden="1">
      <c r="A1084" s="13" t="s">
        <v>792</v>
      </c>
      <c r="B1084" s="14" t="s">
        <v>793</v>
      </c>
      <c r="C1084" s="15" t="s">
        <v>72</v>
      </c>
      <c r="D1084" s="16"/>
      <c r="E1084" s="2">
        <v>6813133.3799999999</v>
      </c>
      <c r="F1084" s="23">
        <v>0.6518193659669701</v>
      </c>
      <c r="G1084" s="26">
        <f t="shared" si="16"/>
        <v>4440932.28</v>
      </c>
      <c r="H1084" t="s">
        <v>68</v>
      </c>
      <c r="I1084" t="s">
        <v>1883</v>
      </c>
    </row>
    <row r="1085" spans="1:9" hidden="1">
      <c r="A1085" s="17" t="s">
        <v>792</v>
      </c>
      <c r="B1085" s="18" t="s">
        <v>793</v>
      </c>
      <c r="C1085" s="19" t="s">
        <v>73</v>
      </c>
      <c r="D1085" s="20"/>
      <c r="E1085" s="3">
        <v>6813133.3799999999</v>
      </c>
      <c r="F1085" s="24">
        <v>0.34054638014440286</v>
      </c>
      <c r="G1085" s="26">
        <f t="shared" si="16"/>
        <v>2320187.91</v>
      </c>
      <c r="H1085" t="s">
        <v>68</v>
      </c>
      <c r="I1085" t="s">
        <v>1883</v>
      </c>
    </row>
    <row r="1086" spans="1:9" hidden="1">
      <c r="A1086" s="15" t="s">
        <v>792</v>
      </c>
      <c r="B1086" s="16" t="s">
        <v>793</v>
      </c>
      <c r="C1086" s="15" t="s">
        <v>74</v>
      </c>
      <c r="D1086" s="16"/>
      <c r="E1086" s="2">
        <v>6813133.3799999999</v>
      </c>
      <c r="F1086" s="23">
        <v>7.6342538886270865E-3</v>
      </c>
      <c r="G1086" s="26">
        <f t="shared" si="16"/>
        <v>52013.19</v>
      </c>
      <c r="H1086" t="s">
        <v>68</v>
      </c>
      <c r="I1086" t="s">
        <v>1883</v>
      </c>
    </row>
    <row r="1087" spans="1:9" hidden="1">
      <c r="A1087" s="17" t="s">
        <v>1006</v>
      </c>
      <c r="B1087" s="21" t="s">
        <v>1007</v>
      </c>
      <c r="C1087" s="19" t="s">
        <v>72</v>
      </c>
      <c r="D1087" s="20"/>
      <c r="E1087" s="3">
        <v>7785263.0499999998</v>
      </c>
      <c r="F1087" s="24">
        <v>0.31638535193746603</v>
      </c>
      <c r="G1087" s="26">
        <f t="shared" si="16"/>
        <v>2463143.19</v>
      </c>
      <c r="H1087" t="s">
        <v>68</v>
      </c>
    </row>
    <row r="1088" spans="1:9" hidden="1">
      <c r="A1088" s="13" t="s">
        <v>1006</v>
      </c>
      <c r="B1088" s="22" t="s">
        <v>1007</v>
      </c>
      <c r="C1088" s="15" t="s">
        <v>73</v>
      </c>
      <c r="D1088" s="16"/>
      <c r="E1088" s="2">
        <v>7785263.0499999998</v>
      </c>
      <c r="F1088" s="23">
        <v>0.63425826440122657</v>
      </c>
      <c r="G1088" s="26">
        <f t="shared" si="16"/>
        <v>4937867.43</v>
      </c>
      <c r="H1088" t="s">
        <v>68</v>
      </c>
    </row>
    <row r="1089" spans="1:8" hidden="1">
      <c r="A1089" s="19" t="s">
        <v>1006</v>
      </c>
      <c r="B1089" s="20" t="s">
        <v>1007</v>
      </c>
      <c r="C1089" s="19" t="s">
        <v>74</v>
      </c>
      <c r="D1089" s="20"/>
      <c r="E1089" s="3">
        <v>7785263.0499999998</v>
      </c>
      <c r="F1089" s="24">
        <v>4.9356383661307374E-2</v>
      </c>
      <c r="G1089" s="26">
        <f t="shared" si="16"/>
        <v>384252.43</v>
      </c>
      <c r="H1089" t="s">
        <v>68</v>
      </c>
    </row>
    <row r="1090" spans="1:8" hidden="1">
      <c r="A1090" s="13" t="s">
        <v>1008</v>
      </c>
      <c r="B1090" s="14" t="s">
        <v>1009</v>
      </c>
      <c r="C1090" s="15" t="s">
        <v>72</v>
      </c>
      <c r="D1090" s="16"/>
      <c r="E1090" s="2">
        <v>18582854.649999999</v>
      </c>
      <c r="F1090" s="23">
        <v>0.63478905056172308</v>
      </c>
      <c r="G1090" s="26">
        <f t="shared" si="16"/>
        <v>11796192.66</v>
      </c>
      <c r="H1090" t="s">
        <v>68</v>
      </c>
    </row>
    <row r="1091" spans="1:8" hidden="1">
      <c r="A1091" s="17" t="s">
        <v>1008</v>
      </c>
      <c r="B1091" s="18" t="s">
        <v>1009</v>
      </c>
      <c r="C1091" s="19" t="s">
        <v>73</v>
      </c>
      <c r="D1091" s="20"/>
      <c r="E1091" s="3">
        <v>18582854.649999999</v>
      </c>
      <c r="F1091" s="24">
        <v>0.31532096119580855</v>
      </c>
      <c r="G1091" s="26">
        <f t="shared" si="16"/>
        <v>5859563.5899999999</v>
      </c>
      <c r="H1091" t="s">
        <v>68</v>
      </c>
    </row>
    <row r="1092" spans="1:8" hidden="1">
      <c r="A1092" s="15" t="s">
        <v>1008</v>
      </c>
      <c r="B1092" s="16" t="s">
        <v>1009</v>
      </c>
      <c r="C1092" s="15" t="s">
        <v>74</v>
      </c>
      <c r="D1092" s="16"/>
      <c r="E1092" s="2">
        <v>18582854.649999999</v>
      </c>
      <c r="F1092" s="23">
        <v>4.9889988242468444E-2</v>
      </c>
      <c r="G1092" s="26">
        <f t="shared" si="16"/>
        <v>927098.4</v>
      </c>
      <c r="H1092" t="s">
        <v>68</v>
      </c>
    </row>
    <row r="1093" spans="1:8" hidden="1">
      <c r="A1093" s="17" t="s">
        <v>1010</v>
      </c>
      <c r="B1093" s="21" t="s">
        <v>1011</v>
      </c>
      <c r="C1093" s="19" t="s">
        <v>72</v>
      </c>
      <c r="D1093" s="20"/>
      <c r="E1093" s="3">
        <v>20236793.59</v>
      </c>
      <c r="F1093" s="24">
        <v>0.52115343584922136</v>
      </c>
      <c r="G1093" s="26">
        <f t="shared" ref="G1093:G1156" si="17">F1093*E1093</f>
        <v>10546474.51</v>
      </c>
      <c r="H1093" t="s">
        <v>68</v>
      </c>
    </row>
    <row r="1094" spans="1:8" hidden="1">
      <c r="A1094" s="13" t="s">
        <v>1010</v>
      </c>
      <c r="B1094" s="22" t="s">
        <v>1011</v>
      </c>
      <c r="C1094" s="15" t="s">
        <v>73</v>
      </c>
      <c r="D1094" s="16"/>
      <c r="E1094" s="2">
        <v>20236793.59</v>
      </c>
      <c r="F1094" s="23">
        <v>0.40989838647655052</v>
      </c>
      <c r="G1094" s="26">
        <f t="shared" si="17"/>
        <v>8295029.04</v>
      </c>
      <c r="H1094" t="s">
        <v>68</v>
      </c>
    </row>
    <row r="1095" spans="1:8" hidden="1">
      <c r="A1095" s="19" t="s">
        <v>1010</v>
      </c>
      <c r="B1095" s="20" t="s">
        <v>1011</v>
      </c>
      <c r="C1095" s="19" t="s">
        <v>74</v>
      </c>
      <c r="D1095" s="20"/>
      <c r="E1095" s="3">
        <v>20236793.59</v>
      </c>
      <c r="F1095" s="24">
        <v>6.8948177674228089E-2</v>
      </c>
      <c r="G1095" s="26">
        <f t="shared" si="17"/>
        <v>1395290.04</v>
      </c>
      <c r="H1095" t="s">
        <v>68</v>
      </c>
    </row>
    <row r="1096" spans="1:8" hidden="1">
      <c r="A1096" s="13" t="s">
        <v>1012</v>
      </c>
      <c r="B1096" s="14" t="s">
        <v>1013</v>
      </c>
      <c r="C1096" s="15" t="s">
        <v>72</v>
      </c>
      <c r="D1096" s="16"/>
      <c r="E1096" s="2">
        <v>7379719.0999999996</v>
      </c>
      <c r="F1096" s="23">
        <v>0.64935791661772058</v>
      </c>
      <c r="G1096" s="26">
        <f t="shared" si="17"/>
        <v>4792079.0199999996</v>
      </c>
      <c r="H1096" t="s">
        <v>68</v>
      </c>
    </row>
    <row r="1097" spans="1:8" hidden="1">
      <c r="A1097" s="17" t="s">
        <v>1012</v>
      </c>
      <c r="B1097" s="18" t="s">
        <v>1013</v>
      </c>
      <c r="C1097" s="19" t="s">
        <v>73</v>
      </c>
      <c r="D1097" s="20"/>
      <c r="E1097" s="3">
        <v>7379719.0999999996</v>
      </c>
      <c r="F1097" s="24">
        <v>0.27301075592430069</v>
      </c>
      <c r="G1097" s="26">
        <f t="shared" si="17"/>
        <v>2014742.6899999997</v>
      </c>
      <c r="H1097" t="s">
        <v>68</v>
      </c>
    </row>
    <row r="1098" spans="1:8" hidden="1">
      <c r="A1098" s="15" t="s">
        <v>1012</v>
      </c>
      <c r="B1098" s="16" t="s">
        <v>1013</v>
      </c>
      <c r="C1098" s="15" t="s">
        <v>74</v>
      </c>
      <c r="D1098" s="16"/>
      <c r="E1098" s="2">
        <v>7379719.0999999996</v>
      </c>
      <c r="F1098" s="23">
        <v>7.7631327457978724E-2</v>
      </c>
      <c r="G1098" s="26">
        <f t="shared" si="17"/>
        <v>572897.39</v>
      </c>
      <c r="H1098" t="s">
        <v>68</v>
      </c>
    </row>
    <row r="1099" spans="1:8" hidden="1">
      <c r="A1099" s="17" t="s">
        <v>1014</v>
      </c>
      <c r="B1099" s="21" t="s">
        <v>1015</v>
      </c>
      <c r="C1099" s="19" t="s">
        <v>72</v>
      </c>
      <c r="D1099" s="20"/>
      <c r="E1099" s="3">
        <v>22328832.859999999</v>
      </c>
      <c r="F1099" s="24">
        <v>0.66292650595800107</v>
      </c>
      <c r="G1099" s="26">
        <f t="shared" si="17"/>
        <v>14802375.15</v>
      </c>
      <c r="H1099" t="s">
        <v>68</v>
      </c>
    </row>
    <row r="1100" spans="1:8" hidden="1">
      <c r="A1100" s="13" t="s">
        <v>1014</v>
      </c>
      <c r="B1100" s="22" t="s">
        <v>1015</v>
      </c>
      <c r="C1100" s="15" t="s">
        <v>73</v>
      </c>
      <c r="D1100" s="16"/>
      <c r="E1100" s="2">
        <v>22328832.859999999</v>
      </c>
      <c r="F1100" s="23">
        <v>0.28776298565566855</v>
      </c>
      <c r="G1100" s="26">
        <f t="shared" si="17"/>
        <v>6425411.6100000003</v>
      </c>
      <c r="H1100" t="s">
        <v>68</v>
      </c>
    </row>
    <row r="1101" spans="1:8" hidden="1">
      <c r="A1101" s="19" t="s">
        <v>1014</v>
      </c>
      <c r="B1101" s="20" t="s">
        <v>1015</v>
      </c>
      <c r="C1101" s="19" t="s">
        <v>74</v>
      </c>
      <c r="D1101" s="20"/>
      <c r="E1101" s="3">
        <v>22328832.859999999</v>
      </c>
      <c r="F1101" s="24">
        <v>4.9310508386330415E-2</v>
      </c>
      <c r="G1101" s="26">
        <f t="shared" si="17"/>
        <v>1101046.1000000001</v>
      </c>
      <c r="H1101" t="s">
        <v>68</v>
      </c>
    </row>
    <row r="1102" spans="1:8" hidden="1">
      <c r="A1102" s="13" t="s">
        <v>1016</v>
      </c>
      <c r="B1102" s="14" t="s">
        <v>1017</v>
      </c>
      <c r="C1102" s="15" t="s">
        <v>72</v>
      </c>
      <c r="D1102" s="16"/>
      <c r="E1102" s="2">
        <v>8032036.0099999998</v>
      </c>
      <c r="F1102" s="23">
        <v>0.40091913258242479</v>
      </c>
      <c r="G1102" s="26">
        <f t="shared" si="17"/>
        <v>3220196.91</v>
      </c>
      <c r="H1102" t="s">
        <v>68</v>
      </c>
    </row>
    <row r="1103" spans="1:8" hidden="1">
      <c r="A1103" s="17" t="s">
        <v>1016</v>
      </c>
      <c r="B1103" s="18" t="s">
        <v>1017</v>
      </c>
      <c r="C1103" s="19" t="s">
        <v>73</v>
      </c>
      <c r="D1103" s="20"/>
      <c r="E1103" s="3">
        <v>8032036.0099999998</v>
      </c>
      <c r="F1103" s="24">
        <v>0.54136808831363803</v>
      </c>
      <c r="G1103" s="26">
        <f t="shared" si="17"/>
        <v>4348287.9800000004</v>
      </c>
      <c r="H1103" t="s">
        <v>68</v>
      </c>
    </row>
    <row r="1104" spans="1:8" hidden="1">
      <c r="A1104" s="15" t="s">
        <v>1016</v>
      </c>
      <c r="B1104" s="16" t="s">
        <v>1017</v>
      </c>
      <c r="C1104" s="15" t="s">
        <v>74</v>
      </c>
      <c r="D1104" s="16"/>
      <c r="E1104" s="2">
        <v>8032036.0099999998</v>
      </c>
      <c r="F1104" s="23">
        <v>5.7712779103937309E-2</v>
      </c>
      <c r="G1104" s="26">
        <f t="shared" si="17"/>
        <v>463551.12</v>
      </c>
      <c r="H1104" t="s">
        <v>68</v>
      </c>
    </row>
    <row r="1105" spans="1:9" hidden="1">
      <c r="A1105" s="17" t="s">
        <v>1018</v>
      </c>
      <c r="B1105" s="21" t="s">
        <v>1019</v>
      </c>
      <c r="C1105" s="19" t="s">
        <v>72</v>
      </c>
      <c r="D1105" s="20"/>
      <c r="E1105" s="3">
        <v>9586059.5800000001</v>
      </c>
      <c r="F1105" s="24">
        <v>0.47715324757036404</v>
      </c>
      <c r="G1105" s="26">
        <f t="shared" si="17"/>
        <v>4574019.46</v>
      </c>
      <c r="H1105" t="s">
        <v>68</v>
      </c>
    </row>
    <row r="1106" spans="1:9" hidden="1">
      <c r="A1106" s="13" t="s">
        <v>1018</v>
      </c>
      <c r="B1106" s="22" t="s">
        <v>1019</v>
      </c>
      <c r="C1106" s="15" t="s">
        <v>73</v>
      </c>
      <c r="D1106" s="16"/>
      <c r="E1106" s="2">
        <v>9586059.5800000001</v>
      </c>
      <c r="F1106" s="23">
        <v>0.476296563973578</v>
      </c>
      <c r="G1106" s="26">
        <f t="shared" si="17"/>
        <v>4565807.24</v>
      </c>
      <c r="H1106" t="s">
        <v>68</v>
      </c>
    </row>
    <row r="1107" spans="1:9" hidden="1">
      <c r="A1107" s="19" t="s">
        <v>1018</v>
      </c>
      <c r="B1107" s="20" t="s">
        <v>1019</v>
      </c>
      <c r="C1107" s="19" t="s">
        <v>74</v>
      </c>
      <c r="D1107" s="20"/>
      <c r="E1107" s="3">
        <v>9586059.5800000001</v>
      </c>
      <c r="F1107" s="24">
        <v>4.6550188456057982E-2</v>
      </c>
      <c r="G1107" s="26">
        <f t="shared" si="17"/>
        <v>446232.88000000006</v>
      </c>
      <c r="H1107" t="s">
        <v>68</v>
      </c>
    </row>
    <row r="1108" spans="1:9" hidden="1">
      <c r="A1108" s="13" t="s">
        <v>1020</v>
      </c>
      <c r="B1108" s="14" t="s">
        <v>1021</v>
      </c>
      <c r="C1108" s="15" t="s">
        <v>72</v>
      </c>
      <c r="D1108" s="16"/>
      <c r="E1108" s="2">
        <v>7950810.2699999996</v>
      </c>
      <c r="F1108" s="23">
        <v>0.36755344810913215</v>
      </c>
      <c r="G1108" s="26">
        <f t="shared" si="17"/>
        <v>2922347.73</v>
      </c>
      <c r="H1108" t="s">
        <v>68</v>
      </c>
    </row>
    <row r="1109" spans="1:9" hidden="1">
      <c r="A1109" s="17" t="s">
        <v>1020</v>
      </c>
      <c r="B1109" s="18" t="s">
        <v>1021</v>
      </c>
      <c r="C1109" s="19" t="s">
        <v>73</v>
      </c>
      <c r="D1109" s="20"/>
      <c r="E1109" s="3">
        <v>7950810.2699999996</v>
      </c>
      <c r="F1109" s="24">
        <v>0.57519512787971483</v>
      </c>
      <c r="G1109" s="26">
        <f t="shared" si="17"/>
        <v>4573267.33</v>
      </c>
      <c r="H1109" t="s">
        <v>68</v>
      </c>
    </row>
    <row r="1110" spans="1:9" hidden="1">
      <c r="A1110" s="15" t="s">
        <v>1020</v>
      </c>
      <c r="B1110" s="16" t="s">
        <v>1021</v>
      </c>
      <c r="C1110" s="15" t="s">
        <v>74</v>
      </c>
      <c r="D1110" s="16"/>
      <c r="E1110" s="2">
        <v>7950810.2699999996</v>
      </c>
      <c r="F1110" s="23">
        <v>5.7251424011153025E-2</v>
      </c>
      <c r="G1110" s="26">
        <f t="shared" si="17"/>
        <v>455195.21</v>
      </c>
      <c r="H1110" t="s">
        <v>68</v>
      </c>
    </row>
    <row r="1111" spans="1:9" hidden="1">
      <c r="A1111" s="17" t="s">
        <v>1022</v>
      </c>
      <c r="B1111" s="21" t="s">
        <v>1023</v>
      </c>
      <c r="C1111" s="19" t="s">
        <v>72</v>
      </c>
      <c r="D1111" s="20"/>
      <c r="E1111" s="3">
        <v>7628974.7199999997</v>
      </c>
      <c r="F1111" s="24">
        <v>0.19242425671584873</v>
      </c>
      <c r="G1111" s="26">
        <f t="shared" si="17"/>
        <v>1467999.79</v>
      </c>
      <c r="H1111" t="s">
        <v>68</v>
      </c>
      <c r="I1111" t="s">
        <v>1883</v>
      </c>
    </row>
    <row r="1112" spans="1:9" hidden="1">
      <c r="A1112" s="13" t="s">
        <v>1022</v>
      </c>
      <c r="B1112" s="22" t="s">
        <v>1023</v>
      </c>
      <c r="C1112" s="15" t="s">
        <v>73</v>
      </c>
      <c r="D1112" s="16"/>
      <c r="E1112" s="2">
        <v>7628974.7199999997</v>
      </c>
      <c r="F1112" s="23">
        <v>0.54708429548970894</v>
      </c>
      <c r="G1112" s="26">
        <f t="shared" si="17"/>
        <v>4173692.2599999993</v>
      </c>
      <c r="H1112" t="s">
        <v>68</v>
      </c>
      <c r="I1112" t="s">
        <v>1883</v>
      </c>
    </row>
    <row r="1113" spans="1:9" hidden="1">
      <c r="A1113" s="19" t="s">
        <v>1022</v>
      </c>
      <c r="B1113" s="20" t="s">
        <v>1023</v>
      </c>
      <c r="C1113" s="19" t="s">
        <v>74</v>
      </c>
      <c r="D1113" s="20"/>
      <c r="E1113" s="3">
        <v>7628974.7199999997</v>
      </c>
      <c r="F1113" s="24">
        <v>0.26049144779444228</v>
      </c>
      <c r="G1113" s="26">
        <f t="shared" si="17"/>
        <v>1987282.67</v>
      </c>
      <c r="H1113" t="s">
        <v>68</v>
      </c>
      <c r="I1113" t="s">
        <v>1883</v>
      </c>
    </row>
    <row r="1114" spans="1:9" hidden="1">
      <c r="A1114" s="13" t="s">
        <v>1024</v>
      </c>
      <c r="B1114" s="14" t="s">
        <v>1025</v>
      </c>
      <c r="C1114" s="15" t="s">
        <v>72</v>
      </c>
      <c r="D1114" s="16"/>
      <c r="E1114" s="2">
        <v>19175170.420000002</v>
      </c>
      <c r="F1114" s="23">
        <v>0.54515123052554326</v>
      </c>
      <c r="G1114" s="26">
        <f t="shared" si="17"/>
        <v>10453367.75</v>
      </c>
      <c r="H1114" t="s">
        <v>68</v>
      </c>
    </row>
    <row r="1115" spans="1:9" hidden="1">
      <c r="A1115" s="17" t="s">
        <v>1024</v>
      </c>
      <c r="B1115" s="18" t="s">
        <v>1025</v>
      </c>
      <c r="C1115" s="19" t="s">
        <v>73</v>
      </c>
      <c r="D1115" s="20"/>
      <c r="E1115" s="3">
        <v>19175170.420000002</v>
      </c>
      <c r="F1115" s="24">
        <v>0.41199307161099014</v>
      </c>
      <c r="G1115" s="26">
        <f t="shared" si="17"/>
        <v>7900037.3600000003</v>
      </c>
      <c r="H1115" t="s">
        <v>68</v>
      </c>
    </row>
    <row r="1116" spans="1:9" hidden="1">
      <c r="A1116" s="15" t="s">
        <v>1024</v>
      </c>
      <c r="B1116" s="16" t="s">
        <v>1025</v>
      </c>
      <c r="C1116" s="15" t="s">
        <v>74</v>
      </c>
      <c r="D1116" s="16"/>
      <c r="E1116" s="2">
        <v>19175170.420000002</v>
      </c>
      <c r="F1116" s="23">
        <v>4.2855697863466498E-2</v>
      </c>
      <c r="G1116" s="26">
        <f t="shared" si="17"/>
        <v>821765.31</v>
      </c>
      <c r="H1116" t="s">
        <v>68</v>
      </c>
    </row>
    <row r="1117" spans="1:9" hidden="1">
      <c r="A1117" s="17" t="s">
        <v>1026</v>
      </c>
      <c r="B1117" s="21" t="s">
        <v>1027</v>
      </c>
      <c r="C1117" s="19" t="s">
        <v>72</v>
      </c>
      <c r="D1117" s="20"/>
      <c r="E1117" s="3">
        <v>11176468.720000001</v>
      </c>
      <c r="F1117" s="24">
        <v>0.38521059091730719</v>
      </c>
      <c r="G1117" s="26">
        <f t="shared" si="17"/>
        <v>4305294.12</v>
      </c>
      <c r="H1117" t="s">
        <v>68</v>
      </c>
    </row>
    <row r="1118" spans="1:9" hidden="1">
      <c r="A1118" s="13" t="s">
        <v>1026</v>
      </c>
      <c r="B1118" s="22" t="s">
        <v>1027</v>
      </c>
      <c r="C1118" s="15" t="s">
        <v>73</v>
      </c>
      <c r="D1118" s="16"/>
      <c r="E1118" s="2">
        <v>11176468.720000001</v>
      </c>
      <c r="F1118" s="23">
        <v>0.55869328196894019</v>
      </c>
      <c r="G1118" s="26">
        <f t="shared" si="17"/>
        <v>6244217.9900000002</v>
      </c>
      <c r="H1118" t="s">
        <v>68</v>
      </c>
    </row>
    <row r="1119" spans="1:9" hidden="1">
      <c r="A1119" s="19" t="s">
        <v>1026</v>
      </c>
      <c r="B1119" s="20" t="s">
        <v>1027</v>
      </c>
      <c r="C1119" s="19" t="s">
        <v>74</v>
      </c>
      <c r="D1119" s="20"/>
      <c r="E1119" s="3">
        <v>11176468.720000001</v>
      </c>
      <c r="F1119" s="24">
        <v>5.6096127113752614E-2</v>
      </c>
      <c r="G1119" s="26">
        <f t="shared" si="17"/>
        <v>626956.61</v>
      </c>
      <c r="H1119" t="s">
        <v>68</v>
      </c>
    </row>
    <row r="1120" spans="1:9" hidden="1">
      <c r="A1120" s="13" t="s">
        <v>1028</v>
      </c>
      <c r="B1120" s="14" t="s">
        <v>1029</v>
      </c>
      <c r="C1120" s="15" t="s">
        <v>72</v>
      </c>
      <c r="D1120" s="16"/>
      <c r="E1120" s="2">
        <v>16366777.91</v>
      </c>
      <c r="F1120" s="23">
        <v>0.39772034091223274</v>
      </c>
      <c r="G1120" s="26">
        <f t="shared" si="17"/>
        <v>6509400.4900000002</v>
      </c>
      <c r="H1120" t="s">
        <v>68</v>
      </c>
    </row>
    <row r="1121" spans="1:9" hidden="1">
      <c r="A1121" s="17" t="s">
        <v>1028</v>
      </c>
      <c r="B1121" s="18" t="s">
        <v>1029</v>
      </c>
      <c r="C1121" s="19" t="s">
        <v>73</v>
      </c>
      <c r="D1121" s="20"/>
      <c r="E1121" s="3">
        <v>16366777.91</v>
      </c>
      <c r="F1121" s="24">
        <v>0.55963973363404673</v>
      </c>
      <c r="G1121" s="26">
        <f t="shared" si="17"/>
        <v>9159499.2300000004</v>
      </c>
      <c r="H1121" t="s">
        <v>68</v>
      </c>
    </row>
    <row r="1122" spans="1:9" hidden="1">
      <c r="A1122" s="15" t="s">
        <v>1028</v>
      </c>
      <c r="B1122" s="16" t="s">
        <v>1029</v>
      </c>
      <c r="C1122" s="15" t="s">
        <v>74</v>
      </c>
      <c r="D1122" s="16"/>
      <c r="E1122" s="2">
        <v>16366777.91</v>
      </c>
      <c r="F1122" s="23">
        <v>4.2639925453720535E-2</v>
      </c>
      <c r="G1122" s="26">
        <f t="shared" si="17"/>
        <v>697878.19</v>
      </c>
      <c r="H1122" t="s">
        <v>68</v>
      </c>
    </row>
    <row r="1123" spans="1:9" hidden="1">
      <c r="A1123" s="17" t="s">
        <v>1030</v>
      </c>
      <c r="B1123" s="21" t="s">
        <v>1031</v>
      </c>
      <c r="C1123" s="19" t="s">
        <v>72</v>
      </c>
      <c r="D1123" s="20"/>
      <c r="E1123" s="3">
        <v>11834655.970000001</v>
      </c>
      <c r="F1123" s="24">
        <v>0.31975489017954106</v>
      </c>
      <c r="G1123" s="26">
        <f t="shared" si="17"/>
        <v>3784189.12</v>
      </c>
      <c r="H1123" t="s">
        <v>68</v>
      </c>
    </row>
    <row r="1124" spans="1:9" hidden="1">
      <c r="A1124" s="13" t="s">
        <v>1030</v>
      </c>
      <c r="B1124" s="22" t="s">
        <v>1031</v>
      </c>
      <c r="C1124" s="15" t="s">
        <v>73</v>
      </c>
      <c r="D1124" s="16"/>
      <c r="E1124" s="2">
        <v>11834655.970000001</v>
      </c>
      <c r="F1124" s="23">
        <v>0.62631580240181661</v>
      </c>
      <c r="G1124" s="26">
        <f t="shared" si="17"/>
        <v>7412232.0499999998</v>
      </c>
      <c r="H1124" t="s">
        <v>68</v>
      </c>
    </row>
    <row r="1125" spans="1:9" hidden="1">
      <c r="A1125" s="19" t="s">
        <v>1030</v>
      </c>
      <c r="B1125" s="20" t="s">
        <v>1031</v>
      </c>
      <c r="C1125" s="19" t="s">
        <v>74</v>
      </c>
      <c r="D1125" s="20"/>
      <c r="E1125" s="3">
        <v>11834655.970000001</v>
      </c>
      <c r="F1125" s="24">
        <v>5.3929307418642269E-2</v>
      </c>
      <c r="G1125" s="26">
        <f t="shared" si="17"/>
        <v>638234.80000000005</v>
      </c>
      <c r="H1125" t="s">
        <v>68</v>
      </c>
    </row>
    <row r="1126" spans="1:9" hidden="1">
      <c r="A1126" s="13" t="s">
        <v>1032</v>
      </c>
      <c r="B1126" s="14" t="s">
        <v>820</v>
      </c>
      <c r="C1126" s="15" t="s">
        <v>72</v>
      </c>
      <c r="D1126" s="16"/>
      <c r="E1126" s="2">
        <v>16441677.23</v>
      </c>
      <c r="F1126" s="23">
        <v>0.28472009178348284</v>
      </c>
      <c r="G1126" s="26">
        <f t="shared" si="17"/>
        <v>4681275.8499999996</v>
      </c>
      <c r="H1126" t="s">
        <v>68</v>
      </c>
    </row>
    <row r="1127" spans="1:9" hidden="1">
      <c r="A1127" s="17" t="s">
        <v>1032</v>
      </c>
      <c r="B1127" s="18" t="s">
        <v>820</v>
      </c>
      <c r="C1127" s="19" t="s">
        <v>73</v>
      </c>
      <c r="D1127" s="20"/>
      <c r="E1127" s="3">
        <v>16441677.23</v>
      </c>
      <c r="F1127" s="24">
        <v>0.58648440880504982</v>
      </c>
      <c r="G1127" s="26">
        <f t="shared" si="17"/>
        <v>9642787.3499999996</v>
      </c>
      <c r="H1127" t="s">
        <v>68</v>
      </c>
    </row>
    <row r="1128" spans="1:9" hidden="1">
      <c r="A1128" s="15" t="s">
        <v>1032</v>
      </c>
      <c r="B1128" s="16" t="s">
        <v>820</v>
      </c>
      <c r="C1128" s="15" t="s">
        <v>74</v>
      </c>
      <c r="D1128" s="16"/>
      <c r="E1128" s="2">
        <v>16441677.23</v>
      </c>
      <c r="F1128" s="23">
        <v>0.12879549941146726</v>
      </c>
      <c r="G1128" s="26">
        <f t="shared" si="17"/>
        <v>2117614.0299999998</v>
      </c>
      <c r="H1128" t="s">
        <v>68</v>
      </c>
    </row>
    <row r="1129" spans="1:9" hidden="1">
      <c r="A1129" s="17" t="s">
        <v>821</v>
      </c>
      <c r="B1129" s="21" t="s">
        <v>822</v>
      </c>
      <c r="C1129" s="19" t="s">
        <v>72</v>
      </c>
      <c r="D1129" s="20"/>
      <c r="E1129" s="3">
        <v>13014122.949999999</v>
      </c>
      <c r="F1129" s="24">
        <v>0.2433174469125482</v>
      </c>
      <c r="G1129" s="26">
        <f t="shared" si="17"/>
        <v>3166563.17</v>
      </c>
      <c r="H1129" t="s">
        <v>68</v>
      </c>
    </row>
    <row r="1130" spans="1:9" hidden="1">
      <c r="A1130" s="13" t="s">
        <v>821</v>
      </c>
      <c r="B1130" s="22" t="s">
        <v>822</v>
      </c>
      <c r="C1130" s="15" t="s">
        <v>73</v>
      </c>
      <c r="D1130" s="16"/>
      <c r="E1130" s="2">
        <v>13014122.949999999</v>
      </c>
      <c r="F1130" s="23">
        <v>0.63249894454086131</v>
      </c>
      <c r="G1130" s="26">
        <f t="shared" si="17"/>
        <v>8231419.0300000003</v>
      </c>
      <c r="H1130" t="s">
        <v>68</v>
      </c>
    </row>
    <row r="1131" spans="1:9" hidden="1">
      <c r="A1131" s="19" t="s">
        <v>821</v>
      </c>
      <c r="B1131" s="20" t="s">
        <v>822</v>
      </c>
      <c r="C1131" s="19" t="s">
        <v>74</v>
      </c>
      <c r="D1131" s="20"/>
      <c r="E1131" s="3">
        <v>13014122.949999999</v>
      </c>
      <c r="F1131" s="24">
        <v>0.12418360854659054</v>
      </c>
      <c r="G1131" s="26">
        <f t="shared" si="17"/>
        <v>1616140.75</v>
      </c>
      <c r="H1131" t="s">
        <v>68</v>
      </c>
    </row>
    <row r="1132" spans="1:9" hidden="1">
      <c r="A1132" s="13" t="s">
        <v>823</v>
      </c>
      <c r="B1132" s="14" t="s">
        <v>824</v>
      </c>
      <c r="C1132" s="15" t="s">
        <v>72</v>
      </c>
      <c r="D1132" s="16"/>
      <c r="E1132" s="2">
        <v>9893099.1099999994</v>
      </c>
      <c r="F1132" s="23">
        <v>0.13904451827532535</v>
      </c>
      <c r="G1132" s="26">
        <f t="shared" si="17"/>
        <v>1375581.2</v>
      </c>
      <c r="H1132" t="s">
        <v>68</v>
      </c>
    </row>
    <row r="1133" spans="1:9" hidden="1">
      <c r="A1133" s="17" t="s">
        <v>823</v>
      </c>
      <c r="B1133" s="18" t="s">
        <v>824</v>
      </c>
      <c r="C1133" s="19" t="s">
        <v>73</v>
      </c>
      <c r="D1133" s="20"/>
      <c r="E1133" s="3">
        <v>9893099.1099999994</v>
      </c>
      <c r="F1133" s="24">
        <v>0.68904568570525526</v>
      </c>
      <c r="G1133" s="26">
        <f t="shared" si="17"/>
        <v>6816797.2599999998</v>
      </c>
      <c r="H1133" t="s">
        <v>68</v>
      </c>
    </row>
    <row r="1134" spans="1:9" hidden="1">
      <c r="A1134" s="15" t="s">
        <v>823</v>
      </c>
      <c r="B1134" s="16" t="s">
        <v>824</v>
      </c>
      <c r="C1134" s="15" t="s">
        <v>74</v>
      </c>
      <c r="D1134" s="16"/>
      <c r="E1134" s="2">
        <v>9893099.1099999994</v>
      </c>
      <c r="F1134" s="23">
        <v>0.17190979601941944</v>
      </c>
      <c r="G1134" s="26">
        <f t="shared" si="17"/>
        <v>1700720.65</v>
      </c>
      <c r="H1134" t="s">
        <v>68</v>
      </c>
    </row>
    <row r="1135" spans="1:9" hidden="1">
      <c r="A1135" s="17" t="s">
        <v>825</v>
      </c>
      <c r="B1135" s="21" t="s">
        <v>826</v>
      </c>
      <c r="C1135" s="19" t="s">
        <v>72</v>
      </c>
      <c r="D1135" s="20"/>
      <c r="E1135" s="3">
        <v>6962142.2300000004</v>
      </c>
      <c r="F1135" s="24">
        <v>0.78476917728812323</v>
      </c>
      <c r="G1135" s="26">
        <f t="shared" si="17"/>
        <v>5463674.6299999999</v>
      </c>
      <c r="H1135" t="s">
        <v>68</v>
      </c>
      <c r="I1135" t="s">
        <v>1883</v>
      </c>
    </row>
    <row r="1136" spans="1:9" hidden="1">
      <c r="A1136" s="13" t="s">
        <v>825</v>
      </c>
      <c r="B1136" s="22" t="s">
        <v>826</v>
      </c>
      <c r="C1136" s="15" t="s">
        <v>73</v>
      </c>
      <c r="D1136" s="16"/>
      <c r="E1136" s="2">
        <v>6962142.2300000004</v>
      </c>
      <c r="F1136" s="23">
        <v>0.15552770601757729</v>
      </c>
      <c r="G1136" s="26">
        <f t="shared" si="17"/>
        <v>1082806.01</v>
      </c>
      <c r="H1136" t="s">
        <v>68</v>
      </c>
      <c r="I1136" t="s">
        <v>1883</v>
      </c>
    </row>
    <row r="1137" spans="1:9" hidden="1">
      <c r="A1137" s="19" t="s">
        <v>825</v>
      </c>
      <c r="B1137" s="20" t="s">
        <v>826</v>
      </c>
      <c r="C1137" s="19" t="s">
        <v>74</v>
      </c>
      <c r="D1137" s="20"/>
      <c r="E1137" s="3">
        <v>6962142.2300000004</v>
      </c>
      <c r="F1137" s="24">
        <v>5.9703116694299424E-2</v>
      </c>
      <c r="G1137" s="26">
        <f t="shared" si="17"/>
        <v>415661.59</v>
      </c>
      <c r="H1137" t="s">
        <v>68</v>
      </c>
      <c r="I1137" t="s">
        <v>1883</v>
      </c>
    </row>
    <row r="1138" spans="1:9" hidden="1">
      <c r="A1138" s="13" t="s">
        <v>827</v>
      </c>
      <c r="B1138" s="14" t="s">
        <v>828</v>
      </c>
      <c r="C1138" s="15" t="s">
        <v>72</v>
      </c>
      <c r="D1138" s="16"/>
      <c r="E1138" s="2">
        <v>7522382.6900000004</v>
      </c>
      <c r="F1138" s="23">
        <v>0.59011822755324339</v>
      </c>
      <c r="G1138" s="26">
        <f t="shared" si="17"/>
        <v>4439095.1399999997</v>
      </c>
      <c r="H1138" t="s">
        <v>68</v>
      </c>
    </row>
    <row r="1139" spans="1:9" hidden="1">
      <c r="A1139" s="17" t="s">
        <v>827</v>
      </c>
      <c r="B1139" s="18" t="s">
        <v>828</v>
      </c>
      <c r="C1139" s="19" t="s">
        <v>73</v>
      </c>
      <c r="D1139" s="20"/>
      <c r="E1139" s="3">
        <v>7522382.6900000004</v>
      </c>
      <c r="F1139" s="24">
        <v>0.3851962389326406</v>
      </c>
      <c r="G1139" s="26">
        <f t="shared" si="17"/>
        <v>2897593.52</v>
      </c>
      <c r="H1139" t="s">
        <v>68</v>
      </c>
    </row>
    <row r="1140" spans="1:9" hidden="1">
      <c r="A1140" s="15" t="s">
        <v>827</v>
      </c>
      <c r="B1140" s="16" t="s">
        <v>828</v>
      </c>
      <c r="C1140" s="15" t="s">
        <v>74</v>
      </c>
      <c r="D1140" s="16"/>
      <c r="E1140" s="2">
        <v>7522382.6900000004</v>
      </c>
      <c r="F1140" s="23">
        <v>2.4685533514115857E-2</v>
      </c>
      <c r="G1140" s="26">
        <f t="shared" si="17"/>
        <v>185694.03</v>
      </c>
      <c r="H1140" t="s">
        <v>68</v>
      </c>
    </row>
    <row r="1141" spans="1:9" hidden="1">
      <c r="A1141" s="17" t="s">
        <v>829</v>
      </c>
      <c r="B1141" s="21" t="s">
        <v>830</v>
      </c>
      <c r="C1141" s="19" t="s">
        <v>72</v>
      </c>
      <c r="D1141" s="20"/>
      <c r="E1141" s="3">
        <v>8470837.2400000002</v>
      </c>
      <c r="F1141" s="24">
        <v>0.50294785737141612</v>
      </c>
      <c r="G1141" s="26">
        <f t="shared" si="17"/>
        <v>4260389.4400000004</v>
      </c>
      <c r="H1141" t="s">
        <v>68</v>
      </c>
    </row>
    <row r="1142" spans="1:9" hidden="1">
      <c r="A1142" s="13" t="s">
        <v>829</v>
      </c>
      <c r="B1142" s="22" t="s">
        <v>830</v>
      </c>
      <c r="C1142" s="15" t="s">
        <v>73</v>
      </c>
      <c r="D1142" s="16"/>
      <c r="E1142" s="2">
        <v>8470837.2400000002</v>
      </c>
      <c r="F1142" s="23">
        <v>0.4680707712429143</v>
      </c>
      <c r="G1142" s="26">
        <f t="shared" si="17"/>
        <v>3964951.32</v>
      </c>
      <c r="H1142" t="s">
        <v>68</v>
      </c>
    </row>
    <row r="1143" spans="1:9" hidden="1">
      <c r="A1143" s="19" t="s">
        <v>829</v>
      </c>
      <c r="B1143" s="20" t="s">
        <v>830</v>
      </c>
      <c r="C1143" s="19" t="s">
        <v>74</v>
      </c>
      <c r="D1143" s="20"/>
      <c r="E1143" s="3">
        <v>8470837.2400000002</v>
      </c>
      <c r="F1143" s="24">
        <v>2.8981371385669547E-2</v>
      </c>
      <c r="G1143" s="26">
        <f t="shared" si="17"/>
        <v>245496.48</v>
      </c>
      <c r="H1143" t="s">
        <v>68</v>
      </c>
    </row>
    <row r="1144" spans="1:9" hidden="1">
      <c r="A1144" s="13" t="s">
        <v>831</v>
      </c>
      <c r="B1144" s="14" t="s">
        <v>832</v>
      </c>
      <c r="C1144" s="15" t="s">
        <v>72</v>
      </c>
      <c r="D1144" s="16"/>
      <c r="E1144" s="2">
        <v>4167295.73</v>
      </c>
      <c r="F1144" s="23">
        <v>0.46846407034328713</v>
      </c>
      <c r="G1144" s="26">
        <f t="shared" si="17"/>
        <v>1952228.32</v>
      </c>
      <c r="H1144" t="s">
        <v>68</v>
      </c>
    </row>
    <row r="1145" spans="1:9" hidden="1">
      <c r="A1145" s="17" t="s">
        <v>831</v>
      </c>
      <c r="B1145" s="18" t="s">
        <v>832</v>
      </c>
      <c r="C1145" s="19" t="s">
        <v>73</v>
      </c>
      <c r="D1145" s="20"/>
      <c r="E1145" s="3">
        <v>4167295.73</v>
      </c>
      <c r="F1145" s="24">
        <v>0.49812887889288338</v>
      </c>
      <c r="G1145" s="26">
        <f t="shared" si="17"/>
        <v>2075850.35</v>
      </c>
      <c r="H1145" t="s">
        <v>68</v>
      </c>
    </row>
    <row r="1146" spans="1:9" hidden="1">
      <c r="A1146" s="15" t="s">
        <v>831</v>
      </c>
      <c r="B1146" s="16" t="s">
        <v>832</v>
      </c>
      <c r="C1146" s="15" t="s">
        <v>74</v>
      </c>
      <c r="D1146" s="16"/>
      <c r="E1146" s="2">
        <v>4167295.73</v>
      </c>
      <c r="F1146" s="23">
        <v>3.3407050763829521E-2</v>
      </c>
      <c r="G1146" s="26">
        <f t="shared" si="17"/>
        <v>139217.06</v>
      </c>
      <c r="H1146" t="s">
        <v>68</v>
      </c>
    </row>
    <row r="1147" spans="1:9" hidden="1">
      <c r="A1147" s="17" t="s">
        <v>833</v>
      </c>
      <c r="B1147" s="21" t="s">
        <v>834</v>
      </c>
      <c r="C1147" s="19" t="s">
        <v>72</v>
      </c>
      <c r="D1147" s="20"/>
      <c r="E1147" s="3">
        <v>5232522.08</v>
      </c>
      <c r="F1147" s="24">
        <v>0.29984595306284884</v>
      </c>
      <c r="G1147" s="26">
        <f t="shared" si="17"/>
        <v>1568950.5700000003</v>
      </c>
      <c r="H1147" t="s">
        <v>68</v>
      </c>
    </row>
    <row r="1148" spans="1:9" hidden="1">
      <c r="A1148" s="13" t="s">
        <v>833</v>
      </c>
      <c r="B1148" s="22" t="s">
        <v>834</v>
      </c>
      <c r="C1148" s="15" t="s">
        <v>73</v>
      </c>
      <c r="D1148" s="16"/>
      <c r="E1148" s="2">
        <v>5232522.08</v>
      </c>
      <c r="F1148" s="23">
        <v>0.64495324594980019</v>
      </c>
      <c r="G1148" s="26">
        <f t="shared" si="17"/>
        <v>3374732.1</v>
      </c>
      <c r="H1148" t="s">
        <v>68</v>
      </c>
    </row>
    <row r="1149" spans="1:9" hidden="1">
      <c r="A1149" s="19" t="s">
        <v>833</v>
      </c>
      <c r="B1149" s="20" t="s">
        <v>834</v>
      </c>
      <c r="C1149" s="19" t="s">
        <v>74</v>
      </c>
      <c r="D1149" s="20"/>
      <c r="E1149" s="3">
        <v>5232522.08</v>
      </c>
      <c r="F1149" s="24">
        <v>5.5200800987351015E-2</v>
      </c>
      <c r="G1149" s="26">
        <f t="shared" si="17"/>
        <v>288839.40999999997</v>
      </c>
      <c r="H1149" t="s">
        <v>68</v>
      </c>
    </row>
    <row r="1150" spans="1:9" hidden="1">
      <c r="A1150" s="13" t="s">
        <v>835</v>
      </c>
      <c r="B1150" s="14" t="s">
        <v>836</v>
      </c>
      <c r="C1150" s="15" t="s">
        <v>72</v>
      </c>
      <c r="D1150" s="16"/>
      <c r="E1150" s="2">
        <v>1645413.4</v>
      </c>
      <c r="F1150" s="23">
        <v>0.65569746788253935</v>
      </c>
      <c r="G1150" s="26">
        <f t="shared" si="17"/>
        <v>1078893.3999999999</v>
      </c>
      <c r="H1150" t="s">
        <v>68</v>
      </c>
      <c r="I1150" t="s">
        <v>1883</v>
      </c>
    </row>
    <row r="1151" spans="1:9" hidden="1">
      <c r="A1151" s="17" t="s">
        <v>835</v>
      </c>
      <c r="B1151" s="18" t="s">
        <v>836</v>
      </c>
      <c r="C1151" s="19" t="s">
        <v>73</v>
      </c>
      <c r="D1151" s="20"/>
      <c r="E1151" s="3">
        <v>1645413.4</v>
      </c>
      <c r="F1151" s="24">
        <v>0.3184204589557858</v>
      </c>
      <c r="G1151" s="26">
        <f t="shared" si="17"/>
        <v>523933.28999999992</v>
      </c>
      <c r="H1151" t="s">
        <v>68</v>
      </c>
      <c r="I1151" t="s">
        <v>1883</v>
      </c>
    </row>
    <row r="1152" spans="1:9" hidden="1">
      <c r="A1152" s="15" t="s">
        <v>835</v>
      </c>
      <c r="B1152" s="16" t="s">
        <v>836</v>
      </c>
      <c r="C1152" s="15" t="s">
        <v>74</v>
      </c>
      <c r="D1152" s="16"/>
      <c r="E1152" s="2">
        <v>1645413.4</v>
      </c>
      <c r="F1152" s="23">
        <v>2.5882073161674752E-2</v>
      </c>
      <c r="G1152" s="26">
        <f t="shared" si="17"/>
        <v>42586.71</v>
      </c>
      <c r="H1152" t="s">
        <v>68</v>
      </c>
      <c r="I1152" t="s">
        <v>1883</v>
      </c>
    </row>
    <row r="1153" spans="1:9" hidden="1">
      <c r="A1153" s="17" t="s">
        <v>837</v>
      </c>
      <c r="B1153" s="21" t="s">
        <v>838</v>
      </c>
      <c r="C1153" s="19" t="s">
        <v>72</v>
      </c>
      <c r="D1153" s="20"/>
      <c r="E1153" s="3">
        <v>13313127.460000001</v>
      </c>
      <c r="F1153" s="24">
        <v>0.58741360837237866</v>
      </c>
      <c r="G1153" s="26">
        <f t="shared" si="17"/>
        <v>7820312.2400000012</v>
      </c>
      <c r="H1153" t="s">
        <v>68</v>
      </c>
    </row>
    <row r="1154" spans="1:9" hidden="1">
      <c r="A1154" s="13" t="s">
        <v>837</v>
      </c>
      <c r="B1154" s="22" t="s">
        <v>838</v>
      </c>
      <c r="C1154" s="15" t="s">
        <v>73</v>
      </c>
      <c r="D1154" s="16"/>
      <c r="E1154" s="2">
        <v>13313127.460000001</v>
      </c>
      <c r="F1154" s="23">
        <v>0.34308374675472386</v>
      </c>
      <c r="G1154" s="26">
        <f t="shared" si="17"/>
        <v>4567517.6500000004</v>
      </c>
      <c r="H1154" t="s">
        <v>68</v>
      </c>
    </row>
    <row r="1155" spans="1:9" hidden="1">
      <c r="A1155" s="19" t="s">
        <v>837</v>
      </c>
      <c r="B1155" s="20" t="s">
        <v>838</v>
      </c>
      <c r="C1155" s="19" t="s">
        <v>74</v>
      </c>
      <c r="D1155" s="20"/>
      <c r="E1155" s="3">
        <v>13313127.460000001</v>
      </c>
      <c r="F1155" s="24">
        <v>6.9502644872897493E-2</v>
      </c>
      <c r="G1155" s="26">
        <f t="shared" si="17"/>
        <v>925297.56999999983</v>
      </c>
      <c r="H1155" t="s">
        <v>68</v>
      </c>
    </row>
    <row r="1156" spans="1:9" hidden="1">
      <c r="A1156" s="13" t="s">
        <v>839</v>
      </c>
      <c r="B1156" s="14" t="s">
        <v>840</v>
      </c>
      <c r="C1156" s="15" t="s">
        <v>72</v>
      </c>
      <c r="D1156" s="16"/>
      <c r="E1156" s="2">
        <v>6194700.6900000004</v>
      </c>
      <c r="F1156" s="23">
        <v>0.49950277581530733</v>
      </c>
      <c r="G1156" s="26">
        <f t="shared" si="17"/>
        <v>3094270.19</v>
      </c>
      <c r="H1156" t="s">
        <v>68</v>
      </c>
    </row>
    <row r="1157" spans="1:9" hidden="1">
      <c r="A1157" s="17" t="s">
        <v>839</v>
      </c>
      <c r="B1157" s="18" t="s">
        <v>840</v>
      </c>
      <c r="C1157" s="19" t="s">
        <v>73</v>
      </c>
      <c r="D1157" s="20"/>
      <c r="E1157" s="3">
        <v>6194700.6900000004</v>
      </c>
      <c r="F1157" s="24">
        <v>0.44060000742344174</v>
      </c>
      <c r="G1157" s="26">
        <f t="shared" ref="G1157:G1220" si="18">F1157*E1157</f>
        <v>2729385.17</v>
      </c>
      <c r="H1157" t="s">
        <v>68</v>
      </c>
    </row>
    <row r="1158" spans="1:9" hidden="1">
      <c r="A1158" s="15" t="s">
        <v>839</v>
      </c>
      <c r="B1158" s="16" t="s">
        <v>840</v>
      </c>
      <c r="C1158" s="15" t="s">
        <v>74</v>
      </c>
      <c r="D1158" s="16"/>
      <c r="E1158" s="2">
        <v>6194700.6900000004</v>
      </c>
      <c r="F1158" s="23">
        <v>5.9897216761250816E-2</v>
      </c>
      <c r="G1158" s="26">
        <f t="shared" si="18"/>
        <v>371045.33</v>
      </c>
      <c r="H1158" t="s">
        <v>68</v>
      </c>
    </row>
    <row r="1159" spans="1:9" hidden="1">
      <c r="A1159" s="17" t="s">
        <v>841</v>
      </c>
      <c r="B1159" s="21" t="s">
        <v>842</v>
      </c>
      <c r="C1159" s="19" t="s">
        <v>72</v>
      </c>
      <c r="D1159" s="20"/>
      <c r="E1159" s="3">
        <v>12540698.060000001</v>
      </c>
      <c r="F1159" s="24">
        <v>0.24198545531364143</v>
      </c>
      <c r="G1159" s="26">
        <f t="shared" si="18"/>
        <v>3034666.53</v>
      </c>
      <c r="H1159" t="s">
        <v>68</v>
      </c>
    </row>
    <row r="1160" spans="1:9" hidden="1">
      <c r="A1160" s="13" t="s">
        <v>841</v>
      </c>
      <c r="B1160" s="22" t="s">
        <v>842</v>
      </c>
      <c r="C1160" s="15" t="s">
        <v>73</v>
      </c>
      <c r="D1160" s="16"/>
      <c r="E1160" s="2">
        <v>12540698.060000001</v>
      </c>
      <c r="F1160" s="23">
        <v>0.67377471410072365</v>
      </c>
      <c r="G1160" s="26">
        <f t="shared" si="18"/>
        <v>8449605.25</v>
      </c>
      <c r="H1160" t="s">
        <v>68</v>
      </c>
    </row>
    <row r="1161" spans="1:9" hidden="1">
      <c r="A1161" s="19" t="s">
        <v>841</v>
      </c>
      <c r="B1161" s="20" t="s">
        <v>842</v>
      </c>
      <c r="C1161" s="19" t="s">
        <v>74</v>
      </c>
      <c r="D1161" s="20"/>
      <c r="E1161" s="3">
        <v>12540698.060000001</v>
      </c>
      <c r="F1161" s="24">
        <v>8.4239830585634876E-2</v>
      </c>
      <c r="G1161" s="26">
        <f t="shared" si="18"/>
        <v>1056426.28</v>
      </c>
      <c r="H1161" t="s">
        <v>68</v>
      </c>
    </row>
    <row r="1162" spans="1:9" hidden="1">
      <c r="A1162" s="13" t="s">
        <v>843</v>
      </c>
      <c r="B1162" s="14" t="s">
        <v>844</v>
      </c>
      <c r="C1162" s="15" t="s">
        <v>72</v>
      </c>
      <c r="D1162" s="16"/>
      <c r="E1162" s="2">
        <v>4026340.71</v>
      </c>
      <c r="F1162" s="23">
        <v>0.82067599540029978</v>
      </c>
      <c r="G1162" s="26">
        <f t="shared" si="18"/>
        <v>3304321.17</v>
      </c>
      <c r="H1162" t="s">
        <v>68</v>
      </c>
      <c r="I1162" t="s">
        <v>1883</v>
      </c>
    </row>
    <row r="1163" spans="1:9" hidden="1">
      <c r="A1163" s="17" t="s">
        <v>843</v>
      </c>
      <c r="B1163" s="18" t="s">
        <v>844</v>
      </c>
      <c r="C1163" s="19" t="s">
        <v>73</v>
      </c>
      <c r="D1163" s="20"/>
      <c r="E1163" s="3">
        <v>4026340.71</v>
      </c>
      <c r="F1163" s="24">
        <v>0.17034977896840728</v>
      </c>
      <c r="G1163" s="26">
        <f t="shared" si="18"/>
        <v>685886.25</v>
      </c>
      <c r="H1163" t="s">
        <v>68</v>
      </c>
      <c r="I1163" t="s">
        <v>1883</v>
      </c>
    </row>
    <row r="1164" spans="1:9" hidden="1">
      <c r="A1164" s="15" t="s">
        <v>843</v>
      </c>
      <c r="B1164" s="16" t="s">
        <v>844</v>
      </c>
      <c r="C1164" s="15" t="s">
        <v>74</v>
      </c>
      <c r="D1164" s="16"/>
      <c r="E1164" s="2">
        <v>4026340.71</v>
      </c>
      <c r="F1164" s="23">
        <v>8.9742256312928866E-3</v>
      </c>
      <c r="G1164" s="26">
        <f t="shared" si="18"/>
        <v>36133.29</v>
      </c>
      <c r="H1164" t="s">
        <v>68</v>
      </c>
      <c r="I1164" t="s">
        <v>1883</v>
      </c>
    </row>
    <row r="1165" spans="1:9" hidden="1">
      <c r="A1165" s="17" t="s">
        <v>845</v>
      </c>
      <c r="B1165" s="21" t="s">
        <v>846</v>
      </c>
      <c r="C1165" s="19" t="s">
        <v>72</v>
      </c>
      <c r="D1165" s="20"/>
      <c r="E1165" s="3">
        <v>11955559.699999999</v>
      </c>
      <c r="F1165" s="24">
        <v>0.27587418512911616</v>
      </c>
      <c r="G1165" s="26">
        <f t="shared" si="18"/>
        <v>3298230.29</v>
      </c>
      <c r="H1165" t="s">
        <v>68</v>
      </c>
    </row>
    <row r="1166" spans="1:9" hidden="1">
      <c r="A1166" s="13" t="s">
        <v>845</v>
      </c>
      <c r="B1166" s="22" t="s">
        <v>846</v>
      </c>
      <c r="C1166" s="15" t="s">
        <v>73</v>
      </c>
      <c r="D1166" s="16"/>
      <c r="E1166" s="2">
        <v>11955559.699999999</v>
      </c>
      <c r="F1166" s="23">
        <v>0.63928282002556525</v>
      </c>
      <c r="G1166" s="26">
        <f t="shared" si="18"/>
        <v>7642983.9199999999</v>
      </c>
      <c r="H1166" t="s">
        <v>68</v>
      </c>
    </row>
    <row r="1167" spans="1:9" hidden="1">
      <c r="A1167" s="19" t="s">
        <v>845</v>
      </c>
      <c r="B1167" s="20" t="s">
        <v>846</v>
      </c>
      <c r="C1167" s="19" t="s">
        <v>74</v>
      </c>
      <c r="D1167" s="20"/>
      <c r="E1167" s="3">
        <v>11955559.699999999</v>
      </c>
      <c r="F1167" s="24">
        <v>8.4842994845318709E-2</v>
      </c>
      <c r="G1167" s="26">
        <f t="shared" si="18"/>
        <v>1014345.49</v>
      </c>
      <c r="H1167" t="s">
        <v>68</v>
      </c>
    </row>
    <row r="1168" spans="1:9" hidden="1">
      <c r="A1168" s="13" t="s">
        <v>847</v>
      </c>
      <c r="B1168" s="14" t="s">
        <v>848</v>
      </c>
      <c r="C1168" s="15" t="s">
        <v>72</v>
      </c>
      <c r="D1168" s="16"/>
      <c r="E1168" s="2">
        <v>8024603.8399999999</v>
      </c>
      <c r="F1168" s="23">
        <v>0.32177961946592498</v>
      </c>
      <c r="G1168" s="26">
        <f t="shared" si="18"/>
        <v>2582153.9700000002</v>
      </c>
      <c r="H1168" t="s">
        <v>68</v>
      </c>
    </row>
    <row r="1169" spans="1:9" hidden="1">
      <c r="A1169" s="17" t="s">
        <v>847</v>
      </c>
      <c r="B1169" s="18" t="s">
        <v>848</v>
      </c>
      <c r="C1169" s="19" t="s">
        <v>73</v>
      </c>
      <c r="D1169" s="20"/>
      <c r="E1169" s="3">
        <v>8024603.8399999999</v>
      </c>
      <c r="F1169" s="24">
        <v>0.62222020794486976</v>
      </c>
      <c r="G1169" s="26">
        <f t="shared" si="18"/>
        <v>4993070.67</v>
      </c>
      <c r="H1169" t="s">
        <v>68</v>
      </c>
    </row>
    <row r="1170" spans="1:9" hidden="1">
      <c r="A1170" s="15" t="s">
        <v>847</v>
      </c>
      <c r="B1170" s="16" t="s">
        <v>848</v>
      </c>
      <c r="C1170" s="15" t="s">
        <v>74</v>
      </c>
      <c r="D1170" s="16"/>
      <c r="E1170" s="2">
        <v>8024603.8399999999</v>
      </c>
      <c r="F1170" s="23">
        <v>5.6000172589205352E-2</v>
      </c>
      <c r="G1170" s="26">
        <f t="shared" si="18"/>
        <v>449379.2</v>
      </c>
      <c r="H1170" t="s">
        <v>68</v>
      </c>
    </row>
    <row r="1171" spans="1:9" hidden="1">
      <c r="A1171" s="17" t="s">
        <v>849</v>
      </c>
      <c r="B1171" s="21" t="s">
        <v>850</v>
      </c>
      <c r="C1171" s="19" t="s">
        <v>72</v>
      </c>
      <c r="D1171" s="20"/>
      <c r="E1171" s="3">
        <v>26175041.5</v>
      </c>
      <c r="F1171" s="24">
        <v>0.21530448003301161</v>
      </c>
      <c r="G1171" s="26">
        <f t="shared" si="18"/>
        <v>5635603.7000000002</v>
      </c>
      <c r="H1171" t="s">
        <v>68</v>
      </c>
    </row>
    <row r="1172" spans="1:9" hidden="1">
      <c r="A1172" s="13" t="s">
        <v>849</v>
      </c>
      <c r="B1172" s="22" t="s">
        <v>850</v>
      </c>
      <c r="C1172" s="15" t="s">
        <v>73</v>
      </c>
      <c r="D1172" s="16"/>
      <c r="E1172" s="2">
        <v>26175041.5</v>
      </c>
      <c r="F1172" s="23">
        <v>0.70835048265348499</v>
      </c>
      <c r="G1172" s="26">
        <f t="shared" si="18"/>
        <v>18541103.280000001</v>
      </c>
      <c r="H1172" t="s">
        <v>68</v>
      </c>
    </row>
    <row r="1173" spans="1:9" hidden="1">
      <c r="A1173" s="19" t="s">
        <v>849</v>
      </c>
      <c r="B1173" s="20" t="s">
        <v>850</v>
      </c>
      <c r="C1173" s="19" t="s">
        <v>74</v>
      </c>
      <c r="D1173" s="20"/>
      <c r="E1173" s="3">
        <v>26175041.5</v>
      </c>
      <c r="F1173" s="24">
        <v>7.6345037313503394E-2</v>
      </c>
      <c r="G1173" s="26">
        <f t="shared" si="18"/>
        <v>1998334.5199999998</v>
      </c>
      <c r="H1173" t="s">
        <v>68</v>
      </c>
    </row>
    <row r="1174" spans="1:9" hidden="1">
      <c r="A1174" s="13" t="s">
        <v>851</v>
      </c>
      <c r="B1174" s="14" t="s">
        <v>852</v>
      </c>
      <c r="C1174" s="15" t="s">
        <v>72</v>
      </c>
      <c r="D1174" s="16"/>
      <c r="E1174" s="2">
        <v>10879101.84</v>
      </c>
      <c r="F1174" s="23">
        <v>0.22661176411967479</v>
      </c>
      <c r="G1174" s="26">
        <f t="shared" si="18"/>
        <v>2465332.46</v>
      </c>
      <c r="H1174" t="s">
        <v>68</v>
      </c>
    </row>
    <row r="1175" spans="1:9" hidden="1">
      <c r="A1175" s="17" t="s">
        <v>851</v>
      </c>
      <c r="B1175" s="18" t="s">
        <v>852</v>
      </c>
      <c r="C1175" s="19" t="s">
        <v>73</v>
      </c>
      <c r="D1175" s="20"/>
      <c r="E1175" s="3">
        <v>10879101.84</v>
      </c>
      <c r="F1175" s="24">
        <v>0.66303721171894092</v>
      </c>
      <c r="G1175" s="26">
        <f t="shared" si="18"/>
        <v>7213249.3499999996</v>
      </c>
      <c r="H1175" t="s">
        <v>68</v>
      </c>
    </row>
    <row r="1176" spans="1:9" hidden="1">
      <c r="A1176" s="15" t="s">
        <v>851</v>
      </c>
      <c r="B1176" s="16" t="s">
        <v>852</v>
      </c>
      <c r="C1176" s="15" t="s">
        <v>74</v>
      </c>
      <c r="D1176" s="16"/>
      <c r="E1176" s="2">
        <v>10879101.84</v>
      </c>
      <c r="F1176" s="23">
        <v>0.11035102416138427</v>
      </c>
      <c r="G1176" s="26">
        <f t="shared" si="18"/>
        <v>1200520.03</v>
      </c>
      <c r="H1176" t="s">
        <v>68</v>
      </c>
    </row>
    <row r="1177" spans="1:9" hidden="1">
      <c r="A1177" s="17" t="s">
        <v>853</v>
      </c>
      <c r="B1177" s="21" t="s">
        <v>854</v>
      </c>
      <c r="C1177" s="19" t="s">
        <v>72</v>
      </c>
      <c r="D1177" s="20"/>
      <c r="E1177" s="3">
        <v>12049216.1</v>
      </c>
      <c r="F1177" s="24">
        <v>0.3099009088234379</v>
      </c>
      <c r="G1177" s="26">
        <f t="shared" si="18"/>
        <v>3734063.02</v>
      </c>
      <c r="H1177" t="s">
        <v>68</v>
      </c>
      <c r="I1177" t="s">
        <v>1883</v>
      </c>
    </row>
    <row r="1178" spans="1:9" hidden="1">
      <c r="A1178" s="13" t="s">
        <v>853</v>
      </c>
      <c r="B1178" s="22" t="s">
        <v>854</v>
      </c>
      <c r="C1178" s="15" t="s">
        <v>73</v>
      </c>
      <c r="D1178" s="16"/>
      <c r="E1178" s="2">
        <v>12049216.1</v>
      </c>
      <c r="F1178" s="23">
        <v>0.32601759462177793</v>
      </c>
      <c r="G1178" s="26">
        <f t="shared" si="18"/>
        <v>3928256.4499999997</v>
      </c>
      <c r="H1178" t="s">
        <v>68</v>
      </c>
      <c r="I1178" t="s">
        <v>1883</v>
      </c>
    </row>
    <row r="1179" spans="1:9" hidden="1">
      <c r="A1179" s="19" t="s">
        <v>853</v>
      </c>
      <c r="B1179" s="20" t="s">
        <v>854</v>
      </c>
      <c r="C1179" s="19" t="s">
        <v>74</v>
      </c>
      <c r="D1179" s="20"/>
      <c r="E1179" s="3">
        <v>12049216.1</v>
      </c>
      <c r="F1179" s="24">
        <v>0.36408149655478417</v>
      </c>
      <c r="G1179" s="26">
        <f t="shared" si="18"/>
        <v>4386896.63</v>
      </c>
      <c r="H1179" t="s">
        <v>68</v>
      </c>
      <c r="I1179" t="s">
        <v>1883</v>
      </c>
    </row>
    <row r="1180" spans="1:9" hidden="1">
      <c r="A1180" s="13" t="s">
        <v>855</v>
      </c>
      <c r="B1180" s="14" t="s">
        <v>856</v>
      </c>
      <c r="C1180" s="15" t="s">
        <v>72</v>
      </c>
      <c r="D1180" s="16"/>
      <c r="E1180" s="2">
        <v>30137880.09</v>
      </c>
      <c r="F1180" s="23">
        <v>0.43598509784899736</v>
      </c>
      <c r="G1180" s="26">
        <f t="shared" si="18"/>
        <v>13139666.6</v>
      </c>
      <c r="H1180" t="s">
        <v>68</v>
      </c>
    </row>
    <row r="1181" spans="1:9" hidden="1">
      <c r="A1181" s="17" t="s">
        <v>855</v>
      </c>
      <c r="B1181" s="18" t="s">
        <v>856</v>
      </c>
      <c r="C1181" s="19" t="s">
        <v>73</v>
      </c>
      <c r="D1181" s="20"/>
      <c r="E1181" s="3">
        <v>30137880.09</v>
      </c>
      <c r="F1181" s="24">
        <v>0.51100093749161901</v>
      </c>
      <c r="G1181" s="26">
        <f t="shared" si="18"/>
        <v>15400484.979999999</v>
      </c>
      <c r="H1181" t="s">
        <v>68</v>
      </c>
    </row>
    <row r="1182" spans="1:9" hidden="1">
      <c r="A1182" s="15" t="s">
        <v>855</v>
      </c>
      <c r="B1182" s="16" t="s">
        <v>856</v>
      </c>
      <c r="C1182" s="15" t="s">
        <v>74</v>
      </c>
      <c r="D1182" s="16"/>
      <c r="E1182" s="2">
        <v>30137880.09</v>
      </c>
      <c r="F1182" s="23">
        <v>5.3013964659383579E-2</v>
      </c>
      <c r="G1182" s="26">
        <f t="shared" si="18"/>
        <v>1597728.51</v>
      </c>
      <c r="H1182" t="s">
        <v>68</v>
      </c>
    </row>
    <row r="1183" spans="1:9" hidden="1">
      <c r="A1183" s="17" t="s">
        <v>857</v>
      </c>
      <c r="B1183" s="21" t="s">
        <v>858</v>
      </c>
      <c r="C1183" s="19" t="s">
        <v>72</v>
      </c>
      <c r="D1183" s="20"/>
      <c r="E1183" s="3">
        <v>76316088.239999995</v>
      </c>
      <c r="F1183" s="24">
        <v>0.57584106357493259</v>
      </c>
      <c r="G1183" s="26">
        <f t="shared" si="18"/>
        <v>43945937.420000002</v>
      </c>
      <c r="H1183" t="s">
        <v>68</v>
      </c>
    </row>
    <row r="1184" spans="1:9" hidden="1">
      <c r="A1184" s="13" t="s">
        <v>857</v>
      </c>
      <c r="B1184" s="22" t="s">
        <v>858</v>
      </c>
      <c r="C1184" s="15" t="s">
        <v>73</v>
      </c>
      <c r="D1184" s="16"/>
      <c r="E1184" s="2">
        <v>76316088.239999995</v>
      </c>
      <c r="F1184" s="23">
        <v>0.37824003503982534</v>
      </c>
      <c r="G1184" s="26">
        <f t="shared" si="18"/>
        <v>28865799.890000001</v>
      </c>
      <c r="H1184" t="s">
        <v>68</v>
      </c>
    </row>
    <row r="1185" spans="1:8" hidden="1">
      <c r="A1185" s="19" t="s">
        <v>857</v>
      </c>
      <c r="B1185" s="20" t="s">
        <v>858</v>
      </c>
      <c r="C1185" s="19" t="s">
        <v>74</v>
      </c>
      <c r="D1185" s="20"/>
      <c r="E1185" s="3">
        <v>76316088.239999995</v>
      </c>
      <c r="F1185" s="24">
        <v>4.5918901385242177E-2</v>
      </c>
      <c r="G1185" s="26">
        <f t="shared" si="18"/>
        <v>3504350.9299999997</v>
      </c>
      <c r="H1185" t="s">
        <v>68</v>
      </c>
    </row>
    <row r="1186" spans="1:8" hidden="1">
      <c r="A1186" s="13" t="s">
        <v>859</v>
      </c>
      <c r="B1186" s="14" t="s">
        <v>860</v>
      </c>
      <c r="C1186" s="15" t="s">
        <v>72</v>
      </c>
      <c r="D1186" s="16"/>
      <c r="E1186" s="2">
        <v>154118900.83000001</v>
      </c>
      <c r="F1186" s="23">
        <v>0.60949088394818907</v>
      </c>
      <c r="G1186" s="26">
        <f t="shared" si="18"/>
        <v>93934065.099999994</v>
      </c>
      <c r="H1186" t="s">
        <v>68</v>
      </c>
    </row>
    <row r="1187" spans="1:8" hidden="1">
      <c r="A1187" s="17" t="s">
        <v>859</v>
      </c>
      <c r="B1187" s="18" t="s">
        <v>860</v>
      </c>
      <c r="C1187" s="19" t="s">
        <v>73</v>
      </c>
      <c r="D1187" s="20"/>
      <c r="E1187" s="3">
        <v>154118900.83000001</v>
      </c>
      <c r="F1187" s="24">
        <v>0.35884405126275515</v>
      </c>
      <c r="G1187" s="26">
        <f t="shared" si="18"/>
        <v>55304650.75</v>
      </c>
      <c r="H1187" t="s">
        <v>68</v>
      </c>
    </row>
    <row r="1188" spans="1:8" hidden="1">
      <c r="A1188" s="15" t="s">
        <v>859</v>
      </c>
      <c r="B1188" s="16" t="s">
        <v>860</v>
      </c>
      <c r="C1188" s="15" t="s">
        <v>74</v>
      </c>
      <c r="D1188" s="16"/>
      <c r="E1188" s="2">
        <v>154118900.83000001</v>
      </c>
      <c r="F1188" s="23">
        <v>3.1665064789055695E-2</v>
      </c>
      <c r="G1188" s="26">
        <f t="shared" si="18"/>
        <v>4880184.9800000004</v>
      </c>
      <c r="H1188" t="s">
        <v>68</v>
      </c>
    </row>
    <row r="1189" spans="1:8" hidden="1">
      <c r="A1189" s="17" t="s">
        <v>861</v>
      </c>
      <c r="B1189" s="21" t="s">
        <v>862</v>
      </c>
      <c r="C1189" s="19" t="s">
        <v>72</v>
      </c>
      <c r="D1189" s="20"/>
      <c r="E1189" s="3">
        <v>12439868.220000001</v>
      </c>
      <c r="F1189" s="24">
        <v>0.42709796245735471</v>
      </c>
      <c r="G1189" s="26">
        <f t="shared" si="18"/>
        <v>5313042.37</v>
      </c>
      <c r="H1189" t="s">
        <v>68</v>
      </c>
    </row>
    <row r="1190" spans="1:8" hidden="1">
      <c r="A1190" s="13" t="s">
        <v>861</v>
      </c>
      <c r="B1190" s="22" t="s">
        <v>862</v>
      </c>
      <c r="C1190" s="15" t="s">
        <v>73</v>
      </c>
      <c r="D1190" s="16"/>
      <c r="E1190" s="2">
        <v>12439868.220000001</v>
      </c>
      <c r="F1190" s="23">
        <v>0.51941122733211709</v>
      </c>
      <c r="G1190" s="26">
        <f t="shared" si="18"/>
        <v>6461407.2199999988</v>
      </c>
      <c r="H1190" t="s">
        <v>68</v>
      </c>
    </row>
    <row r="1191" spans="1:8" hidden="1">
      <c r="A1191" s="19" t="s">
        <v>861</v>
      </c>
      <c r="B1191" s="20" t="s">
        <v>862</v>
      </c>
      <c r="C1191" s="19" t="s">
        <v>74</v>
      </c>
      <c r="D1191" s="20"/>
      <c r="E1191" s="3">
        <v>12439868.220000001</v>
      </c>
      <c r="F1191" s="24">
        <v>5.3490810210528095E-2</v>
      </c>
      <c r="G1191" s="26">
        <f t="shared" si="18"/>
        <v>665418.63</v>
      </c>
      <c r="H1191" t="s">
        <v>68</v>
      </c>
    </row>
    <row r="1192" spans="1:8" hidden="1">
      <c r="A1192" s="13" t="s">
        <v>863</v>
      </c>
      <c r="B1192" s="14" t="s">
        <v>864</v>
      </c>
      <c r="C1192" s="15" t="s">
        <v>72</v>
      </c>
      <c r="D1192" s="16"/>
      <c r="E1192" s="2">
        <v>6967139.7800000003</v>
      </c>
      <c r="F1192" s="23">
        <v>0.22811774992118788</v>
      </c>
      <c r="G1192" s="26">
        <f t="shared" si="18"/>
        <v>1589328.25</v>
      </c>
      <c r="H1192" t="s">
        <v>68</v>
      </c>
    </row>
    <row r="1193" spans="1:8" hidden="1">
      <c r="A1193" s="17" t="s">
        <v>863</v>
      </c>
      <c r="B1193" s="18" t="s">
        <v>864</v>
      </c>
      <c r="C1193" s="19" t="s">
        <v>73</v>
      </c>
      <c r="D1193" s="20"/>
      <c r="E1193" s="3">
        <v>6967139.7800000003</v>
      </c>
      <c r="F1193" s="24">
        <v>0.66477351197911527</v>
      </c>
      <c r="G1193" s="26">
        <f t="shared" si="18"/>
        <v>4631569.9800000004</v>
      </c>
      <c r="H1193" t="s">
        <v>68</v>
      </c>
    </row>
    <row r="1194" spans="1:8" hidden="1">
      <c r="A1194" s="15" t="s">
        <v>863</v>
      </c>
      <c r="B1194" s="16" t="s">
        <v>864</v>
      </c>
      <c r="C1194" s="15" t="s">
        <v>74</v>
      </c>
      <c r="D1194" s="16"/>
      <c r="E1194" s="2">
        <v>6967139.7800000003</v>
      </c>
      <c r="F1194" s="23">
        <v>0.10710873809969693</v>
      </c>
      <c r="G1194" s="26">
        <f t="shared" si="18"/>
        <v>746241.55</v>
      </c>
      <c r="H1194" t="s">
        <v>68</v>
      </c>
    </row>
    <row r="1195" spans="1:8" hidden="1">
      <c r="A1195" s="17" t="s">
        <v>865</v>
      </c>
      <c r="B1195" s="21" t="s">
        <v>866</v>
      </c>
      <c r="C1195" s="19" t="s">
        <v>72</v>
      </c>
      <c r="D1195" s="20"/>
      <c r="E1195" s="3">
        <v>21334785.75</v>
      </c>
      <c r="F1195" s="24">
        <v>0.39464719161756756</v>
      </c>
      <c r="G1195" s="26">
        <f t="shared" si="18"/>
        <v>8419713.2799999993</v>
      </c>
      <c r="H1195" t="s">
        <v>68</v>
      </c>
    </row>
    <row r="1196" spans="1:8" hidden="1">
      <c r="A1196" s="13" t="s">
        <v>865</v>
      </c>
      <c r="B1196" s="22" t="s">
        <v>866</v>
      </c>
      <c r="C1196" s="15" t="s">
        <v>73</v>
      </c>
      <c r="D1196" s="16"/>
      <c r="E1196" s="2">
        <v>21334785.75</v>
      </c>
      <c r="F1196" s="23">
        <v>0.55682101752533419</v>
      </c>
      <c r="G1196" s="26">
        <f t="shared" si="18"/>
        <v>11879657.109999999</v>
      </c>
      <c r="H1196" t="s">
        <v>68</v>
      </c>
    </row>
    <row r="1197" spans="1:8" hidden="1">
      <c r="A1197" s="19" t="s">
        <v>865</v>
      </c>
      <c r="B1197" s="20" t="s">
        <v>866</v>
      </c>
      <c r="C1197" s="19" t="s">
        <v>74</v>
      </c>
      <c r="D1197" s="20"/>
      <c r="E1197" s="3">
        <v>21334785.75</v>
      </c>
      <c r="F1197" s="24">
        <v>4.8531790857098245E-2</v>
      </c>
      <c r="G1197" s="26">
        <f t="shared" si="18"/>
        <v>1035415.3599999999</v>
      </c>
      <c r="H1197" t="s">
        <v>68</v>
      </c>
    </row>
    <row r="1198" spans="1:8" hidden="1">
      <c r="A1198" s="13" t="s">
        <v>867</v>
      </c>
      <c r="B1198" s="14" t="s">
        <v>868</v>
      </c>
      <c r="C1198" s="15" t="s">
        <v>72</v>
      </c>
      <c r="D1198" s="16"/>
      <c r="E1198" s="2">
        <v>29836682.84</v>
      </c>
      <c r="F1198" s="23">
        <v>0.61983988901093268</v>
      </c>
      <c r="G1198" s="26">
        <f t="shared" si="18"/>
        <v>18493966.18</v>
      </c>
      <c r="H1198" t="s">
        <v>68</v>
      </c>
    </row>
    <row r="1199" spans="1:8" hidden="1">
      <c r="A1199" s="17" t="s">
        <v>867</v>
      </c>
      <c r="B1199" s="18" t="s">
        <v>868</v>
      </c>
      <c r="C1199" s="19" t="s">
        <v>73</v>
      </c>
      <c r="D1199" s="20"/>
      <c r="E1199" s="3">
        <v>29836682.84</v>
      </c>
      <c r="F1199" s="24">
        <v>0.32897073219014722</v>
      </c>
      <c r="G1199" s="26">
        <f t="shared" si="18"/>
        <v>9815395.4000000004</v>
      </c>
      <c r="H1199" t="s">
        <v>68</v>
      </c>
    </row>
    <row r="1200" spans="1:8" hidden="1">
      <c r="A1200" s="15" t="s">
        <v>867</v>
      </c>
      <c r="B1200" s="16" t="s">
        <v>868</v>
      </c>
      <c r="C1200" s="15" t="s">
        <v>74</v>
      </c>
      <c r="D1200" s="16"/>
      <c r="E1200" s="2">
        <v>29836682.84</v>
      </c>
      <c r="F1200" s="23">
        <v>5.1189378798920132E-2</v>
      </c>
      <c r="G1200" s="26">
        <f t="shared" si="18"/>
        <v>1527321.26</v>
      </c>
      <c r="H1200" t="s">
        <v>68</v>
      </c>
    </row>
    <row r="1201" spans="1:9" hidden="1">
      <c r="A1201" s="17" t="s">
        <v>869</v>
      </c>
      <c r="B1201" s="21" t="s">
        <v>870</v>
      </c>
      <c r="C1201" s="19" t="s">
        <v>72</v>
      </c>
      <c r="D1201" s="20"/>
      <c r="E1201" s="3">
        <v>7516951.9800000004</v>
      </c>
      <c r="F1201" s="24">
        <v>0.49033690780608125</v>
      </c>
      <c r="G1201" s="26">
        <f t="shared" si="18"/>
        <v>3685838.99</v>
      </c>
      <c r="H1201" t="s">
        <v>68</v>
      </c>
    </row>
    <row r="1202" spans="1:9" hidden="1">
      <c r="A1202" s="13" t="s">
        <v>869</v>
      </c>
      <c r="B1202" s="22" t="s">
        <v>870</v>
      </c>
      <c r="C1202" s="15" t="s">
        <v>73</v>
      </c>
      <c r="D1202" s="16"/>
      <c r="E1202" s="2">
        <v>7516951.9800000004</v>
      </c>
      <c r="F1202" s="23">
        <v>0.41608968479801306</v>
      </c>
      <c r="G1202" s="26">
        <f t="shared" si="18"/>
        <v>3127726.18</v>
      </c>
      <c r="H1202" t="s">
        <v>68</v>
      </c>
    </row>
    <row r="1203" spans="1:9" hidden="1">
      <c r="A1203" s="19" t="s">
        <v>869</v>
      </c>
      <c r="B1203" s="20" t="s">
        <v>870</v>
      </c>
      <c r="C1203" s="19" t="s">
        <v>74</v>
      </c>
      <c r="D1203" s="20"/>
      <c r="E1203" s="3">
        <v>7516951.9800000004</v>
      </c>
      <c r="F1203" s="24">
        <v>9.3573407395905708E-2</v>
      </c>
      <c r="G1203" s="26">
        <f t="shared" si="18"/>
        <v>703386.81</v>
      </c>
      <c r="H1203" t="s">
        <v>68</v>
      </c>
    </row>
    <row r="1204" spans="1:9" hidden="1">
      <c r="A1204" s="13" t="s">
        <v>871</v>
      </c>
      <c r="B1204" s="14" t="s">
        <v>872</v>
      </c>
      <c r="C1204" s="15" t="s">
        <v>72</v>
      </c>
      <c r="D1204" s="16"/>
      <c r="E1204" s="2">
        <v>17011666.93</v>
      </c>
      <c r="F1204" s="23">
        <v>0.28818610899055497</v>
      </c>
      <c r="G1204" s="26">
        <f t="shared" si="18"/>
        <v>4902526.0999999996</v>
      </c>
      <c r="H1204" t="s">
        <v>68</v>
      </c>
    </row>
    <row r="1205" spans="1:9" hidden="1">
      <c r="A1205" s="17" t="s">
        <v>871</v>
      </c>
      <c r="B1205" s="18" t="s">
        <v>872</v>
      </c>
      <c r="C1205" s="19" t="s">
        <v>73</v>
      </c>
      <c r="D1205" s="20"/>
      <c r="E1205" s="3">
        <v>17011666.93</v>
      </c>
      <c r="F1205" s="24">
        <v>0.6547675930779584</v>
      </c>
      <c r="G1205" s="26">
        <f t="shared" si="18"/>
        <v>11138688.210000001</v>
      </c>
      <c r="H1205" t="s">
        <v>68</v>
      </c>
    </row>
    <row r="1206" spans="1:9" hidden="1">
      <c r="A1206" s="15" t="s">
        <v>871</v>
      </c>
      <c r="B1206" s="16" t="s">
        <v>872</v>
      </c>
      <c r="C1206" s="15" t="s">
        <v>74</v>
      </c>
      <c r="D1206" s="16"/>
      <c r="E1206" s="2">
        <v>17011666.93</v>
      </c>
      <c r="F1206" s="23">
        <v>5.7046297931486717E-2</v>
      </c>
      <c r="G1206" s="26">
        <f t="shared" si="18"/>
        <v>970452.62</v>
      </c>
      <c r="H1206" t="s">
        <v>68</v>
      </c>
    </row>
    <row r="1207" spans="1:9" hidden="1">
      <c r="A1207" s="17" t="s">
        <v>873</v>
      </c>
      <c r="B1207" s="21" t="s">
        <v>874</v>
      </c>
      <c r="C1207" s="19" t="s">
        <v>72</v>
      </c>
      <c r="D1207" s="20"/>
      <c r="E1207" s="3">
        <v>9702939.4499999993</v>
      </c>
      <c r="F1207" s="24">
        <v>0.38678945894071309</v>
      </c>
      <c r="G1207" s="26">
        <f t="shared" si="18"/>
        <v>3752994.7</v>
      </c>
      <c r="H1207" t="s">
        <v>68</v>
      </c>
    </row>
    <row r="1208" spans="1:9" hidden="1">
      <c r="A1208" s="13" t="s">
        <v>873</v>
      </c>
      <c r="B1208" s="22" t="s">
        <v>874</v>
      </c>
      <c r="C1208" s="15" t="s">
        <v>73</v>
      </c>
      <c r="D1208" s="16"/>
      <c r="E1208" s="2">
        <v>9702939.4499999993</v>
      </c>
      <c r="F1208" s="23">
        <v>0.56716447715233353</v>
      </c>
      <c r="G1208" s="26">
        <f t="shared" si="18"/>
        <v>5503162.5800000001</v>
      </c>
      <c r="H1208" t="s">
        <v>68</v>
      </c>
    </row>
    <row r="1209" spans="1:9" hidden="1">
      <c r="A1209" s="19" t="s">
        <v>873</v>
      </c>
      <c r="B1209" s="20" t="s">
        <v>874</v>
      </c>
      <c r="C1209" s="19" t="s">
        <v>74</v>
      </c>
      <c r="D1209" s="20"/>
      <c r="E1209" s="3">
        <v>9702939.4499999993</v>
      </c>
      <c r="F1209" s="24">
        <v>4.6046063906953476E-2</v>
      </c>
      <c r="G1209" s="26">
        <f t="shared" si="18"/>
        <v>446782.17</v>
      </c>
      <c r="H1209" t="s">
        <v>68</v>
      </c>
    </row>
    <row r="1210" spans="1:9" hidden="1">
      <c r="A1210" s="13" t="s">
        <v>875</v>
      </c>
      <c r="B1210" s="14" t="s">
        <v>876</v>
      </c>
      <c r="C1210" s="15" t="s">
        <v>72</v>
      </c>
      <c r="D1210" s="16"/>
      <c r="E1210" s="2">
        <v>11072588.66</v>
      </c>
      <c r="F1210" s="23">
        <v>0.40133041571870331</v>
      </c>
      <c r="G1210" s="26">
        <f t="shared" si="18"/>
        <v>4443766.6100000003</v>
      </c>
      <c r="H1210" t="s">
        <v>68</v>
      </c>
    </row>
    <row r="1211" spans="1:9" hidden="1">
      <c r="A1211" s="17" t="s">
        <v>875</v>
      </c>
      <c r="B1211" s="18" t="s">
        <v>876</v>
      </c>
      <c r="C1211" s="19" t="s">
        <v>73</v>
      </c>
      <c r="D1211" s="20"/>
      <c r="E1211" s="3">
        <v>11072588.66</v>
      </c>
      <c r="F1211" s="24">
        <v>0.55445500492384403</v>
      </c>
      <c r="G1211" s="26">
        <f t="shared" si="18"/>
        <v>6139252.1999999993</v>
      </c>
      <c r="H1211" t="s">
        <v>68</v>
      </c>
    </row>
    <row r="1212" spans="1:9" hidden="1">
      <c r="A1212" s="15" t="s">
        <v>875</v>
      </c>
      <c r="B1212" s="16" t="s">
        <v>876</v>
      </c>
      <c r="C1212" s="15" t="s">
        <v>74</v>
      </c>
      <c r="D1212" s="16"/>
      <c r="E1212" s="2">
        <v>11072588.66</v>
      </c>
      <c r="F1212" s="23">
        <v>4.421457935745262E-2</v>
      </c>
      <c r="G1212" s="26">
        <f t="shared" si="18"/>
        <v>489569.85</v>
      </c>
      <c r="H1212" t="s">
        <v>68</v>
      </c>
    </row>
    <row r="1213" spans="1:9" hidden="1">
      <c r="A1213" s="17" t="s">
        <v>877</v>
      </c>
      <c r="B1213" s="21" t="s">
        <v>878</v>
      </c>
      <c r="C1213" s="19" t="s">
        <v>72</v>
      </c>
      <c r="D1213" s="20"/>
      <c r="E1213" s="3">
        <v>5983359.3700000001</v>
      </c>
      <c r="F1213" s="24">
        <v>0.55342817892618079</v>
      </c>
      <c r="G1213" s="26">
        <f t="shared" si="18"/>
        <v>3311359.6800000006</v>
      </c>
      <c r="H1213" t="s">
        <v>68</v>
      </c>
      <c r="I1213" t="s">
        <v>1883</v>
      </c>
    </row>
    <row r="1214" spans="1:9" hidden="1">
      <c r="A1214" s="13" t="s">
        <v>877</v>
      </c>
      <c r="B1214" s="22" t="s">
        <v>878</v>
      </c>
      <c r="C1214" s="15" t="s">
        <v>73</v>
      </c>
      <c r="D1214" s="16"/>
      <c r="E1214" s="2">
        <v>5983359.3700000001</v>
      </c>
      <c r="F1214" s="23">
        <v>0.43340300484074051</v>
      </c>
      <c r="G1214" s="26">
        <f t="shared" si="18"/>
        <v>2593205.9300000002</v>
      </c>
      <c r="H1214" t="s">
        <v>68</v>
      </c>
      <c r="I1214" t="s">
        <v>1883</v>
      </c>
    </row>
    <row r="1215" spans="1:9" hidden="1">
      <c r="A1215" s="19" t="s">
        <v>877</v>
      </c>
      <c r="B1215" s="20" t="s">
        <v>878</v>
      </c>
      <c r="C1215" s="19" t="s">
        <v>74</v>
      </c>
      <c r="D1215" s="20"/>
      <c r="E1215" s="3">
        <v>5983359.3700000001</v>
      </c>
      <c r="F1215" s="24">
        <v>1.3168816233078775E-2</v>
      </c>
      <c r="G1215" s="26">
        <f t="shared" si="18"/>
        <v>78793.759999999995</v>
      </c>
      <c r="H1215" t="s">
        <v>68</v>
      </c>
      <c r="I1215" t="s">
        <v>1883</v>
      </c>
    </row>
    <row r="1216" spans="1:9" hidden="1">
      <c r="A1216" s="13" t="s">
        <v>879</v>
      </c>
      <c r="B1216" s="14" t="s">
        <v>880</v>
      </c>
      <c r="C1216" s="15" t="s">
        <v>72</v>
      </c>
      <c r="D1216" s="16"/>
      <c r="E1216" s="2">
        <v>14514300.470000001</v>
      </c>
      <c r="F1216" s="23">
        <v>0.43445794876809518</v>
      </c>
      <c r="G1216" s="26">
        <f t="shared" si="18"/>
        <v>6305853.21</v>
      </c>
      <c r="H1216" t="s">
        <v>68</v>
      </c>
    </row>
    <row r="1217" spans="1:8" hidden="1">
      <c r="A1217" s="17" t="s">
        <v>879</v>
      </c>
      <c r="B1217" s="18" t="s">
        <v>880</v>
      </c>
      <c r="C1217" s="19" t="s">
        <v>73</v>
      </c>
      <c r="D1217" s="20"/>
      <c r="E1217" s="3">
        <v>14514300.470000001</v>
      </c>
      <c r="F1217" s="24">
        <v>0.50707560004095742</v>
      </c>
      <c r="G1217" s="26">
        <f t="shared" si="18"/>
        <v>7359847.620000001</v>
      </c>
      <c r="H1217" t="s">
        <v>68</v>
      </c>
    </row>
    <row r="1218" spans="1:8" hidden="1">
      <c r="A1218" s="15" t="s">
        <v>879</v>
      </c>
      <c r="B1218" s="16" t="s">
        <v>880</v>
      </c>
      <c r="C1218" s="15" t="s">
        <v>74</v>
      </c>
      <c r="D1218" s="16"/>
      <c r="E1218" s="2">
        <v>14514300.470000001</v>
      </c>
      <c r="F1218" s="23">
        <v>5.8466451190947406E-2</v>
      </c>
      <c r="G1218" s="26">
        <f t="shared" si="18"/>
        <v>848599.64</v>
      </c>
      <c r="H1218" t="s">
        <v>68</v>
      </c>
    </row>
    <row r="1219" spans="1:8" hidden="1">
      <c r="A1219" s="17" t="s">
        <v>881</v>
      </c>
      <c r="B1219" s="21" t="s">
        <v>882</v>
      </c>
      <c r="C1219" s="19" t="s">
        <v>72</v>
      </c>
      <c r="D1219" s="20"/>
      <c r="E1219" s="3">
        <v>28100013.550000001</v>
      </c>
      <c r="F1219" s="24">
        <v>0.32356093935050784</v>
      </c>
      <c r="G1219" s="26">
        <f t="shared" si="18"/>
        <v>9092066.7799999993</v>
      </c>
      <c r="H1219" t="s">
        <v>68</v>
      </c>
    </row>
    <row r="1220" spans="1:8" hidden="1">
      <c r="A1220" s="13" t="s">
        <v>881</v>
      </c>
      <c r="B1220" s="22" t="s">
        <v>882</v>
      </c>
      <c r="C1220" s="15" t="s">
        <v>73</v>
      </c>
      <c r="D1220" s="16"/>
      <c r="E1220" s="2">
        <v>28100013.550000001</v>
      </c>
      <c r="F1220" s="23">
        <v>0.60327906318749802</v>
      </c>
      <c r="G1220" s="26">
        <f t="shared" si="18"/>
        <v>16952149.850000001</v>
      </c>
      <c r="H1220" t="s">
        <v>68</v>
      </c>
    </row>
    <row r="1221" spans="1:8" hidden="1">
      <c r="A1221" s="19" t="s">
        <v>881</v>
      </c>
      <c r="B1221" s="20" t="s">
        <v>882</v>
      </c>
      <c r="C1221" s="19" t="s">
        <v>74</v>
      </c>
      <c r="D1221" s="20"/>
      <c r="E1221" s="3">
        <v>28100013.550000001</v>
      </c>
      <c r="F1221" s="24">
        <v>7.31599974619941E-2</v>
      </c>
      <c r="G1221" s="26">
        <f t="shared" ref="G1221:G1284" si="19">F1221*E1221</f>
        <v>2055796.92</v>
      </c>
      <c r="H1221" t="s">
        <v>68</v>
      </c>
    </row>
    <row r="1222" spans="1:8" hidden="1">
      <c r="A1222" s="13" t="s">
        <v>883</v>
      </c>
      <c r="B1222" s="14" t="s">
        <v>884</v>
      </c>
      <c r="C1222" s="15" t="s">
        <v>72</v>
      </c>
      <c r="D1222" s="16"/>
      <c r="E1222" s="2">
        <v>29080579.670000002</v>
      </c>
      <c r="F1222" s="23">
        <v>0.45414210823397932</v>
      </c>
      <c r="G1222" s="26">
        <f t="shared" si="19"/>
        <v>13206715.76</v>
      </c>
      <c r="H1222" t="s">
        <v>68</v>
      </c>
    </row>
    <row r="1223" spans="1:8" hidden="1">
      <c r="A1223" s="17" t="s">
        <v>883</v>
      </c>
      <c r="B1223" s="18" t="s">
        <v>884</v>
      </c>
      <c r="C1223" s="19" t="s">
        <v>73</v>
      </c>
      <c r="D1223" s="20"/>
      <c r="E1223" s="3">
        <v>29080579.670000002</v>
      </c>
      <c r="F1223" s="24">
        <v>0.50462126981391076</v>
      </c>
      <c r="G1223" s="26">
        <f t="shared" si="19"/>
        <v>14674679.039999999</v>
      </c>
      <c r="H1223" t="s">
        <v>68</v>
      </c>
    </row>
    <row r="1224" spans="1:8" hidden="1">
      <c r="A1224" s="15" t="s">
        <v>883</v>
      </c>
      <c r="B1224" s="16" t="s">
        <v>884</v>
      </c>
      <c r="C1224" s="15" t="s">
        <v>74</v>
      </c>
      <c r="D1224" s="16"/>
      <c r="E1224" s="2">
        <v>29080579.670000002</v>
      </c>
      <c r="F1224" s="23">
        <v>4.1236621952109802E-2</v>
      </c>
      <c r="G1224" s="26">
        <f t="shared" si="19"/>
        <v>1199184.8700000001</v>
      </c>
      <c r="H1224" t="s">
        <v>68</v>
      </c>
    </row>
    <row r="1225" spans="1:8" hidden="1">
      <c r="A1225" s="17" t="s">
        <v>885</v>
      </c>
      <c r="B1225" s="21" t="s">
        <v>886</v>
      </c>
      <c r="C1225" s="19" t="s">
        <v>72</v>
      </c>
      <c r="D1225" s="20"/>
      <c r="E1225" s="3">
        <v>14702138.109999999</v>
      </c>
      <c r="F1225" s="24">
        <v>0.46150849143397144</v>
      </c>
      <c r="G1225" s="26">
        <f t="shared" si="19"/>
        <v>6785161.5800000001</v>
      </c>
      <c r="H1225" t="s">
        <v>68</v>
      </c>
    </row>
    <row r="1226" spans="1:8" hidden="1">
      <c r="A1226" s="13" t="s">
        <v>885</v>
      </c>
      <c r="B1226" s="22" t="s">
        <v>886</v>
      </c>
      <c r="C1226" s="15" t="s">
        <v>73</v>
      </c>
      <c r="D1226" s="16"/>
      <c r="E1226" s="2">
        <v>14702138.109999999</v>
      </c>
      <c r="F1226" s="23">
        <v>0.48469723088460365</v>
      </c>
      <c r="G1226" s="26">
        <f t="shared" si="19"/>
        <v>7126085.6299999999</v>
      </c>
      <c r="H1226" t="s">
        <v>68</v>
      </c>
    </row>
    <row r="1227" spans="1:8" hidden="1">
      <c r="A1227" s="19" t="s">
        <v>885</v>
      </c>
      <c r="B1227" s="20" t="s">
        <v>886</v>
      </c>
      <c r="C1227" s="19" t="s">
        <v>74</v>
      </c>
      <c r="D1227" s="20"/>
      <c r="E1227" s="3">
        <v>14702138.109999999</v>
      </c>
      <c r="F1227" s="24">
        <v>5.3794277681424939E-2</v>
      </c>
      <c r="G1227" s="26">
        <f t="shared" si="19"/>
        <v>790890.9</v>
      </c>
      <c r="H1227" t="s">
        <v>68</v>
      </c>
    </row>
    <row r="1228" spans="1:8" hidden="1">
      <c r="A1228" s="13" t="s">
        <v>887</v>
      </c>
      <c r="B1228" s="14" t="s">
        <v>888</v>
      </c>
      <c r="C1228" s="15" t="s">
        <v>72</v>
      </c>
      <c r="D1228" s="16"/>
      <c r="E1228" s="2">
        <v>7152626.5099999998</v>
      </c>
      <c r="F1228" s="23">
        <v>0.47578034240180117</v>
      </c>
      <c r="G1228" s="26">
        <f t="shared" si="19"/>
        <v>3403079.09</v>
      </c>
      <c r="H1228" t="s">
        <v>68</v>
      </c>
    </row>
    <row r="1229" spans="1:8" hidden="1">
      <c r="A1229" s="17" t="s">
        <v>887</v>
      </c>
      <c r="B1229" s="18" t="s">
        <v>888</v>
      </c>
      <c r="C1229" s="19" t="s">
        <v>73</v>
      </c>
      <c r="D1229" s="20"/>
      <c r="E1229" s="3">
        <v>7152626.5099999998</v>
      </c>
      <c r="F1229" s="24">
        <v>0.47714986029656403</v>
      </c>
      <c r="G1229" s="26">
        <f t="shared" si="19"/>
        <v>3412874.74</v>
      </c>
      <c r="H1229" t="s">
        <v>68</v>
      </c>
    </row>
    <row r="1230" spans="1:8" hidden="1">
      <c r="A1230" s="15" t="s">
        <v>887</v>
      </c>
      <c r="B1230" s="16" t="s">
        <v>888</v>
      </c>
      <c r="C1230" s="15" t="s">
        <v>74</v>
      </c>
      <c r="D1230" s="16"/>
      <c r="E1230" s="2">
        <v>7152626.5099999998</v>
      </c>
      <c r="F1230" s="23">
        <v>4.7069797301634866E-2</v>
      </c>
      <c r="G1230" s="26">
        <f t="shared" si="19"/>
        <v>336672.68</v>
      </c>
      <c r="H1230" t="s">
        <v>68</v>
      </c>
    </row>
    <row r="1231" spans="1:8" hidden="1">
      <c r="A1231" s="17" t="s">
        <v>889</v>
      </c>
      <c r="B1231" s="21" t="s">
        <v>890</v>
      </c>
      <c r="C1231" s="19" t="s">
        <v>72</v>
      </c>
      <c r="D1231" s="20"/>
      <c r="E1231" s="3">
        <v>18823914.449999999</v>
      </c>
      <c r="F1231" s="24">
        <v>0.58610662937856695</v>
      </c>
      <c r="G1231" s="26">
        <f t="shared" si="19"/>
        <v>11032821.050000001</v>
      </c>
      <c r="H1231" t="s">
        <v>68</v>
      </c>
    </row>
    <row r="1232" spans="1:8" hidden="1">
      <c r="A1232" s="13" t="s">
        <v>889</v>
      </c>
      <c r="B1232" s="22" t="s">
        <v>890</v>
      </c>
      <c r="C1232" s="15" t="s">
        <v>73</v>
      </c>
      <c r="D1232" s="16"/>
      <c r="E1232" s="2">
        <v>18823914.449999999</v>
      </c>
      <c r="F1232" s="23">
        <v>0.36402722814116917</v>
      </c>
      <c r="G1232" s="26">
        <f t="shared" si="19"/>
        <v>6852417.4000000004</v>
      </c>
      <c r="H1232" t="s">
        <v>68</v>
      </c>
    </row>
    <row r="1233" spans="1:9" hidden="1">
      <c r="A1233" s="19" t="s">
        <v>889</v>
      </c>
      <c r="B1233" s="20" t="s">
        <v>890</v>
      </c>
      <c r="C1233" s="19" t="s">
        <v>74</v>
      </c>
      <c r="D1233" s="20"/>
      <c r="E1233" s="3">
        <v>18823914.449999999</v>
      </c>
      <c r="F1233" s="24">
        <v>4.9866142480263984E-2</v>
      </c>
      <c r="G1233" s="26">
        <f t="shared" si="19"/>
        <v>938676</v>
      </c>
      <c r="H1233" t="s">
        <v>68</v>
      </c>
    </row>
    <row r="1234" spans="1:9" hidden="1">
      <c r="A1234" s="13" t="s">
        <v>891</v>
      </c>
      <c r="B1234" s="14" t="s">
        <v>892</v>
      </c>
      <c r="C1234" s="15" t="s">
        <v>72</v>
      </c>
      <c r="D1234" s="16"/>
      <c r="E1234" s="2">
        <v>15159778.630000001</v>
      </c>
      <c r="F1234" s="23">
        <v>0.85310762219223768</v>
      </c>
      <c r="G1234" s="26">
        <f t="shared" si="19"/>
        <v>12932922.699999999</v>
      </c>
      <c r="H1234" t="s">
        <v>68</v>
      </c>
      <c r="I1234" t="s">
        <v>1883</v>
      </c>
    </row>
    <row r="1235" spans="1:9" hidden="1">
      <c r="A1235" s="17" t="s">
        <v>891</v>
      </c>
      <c r="B1235" s="18" t="s">
        <v>892</v>
      </c>
      <c r="C1235" s="19" t="s">
        <v>73</v>
      </c>
      <c r="D1235" s="20"/>
      <c r="E1235" s="3">
        <v>15159778.630000001</v>
      </c>
      <c r="F1235" s="24">
        <v>0.13888493502361915</v>
      </c>
      <c r="G1235" s="26">
        <f t="shared" si="19"/>
        <v>2105464.87</v>
      </c>
      <c r="H1235" t="s">
        <v>68</v>
      </c>
      <c r="I1235" t="s">
        <v>1883</v>
      </c>
    </row>
    <row r="1236" spans="1:9" hidden="1">
      <c r="A1236" s="15" t="s">
        <v>891</v>
      </c>
      <c r="B1236" s="16" t="s">
        <v>892</v>
      </c>
      <c r="C1236" s="15" t="s">
        <v>74</v>
      </c>
      <c r="D1236" s="16"/>
      <c r="E1236" s="2">
        <v>15159778.630000001</v>
      </c>
      <c r="F1236" s="23">
        <v>8.0074427841430821E-3</v>
      </c>
      <c r="G1236" s="26">
        <f t="shared" si="19"/>
        <v>121391.06000000001</v>
      </c>
      <c r="H1236" t="s">
        <v>68</v>
      </c>
      <c r="I1236" t="s">
        <v>1883</v>
      </c>
    </row>
    <row r="1237" spans="1:9" hidden="1">
      <c r="A1237" s="17" t="s">
        <v>893</v>
      </c>
      <c r="B1237" s="21" t="s">
        <v>894</v>
      </c>
      <c r="C1237" s="19" t="s">
        <v>72</v>
      </c>
      <c r="D1237" s="20"/>
      <c r="E1237" s="3">
        <v>17187194.91</v>
      </c>
      <c r="F1237" s="24">
        <v>0.45810808577139711</v>
      </c>
      <c r="G1237" s="26">
        <f t="shared" si="19"/>
        <v>7873592.96</v>
      </c>
      <c r="H1237" t="s">
        <v>68</v>
      </c>
    </row>
    <row r="1238" spans="1:9" hidden="1">
      <c r="A1238" s="13" t="s">
        <v>893</v>
      </c>
      <c r="B1238" s="22" t="s">
        <v>894</v>
      </c>
      <c r="C1238" s="15" t="s">
        <v>73</v>
      </c>
      <c r="D1238" s="16"/>
      <c r="E1238" s="2">
        <v>17187194.91</v>
      </c>
      <c r="F1238" s="23">
        <v>0.48193860739780253</v>
      </c>
      <c r="G1238" s="26">
        <f t="shared" si="19"/>
        <v>8283172.7800000003</v>
      </c>
      <c r="H1238" t="s">
        <v>68</v>
      </c>
    </row>
    <row r="1239" spans="1:9" hidden="1">
      <c r="A1239" s="19" t="s">
        <v>893</v>
      </c>
      <c r="B1239" s="20" t="s">
        <v>894</v>
      </c>
      <c r="C1239" s="19" t="s">
        <v>74</v>
      </c>
      <c r="D1239" s="20"/>
      <c r="E1239" s="3">
        <v>17187194.91</v>
      </c>
      <c r="F1239" s="24">
        <v>5.995330683080035E-2</v>
      </c>
      <c r="G1239" s="26">
        <f t="shared" si="19"/>
        <v>1030429.17</v>
      </c>
      <c r="H1239" t="s">
        <v>68</v>
      </c>
    </row>
    <row r="1240" spans="1:9" hidden="1">
      <c r="A1240" s="13" t="s">
        <v>895</v>
      </c>
      <c r="B1240" s="14" t="s">
        <v>896</v>
      </c>
      <c r="C1240" s="15" t="s">
        <v>72</v>
      </c>
      <c r="D1240" s="16"/>
      <c r="E1240" s="2">
        <v>14803223.470000001</v>
      </c>
      <c r="F1240" s="23">
        <v>0.25658272522180603</v>
      </c>
      <c r="G1240" s="26">
        <f t="shared" si="19"/>
        <v>3798251.42</v>
      </c>
      <c r="H1240" t="s">
        <v>68</v>
      </c>
    </row>
    <row r="1241" spans="1:9" hidden="1">
      <c r="A1241" s="17" t="s">
        <v>895</v>
      </c>
      <c r="B1241" s="18" t="s">
        <v>896</v>
      </c>
      <c r="C1241" s="19" t="s">
        <v>73</v>
      </c>
      <c r="D1241" s="20"/>
      <c r="E1241" s="3">
        <v>14803223.470000001</v>
      </c>
      <c r="F1241" s="24">
        <v>0.67577729001209219</v>
      </c>
      <c r="G1241" s="26">
        <f t="shared" si="19"/>
        <v>10003682.24</v>
      </c>
      <c r="H1241" t="s">
        <v>68</v>
      </c>
    </row>
    <row r="1242" spans="1:9" hidden="1">
      <c r="A1242" s="15" t="s">
        <v>895</v>
      </c>
      <c r="B1242" s="16" t="s">
        <v>896</v>
      </c>
      <c r="C1242" s="15" t="s">
        <v>74</v>
      </c>
      <c r="D1242" s="16"/>
      <c r="E1242" s="2">
        <v>14803223.470000001</v>
      </c>
      <c r="F1242" s="23">
        <v>6.7639984766101752E-2</v>
      </c>
      <c r="G1242" s="26">
        <f t="shared" si="19"/>
        <v>1001289.8099999999</v>
      </c>
      <c r="H1242" t="s">
        <v>68</v>
      </c>
    </row>
    <row r="1243" spans="1:9" hidden="1">
      <c r="A1243" s="17" t="s">
        <v>897</v>
      </c>
      <c r="B1243" s="21" t="s">
        <v>898</v>
      </c>
      <c r="C1243" s="19" t="s">
        <v>72</v>
      </c>
      <c r="D1243" s="20"/>
      <c r="E1243" s="3">
        <v>16110634.1</v>
      </c>
      <c r="F1243" s="24">
        <v>0.55619205143514505</v>
      </c>
      <c r="G1243" s="26">
        <f t="shared" si="19"/>
        <v>8960606.6300000008</v>
      </c>
      <c r="H1243" t="s">
        <v>68</v>
      </c>
    </row>
    <row r="1244" spans="1:9" hidden="1">
      <c r="A1244" s="13" t="s">
        <v>897</v>
      </c>
      <c r="B1244" s="22" t="s">
        <v>898</v>
      </c>
      <c r="C1244" s="15" t="s">
        <v>73</v>
      </c>
      <c r="D1244" s="16"/>
      <c r="E1244" s="2">
        <v>16110634.1</v>
      </c>
      <c r="F1244" s="23">
        <v>0.38567774746991496</v>
      </c>
      <c r="G1244" s="26">
        <f t="shared" si="19"/>
        <v>6213513.0700000003</v>
      </c>
      <c r="H1244" t="s">
        <v>68</v>
      </c>
    </row>
    <row r="1245" spans="1:9" hidden="1">
      <c r="A1245" s="19" t="s">
        <v>897</v>
      </c>
      <c r="B1245" s="20" t="s">
        <v>898</v>
      </c>
      <c r="C1245" s="19" t="s">
        <v>74</v>
      </c>
      <c r="D1245" s="20"/>
      <c r="E1245" s="3">
        <v>16110634.1</v>
      </c>
      <c r="F1245" s="24">
        <v>5.8130201094940145E-2</v>
      </c>
      <c r="G1245" s="26">
        <f t="shared" si="19"/>
        <v>936514.4</v>
      </c>
      <c r="H1245" t="s">
        <v>68</v>
      </c>
    </row>
    <row r="1246" spans="1:9" hidden="1">
      <c r="A1246" s="13" t="s">
        <v>899</v>
      </c>
      <c r="B1246" s="14" t="s">
        <v>900</v>
      </c>
      <c r="C1246" s="15" t="s">
        <v>72</v>
      </c>
      <c r="D1246" s="16"/>
      <c r="E1246" s="2">
        <v>10281627.060000001</v>
      </c>
      <c r="F1246" s="23">
        <v>0.21497054669477578</v>
      </c>
      <c r="G1246" s="26">
        <f t="shared" si="19"/>
        <v>2210246.9900000002</v>
      </c>
      <c r="H1246" t="s">
        <v>68</v>
      </c>
    </row>
    <row r="1247" spans="1:9" hidden="1">
      <c r="A1247" s="17" t="s">
        <v>899</v>
      </c>
      <c r="B1247" s="18" t="s">
        <v>900</v>
      </c>
      <c r="C1247" s="19" t="s">
        <v>73</v>
      </c>
      <c r="D1247" s="20"/>
      <c r="E1247" s="3">
        <v>10281627.060000001</v>
      </c>
      <c r="F1247" s="24">
        <v>0.68392391583205303</v>
      </c>
      <c r="G1247" s="26">
        <f t="shared" si="19"/>
        <v>7031850.6399999997</v>
      </c>
      <c r="H1247" t="s">
        <v>68</v>
      </c>
    </row>
    <row r="1248" spans="1:9" hidden="1">
      <c r="A1248" s="15" t="s">
        <v>899</v>
      </c>
      <c r="B1248" s="16" t="s">
        <v>900</v>
      </c>
      <c r="C1248" s="15" t="s">
        <v>74</v>
      </c>
      <c r="D1248" s="16"/>
      <c r="E1248" s="2">
        <v>10281627.060000001</v>
      </c>
      <c r="F1248" s="23">
        <v>0.10110553747317109</v>
      </c>
      <c r="G1248" s="26">
        <f t="shared" si="19"/>
        <v>1039529.43</v>
      </c>
      <c r="H1248" t="s">
        <v>68</v>
      </c>
    </row>
    <row r="1249" spans="1:9" hidden="1">
      <c r="A1249" s="17" t="s">
        <v>901</v>
      </c>
      <c r="B1249" s="21" t="s">
        <v>902</v>
      </c>
      <c r="C1249" s="19" t="s">
        <v>72</v>
      </c>
      <c r="D1249" s="20"/>
      <c r="E1249" s="3">
        <v>21876285.079999998</v>
      </c>
      <c r="F1249" s="24">
        <v>0.37992798821215584</v>
      </c>
      <c r="G1249" s="26">
        <f t="shared" si="19"/>
        <v>8311412.9800000004</v>
      </c>
      <c r="H1249" t="s">
        <v>68</v>
      </c>
    </row>
    <row r="1250" spans="1:9" hidden="1">
      <c r="A1250" s="13" t="s">
        <v>901</v>
      </c>
      <c r="B1250" s="22" t="s">
        <v>902</v>
      </c>
      <c r="C1250" s="15" t="s">
        <v>73</v>
      </c>
      <c r="D1250" s="16"/>
      <c r="E1250" s="2">
        <v>21876285.079999998</v>
      </c>
      <c r="F1250" s="23">
        <v>0.5562274008361936</v>
      </c>
      <c r="G1250" s="26">
        <f t="shared" si="19"/>
        <v>12168189.190000001</v>
      </c>
      <c r="H1250" t="s">
        <v>68</v>
      </c>
    </row>
    <row r="1251" spans="1:9" hidden="1">
      <c r="A1251" s="19" t="s">
        <v>901</v>
      </c>
      <c r="B1251" s="20" t="s">
        <v>902</v>
      </c>
      <c r="C1251" s="19" t="s">
        <v>74</v>
      </c>
      <c r="D1251" s="20"/>
      <c r="E1251" s="3">
        <v>21876285.079999998</v>
      </c>
      <c r="F1251" s="24">
        <v>6.3844610951650671E-2</v>
      </c>
      <c r="G1251" s="26">
        <f t="shared" si="19"/>
        <v>1396682.9100000001</v>
      </c>
      <c r="H1251" t="s">
        <v>68</v>
      </c>
    </row>
    <row r="1252" spans="1:9" hidden="1">
      <c r="A1252" s="13" t="s">
        <v>903</v>
      </c>
      <c r="B1252" s="14" t="s">
        <v>1119</v>
      </c>
      <c r="C1252" s="15" t="s">
        <v>72</v>
      </c>
      <c r="D1252" s="16"/>
      <c r="E1252" s="2">
        <v>73220052.640000001</v>
      </c>
      <c r="F1252" s="23">
        <v>0.54626318484984904</v>
      </c>
      <c r="G1252" s="26">
        <f t="shared" si="19"/>
        <v>39997419.149999999</v>
      </c>
      <c r="H1252" t="s">
        <v>68</v>
      </c>
    </row>
    <row r="1253" spans="1:9" hidden="1">
      <c r="A1253" s="17" t="s">
        <v>903</v>
      </c>
      <c r="B1253" s="18" t="s">
        <v>1119</v>
      </c>
      <c r="C1253" s="19" t="s">
        <v>73</v>
      </c>
      <c r="D1253" s="20"/>
      <c r="E1253" s="3">
        <v>73220052.640000001</v>
      </c>
      <c r="F1253" s="24">
        <v>0.39571402375872422</v>
      </c>
      <c r="G1253" s="26">
        <f t="shared" si="19"/>
        <v>28974201.649999999</v>
      </c>
      <c r="H1253" t="s">
        <v>68</v>
      </c>
    </row>
    <row r="1254" spans="1:9" hidden="1">
      <c r="A1254" s="15" t="s">
        <v>903</v>
      </c>
      <c r="B1254" s="16" t="s">
        <v>1119</v>
      </c>
      <c r="C1254" s="15" t="s">
        <v>74</v>
      </c>
      <c r="D1254" s="16"/>
      <c r="E1254" s="2">
        <v>73220052.640000001</v>
      </c>
      <c r="F1254" s="23">
        <v>5.8022791391426673E-2</v>
      </c>
      <c r="G1254" s="26">
        <f t="shared" si="19"/>
        <v>4248431.84</v>
      </c>
      <c r="H1254" t="s">
        <v>68</v>
      </c>
    </row>
    <row r="1255" spans="1:9" hidden="1">
      <c r="A1255" s="17" t="s">
        <v>1120</v>
      </c>
      <c r="B1255" s="21" t="s">
        <v>1121</v>
      </c>
      <c r="C1255" s="19" t="s">
        <v>72</v>
      </c>
      <c r="D1255" s="20"/>
      <c r="E1255" s="3">
        <v>8819057.2400000002</v>
      </c>
      <c r="F1255" s="24">
        <v>0.45012863529163349</v>
      </c>
      <c r="G1255" s="26">
        <f t="shared" si="19"/>
        <v>3969710.2</v>
      </c>
      <c r="H1255" t="s">
        <v>68</v>
      </c>
    </row>
    <row r="1256" spans="1:9" hidden="1">
      <c r="A1256" s="13" t="s">
        <v>1120</v>
      </c>
      <c r="B1256" s="22" t="s">
        <v>1121</v>
      </c>
      <c r="C1256" s="15" t="s">
        <v>73</v>
      </c>
      <c r="D1256" s="16"/>
      <c r="E1256" s="2">
        <v>8819057.2400000002</v>
      </c>
      <c r="F1256" s="23">
        <v>0.48793728545977771</v>
      </c>
      <c r="G1256" s="26">
        <f t="shared" si="19"/>
        <v>4303146.8499999996</v>
      </c>
      <c r="H1256" t="s">
        <v>68</v>
      </c>
    </row>
    <row r="1257" spans="1:9" hidden="1">
      <c r="A1257" s="19" t="s">
        <v>1120</v>
      </c>
      <c r="B1257" s="20" t="s">
        <v>1121</v>
      </c>
      <c r="C1257" s="19" t="s">
        <v>74</v>
      </c>
      <c r="D1257" s="20"/>
      <c r="E1257" s="3">
        <v>8819057.2400000002</v>
      </c>
      <c r="F1257" s="24">
        <v>6.1934079248588701E-2</v>
      </c>
      <c r="G1257" s="26">
        <f t="shared" si="19"/>
        <v>546200.18999999994</v>
      </c>
      <c r="H1257" t="s">
        <v>68</v>
      </c>
    </row>
    <row r="1258" spans="1:9" hidden="1">
      <c r="A1258" s="13" t="s">
        <v>1122</v>
      </c>
      <c r="B1258" s="14" t="s">
        <v>1123</v>
      </c>
      <c r="C1258" s="15" t="s">
        <v>72</v>
      </c>
      <c r="D1258" s="16"/>
      <c r="E1258" s="2">
        <v>8127429.2300000004</v>
      </c>
      <c r="F1258" s="23">
        <v>0.57691921114396461</v>
      </c>
      <c r="G1258" s="26">
        <f t="shared" si="19"/>
        <v>4688870.0599999996</v>
      </c>
      <c r="H1258" t="s">
        <v>68</v>
      </c>
      <c r="I1258" t="s">
        <v>1883</v>
      </c>
    </row>
    <row r="1259" spans="1:9" hidden="1">
      <c r="A1259" s="17" t="s">
        <v>1122</v>
      </c>
      <c r="B1259" s="18" t="s">
        <v>1123</v>
      </c>
      <c r="C1259" s="19" t="s">
        <v>73</v>
      </c>
      <c r="D1259" s="20"/>
      <c r="E1259" s="3">
        <v>8127429.2300000004</v>
      </c>
      <c r="F1259" s="24">
        <v>0.24628272893617062</v>
      </c>
      <c r="G1259" s="26">
        <f t="shared" si="19"/>
        <v>2001645.45</v>
      </c>
      <c r="H1259" t="s">
        <v>68</v>
      </c>
      <c r="I1259" t="s">
        <v>1883</v>
      </c>
    </row>
    <row r="1260" spans="1:9" hidden="1">
      <c r="A1260" s="15" t="s">
        <v>1122</v>
      </c>
      <c r="B1260" s="16" t="s">
        <v>1123</v>
      </c>
      <c r="C1260" s="15" t="s">
        <v>74</v>
      </c>
      <c r="D1260" s="16"/>
      <c r="E1260" s="2">
        <v>8127429.2300000004</v>
      </c>
      <c r="F1260" s="23">
        <v>0.17679805991986472</v>
      </c>
      <c r="G1260" s="26">
        <f t="shared" si="19"/>
        <v>1436913.72</v>
      </c>
      <c r="H1260" t="s">
        <v>68</v>
      </c>
      <c r="I1260" t="s">
        <v>1883</v>
      </c>
    </row>
    <row r="1261" spans="1:9" hidden="1">
      <c r="A1261" s="17" t="s">
        <v>1124</v>
      </c>
      <c r="B1261" s="21" t="s">
        <v>1125</v>
      </c>
      <c r="C1261" s="19" t="s">
        <v>72</v>
      </c>
      <c r="D1261" s="20"/>
      <c r="E1261" s="3">
        <v>13844356.529999999</v>
      </c>
      <c r="F1261" s="24">
        <v>0.28950893176687065</v>
      </c>
      <c r="G1261" s="26">
        <f t="shared" si="19"/>
        <v>4008064.87</v>
      </c>
      <c r="H1261" t="s">
        <v>68</v>
      </c>
    </row>
    <row r="1262" spans="1:9" hidden="1">
      <c r="A1262" s="13" t="s">
        <v>1124</v>
      </c>
      <c r="B1262" s="22" t="s">
        <v>1125</v>
      </c>
      <c r="C1262" s="15" t="s">
        <v>73</v>
      </c>
      <c r="D1262" s="16"/>
      <c r="E1262" s="2">
        <v>13844356.529999999</v>
      </c>
      <c r="F1262" s="23">
        <v>0.64308950659478581</v>
      </c>
      <c r="G1262" s="26">
        <f t="shared" si="19"/>
        <v>8903160.4100000001</v>
      </c>
      <c r="H1262" t="s">
        <v>68</v>
      </c>
    </row>
    <row r="1263" spans="1:9" hidden="1">
      <c r="A1263" s="19" t="s">
        <v>1124</v>
      </c>
      <c r="B1263" s="20" t="s">
        <v>1125</v>
      </c>
      <c r="C1263" s="19" t="s">
        <v>74</v>
      </c>
      <c r="D1263" s="20"/>
      <c r="E1263" s="3">
        <v>13844356.529999999</v>
      </c>
      <c r="F1263" s="24">
        <v>6.7401561638343627E-2</v>
      </c>
      <c r="G1263" s="26">
        <f t="shared" si="19"/>
        <v>933131.25</v>
      </c>
      <c r="H1263" t="s">
        <v>68</v>
      </c>
    </row>
    <row r="1264" spans="1:9" hidden="1">
      <c r="A1264" s="13" t="s">
        <v>1126</v>
      </c>
      <c r="B1264" s="14" t="s">
        <v>1127</v>
      </c>
      <c r="C1264" s="15" t="s">
        <v>72</v>
      </c>
      <c r="D1264" s="16"/>
      <c r="E1264" s="2">
        <v>14267718.93</v>
      </c>
      <c r="F1264" s="23">
        <v>0.29850156432819497</v>
      </c>
      <c r="G1264" s="26">
        <f t="shared" si="19"/>
        <v>4258936.42</v>
      </c>
      <c r="H1264" t="s">
        <v>68</v>
      </c>
    </row>
    <row r="1265" spans="1:9" hidden="1">
      <c r="A1265" s="17" t="s">
        <v>1126</v>
      </c>
      <c r="B1265" s="18" t="s">
        <v>1127</v>
      </c>
      <c r="C1265" s="19" t="s">
        <v>73</v>
      </c>
      <c r="D1265" s="20"/>
      <c r="E1265" s="3">
        <v>14267718.93</v>
      </c>
      <c r="F1265" s="24">
        <v>0.65413412303602203</v>
      </c>
      <c r="G1265" s="26">
        <f t="shared" si="19"/>
        <v>9333001.8100000005</v>
      </c>
      <c r="H1265" t="s">
        <v>68</v>
      </c>
    </row>
    <row r="1266" spans="1:9" hidden="1">
      <c r="A1266" s="15" t="s">
        <v>1126</v>
      </c>
      <c r="B1266" s="16" t="s">
        <v>1127</v>
      </c>
      <c r="C1266" s="15" t="s">
        <v>74</v>
      </c>
      <c r="D1266" s="16"/>
      <c r="E1266" s="2">
        <v>14267718.93</v>
      </c>
      <c r="F1266" s="23">
        <v>4.736431263578305E-2</v>
      </c>
      <c r="G1266" s="26">
        <f t="shared" si="19"/>
        <v>675780.7</v>
      </c>
      <c r="H1266" t="s">
        <v>68</v>
      </c>
    </row>
    <row r="1267" spans="1:9" hidden="1">
      <c r="A1267" s="17" t="s">
        <v>1128</v>
      </c>
      <c r="B1267" s="21" t="s">
        <v>1129</v>
      </c>
      <c r="C1267" s="19" t="s">
        <v>72</v>
      </c>
      <c r="D1267" s="20"/>
      <c r="E1267" s="3">
        <v>11320561.779999999</v>
      </c>
      <c r="F1267" s="24">
        <v>0.28431993151491819</v>
      </c>
      <c r="G1267" s="26">
        <f t="shared" si="19"/>
        <v>3218661.35</v>
      </c>
      <c r="H1267" t="s">
        <v>68</v>
      </c>
    </row>
    <row r="1268" spans="1:9" hidden="1">
      <c r="A1268" s="13" t="s">
        <v>1128</v>
      </c>
      <c r="B1268" s="22" t="s">
        <v>1129</v>
      </c>
      <c r="C1268" s="15" t="s">
        <v>73</v>
      </c>
      <c r="D1268" s="16"/>
      <c r="E1268" s="2">
        <v>11320561.779999999</v>
      </c>
      <c r="F1268" s="23">
        <v>0.64466705026011528</v>
      </c>
      <c r="G1268" s="26">
        <f t="shared" si="19"/>
        <v>7297993.1699999999</v>
      </c>
      <c r="H1268" t="s">
        <v>68</v>
      </c>
    </row>
    <row r="1269" spans="1:9" hidden="1">
      <c r="A1269" s="19" t="s">
        <v>1128</v>
      </c>
      <c r="B1269" s="20" t="s">
        <v>1129</v>
      </c>
      <c r="C1269" s="19" t="s">
        <v>74</v>
      </c>
      <c r="D1269" s="20"/>
      <c r="E1269" s="3">
        <v>11320561.779999999</v>
      </c>
      <c r="F1269" s="24">
        <v>7.101301822496657E-2</v>
      </c>
      <c r="G1269" s="26">
        <f t="shared" si="19"/>
        <v>803907.25999999989</v>
      </c>
      <c r="H1269" t="s">
        <v>68</v>
      </c>
    </row>
    <row r="1270" spans="1:9" hidden="1">
      <c r="A1270" s="13" t="s">
        <v>1130</v>
      </c>
      <c r="B1270" s="14" t="s">
        <v>1131</v>
      </c>
      <c r="C1270" s="15" t="s">
        <v>72</v>
      </c>
      <c r="D1270" s="16"/>
      <c r="E1270" s="2">
        <v>9537473.2300000004</v>
      </c>
      <c r="F1270" s="23">
        <v>0.53993007537909488</v>
      </c>
      <c r="G1270" s="26">
        <f t="shared" si="19"/>
        <v>5149568.6399999997</v>
      </c>
      <c r="H1270" t="s">
        <v>68</v>
      </c>
      <c r="I1270" t="s">
        <v>1883</v>
      </c>
    </row>
    <row r="1271" spans="1:9" hidden="1">
      <c r="A1271" s="17" t="s">
        <v>1130</v>
      </c>
      <c r="B1271" s="18" t="s">
        <v>1131</v>
      </c>
      <c r="C1271" s="19" t="s">
        <v>73</v>
      </c>
      <c r="D1271" s="20"/>
      <c r="E1271" s="3">
        <v>9537473.2300000004</v>
      </c>
      <c r="F1271" s="24">
        <v>0.29344512666065958</v>
      </c>
      <c r="G1271" s="26">
        <f t="shared" si="19"/>
        <v>2798725.04</v>
      </c>
      <c r="H1271" t="s">
        <v>68</v>
      </c>
      <c r="I1271" t="s">
        <v>1883</v>
      </c>
    </row>
    <row r="1272" spans="1:9" hidden="1">
      <c r="A1272" s="15" t="s">
        <v>1130</v>
      </c>
      <c r="B1272" s="16" t="s">
        <v>1131</v>
      </c>
      <c r="C1272" s="15" t="s">
        <v>74</v>
      </c>
      <c r="D1272" s="16"/>
      <c r="E1272" s="2">
        <v>9537473.2300000004</v>
      </c>
      <c r="F1272" s="23">
        <v>0.16662479796024549</v>
      </c>
      <c r="G1272" s="26">
        <f t="shared" si="19"/>
        <v>1589179.55</v>
      </c>
      <c r="H1272" t="s">
        <v>68</v>
      </c>
      <c r="I1272" t="s">
        <v>1883</v>
      </c>
    </row>
    <row r="1273" spans="1:9" hidden="1">
      <c r="A1273" s="17" t="s">
        <v>1132</v>
      </c>
      <c r="B1273" s="21" t="s">
        <v>1133</v>
      </c>
      <c r="C1273" s="19" t="s">
        <v>72</v>
      </c>
      <c r="D1273" s="20"/>
      <c r="E1273" s="3">
        <v>18522275.789999999</v>
      </c>
      <c r="F1273" s="24">
        <v>0.37953303145369055</v>
      </c>
      <c r="G1273" s="26">
        <f t="shared" si="19"/>
        <v>7029815.4800000004</v>
      </c>
      <c r="H1273" t="s">
        <v>68</v>
      </c>
    </row>
    <row r="1274" spans="1:9" hidden="1">
      <c r="A1274" s="13" t="s">
        <v>1132</v>
      </c>
      <c r="B1274" s="22" t="s">
        <v>1133</v>
      </c>
      <c r="C1274" s="15" t="s">
        <v>73</v>
      </c>
      <c r="D1274" s="16"/>
      <c r="E1274" s="2">
        <v>18522275.789999999</v>
      </c>
      <c r="F1274" s="23">
        <v>0.54489175922155941</v>
      </c>
      <c r="G1274" s="26">
        <f t="shared" si="19"/>
        <v>10092635.439999999</v>
      </c>
      <c r="H1274" t="s">
        <v>68</v>
      </c>
    </row>
    <row r="1275" spans="1:9" hidden="1">
      <c r="A1275" s="19" t="s">
        <v>1132</v>
      </c>
      <c r="B1275" s="20" t="s">
        <v>1133</v>
      </c>
      <c r="C1275" s="19" t="s">
        <v>74</v>
      </c>
      <c r="D1275" s="20"/>
      <c r="E1275" s="3">
        <v>18522275.789999999</v>
      </c>
      <c r="F1275" s="24">
        <v>7.5575209324750051E-2</v>
      </c>
      <c r="G1275" s="26">
        <f t="shared" si="19"/>
        <v>1399824.87</v>
      </c>
      <c r="H1275" t="s">
        <v>68</v>
      </c>
    </row>
    <row r="1276" spans="1:9" hidden="1">
      <c r="A1276" s="13" t="s">
        <v>1134</v>
      </c>
      <c r="B1276" s="14" t="s">
        <v>1135</v>
      </c>
      <c r="C1276" s="15" t="s">
        <v>72</v>
      </c>
      <c r="D1276" s="16"/>
      <c r="E1276" s="2">
        <v>9340223.9399999995</v>
      </c>
      <c r="F1276" s="23">
        <v>0.45141598928301496</v>
      </c>
      <c r="G1276" s="26">
        <f t="shared" si="19"/>
        <v>4216326.43</v>
      </c>
      <c r="H1276" t="s">
        <v>68</v>
      </c>
    </row>
    <row r="1277" spans="1:9" hidden="1">
      <c r="A1277" s="17" t="s">
        <v>1134</v>
      </c>
      <c r="B1277" s="18" t="s">
        <v>1135</v>
      </c>
      <c r="C1277" s="19" t="s">
        <v>73</v>
      </c>
      <c r="D1277" s="20"/>
      <c r="E1277" s="3">
        <v>9340223.9399999995</v>
      </c>
      <c r="F1277" s="24">
        <v>0.50493329499335327</v>
      </c>
      <c r="G1277" s="26">
        <f t="shared" si="19"/>
        <v>4716190.05</v>
      </c>
      <c r="H1277" t="s">
        <v>68</v>
      </c>
    </row>
    <row r="1278" spans="1:9" hidden="1">
      <c r="A1278" s="15" t="s">
        <v>1134</v>
      </c>
      <c r="B1278" s="16" t="s">
        <v>1135</v>
      </c>
      <c r="C1278" s="15" t="s">
        <v>74</v>
      </c>
      <c r="D1278" s="16"/>
      <c r="E1278" s="2">
        <v>9340223.9399999995</v>
      </c>
      <c r="F1278" s="23">
        <v>4.3650715723631786E-2</v>
      </c>
      <c r="G1278" s="26">
        <f t="shared" si="19"/>
        <v>407707.46</v>
      </c>
      <c r="H1278" t="s">
        <v>68</v>
      </c>
    </row>
    <row r="1279" spans="1:9" hidden="1">
      <c r="A1279" s="17" t="s">
        <v>1136</v>
      </c>
      <c r="B1279" s="21" t="s">
        <v>1137</v>
      </c>
      <c r="C1279" s="19" t="s">
        <v>72</v>
      </c>
      <c r="D1279" s="20"/>
      <c r="E1279" s="3">
        <v>8699332.7899999991</v>
      </c>
      <c r="F1279" s="24">
        <v>0.24594184308702602</v>
      </c>
      <c r="G1279" s="26">
        <f t="shared" si="19"/>
        <v>2139529.94</v>
      </c>
      <c r="H1279" t="s">
        <v>68</v>
      </c>
    </row>
    <row r="1280" spans="1:9" hidden="1">
      <c r="A1280" s="13" t="s">
        <v>1136</v>
      </c>
      <c r="B1280" s="22" t="s">
        <v>1137</v>
      </c>
      <c r="C1280" s="15" t="s">
        <v>73</v>
      </c>
      <c r="D1280" s="16"/>
      <c r="E1280" s="2">
        <v>8699332.7899999991</v>
      </c>
      <c r="F1280" s="23">
        <v>0.70329362006163698</v>
      </c>
      <c r="G1280" s="26">
        <f t="shared" si="19"/>
        <v>6118185.25</v>
      </c>
      <c r="H1280" t="s">
        <v>68</v>
      </c>
    </row>
    <row r="1281" spans="1:8" hidden="1">
      <c r="A1281" s="19" t="s">
        <v>1136</v>
      </c>
      <c r="B1281" s="20" t="s">
        <v>1137</v>
      </c>
      <c r="C1281" s="19" t="s">
        <v>74</v>
      </c>
      <c r="D1281" s="20"/>
      <c r="E1281" s="3">
        <v>8699332.7899999991</v>
      </c>
      <c r="F1281" s="24">
        <v>5.0764536851337083E-2</v>
      </c>
      <c r="G1281" s="26">
        <f t="shared" si="19"/>
        <v>441617.6</v>
      </c>
      <c r="H1281" t="s">
        <v>68</v>
      </c>
    </row>
    <row r="1282" spans="1:8" hidden="1">
      <c r="A1282" s="13" t="s">
        <v>1138</v>
      </c>
      <c r="B1282" s="14" t="s">
        <v>1139</v>
      </c>
      <c r="C1282" s="15" t="s">
        <v>72</v>
      </c>
      <c r="D1282" s="16"/>
      <c r="E1282" s="2">
        <v>11021074.58</v>
      </c>
      <c r="F1282" s="23">
        <v>0.32111549507362103</v>
      </c>
      <c r="G1282" s="26">
        <f t="shared" si="19"/>
        <v>3539037.82</v>
      </c>
      <c r="H1282" t="s">
        <v>68</v>
      </c>
    </row>
    <row r="1283" spans="1:8" hidden="1">
      <c r="A1283" s="17" t="s">
        <v>1138</v>
      </c>
      <c r="B1283" s="18" t="s">
        <v>1139</v>
      </c>
      <c r="C1283" s="19" t="s">
        <v>73</v>
      </c>
      <c r="D1283" s="20"/>
      <c r="E1283" s="3">
        <v>11021074.58</v>
      </c>
      <c r="F1283" s="24">
        <v>0.63353814088789151</v>
      </c>
      <c r="G1283" s="26">
        <f t="shared" si="19"/>
        <v>6982271.0999999996</v>
      </c>
      <c r="H1283" t="s">
        <v>68</v>
      </c>
    </row>
    <row r="1284" spans="1:8" hidden="1">
      <c r="A1284" s="15" t="s">
        <v>1138</v>
      </c>
      <c r="B1284" s="16" t="s">
        <v>1139</v>
      </c>
      <c r="C1284" s="15" t="s">
        <v>74</v>
      </c>
      <c r="D1284" s="16"/>
      <c r="E1284" s="2">
        <v>11021074.58</v>
      </c>
      <c r="F1284" s="23">
        <v>4.5346364038487429E-2</v>
      </c>
      <c r="G1284" s="26">
        <f t="shared" si="19"/>
        <v>499765.65999999992</v>
      </c>
      <c r="H1284" t="s">
        <v>68</v>
      </c>
    </row>
    <row r="1285" spans="1:8" hidden="1">
      <c r="A1285" s="17" t="s">
        <v>1140</v>
      </c>
      <c r="B1285" s="21" t="s">
        <v>1141</v>
      </c>
      <c r="C1285" s="19" t="s">
        <v>72</v>
      </c>
      <c r="D1285" s="20"/>
      <c r="E1285" s="3">
        <v>11273454.18</v>
      </c>
      <c r="F1285" s="24">
        <v>0.26446270436697694</v>
      </c>
      <c r="G1285" s="26">
        <f t="shared" ref="G1285:G1348" si="20">F1285*E1285</f>
        <v>2981408.18</v>
      </c>
      <c r="H1285" t="s">
        <v>68</v>
      </c>
    </row>
    <row r="1286" spans="1:8" hidden="1">
      <c r="A1286" s="13" t="s">
        <v>1140</v>
      </c>
      <c r="B1286" s="22" t="s">
        <v>1141</v>
      </c>
      <c r="C1286" s="15" t="s">
        <v>73</v>
      </c>
      <c r="D1286" s="16"/>
      <c r="E1286" s="2">
        <v>11273454.18</v>
      </c>
      <c r="F1286" s="23">
        <v>0.65410326881729519</v>
      </c>
      <c r="G1286" s="26">
        <f t="shared" si="20"/>
        <v>7374003.2299999995</v>
      </c>
      <c r="H1286" t="s">
        <v>68</v>
      </c>
    </row>
    <row r="1287" spans="1:8" hidden="1">
      <c r="A1287" s="19" t="s">
        <v>1140</v>
      </c>
      <c r="B1287" s="20" t="s">
        <v>1141</v>
      </c>
      <c r="C1287" s="19" t="s">
        <v>74</v>
      </c>
      <c r="D1287" s="20"/>
      <c r="E1287" s="3">
        <v>11273454.18</v>
      </c>
      <c r="F1287" s="24">
        <v>8.1434026815727922E-2</v>
      </c>
      <c r="G1287" s="26">
        <f t="shared" si="20"/>
        <v>918042.77</v>
      </c>
      <c r="H1287" t="s">
        <v>68</v>
      </c>
    </row>
    <row r="1288" spans="1:8" hidden="1">
      <c r="A1288" s="13" t="s">
        <v>1142</v>
      </c>
      <c r="B1288" s="14" t="s">
        <v>1143</v>
      </c>
      <c r="C1288" s="15" t="s">
        <v>72</v>
      </c>
      <c r="D1288" s="16"/>
      <c r="E1288" s="2">
        <v>20287238.309999999</v>
      </c>
      <c r="F1288" s="23">
        <v>0.42037916889832216</v>
      </c>
      <c r="G1288" s="26">
        <f t="shared" si="20"/>
        <v>8528332.3800000008</v>
      </c>
      <c r="H1288" t="s">
        <v>68</v>
      </c>
    </row>
    <row r="1289" spans="1:8" hidden="1">
      <c r="A1289" s="17" t="s">
        <v>1142</v>
      </c>
      <c r="B1289" s="18" t="s">
        <v>1143</v>
      </c>
      <c r="C1289" s="19" t="s">
        <v>73</v>
      </c>
      <c r="D1289" s="20"/>
      <c r="E1289" s="3">
        <v>20287238.309999999</v>
      </c>
      <c r="F1289" s="24">
        <v>0.4807065368376402</v>
      </c>
      <c r="G1289" s="26">
        <f t="shared" si="20"/>
        <v>9752208.0700000003</v>
      </c>
      <c r="H1289" t="s">
        <v>68</v>
      </c>
    </row>
    <row r="1290" spans="1:8" hidden="1">
      <c r="A1290" s="15" t="s">
        <v>1142</v>
      </c>
      <c r="B1290" s="16" t="s">
        <v>1143</v>
      </c>
      <c r="C1290" s="15" t="s">
        <v>74</v>
      </c>
      <c r="D1290" s="16"/>
      <c r="E1290" s="2">
        <v>20287238.309999999</v>
      </c>
      <c r="F1290" s="23">
        <v>9.8914294264037764E-2</v>
      </c>
      <c r="G1290" s="26">
        <f t="shared" si="20"/>
        <v>2006697.86</v>
      </c>
      <c r="H1290" t="s">
        <v>68</v>
      </c>
    </row>
    <row r="1291" spans="1:8" hidden="1">
      <c r="A1291" s="17" t="s">
        <v>924</v>
      </c>
      <c r="B1291" s="21" t="s">
        <v>925</v>
      </c>
      <c r="C1291" s="19" t="s">
        <v>72</v>
      </c>
      <c r="D1291" s="20"/>
      <c r="E1291" s="3">
        <v>8256386.1399999997</v>
      </c>
      <c r="F1291" s="24">
        <v>0.41438060090537387</v>
      </c>
      <c r="G1291" s="26">
        <f t="shared" si="20"/>
        <v>3421286.25</v>
      </c>
      <c r="H1291" t="s">
        <v>68</v>
      </c>
    </row>
    <row r="1292" spans="1:8" hidden="1">
      <c r="A1292" s="13" t="s">
        <v>924</v>
      </c>
      <c r="B1292" s="22" t="s">
        <v>925</v>
      </c>
      <c r="C1292" s="15" t="s">
        <v>73</v>
      </c>
      <c r="D1292" s="16"/>
      <c r="E1292" s="2">
        <v>8256386.1399999997</v>
      </c>
      <c r="F1292" s="23">
        <v>0.53980514772774424</v>
      </c>
      <c r="G1292" s="26">
        <f t="shared" si="20"/>
        <v>4456839.74</v>
      </c>
      <c r="H1292" t="s">
        <v>68</v>
      </c>
    </row>
    <row r="1293" spans="1:8" hidden="1">
      <c r="A1293" s="19" t="s">
        <v>924</v>
      </c>
      <c r="B1293" s="20" t="s">
        <v>925</v>
      </c>
      <c r="C1293" s="19" t="s">
        <v>74</v>
      </c>
      <c r="D1293" s="20"/>
      <c r="E1293" s="3">
        <v>8256386.1399999997</v>
      </c>
      <c r="F1293" s="24">
        <v>4.5814251366881935E-2</v>
      </c>
      <c r="G1293" s="26">
        <f t="shared" si="20"/>
        <v>378260.15</v>
      </c>
      <c r="H1293" t="s">
        <v>68</v>
      </c>
    </row>
    <row r="1294" spans="1:8" hidden="1">
      <c r="A1294" s="13" t="s">
        <v>926</v>
      </c>
      <c r="B1294" s="14" t="s">
        <v>927</v>
      </c>
      <c r="C1294" s="15" t="s">
        <v>72</v>
      </c>
      <c r="D1294" s="16"/>
      <c r="E1294" s="2">
        <v>8231415.4100000001</v>
      </c>
      <c r="F1294" s="23">
        <v>0.55326995457759309</v>
      </c>
      <c r="G1294" s="26">
        <f t="shared" si="20"/>
        <v>4554194.83</v>
      </c>
      <c r="H1294" t="s">
        <v>68</v>
      </c>
    </row>
    <row r="1295" spans="1:8" hidden="1">
      <c r="A1295" s="17" t="s">
        <v>926</v>
      </c>
      <c r="B1295" s="18" t="s">
        <v>927</v>
      </c>
      <c r="C1295" s="19" t="s">
        <v>73</v>
      </c>
      <c r="D1295" s="20"/>
      <c r="E1295" s="3">
        <v>8231415.4100000001</v>
      </c>
      <c r="F1295" s="24">
        <v>0.39581520889370353</v>
      </c>
      <c r="G1295" s="26">
        <f t="shared" si="20"/>
        <v>3258119.41</v>
      </c>
      <c r="H1295" t="s">
        <v>68</v>
      </c>
    </row>
    <row r="1296" spans="1:8" hidden="1">
      <c r="A1296" s="15" t="s">
        <v>926</v>
      </c>
      <c r="B1296" s="16" t="s">
        <v>927</v>
      </c>
      <c r="C1296" s="15" t="s">
        <v>74</v>
      </c>
      <c r="D1296" s="16"/>
      <c r="E1296" s="2">
        <v>8231415.4100000001</v>
      </c>
      <c r="F1296" s="23">
        <v>5.0914836528703385E-2</v>
      </c>
      <c r="G1296" s="26">
        <f t="shared" si="20"/>
        <v>419101.17</v>
      </c>
      <c r="H1296" t="s">
        <v>68</v>
      </c>
    </row>
    <row r="1297" spans="1:9" hidden="1">
      <c r="A1297" s="17" t="s">
        <v>928</v>
      </c>
      <c r="B1297" s="21" t="s">
        <v>929</v>
      </c>
      <c r="C1297" s="19" t="s">
        <v>72</v>
      </c>
      <c r="D1297" s="20"/>
      <c r="E1297" s="3">
        <v>10312220.609999999</v>
      </c>
      <c r="F1297" s="24">
        <v>0.42910556972655767</v>
      </c>
      <c r="G1297" s="26">
        <f t="shared" si="20"/>
        <v>4425031.3</v>
      </c>
      <c r="H1297" t="s">
        <v>68</v>
      </c>
    </row>
    <row r="1298" spans="1:9" hidden="1">
      <c r="A1298" s="13" t="s">
        <v>928</v>
      </c>
      <c r="B1298" s="22" t="s">
        <v>929</v>
      </c>
      <c r="C1298" s="15" t="s">
        <v>73</v>
      </c>
      <c r="D1298" s="16"/>
      <c r="E1298" s="2">
        <v>10312220.609999999</v>
      </c>
      <c r="F1298" s="23">
        <v>0.51960489914305663</v>
      </c>
      <c r="G1298" s="26">
        <f t="shared" si="20"/>
        <v>5358280.3499999996</v>
      </c>
      <c r="H1298" t="s">
        <v>68</v>
      </c>
    </row>
    <row r="1299" spans="1:9" hidden="1">
      <c r="A1299" s="19" t="s">
        <v>928</v>
      </c>
      <c r="B1299" s="20" t="s">
        <v>929</v>
      </c>
      <c r="C1299" s="19" t="s">
        <v>74</v>
      </c>
      <c r="D1299" s="20"/>
      <c r="E1299" s="3">
        <v>10312220.609999999</v>
      </c>
      <c r="F1299" s="24">
        <v>5.1289531130385702E-2</v>
      </c>
      <c r="G1299" s="26">
        <f t="shared" si="20"/>
        <v>528908.96</v>
      </c>
      <c r="H1299" t="s">
        <v>68</v>
      </c>
    </row>
    <row r="1300" spans="1:9" hidden="1">
      <c r="A1300" s="13" t="s">
        <v>930</v>
      </c>
      <c r="B1300" s="14" t="s">
        <v>931</v>
      </c>
      <c r="C1300" s="15" t="s">
        <v>72</v>
      </c>
      <c r="D1300" s="16"/>
      <c r="E1300" s="2">
        <v>30500544.579999998</v>
      </c>
      <c r="F1300" s="23">
        <v>0.4818789284712503</v>
      </c>
      <c r="G1300" s="26">
        <f t="shared" si="20"/>
        <v>14697569.74</v>
      </c>
      <c r="H1300" t="s">
        <v>68</v>
      </c>
      <c r="I1300" t="s">
        <v>1883</v>
      </c>
    </row>
    <row r="1301" spans="1:9" hidden="1">
      <c r="A1301" s="17" t="s">
        <v>930</v>
      </c>
      <c r="B1301" s="18" t="s">
        <v>931</v>
      </c>
      <c r="C1301" s="19" t="s">
        <v>73</v>
      </c>
      <c r="D1301" s="20"/>
      <c r="E1301" s="3">
        <v>30500544.579999998</v>
      </c>
      <c r="F1301" s="24">
        <v>0.40180841256310451</v>
      </c>
      <c r="G1301" s="26">
        <f t="shared" si="20"/>
        <v>12255375.4</v>
      </c>
      <c r="H1301" t="s">
        <v>68</v>
      </c>
      <c r="I1301" t="s">
        <v>1883</v>
      </c>
    </row>
    <row r="1302" spans="1:9" hidden="1">
      <c r="A1302" s="15" t="s">
        <v>930</v>
      </c>
      <c r="B1302" s="16" t="s">
        <v>931</v>
      </c>
      <c r="C1302" s="15" t="s">
        <v>74</v>
      </c>
      <c r="D1302" s="16"/>
      <c r="E1302" s="2">
        <v>30500544.579999998</v>
      </c>
      <c r="F1302" s="23">
        <v>0.11631265896564527</v>
      </c>
      <c r="G1302" s="26">
        <f t="shared" si="20"/>
        <v>3547599.44</v>
      </c>
      <c r="H1302" t="s">
        <v>68</v>
      </c>
      <c r="I1302" t="s">
        <v>1883</v>
      </c>
    </row>
    <row r="1303" spans="1:9" hidden="1">
      <c r="A1303" s="17" t="s">
        <v>932</v>
      </c>
      <c r="B1303" s="21" t="s">
        <v>933</v>
      </c>
      <c r="C1303" s="19" t="s">
        <v>72</v>
      </c>
      <c r="D1303" s="20"/>
      <c r="E1303" s="3">
        <v>15202239.710000001</v>
      </c>
      <c r="F1303" s="24">
        <v>0.82071272509884663</v>
      </c>
      <c r="G1303" s="26">
        <f t="shared" si="20"/>
        <v>12476671.58</v>
      </c>
      <c r="H1303" t="s">
        <v>68</v>
      </c>
    </row>
    <row r="1304" spans="1:9" hidden="1">
      <c r="A1304" s="13" t="s">
        <v>932</v>
      </c>
      <c r="B1304" s="22" t="s">
        <v>933</v>
      </c>
      <c r="C1304" s="15" t="s">
        <v>73</v>
      </c>
      <c r="D1304" s="16"/>
      <c r="E1304" s="2">
        <v>15202239.710000001</v>
      </c>
      <c r="F1304" s="23">
        <v>0.17234175358230816</v>
      </c>
      <c r="G1304" s="26">
        <f t="shared" si="20"/>
        <v>2619980.65</v>
      </c>
      <c r="H1304" t="s">
        <v>68</v>
      </c>
    </row>
    <row r="1305" spans="1:9" hidden="1">
      <c r="A1305" s="19" t="s">
        <v>932</v>
      </c>
      <c r="B1305" s="20" t="s">
        <v>933</v>
      </c>
      <c r="C1305" s="19" t="s">
        <v>74</v>
      </c>
      <c r="D1305" s="20"/>
      <c r="E1305" s="3">
        <v>15202239.710000001</v>
      </c>
      <c r="F1305" s="24">
        <v>6.9455213188451947E-3</v>
      </c>
      <c r="G1305" s="26">
        <f t="shared" si="20"/>
        <v>105587.48</v>
      </c>
      <c r="H1305" t="s">
        <v>68</v>
      </c>
    </row>
    <row r="1306" spans="1:9" hidden="1">
      <c r="A1306" s="13" t="s">
        <v>934</v>
      </c>
      <c r="B1306" s="14" t="s">
        <v>935</v>
      </c>
      <c r="C1306" s="15" t="s">
        <v>72</v>
      </c>
      <c r="D1306" s="16"/>
      <c r="E1306" s="2">
        <v>14125742.01</v>
      </c>
      <c r="F1306" s="23">
        <v>0.86742715188524111</v>
      </c>
      <c r="G1306" s="26">
        <f t="shared" si="20"/>
        <v>12253052.16</v>
      </c>
      <c r="H1306" t="s">
        <v>68</v>
      </c>
    </row>
    <row r="1307" spans="1:9" hidden="1">
      <c r="A1307" s="17" t="s">
        <v>934</v>
      </c>
      <c r="B1307" s="18" t="s">
        <v>935</v>
      </c>
      <c r="C1307" s="19" t="s">
        <v>73</v>
      </c>
      <c r="D1307" s="20"/>
      <c r="E1307" s="3">
        <v>14125742.01</v>
      </c>
      <c r="F1307" s="24">
        <v>0.12742535498140534</v>
      </c>
      <c r="G1307" s="26">
        <f t="shared" si="20"/>
        <v>1799977.6900000002</v>
      </c>
      <c r="H1307" t="s">
        <v>68</v>
      </c>
    </row>
    <row r="1308" spans="1:9" hidden="1">
      <c r="A1308" s="15" t="s">
        <v>934</v>
      </c>
      <c r="B1308" s="16" t="s">
        <v>935</v>
      </c>
      <c r="C1308" s="15" t="s">
        <v>74</v>
      </c>
      <c r="D1308" s="16"/>
      <c r="E1308" s="2">
        <v>14125742.01</v>
      </c>
      <c r="F1308" s="23">
        <v>5.1474931333536375E-3</v>
      </c>
      <c r="G1308" s="26">
        <f t="shared" si="20"/>
        <v>72712.160000000003</v>
      </c>
      <c r="H1308" t="s">
        <v>68</v>
      </c>
    </row>
    <row r="1309" spans="1:9" hidden="1">
      <c r="A1309" s="17" t="s">
        <v>936</v>
      </c>
      <c r="B1309" s="21" t="s">
        <v>937</v>
      </c>
      <c r="C1309" s="19" t="s">
        <v>72</v>
      </c>
      <c r="D1309" s="20"/>
      <c r="E1309" s="3">
        <v>34782536.130000003</v>
      </c>
      <c r="F1309" s="24">
        <v>0.57487785005860059</v>
      </c>
      <c r="G1309" s="26">
        <f t="shared" si="20"/>
        <v>19995709.59</v>
      </c>
      <c r="H1309" t="s">
        <v>68</v>
      </c>
    </row>
    <row r="1310" spans="1:9" hidden="1">
      <c r="A1310" s="13" t="s">
        <v>936</v>
      </c>
      <c r="B1310" s="22" t="s">
        <v>937</v>
      </c>
      <c r="C1310" s="15" t="s">
        <v>73</v>
      </c>
      <c r="D1310" s="16"/>
      <c r="E1310" s="2">
        <v>34782536.130000003</v>
      </c>
      <c r="F1310" s="23">
        <v>0.39697739228654683</v>
      </c>
      <c r="G1310" s="26">
        <f t="shared" si="20"/>
        <v>13807880.49</v>
      </c>
      <c r="H1310" t="s">
        <v>68</v>
      </c>
    </row>
    <row r="1311" spans="1:9" hidden="1">
      <c r="A1311" s="19" t="s">
        <v>936</v>
      </c>
      <c r="B1311" s="20" t="s">
        <v>937</v>
      </c>
      <c r="C1311" s="19" t="s">
        <v>74</v>
      </c>
      <c r="D1311" s="20"/>
      <c r="E1311" s="3">
        <v>34782536.130000003</v>
      </c>
      <c r="F1311" s="24">
        <v>2.8144757654852467E-2</v>
      </c>
      <c r="G1311" s="26">
        <f t="shared" si="20"/>
        <v>978946.05</v>
      </c>
      <c r="H1311" t="s">
        <v>68</v>
      </c>
    </row>
    <row r="1312" spans="1:9" hidden="1">
      <c r="A1312" s="13" t="s">
        <v>938</v>
      </c>
      <c r="B1312" s="14" t="s">
        <v>939</v>
      </c>
      <c r="C1312" s="15" t="s">
        <v>72</v>
      </c>
      <c r="D1312" s="16"/>
      <c r="E1312" s="2">
        <v>45685827.439999998</v>
      </c>
      <c r="F1312" s="23">
        <v>0.84158394986924645</v>
      </c>
      <c r="G1312" s="26">
        <f t="shared" si="20"/>
        <v>38448459.109999999</v>
      </c>
      <c r="H1312" t="s">
        <v>68</v>
      </c>
    </row>
    <row r="1313" spans="1:9" hidden="1">
      <c r="A1313" s="17" t="s">
        <v>938</v>
      </c>
      <c r="B1313" s="18" t="s">
        <v>939</v>
      </c>
      <c r="C1313" s="19" t="s">
        <v>73</v>
      </c>
      <c r="D1313" s="20"/>
      <c r="E1313" s="3">
        <v>45685827.439999998</v>
      </c>
      <c r="F1313" s="24">
        <v>0.141638047565151</v>
      </c>
      <c r="G1313" s="26">
        <f t="shared" si="20"/>
        <v>6470851.4000000004</v>
      </c>
      <c r="H1313" t="s">
        <v>68</v>
      </c>
    </row>
    <row r="1314" spans="1:9" hidden="1">
      <c r="A1314" s="15" t="s">
        <v>938</v>
      </c>
      <c r="B1314" s="16" t="s">
        <v>939</v>
      </c>
      <c r="C1314" s="15" t="s">
        <v>74</v>
      </c>
      <c r="D1314" s="16"/>
      <c r="E1314" s="2">
        <v>45685827.439999998</v>
      </c>
      <c r="F1314" s="23">
        <v>1.6778002565602652E-2</v>
      </c>
      <c r="G1314" s="26">
        <f t="shared" si="20"/>
        <v>766516.92999999993</v>
      </c>
      <c r="H1314" t="s">
        <v>68</v>
      </c>
    </row>
    <row r="1315" spans="1:9" hidden="1">
      <c r="A1315" s="17" t="s">
        <v>940</v>
      </c>
      <c r="B1315" s="21" t="s">
        <v>941</v>
      </c>
      <c r="C1315" s="19" t="s">
        <v>72</v>
      </c>
      <c r="D1315" s="20"/>
      <c r="E1315" s="3">
        <v>11535893.949999999</v>
      </c>
      <c r="F1315" s="24">
        <v>0.77976842964996229</v>
      </c>
      <c r="G1315" s="26">
        <f t="shared" si="20"/>
        <v>8995325.9100000001</v>
      </c>
      <c r="H1315" t="s">
        <v>68</v>
      </c>
    </row>
    <row r="1316" spans="1:9" hidden="1">
      <c r="A1316" s="13" t="s">
        <v>940</v>
      </c>
      <c r="B1316" s="22" t="s">
        <v>941</v>
      </c>
      <c r="C1316" s="15" t="s">
        <v>73</v>
      </c>
      <c r="D1316" s="16"/>
      <c r="E1316" s="2">
        <v>11535893.949999999</v>
      </c>
      <c r="F1316" s="23">
        <v>0.19438066436108317</v>
      </c>
      <c r="G1316" s="26">
        <f t="shared" si="20"/>
        <v>2242354.73</v>
      </c>
      <c r="H1316" t="s">
        <v>68</v>
      </c>
    </row>
    <row r="1317" spans="1:9" hidden="1">
      <c r="A1317" s="19" t="s">
        <v>940</v>
      </c>
      <c r="B1317" s="20" t="s">
        <v>941</v>
      </c>
      <c r="C1317" s="19" t="s">
        <v>74</v>
      </c>
      <c r="D1317" s="20"/>
      <c r="E1317" s="3">
        <v>11535893.949999999</v>
      </c>
      <c r="F1317" s="24">
        <v>2.5850905988954589E-2</v>
      </c>
      <c r="G1317" s="26">
        <f t="shared" si="20"/>
        <v>298213.31</v>
      </c>
      <c r="H1317" t="s">
        <v>68</v>
      </c>
    </row>
    <row r="1318" spans="1:9" hidden="1">
      <c r="A1318" s="13" t="s">
        <v>942</v>
      </c>
      <c r="B1318" s="14" t="s">
        <v>943</v>
      </c>
      <c r="C1318" s="15" t="s">
        <v>72</v>
      </c>
      <c r="D1318" s="16"/>
      <c r="E1318" s="2">
        <v>64697076.57</v>
      </c>
      <c r="F1318" s="23">
        <v>0.81081060507028091</v>
      </c>
      <c r="G1318" s="26">
        <f t="shared" si="20"/>
        <v>52457075.799999997</v>
      </c>
      <c r="H1318" t="s">
        <v>68</v>
      </c>
    </row>
    <row r="1319" spans="1:9" hidden="1">
      <c r="A1319" s="17" t="s">
        <v>942</v>
      </c>
      <c r="B1319" s="18" t="s">
        <v>943</v>
      </c>
      <c r="C1319" s="19" t="s">
        <v>73</v>
      </c>
      <c r="D1319" s="20"/>
      <c r="E1319" s="3">
        <v>64697076.57</v>
      </c>
      <c r="F1319" s="24">
        <v>0.16485098578543084</v>
      </c>
      <c r="G1319" s="26">
        <f t="shared" si="20"/>
        <v>10665376.85</v>
      </c>
      <c r="H1319" t="s">
        <v>68</v>
      </c>
    </row>
    <row r="1320" spans="1:9" hidden="1">
      <c r="A1320" s="15" t="s">
        <v>942</v>
      </c>
      <c r="B1320" s="16" t="s">
        <v>943</v>
      </c>
      <c r="C1320" s="15" t="s">
        <v>74</v>
      </c>
      <c r="D1320" s="16"/>
      <c r="E1320" s="2">
        <v>64697076.57</v>
      </c>
      <c r="F1320" s="23">
        <v>2.433840914428817E-2</v>
      </c>
      <c r="G1320" s="26">
        <f t="shared" si="20"/>
        <v>1574623.92</v>
      </c>
      <c r="H1320" t="s">
        <v>68</v>
      </c>
    </row>
    <row r="1321" spans="1:9" hidden="1">
      <c r="A1321" s="17" t="s">
        <v>944</v>
      </c>
      <c r="B1321" s="21" t="s">
        <v>945</v>
      </c>
      <c r="C1321" s="19" t="s">
        <v>72</v>
      </c>
      <c r="D1321" s="20"/>
      <c r="E1321" s="3">
        <v>3122875.52</v>
      </c>
      <c r="F1321" s="24">
        <v>0.22918477070773541</v>
      </c>
      <c r="G1321" s="26">
        <f t="shared" si="20"/>
        <v>715715.51</v>
      </c>
      <c r="H1321" t="s">
        <v>68</v>
      </c>
      <c r="I1321" t="s">
        <v>1883</v>
      </c>
    </row>
    <row r="1322" spans="1:9" hidden="1">
      <c r="A1322" s="13" t="s">
        <v>944</v>
      </c>
      <c r="B1322" s="22" t="s">
        <v>945</v>
      </c>
      <c r="C1322" s="15" t="s">
        <v>73</v>
      </c>
      <c r="D1322" s="16"/>
      <c r="E1322" s="2">
        <v>3122875.52</v>
      </c>
      <c r="F1322" s="23">
        <v>0.40073678312992767</v>
      </c>
      <c r="G1322" s="26">
        <f t="shared" si="20"/>
        <v>1251451.0900000001</v>
      </c>
      <c r="H1322" t="s">
        <v>68</v>
      </c>
      <c r="I1322" t="s">
        <v>1883</v>
      </c>
    </row>
    <row r="1323" spans="1:9" hidden="1">
      <c r="A1323" s="19" t="s">
        <v>944</v>
      </c>
      <c r="B1323" s="20" t="s">
        <v>945</v>
      </c>
      <c r="C1323" s="19" t="s">
        <v>74</v>
      </c>
      <c r="D1323" s="20"/>
      <c r="E1323" s="3">
        <v>3122875.52</v>
      </c>
      <c r="F1323" s="24">
        <v>0.37007844616233693</v>
      </c>
      <c r="G1323" s="26">
        <f t="shared" si="20"/>
        <v>1155708.92</v>
      </c>
      <c r="H1323" t="s">
        <v>68</v>
      </c>
      <c r="I1323" t="s">
        <v>1883</v>
      </c>
    </row>
    <row r="1324" spans="1:9" hidden="1">
      <c r="A1324" s="13" t="s">
        <v>946</v>
      </c>
      <c r="B1324" s="14" t="s">
        <v>947</v>
      </c>
      <c r="C1324" s="15" t="s">
        <v>72</v>
      </c>
      <c r="D1324" s="16"/>
      <c r="E1324" s="2">
        <v>6354132.4000000004</v>
      </c>
      <c r="F1324" s="23">
        <v>0.34139180039748623</v>
      </c>
      <c r="G1324" s="26">
        <f t="shared" si="20"/>
        <v>2169248.7000000002</v>
      </c>
      <c r="H1324" t="s">
        <v>68</v>
      </c>
    </row>
    <row r="1325" spans="1:9" hidden="1">
      <c r="A1325" s="17" t="s">
        <v>946</v>
      </c>
      <c r="B1325" s="18" t="s">
        <v>947</v>
      </c>
      <c r="C1325" s="19" t="s">
        <v>73</v>
      </c>
      <c r="D1325" s="20"/>
      <c r="E1325" s="3">
        <v>6354132.4000000004</v>
      </c>
      <c r="F1325" s="24">
        <v>0.58356134190719722</v>
      </c>
      <c r="G1325" s="26">
        <f t="shared" si="20"/>
        <v>3708026.03</v>
      </c>
      <c r="H1325" t="s">
        <v>68</v>
      </c>
    </row>
    <row r="1326" spans="1:9" hidden="1">
      <c r="A1326" s="15" t="s">
        <v>946</v>
      </c>
      <c r="B1326" s="16" t="s">
        <v>947</v>
      </c>
      <c r="C1326" s="15" t="s">
        <v>74</v>
      </c>
      <c r="D1326" s="16"/>
      <c r="E1326" s="2">
        <v>6354132.4000000004</v>
      </c>
      <c r="F1326" s="23">
        <v>7.5046857695316507E-2</v>
      </c>
      <c r="G1326" s="26">
        <f t="shared" si="20"/>
        <v>476857.67</v>
      </c>
      <c r="H1326" t="s">
        <v>68</v>
      </c>
    </row>
    <row r="1327" spans="1:9" hidden="1">
      <c r="A1327" s="17" t="s">
        <v>948</v>
      </c>
      <c r="B1327" s="21" t="s">
        <v>949</v>
      </c>
      <c r="C1327" s="19" t="s">
        <v>72</v>
      </c>
      <c r="D1327" s="20"/>
      <c r="E1327" s="3">
        <v>8367992.0099999998</v>
      </c>
      <c r="F1327" s="24">
        <v>0.39635680292672748</v>
      </c>
      <c r="G1327" s="26">
        <f t="shared" si="20"/>
        <v>3316710.56</v>
      </c>
      <c r="H1327" t="s">
        <v>68</v>
      </c>
    </row>
    <row r="1328" spans="1:9" hidden="1">
      <c r="A1328" s="13" t="s">
        <v>948</v>
      </c>
      <c r="B1328" s="22" t="s">
        <v>949</v>
      </c>
      <c r="C1328" s="15" t="s">
        <v>73</v>
      </c>
      <c r="D1328" s="16"/>
      <c r="E1328" s="2">
        <v>8367992.0099999998</v>
      </c>
      <c r="F1328" s="23">
        <v>0.54877356533231203</v>
      </c>
      <c r="G1328" s="26">
        <f t="shared" si="20"/>
        <v>4592132.8099999996</v>
      </c>
      <c r="H1328" t="s">
        <v>68</v>
      </c>
    </row>
    <row r="1329" spans="1:8" hidden="1">
      <c r="A1329" s="19" t="s">
        <v>948</v>
      </c>
      <c r="B1329" s="20" t="s">
        <v>949</v>
      </c>
      <c r="C1329" s="19" t="s">
        <v>74</v>
      </c>
      <c r="D1329" s="20"/>
      <c r="E1329" s="3">
        <v>8367992.0099999998</v>
      </c>
      <c r="F1329" s="24">
        <v>5.4869631740960517E-2</v>
      </c>
      <c r="G1329" s="26">
        <f t="shared" si="20"/>
        <v>459148.64</v>
      </c>
      <c r="H1329" t="s">
        <v>68</v>
      </c>
    </row>
    <row r="1330" spans="1:8" hidden="1">
      <c r="A1330" s="13" t="s">
        <v>950</v>
      </c>
      <c r="B1330" s="14" t="s">
        <v>951</v>
      </c>
      <c r="C1330" s="15" t="s">
        <v>72</v>
      </c>
      <c r="D1330" s="16"/>
      <c r="E1330" s="2">
        <v>6136361.29</v>
      </c>
      <c r="F1330" s="23">
        <v>0.47001303438572473</v>
      </c>
      <c r="G1330" s="26">
        <f t="shared" si="20"/>
        <v>2884169.79</v>
      </c>
      <c r="H1330" t="s">
        <v>68</v>
      </c>
    </row>
    <row r="1331" spans="1:8" hidden="1">
      <c r="A1331" s="17" t="s">
        <v>950</v>
      </c>
      <c r="B1331" s="18" t="s">
        <v>951</v>
      </c>
      <c r="C1331" s="19" t="s">
        <v>73</v>
      </c>
      <c r="D1331" s="20"/>
      <c r="E1331" s="3">
        <v>6136361.29</v>
      </c>
      <c r="F1331" s="24">
        <v>0.48541567538634933</v>
      </c>
      <c r="G1331" s="26">
        <f t="shared" si="20"/>
        <v>2978685.96</v>
      </c>
      <c r="H1331" t="s">
        <v>68</v>
      </c>
    </row>
    <row r="1332" spans="1:8" hidden="1">
      <c r="A1332" s="15" t="s">
        <v>950</v>
      </c>
      <c r="B1332" s="16" t="s">
        <v>951</v>
      </c>
      <c r="C1332" s="15" t="s">
        <v>74</v>
      </c>
      <c r="D1332" s="16"/>
      <c r="E1332" s="2">
        <v>6136361.29</v>
      </c>
      <c r="F1332" s="23">
        <v>4.4571290227925935E-2</v>
      </c>
      <c r="G1332" s="26">
        <f t="shared" si="20"/>
        <v>273505.53999999998</v>
      </c>
      <c r="H1332" t="s">
        <v>68</v>
      </c>
    </row>
    <row r="1333" spans="1:8" hidden="1">
      <c r="A1333" s="17" t="s">
        <v>952</v>
      </c>
      <c r="B1333" s="21" t="s">
        <v>953</v>
      </c>
      <c r="C1333" s="19" t="s">
        <v>72</v>
      </c>
      <c r="D1333" s="20"/>
      <c r="E1333" s="3">
        <v>6474712.0499999998</v>
      </c>
      <c r="F1333" s="24">
        <v>0.31129682438927925</v>
      </c>
      <c r="G1333" s="26">
        <f t="shared" si="20"/>
        <v>2015557.3000000003</v>
      </c>
      <c r="H1333" t="s">
        <v>68</v>
      </c>
    </row>
    <row r="1334" spans="1:8" hidden="1">
      <c r="A1334" s="13" t="s">
        <v>952</v>
      </c>
      <c r="B1334" s="22" t="s">
        <v>953</v>
      </c>
      <c r="C1334" s="15" t="s">
        <v>73</v>
      </c>
      <c r="D1334" s="16"/>
      <c r="E1334" s="2">
        <v>6474712.0499999998</v>
      </c>
      <c r="F1334" s="23">
        <v>0.58612583087768355</v>
      </c>
      <c r="G1334" s="26">
        <f t="shared" si="20"/>
        <v>3794995.9799999995</v>
      </c>
      <c r="H1334" t="s">
        <v>68</v>
      </c>
    </row>
    <row r="1335" spans="1:8" hidden="1">
      <c r="A1335" s="19" t="s">
        <v>952</v>
      </c>
      <c r="B1335" s="20" t="s">
        <v>953</v>
      </c>
      <c r="C1335" s="19" t="s">
        <v>74</v>
      </c>
      <c r="D1335" s="20"/>
      <c r="E1335" s="3">
        <v>6474712.0499999998</v>
      </c>
      <c r="F1335" s="24">
        <v>0.1025773447330372</v>
      </c>
      <c r="G1335" s="26">
        <f t="shared" si="20"/>
        <v>664158.77</v>
      </c>
      <c r="H1335" t="s">
        <v>68</v>
      </c>
    </row>
    <row r="1336" spans="1:8" hidden="1">
      <c r="A1336" s="13" t="s">
        <v>954</v>
      </c>
      <c r="B1336" s="14" t="s">
        <v>955</v>
      </c>
      <c r="C1336" s="15" t="s">
        <v>72</v>
      </c>
      <c r="D1336" s="16"/>
      <c r="E1336" s="2">
        <v>6696499.3399999999</v>
      </c>
      <c r="F1336" s="23">
        <v>0.47887690973773772</v>
      </c>
      <c r="G1336" s="26">
        <f t="shared" si="20"/>
        <v>3206798.91</v>
      </c>
      <c r="H1336" t="s">
        <v>68</v>
      </c>
    </row>
    <row r="1337" spans="1:8" hidden="1">
      <c r="A1337" s="17" t="s">
        <v>954</v>
      </c>
      <c r="B1337" s="18" t="s">
        <v>955</v>
      </c>
      <c r="C1337" s="19" t="s">
        <v>73</v>
      </c>
      <c r="D1337" s="20"/>
      <c r="E1337" s="3">
        <v>6696499.3399999999</v>
      </c>
      <c r="F1337" s="24">
        <v>0.44627306123201976</v>
      </c>
      <c r="G1337" s="26">
        <f t="shared" si="20"/>
        <v>2988467.26</v>
      </c>
      <c r="H1337" t="s">
        <v>68</v>
      </c>
    </row>
    <row r="1338" spans="1:8" hidden="1">
      <c r="A1338" s="15" t="s">
        <v>954</v>
      </c>
      <c r="B1338" s="16" t="s">
        <v>955</v>
      </c>
      <c r="C1338" s="15" t="s">
        <v>74</v>
      </c>
      <c r="D1338" s="16"/>
      <c r="E1338" s="2">
        <v>6696499.3399999999</v>
      </c>
      <c r="F1338" s="23">
        <v>7.4850029030242543E-2</v>
      </c>
      <c r="G1338" s="26">
        <f t="shared" si="20"/>
        <v>501233.17000000004</v>
      </c>
      <c r="H1338" t="s">
        <v>68</v>
      </c>
    </row>
    <row r="1339" spans="1:8" hidden="1">
      <c r="A1339" s="17" t="s">
        <v>956</v>
      </c>
      <c r="B1339" s="21" t="s">
        <v>957</v>
      </c>
      <c r="C1339" s="19" t="s">
        <v>72</v>
      </c>
      <c r="D1339" s="20"/>
      <c r="E1339" s="3">
        <v>7978581.2000000002</v>
      </c>
      <c r="F1339" s="24">
        <v>0.64331892868371132</v>
      </c>
      <c r="G1339" s="26">
        <f t="shared" si="20"/>
        <v>5132772.3099999996</v>
      </c>
      <c r="H1339" t="s">
        <v>68</v>
      </c>
    </row>
    <row r="1340" spans="1:8" hidden="1">
      <c r="A1340" s="13" t="s">
        <v>956</v>
      </c>
      <c r="B1340" s="22" t="s">
        <v>957</v>
      </c>
      <c r="C1340" s="15" t="s">
        <v>73</v>
      </c>
      <c r="D1340" s="16"/>
      <c r="E1340" s="2">
        <v>7978581.2000000002</v>
      </c>
      <c r="F1340" s="23">
        <v>0.32143291090400883</v>
      </c>
      <c r="G1340" s="26">
        <f t="shared" si="20"/>
        <v>2564578.58</v>
      </c>
      <c r="H1340" t="s">
        <v>68</v>
      </c>
    </row>
    <row r="1341" spans="1:8" hidden="1">
      <c r="A1341" s="19" t="s">
        <v>956</v>
      </c>
      <c r="B1341" s="20" t="s">
        <v>957</v>
      </c>
      <c r="C1341" s="19" t="s">
        <v>74</v>
      </c>
      <c r="D1341" s="20"/>
      <c r="E1341" s="3">
        <v>7978581.2000000002</v>
      </c>
      <c r="F1341" s="24">
        <v>3.5248160412279815E-2</v>
      </c>
      <c r="G1341" s="26">
        <f t="shared" si="20"/>
        <v>281230.31</v>
      </c>
      <c r="H1341" t="s">
        <v>68</v>
      </c>
    </row>
    <row r="1342" spans="1:8" hidden="1">
      <c r="A1342" s="13" t="s">
        <v>958</v>
      </c>
      <c r="B1342" s="14" t="s">
        <v>959</v>
      </c>
      <c r="C1342" s="15" t="s">
        <v>72</v>
      </c>
      <c r="D1342" s="16"/>
      <c r="E1342" s="2">
        <v>10122756.34</v>
      </c>
      <c r="F1342" s="23">
        <v>0.32495991798218071</v>
      </c>
      <c r="G1342" s="26">
        <f t="shared" si="20"/>
        <v>3289490.07</v>
      </c>
      <c r="H1342" t="s">
        <v>68</v>
      </c>
    </row>
    <row r="1343" spans="1:8" hidden="1">
      <c r="A1343" s="17" t="s">
        <v>958</v>
      </c>
      <c r="B1343" s="18" t="s">
        <v>959</v>
      </c>
      <c r="C1343" s="19" t="s">
        <v>73</v>
      </c>
      <c r="D1343" s="20"/>
      <c r="E1343" s="3">
        <v>10122756.34</v>
      </c>
      <c r="F1343" s="24">
        <v>0.6275872891355202</v>
      </c>
      <c r="G1343" s="26">
        <f t="shared" si="20"/>
        <v>6352913.21</v>
      </c>
      <c r="H1343" t="s">
        <v>68</v>
      </c>
    </row>
    <row r="1344" spans="1:8" hidden="1">
      <c r="A1344" s="15" t="s">
        <v>958</v>
      </c>
      <c r="B1344" s="16" t="s">
        <v>959</v>
      </c>
      <c r="C1344" s="15" t="s">
        <v>74</v>
      </c>
      <c r="D1344" s="16"/>
      <c r="E1344" s="2">
        <v>10122756.34</v>
      </c>
      <c r="F1344" s="23">
        <v>4.7452792882299089E-2</v>
      </c>
      <c r="G1344" s="26">
        <f t="shared" si="20"/>
        <v>480353.05999999994</v>
      </c>
      <c r="H1344" t="s">
        <v>68</v>
      </c>
    </row>
    <row r="1345" spans="1:9" hidden="1">
      <c r="A1345" s="17" t="s">
        <v>960</v>
      </c>
      <c r="B1345" s="21" t="s">
        <v>884</v>
      </c>
      <c r="C1345" s="19" t="s">
        <v>72</v>
      </c>
      <c r="D1345" s="20"/>
      <c r="E1345" s="3">
        <v>9653243.8100000005</v>
      </c>
      <c r="F1345" s="24">
        <v>0.64550298351989921</v>
      </c>
      <c r="G1345" s="26">
        <f t="shared" si="20"/>
        <v>6231197.6799999997</v>
      </c>
      <c r="H1345" t="s">
        <v>68</v>
      </c>
    </row>
    <row r="1346" spans="1:9" hidden="1">
      <c r="A1346" s="13" t="s">
        <v>960</v>
      </c>
      <c r="B1346" s="22" t="s">
        <v>884</v>
      </c>
      <c r="C1346" s="15" t="s">
        <v>73</v>
      </c>
      <c r="D1346" s="16"/>
      <c r="E1346" s="2">
        <v>9653243.8100000005</v>
      </c>
      <c r="F1346" s="23">
        <v>0.3015118386406942</v>
      </c>
      <c r="G1346" s="26">
        <f t="shared" si="20"/>
        <v>2910567.29</v>
      </c>
      <c r="H1346" t="s">
        <v>68</v>
      </c>
    </row>
    <row r="1347" spans="1:9" hidden="1">
      <c r="A1347" s="19" t="s">
        <v>960</v>
      </c>
      <c r="B1347" s="20" t="s">
        <v>884</v>
      </c>
      <c r="C1347" s="19" t="s">
        <v>74</v>
      </c>
      <c r="D1347" s="20"/>
      <c r="E1347" s="3">
        <v>9653243.8100000005</v>
      </c>
      <c r="F1347" s="24">
        <v>5.2985177839406504E-2</v>
      </c>
      <c r="G1347" s="26">
        <f t="shared" si="20"/>
        <v>511478.84</v>
      </c>
      <c r="H1347" t="s">
        <v>68</v>
      </c>
    </row>
    <row r="1348" spans="1:9" hidden="1">
      <c r="A1348" s="13" t="s">
        <v>961</v>
      </c>
      <c r="B1348" s="14" t="s">
        <v>962</v>
      </c>
      <c r="C1348" s="15" t="s">
        <v>72</v>
      </c>
      <c r="D1348" s="16"/>
      <c r="E1348" s="2">
        <v>11890218.25</v>
      </c>
      <c r="F1348" s="23">
        <v>0.81667126337231033</v>
      </c>
      <c r="G1348" s="26">
        <f t="shared" si="20"/>
        <v>9710399.5600000005</v>
      </c>
      <c r="H1348" t="s">
        <v>68</v>
      </c>
      <c r="I1348" t="s">
        <v>1883</v>
      </c>
    </row>
    <row r="1349" spans="1:9" hidden="1">
      <c r="A1349" s="17" t="s">
        <v>961</v>
      </c>
      <c r="B1349" s="18" t="s">
        <v>962</v>
      </c>
      <c r="C1349" s="19" t="s">
        <v>73</v>
      </c>
      <c r="D1349" s="20"/>
      <c r="E1349" s="3">
        <v>11890218.25</v>
      </c>
      <c r="F1349" s="24">
        <v>0.13571635154804665</v>
      </c>
      <c r="G1349" s="26">
        <f t="shared" ref="G1349:G1412" si="21">F1349*E1349</f>
        <v>1613697.04</v>
      </c>
      <c r="H1349" t="s">
        <v>68</v>
      </c>
      <c r="I1349" t="s">
        <v>1883</v>
      </c>
    </row>
    <row r="1350" spans="1:9" hidden="1">
      <c r="A1350" s="15" t="s">
        <v>961</v>
      </c>
      <c r="B1350" s="16" t="s">
        <v>962</v>
      </c>
      <c r="C1350" s="15" t="s">
        <v>74</v>
      </c>
      <c r="D1350" s="16"/>
      <c r="E1350" s="2">
        <v>11890218.25</v>
      </c>
      <c r="F1350" s="23">
        <v>4.7612385079643091E-2</v>
      </c>
      <c r="G1350" s="26">
        <f t="shared" si="21"/>
        <v>566121.65</v>
      </c>
      <c r="H1350" t="s">
        <v>68</v>
      </c>
      <c r="I1350" t="s">
        <v>1883</v>
      </c>
    </row>
    <row r="1351" spans="1:9" hidden="1">
      <c r="A1351" s="17" t="s">
        <v>963</v>
      </c>
      <c r="B1351" s="21" t="s">
        <v>964</v>
      </c>
      <c r="C1351" s="19" t="s">
        <v>72</v>
      </c>
      <c r="D1351" s="20"/>
      <c r="E1351" s="3">
        <v>23594771.609999999</v>
      </c>
      <c r="F1351" s="24">
        <v>0.68383748852061887</v>
      </c>
      <c r="G1351" s="26">
        <f t="shared" si="21"/>
        <v>16134989.359999999</v>
      </c>
      <c r="H1351" t="s">
        <v>68</v>
      </c>
    </row>
    <row r="1352" spans="1:9" hidden="1">
      <c r="A1352" s="13" t="s">
        <v>963</v>
      </c>
      <c r="B1352" s="22" t="s">
        <v>964</v>
      </c>
      <c r="C1352" s="15" t="s">
        <v>73</v>
      </c>
      <c r="D1352" s="16"/>
      <c r="E1352" s="2">
        <v>23594771.609999999</v>
      </c>
      <c r="F1352" s="23">
        <v>0.27829203302044592</v>
      </c>
      <c r="G1352" s="26">
        <f t="shared" si="21"/>
        <v>6566236.96</v>
      </c>
      <c r="H1352" t="s">
        <v>68</v>
      </c>
    </row>
    <row r="1353" spans="1:9" hidden="1">
      <c r="A1353" s="19" t="s">
        <v>963</v>
      </c>
      <c r="B1353" s="20" t="s">
        <v>964</v>
      </c>
      <c r="C1353" s="19" t="s">
        <v>74</v>
      </c>
      <c r="D1353" s="20"/>
      <c r="E1353" s="3">
        <v>23594771.609999999</v>
      </c>
      <c r="F1353" s="24">
        <v>3.7870478458935167E-2</v>
      </c>
      <c r="G1353" s="26">
        <f t="shared" si="21"/>
        <v>893545.29</v>
      </c>
      <c r="H1353" t="s">
        <v>68</v>
      </c>
    </row>
    <row r="1354" spans="1:9" hidden="1">
      <c r="A1354" s="13" t="s">
        <v>965</v>
      </c>
      <c r="B1354" s="14" t="s">
        <v>966</v>
      </c>
      <c r="C1354" s="15" t="s">
        <v>72</v>
      </c>
      <c r="D1354" s="16"/>
      <c r="E1354" s="2">
        <v>20549606.27</v>
      </c>
      <c r="F1354" s="23">
        <v>0.66929227350106302</v>
      </c>
      <c r="G1354" s="26">
        <f t="shared" si="21"/>
        <v>13753692.699999999</v>
      </c>
      <c r="H1354" t="s">
        <v>68</v>
      </c>
    </row>
    <row r="1355" spans="1:9" hidden="1">
      <c r="A1355" s="17" t="s">
        <v>965</v>
      </c>
      <c r="B1355" s="18" t="s">
        <v>966</v>
      </c>
      <c r="C1355" s="19" t="s">
        <v>73</v>
      </c>
      <c r="D1355" s="20"/>
      <c r="E1355" s="3">
        <v>20549606.27</v>
      </c>
      <c r="F1355" s="24">
        <v>0.28620591133106904</v>
      </c>
      <c r="G1355" s="26">
        <f t="shared" si="21"/>
        <v>5881418.79</v>
      </c>
      <c r="H1355" t="s">
        <v>68</v>
      </c>
    </row>
    <row r="1356" spans="1:9" hidden="1">
      <c r="A1356" s="15" t="s">
        <v>965</v>
      </c>
      <c r="B1356" s="16" t="s">
        <v>966</v>
      </c>
      <c r="C1356" s="15" t="s">
        <v>74</v>
      </c>
      <c r="D1356" s="16"/>
      <c r="E1356" s="2">
        <v>20549606.27</v>
      </c>
      <c r="F1356" s="23">
        <v>4.4501815167867935E-2</v>
      </c>
      <c r="G1356" s="26">
        <f t="shared" si="21"/>
        <v>914494.78</v>
      </c>
      <c r="H1356" t="s">
        <v>68</v>
      </c>
    </row>
    <row r="1357" spans="1:9" hidden="1">
      <c r="A1357" s="17" t="s">
        <v>967</v>
      </c>
      <c r="B1357" s="21" t="s">
        <v>968</v>
      </c>
      <c r="C1357" s="19" t="s">
        <v>72</v>
      </c>
      <c r="D1357" s="20"/>
      <c r="E1357" s="3">
        <v>107130035.59</v>
      </c>
      <c r="F1357" s="24">
        <v>0.82432626054539704</v>
      </c>
      <c r="G1357" s="26">
        <f t="shared" si="21"/>
        <v>88310101.629999995</v>
      </c>
      <c r="H1357" t="s">
        <v>68</v>
      </c>
    </row>
    <row r="1358" spans="1:9" hidden="1">
      <c r="A1358" s="13" t="s">
        <v>967</v>
      </c>
      <c r="B1358" s="22" t="s">
        <v>968</v>
      </c>
      <c r="C1358" s="15" t="s">
        <v>73</v>
      </c>
      <c r="D1358" s="16"/>
      <c r="E1358" s="2">
        <v>107130035.59</v>
      </c>
      <c r="F1358" s="23">
        <v>0.14770319409356222</v>
      </c>
      <c r="G1358" s="26">
        <f t="shared" si="21"/>
        <v>15823448.439999999</v>
      </c>
      <c r="H1358" t="s">
        <v>68</v>
      </c>
    </row>
    <row r="1359" spans="1:9" hidden="1">
      <c r="A1359" s="19" t="s">
        <v>967</v>
      </c>
      <c r="B1359" s="20" t="s">
        <v>968</v>
      </c>
      <c r="C1359" s="19" t="s">
        <v>74</v>
      </c>
      <c r="D1359" s="20"/>
      <c r="E1359" s="3">
        <v>107130035.59</v>
      </c>
      <c r="F1359" s="24">
        <v>2.7970545361040704E-2</v>
      </c>
      <c r="G1359" s="26">
        <f t="shared" si="21"/>
        <v>2996485.52</v>
      </c>
      <c r="H1359" t="s">
        <v>68</v>
      </c>
    </row>
    <row r="1360" spans="1:9" hidden="1">
      <c r="A1360" s="13" t="s">
        <v>969</v>
      </c>
      <c r="B1360" s="14" t="s">
        <v>970</v>
      </c>
      <c r="C1360" s="15" t="s">
        <v>72</v>
      </c>
      <c r="D1360" s="16"/>
      <c r="E1360" s="2">
        <v>15032213.439999999</v>
      </c>
      <c r="F1360" s="23">
        <v>0.47637346080684712</v>
      </c>
      <c r="G1360" s="26">
        <f t="shared" si="21"/>
        <v>7160947.54</v>
      </c>
      <c r="H1360" t="s">
        <v>68</v>
      </c>
    </row>
    <row r="1361" spans="1:9" hidden="1">
      <c r="A1361" s="17" t="s">
        <v>969</v>
      </c>
      <c r="B1361" s="18" t="s">
        <v>970</v>
      </c>
      <c r="C1361" s="19" t="s">
        <v>73</v>
      </c>
      <c r="D1361" s="20"/>
      <c r="E1361" s="3">
        <v>15032213.439999999</v>
      </c>
      <c r="F1361" s="24">
        <v>0.46784201994407021</v>
      </c>
      <c r="G1361" s="26">
        <f t="shared" si="21"/>
        <v>7032701.0999999996</v>
      </c>
      <c r="H1361" t="s">
        <v>68</v>
      </c>
    </row>
    <row r="1362" spans="1:9" hidden="1">
      <c r="A1362" s="15" t="s">
        <v>969</v>
      </c>
      <c r="B1362" s="16" t="s">
        <v>970</v>
      </c>
      <c r="C1362" s="15" t="s">
        <v>74</v>
      </c>
      <c r="D1362" s="16"/>
      <c r="E1362" s="2">
        <v>15032213.439999999</v>
      </c>
      <c r="F1362" s="23">
        <v>5.5784519249082724E-2</v>
      </c>
      <c r="G1362" s="26">
        <f t="shared" si="21"/>
        <v>838564.8</v>
      </c>
      <c r="H1362" t="s">
        <v>68</v>
      </c>
    </row>
    <row r="1363" spans="1:9" hidden="1">
      <c r="A1363" s="17" t="s">
        <v>971</v>
      </c>
      <c r="B1363" s="21" t="s">
        <v>972</v>
      </c>
      <c r="C1363" s="19" t="s">
        <v>72</v>
      </c>
      <c r="D1363" s="20"/>
      <c r="E1363" s="3">
        <v>1030447.52</v>
      </c>
      <c r="F1363" s="24">
        <v>0.86548988928616177</v>
      </c>
      <c r="G1363" s="26">
        <f t="shared" si="21"/>
        <v>891841.91</v>
      </c>
      <c r="H1363" t="s">
        <v>68</v>
      </c>
    </row>
    <row r="1364" spans="1:9" hidden="1">
      <c r="A1364" s="13" t="s">
        <v>971</v>
      </c>
      <c r="B1364" s="22" t="s">
        <v>972</v>
      </c>
      <c r="C1364" s="15" t="s">
        <v>73</v>
      </c>
      <c r="D1364" s="16"/>
      <c r="E1364" s="2">
        <v>1030447.52</v>
      </c>
      <c r="F1364" s="23">
        <v>0.1136889824335741</v>
      </c>
      <c r="G1364" s="26">
        <f t="shared" si="21"/>
        <v>117150.53</v>
      </c>
      <c r="H1364" t="s">
        <v>68</v>
      </c>
    </row>
    <row r="1365" spans="1:9" hidden="1">
      <c r="A1365" s="19" t="s">
        <v>971</v>
      </c>
      <c r="B1365" s="20" t="s">
        <v>972</v>
      </c>
      <c r="C1365" s="19" t="s">
        <v>74</v>
      </c>
      <c r="D1365" s="20"/>
      <c r="E1365" s="3">
        <v>1030447.52</v>
      </c>
      <c r="F1365" s="24">
        <v>2.0821128280264094E-2</v>
      </c>
      <c r="G1365" s="26">
        <f t="shared" si="21"/>
        <v>21455.08</v>
      </c>
      <c r="H1365" t="s">
        <v>68</v>
      </c>
    </row>
    <row r="1366" spans="1:9" hidden="1">
      <c r="A1366" s="13" t="s">
        <v>973</v>
      </c>
      <c r="B1366" s="14" t="s">
        <v>974</v>
      </c>
      <c r="C1366" s="15" t="s">
        <v>72</v>
      </c>
      <c r="D1366" s="16"/>
      <c r="E1366" s="2">
        <v>11736559.310000001</v>
      </c>
      <c r="F1366" s="23">
        <v>0.48160475576380823</v>
      </c>
      <c r="G1366" s="26">
        <f t="shared" si="21"/>
        <v>5652382.7800000003</v>
      </c>
      <c r="H1366" t="s">
        <v>68</v>
      </c>
    </row>
    <row r="1367" spans="1:9" hidden="1">
      <c r="A1367" s="17" t="s">
        <v>973</v>
      </c>
      <c r="B1367" s="18" t="s">
        <v>974</v>
      </c>
      <c r="C1367" s="19" t="s">
        <v>73</v>
      </c>
      <c r="D1367" s="20"/>
      <c r="E1367" s="3">
        <v>11736559.310000001</v>
      </c>
      <c r="F1367" s="24">
        <v>0.47728283068677302</v>
      </c>
      <c r="G1367" s="26">
        <f t="shared" si="21"/>
        <v>5601658.25</v>
      </c>
      <c r="H1367" t="s">
        <v>68</v>
      </c>
    </row>
    <row r="1368" spans="1:9" hidden="1">
      <c r="A1368" s="15" t="s">
        <v>973</v>
      </c>
      <c r="B1368" s="16" t="s">
        <v>974</v>
      </c>
      <c r="C1368" s="15" t="s">
        <v>74</v>
      </c>
      <c r="D1368" s="16"/>
      <c r="E1368" s="2">
        <v>11736559.310000001</v>
      </c>
      <c r="F1368" s="23">
        <v>4.1112413549418685E-2</v>
      </c>
      <c r="G1368" s="26">
        <f t="shared" si="21"/>
        <v>482518.28</v>
      </c>
      <c r="H1368" t="s">
        <v>68</v>
      </c>
    </row>
    <row r="1369" spans="1:9" hidden="1">
      <c r="A1369" s="17" t="s">
        <v>975</v>
      </c>
      <c r="B1369" s="21" t="s">
        <v>976</v>
      </c>
      <c r="C1369" s="19" t="s">
        <v>72</v>
      </c>
      <c r="D1369" s="20"/>
      <c r="E1369" s="3">
        <v>20539749.489999998</v>
      </c>
      <c r="F1369" s="24">
        <v>0.66770288784081966</v>
      </c>
      <c r="G1369" s="26">
        <f t="shared" si="21"/>
        <v>13714450.050000003</v>
      </c>
      <c r="H1369" t="s">
        <v>68</v>
      </c>
    </row>
    <row r="1370" spans="1:9" hidden="1">
      <c r="A1370" s="13" t="s">
        <v>975</v>
      </c>
      <c r="B1370" s="22" t="s">
        <v>976</v>
      </c>
      <c r="C1370" s="15" t="s">
        <v>73</v>
      </c>
      <c r="D1370" s="16"/>
      <c r="E1370" s="2">
        <v>20539749.489999998</v>
      </c>
      <c r="F1370" s="23">
        <v>0.28877231744660387</v>
      </c>
      <c r="G1370" s="26">
        <f t="shared" si="21"/>
        <v>5931311.0599999996</v>
      </c>
      <c r="H1370" t="s">
        <v>68</v>
      </c>
    </row>
    <row r="1371" spans="1:9" hidden="1">
      <c r="A1371" s="19" t="s">
        <v>975</v>
      </c>
      <c r="B1371" s="20" t="s">
        <v>976</v>
      </c>
      <c r="C1371" s="19" t="s">
        <v>74</v>
      </c>
      <c r="D1371" s="20"/>
      <c r="E1371" s="3">
        <v>20539749.489999998</v>
      </c>
      <c r="F1371" s="24">
        <v>4.3524794712576607E-2</v>
      </c>
      <c r="G1371" s="26">
        <f t="shared" si="21"/>
        <v>893988.38</v>
      </c>
      <c r="H1371" t="s">
        <v>68</v>
      </c>
    </row>
    <row r="1372" spans="1:9" hidden="1">
      <c r="A1372" s="13" t="s">
        <v>977</v>
      </c>
      <c r="B1372" s="14" t="s">
        <v>978</v>
      </c>
      <c r="C1372" s="15" t="s">
        <v>72</v>
      </c>
      <c r="D1372" s="16"/>
      <c r="E1372" s="2">
        <v>24822914.199999999</v>
      </c>
      <c r="F1372" s="23">
        <v>0.67197410648907618</v>
      </c>
      <c r="G1372" s="26">
        <f t="shared" si="21"/>
        <v>16680355.590000002</v>
      </c>
      <c r="H1372" t="s">
        <v>68</v>
      </c>
    </row>
    <row r="1373" spans="1:9" hidden="1">
      <c r="A1373" s="17" t="s">
        <v>977</v>
      </c>
      <c r="B1373" s="18" t="s">
        <v>978</v>
      </c>
      <c r="C1373" s="19" t="s">
        <v>73</v>
      </c>
      <c r="D1373" s="20"/>
      <c r="E1373" s="3">
        <v>24822914.199999999</v>
      </c>
      <c r="F1373" s="24">
        <v>0.28007875763434736</v>
      </c>
      <c r="G1373" s="26">
        <f t="shared" si="21"/>
        <v>6952370.9699999997</v>
      </c>
      <c r="H1373" t="s">
        <v>68</v>
      </c>
    </row>
    <row r="1374" spans="1:9" hidden="1">
      <c r="A1374" s="15" t="s">
        <v>977</v>
      </c>
      <c r="B1374" s="16" t="s">
        <v>978</v>
      </c>
      <c r="C1374" s="15" t="s">
        <v>74</v>
      </c>
      <c r="D1374" s="16"/>
      <c r="E1374" s="2">
        <v>24822914.199999999</v>
      </c>
      <c r="F1374" s="23">
        <v>4.7947135876576487E-2</v>
      </c>
      <c r="G1374" s="26">
        <f t="shared" si="21"/>
        <v>1190187.6399999999</v>
      </c>
      <c r="H1374" t="s">
        <v>68</v>
      </c>
    </row>
    <row r="1375" spans="1:9" hidden="1">
      <c r="A1375" s="17" t="s">
        <v>979</v>
      </c>
      <c r="B1375" s="21" t="s">
        <v>980</v>
      </c>
      <c r="C1375" s="19" t="s">
        <v>72</v>
      </c>
      <c r="D1375" s="20"/>
      <c r="E1375" s="3">
        <v>7686668.3399999999</v>
      </c>
      <c r="F1375" s="24">
        <v>0.82675546529434363</v>
      </c>
      <c r="G1375" s="26">
        <f t="shared" si="21"/>
        <v>6354995.0599999996</v>
      </c>
      <c r="H1375" t="s">
        <v>68</v>
      </c>
      <c r="I1375" t="s">
        <v>1883</v>
      </c>
    </row>
    <row r="1376" spans="1:9" hidden="1">
      <c r="A1376" s="13" t="s">
        <v>979</v>
      </c>
      <c r="B1376" s="22" t="s">
        <v>980</v>
      </c>
      <c r="C1376" s="15" t="s">
        <v>73</v>
      </c>
      <c r="D1376" s="16"/>
      <c r="E1376" s="2">
        <v>7686668.3399999999</v>
      </c>
      <c r="F1376" s="23">
        <v>0.16770269809767804</v>
      </c>
      <c r="G1376" s="26">
        <f t="shared" si="21"/>
        <v>1289075.02</v>
      </c>
      <c r="H1376" t="s">
        <v>68</v>
      </c>
      <c r="I1376" t="s">
        <v>1883</v>
      </c>
    </row>
    <row r="1377" spans="1:13" hidden="1">
      <c r="A1377" s="19" t="s">
        <v>979</v>
      </c>
      <c r="B1377" s="20" t="s">
        <v>980</v>
      </c>
      <c r="C1377" s="19" t="s">
        <v>74</v>
      </c>
      <c r="D1377" s="20"/>
      <c r="E1377" s="3">
        <v>7686668.3399999999</v>
      </c>
      <c r="F1377" s="24">
        <v>5.5418366079783279E-3</v>
      </c>
      <c r="G1377" s="26">
        <f t="shared" si="21"/>
        <v>42598.26</v>
      </c>
      <c r="H1377" t="s">
        <v>68</v>
      </c>
      <c r="I1377" t="s">
        <v>1883</v>
      </c>
    </row>
    <row r="1378" spans="1:13" hidden="1">
      <c r="A1378" s="13" t="s">
        <v>981</v>
      </c>
      <c r="B1378" s="14" t="s">
        <v>982</v>
      </c>
      <c r="C1378" s="15" t="s">
        <v>72</v>
      </c>
      <c r="D1378" s="16"/>
      <c r="E1378" s="2">
        <v>13539723.18</v>
      </c>
      <c r="F1378" s="23">
        <v>0.23526263333841663</v>
      </c>
      <c r="G1378" s="26">
        <f t="shared" si="21"/>
        <v>3185390.93</v>
      </c>
      <c r="H1378" t="s">
        <v>68</v>
      </c>
    </row>
    <row r="1379" spans="1:13" hidden="1">
      <c r="A1379" s="17" t="s">
        <v>981</v>
      </c>
      <c r="B1379" s="18" t="s">
        <v>982</v>
      </c>
      <c r="C1379" s="19" t="s">
        <v>73</v>
      </c>
      <c r="D1379" s="20"/>
      <c r="E1379" s="3">
        <v>13539723.18</v>
      </c>
      <c r="F1379" s="24">
        <v>0.6942127224494703</v>
      </c>
      <c r="G1379" s="26">
        <f t="shared" si="21"/>
        <v>9399448.0899999999</v>
      </c>
      <c r="H1379" s="41" t="s">
        <v>68</v>
      </c>
      <c r="M1379" s="34"/>
    </row>
    <row r="1380" spans="1:13" hidden="1">
      <c r="A1380" s="15" t="s">
        <v>981</v>
      </c>
      <c r="B1380" s="16" t="s">
        <v>982</v>
      </c>
      <c r="C1380" s="15" t="s">
        <v>74</v>
      </c>
      <c r="D1380" s="16"/>
      <c r="E1380" s="2">
        <v>13539723.18</v>
      </c>
      <c r="F1380" s="23">
        <v>7.0524644212113061E-2</v>
      </c>
      <c r="G1380" s="26">
        <f t="shared" si="21"/>
        <v>954884.16</v>
      </c>
      <c r="H1380" s="41" t="s">
        <v>68</v>
      </c>
    </row>
    <row r="1381" spans="1:13" hidden="1">
      <c r="A1381" s="17" t="s">
        <v>983</v>
      </c>
      <c r="B1381" s="21" t="s">
        <v>984</v>
      </c>
      <c r="C1381" s="19" t="s">
        <v>72</v>
      </c>
      <c r="D1381" s="20"/>
      <c r="E1381" s="3">
        <v>8450602.2300000004</v>
      </c>
      <c r="F1381" s="24">
        <v>0.47814900287881607</v>
      </c>
      <c r="G1381" s="26">
        <f t="shared" si="21"/>
        <v>4040647.03</v>
      </c>
      <c r="H1381" t="s">
        <v>68</v>
      </c>
    </row>
    <row r="1382" spans="1:13" hidden="1">
      <c r="A1382" s="13" t="s">
        <v>983</v>
      </c>
      <c r="B1382" s="22" t="s">
        <v>984</v>
      </c>
      <c r="C1382" s="15" t="s">
        <v>73</v>
      </c>
      <c r="D1382" s="16"/>
      <c r="E1382" s="2">
        <v>8450602.2300000004</v>
      </c>
      <c r="F1382" s="23">
        <v>0.4589334694078957</v>
      </c>
      <c r="G1382" s="26">
        <f t="shared" si="21"/>
        <v>3878264.2</v>
      </c>
      <c r="H1382" t="s">
        <v>68</v>
      </c>
    </row>
    <row r="1383" spans="1:13" hidden="1">
      <c r="A1383" s="19" t="s">
        <v>983</v>
      </c>
      <c r="B1383" s="20" t="s">
        <v>984</v>
      </c>
      <c r="C1383" s="19" t="s">
        <v>74</v>
      </c>
      <c r="D1383" s="20"/>
      <c r="E1383" s="3">
        <v>8450602.2300000004</v>
      </c>
      <c r="F1383" s="24">
        <v>6.2917527713288193E-2</v>
      </c>
      <c r="G1383" s="26">
        <f t="shared" si="21"/>
        <v>531691</v>
      </c>
      <c r="H1383" t="s">
        <v>68</v>
      </c>
    </row>
    <row r="1384" spans="1:13" hidden="1">
      <c r="A1384" s="13" t="s">
        <v>985</v>
      </c>
      <c r="B1384" s="14" t="s">
        <v>986</v>
      </c>
      <c r="C1384" s="15" t="s">
        <v>72</v>
      </c>
      <c r="D1384" s="16"/>
      <c r="E1384" s="2">
        <v>12598762.699999999</v>
      </c>
      <c r="F1384" s="23">
        <v>0.65387904956730403</v>
      </c>
      <c r="G1384" s="26">
        <f t="shared" si="21"/>
        <v>8238066.9800000004</v>
      </c>
      <c r="H1384" t="s">
        <v>68</v>
      </c>
    </row>
    <row r="1385" spans="1:13" hidden="1">
      <c r="A1385" s="17" t="s">
        <v>985</v>
      </c>
      <c r="B1385" s="18" t="s">
        <v>986</v>
      </c>
      <c r="C1385" s="19" t="s">
        <v>73</v>
      </c>
      <c r="D1385" s="20"/>
      <c r="E1385" s="3">
        <v>12598762.699999999</v>
      </c>
      <c r="F1385" s="24">
        <v>0.31003533466028377</v>
      </c>
      <c r="G1385" s="26">
        <f t="shared" si="21"/>
        <v>3906061.61</v>
      </c>
      <c r="H1385" t="s">
        <v>68</v>
      </c>
    </row>
    <row r="1386" spans="1:13" hidden="1">
      <c r="A1386" s="15" t="s">
        <v>985</v>
      </c>
      <c r="B1386" s="16" t="s">
        <v>986</v>
      </c>
      <c r="C1386" s="15" t="s">
        <v>74</v>
      </c>
      <c r="D1386" s="16"/>
      <c r="E1386" s="2">
        <v>12598762.699999999</v>
      </c>
      <c r="F1386" s="23">
        <v>3.6085615772412316E-2</v>
      </c>
      <c r="G1386" s="26">
        <f t="shared" si="21"/>
        <v>454634.10999999993</v>
      </c>
      <c r="H1386" t="s">
        <v>68</v>
      </c>
    </row>
    <row r="1387" spans="1:13" hidden="1">
      <c r="A1387" s="17" t="s">
        <v>987</v>
      </c>
      <c r="B1387" s="21" t="s">
        <v>988</v>
      </c>
      <c r="C1387" s="19" t="s">
        <v>72</v>
      </c>
      <c r="D1387" s="20"/>
      <c r="E1387" s="3">
        <v>16777740.350000001</v>
      </c>
      <c r="F1387" s="24">
        <v>0.4308387946890595</v>
      </c>
      <c r="G1387" s="26">
        <f t="shared" si="21"/>
        <v>7228501.4299999997</v>
      </c>
      <c r="H1387" t="s">
        <v>68</v>
      </c>
    </row>
    <row r="1388" spans="1:13" hidden="1">
      <c r="A1388" s="13" t="s">
        <v>987</v>
      </c>
      <c r="B1388" s="22" t="s">
        <v>988</v>
      </c>
      <c r="C1388" s="15" t="s">
        <v>73</v>
      </c>
      <c r="D1388" s="16"/>
      <c r="E1388" s="2">
        <v>16777740.350000001</v>
      </c>
      <c r="F1388" s="23">
        <v>0.52001124990589087</v>
      </c>
      <c r="G1388" s="26">
        <f t="shared" si="21"/>
        <v>8724613.7300000004</v>
      </c>
      <c r="H1388" t="s">
        <v>68</v>
      </c>
    </row>
    <row r="1389" spans="1:13" hidden="1">
      <c r="A1389" s="19" t="s">
        <v>987</v>
      </c>
      <c r="B1389" s="20" t="s">
        <v>988</v>
      </c>
      <c r="C1389" s="19" t="s">
        <v>74</v>
      </c>
      <c r="D1389" s="20"/>
      <c r="E1389" s="3">
        <v>16777740.350000001</v>
      </c>
      <c r="F1389" s="24">
        <v>4.9149955405049517E-2</v>
      </c>
      <c r="G1389" s="26">
        <f t="shared" si="21"/>
        <v>824625.19</v>
      </c>
      <c r="H1389" t="s">
        <v>68</v>
      </c>
    </row>
    <row r="1390" spans="1:13" hidden="1">
      <c r="A1390" s="13" t="s">
        <v>989</v>
      </c>
      <c r="B1390" s="14" t="s">
        <v>990</v>
      </c>
      <c r="C1390" s="15" t="s">
        <v>72</v>
      </c>
      <c r="D1390" s="16"/>
      <c r="E1390" s="2">
        <v>12283381.609999999</v>
      </c>
      <c r="F1390" s="23">
        <v>0.47489617804034023</v>
      </c>
      <c r="G1390" s="26">
        <f t="shared" si="21"/>
        <v>5833330.9800000004</v>
      </c>
      <c r="H1390" t="s">
        <v>68</v>
      </c>
    </row>
    <row r="1391" spans="1:13" hidden="1">
      <c r="A1391" s="17" t="s">
        <v>989</v>
      </c>
      <c r="B1391" s="18" t="s">
        <v>990</v>
      </c>
      <c r="C1391" s="19" t="s">
        <v>73</v>
      </c>
      <c r="D1391" s="20"/>
      <c r="E1391" s="3">
        <v>12283381.609999999</v>
      </c>
      <c r="F1391" s="24">
        <v>0.47892511010247774</v>
      </c>
      <c r="G1391" s="26">
        <f t="shared" si="21"/>
        <v>5882819.8899999997</v>
      </c>
      <c r="H1391" t="s">
        <v>68</v>
      </c>
    </row>
    <row r="1392" spans="1:13" hidden="1">
      <c r="A1392" s="15" t="s">
        <v>989</v>
      </c>
      <c r="B1392" s="16" t="s">
        <v>990</v>
      </c>
      <c r="C1392" s="15" t="s">
        <v>74</v>
      </c>
      <c r="D1392" s="16"/>
      <c r="E1392" s="2">
        <v>12283381.609999999</v>
      </c>
      <c r="F1392" s="23">
        <v>4.6178711857182135E-2</v>
      </c>
      <c r="G1392" s="26">
        <f t="shared" si="21"/>
        <v>567230.74</v>
      </c>
      <c r="H1392" t="s">
        <v>68</v>
      </c>
    </row>
    <row r="1393" spans="1:8" hidden="1">
      <c r="A1393" s="17" t="s">
        <v>991</v>
      </c>
      <c r="B1393" s="21" t="s">
        <v>992</v>
      </c>
      <c r="C1393" s="19" t="s">
        <v>72</v>
      </c>
      <c r="D1393" s="20"/>
      <c r="E1393" s="3">
        <v>86067234.769999996</v>
      </c>
      <c r="F1393" s="24">
        <v>0.46521362301227798</v>
      </c>
      <c r="G1393" s="26">
        <f t="shared" si="21"/>
        <v>40039650.109999999</v>
      </c>
      <c r="H1393" t="s">
        <v>68</v>
      </c>
    </row>
    <row r="1394" spans="1:8" hidden="1">
      <c r="A1394" s="13" t="s">
        <v>991</v>
      </c>
      <c r="B1394" s="22" t="s">
        <v>992</v>
      </c>
      <c r="C1394" s="15" t="s">
        <v>73</v>
      </c>
      <c r="D1394" s="16"/>
      <c r="E1394" s="2">
        <v>86067234.769999996</v>
      </c>
      <c r="F1394" s="23">
        <v>0.50590521499102648</v>
      </c>
      <c r="G1394" s="26">
        <f t="shared" si="21"/>
        <v>43541862.909999996</v>
      </c>
      <c r="H1394" t="s">
        <v>68</v>
      </c>
    </row>
    <row r="1395" spans="1:8" hidden="1">
      <c r="A1395" s="19" t="s">
        <v>991</v>
      </c>
      <c r="B1395" s="20" t="s">
        <v>992</v>
      </c>
      <c r="C1395" s="19" t="s">
        <v>74</v>
      </c>
      <c r="D1395" s="20"/>
      <c r="E1395" s="3">
        <v>86067234.769999996</v>
      </c>
      <c r="F1395" s="24">
        <v>2.8881161996695576E-2</v>
      </c>
      <c r="G1395" s="26">
        <f t="shared" si="21"/>
        <v>2485721.75</v>
      </c>
      <c r="H1395" t="s">
        <v>68</v>
      </c>
    </row>
    <row r="1396" spans="1:8" hidden="1">
      <c r="A1396" s="13" t="s">
        <v>993</v>
      </c>
      <c r="B1396" s="14" t="s">
        <v>994</v>
      </c>
      <c r="C1396" s="15" t="s">
        <v>72</v>
      </c>
      <c r="D1396" s="16"/>
      <c r="E1396" s="2">
        <v>6410207.5199999996</v>
      </c>
      <c r="F1396" s="23">
        <v>0.66006919538854492</v>
      </c>
      <c r="G1396" s="26">
        <f t="shared" si="21"/>
        <v>4231180.5199999996</v>
      </c>
      <c r="H1396" t="s">
        <v>68</v>
      </c>
    </row>
    <row r="1397" spans="1:8" hidden="1">
      <c r="A1397" s="17" t="s">
        <v>993</v>
      </c>
      <c r="B1397" s="18" t="s">
        <v>994</v>
      </c>
      <c r="C1397" s="19" t="s">
        <v>73</v>
      </c>
      <c r="D1397" s="20"/>
      <c r="E1397" s="3">
        <v>6410207.5199999996</v>
      </c>
      <c r="F1397" s="24">
        <v>0.28191823655656001</v>
      </c>
      <c r="G1397" s="26">
        <f t="shared" si="21"/>
        <v>1807154.3999999997</v>
      </c>
      <c r="H1397" t="s">
        <v>68</v>
      </c>
    </row>
    <row r="1398" spans="1:8" hidden="1">
      <c r="A1398" s="15" t="s">
        <v>993</v>
      </c>
      <c r="B1398" s="16" t="s">
        <v>994</v>
      </c>
      <c r="C1398" s="15" t="s">
        <v>74</v>
      </c>
      <c r="D1398" s="16"/>
      <c r="E1398" s="2">
        <v>6410207.5199999996</v>
      </c>
      <c r="F1398" s="23">
        <v>5.8012568054895047E-2</v>
      </c>
      <c r="G1398" s="26">
        <f t="shared" si="21"/>
        <v>371872.6</v>
      </c>
      <c r="H1398" t="s">
        <v>68</v>
      </c>
    </row>
    <row r="1399" spans="1:8" hidden="1">
      <c r="A1399" s="17" t="s">
        <v>995</v>
      </c>
      <c r="B1399" s="21" t="s">
        <v>996</v>
      </c>
      <c r="C1399" s="19" t="s">
        <v>72</v>
      </c>
      <c r="D1399" s="20"/>
      <c r="E1399" s="3">
        <v>24081787.489999998</v>
      </c>
      <c r="F1399" s="24">
        <v>0.47003021867460226</v>
      </c>
      <c r="G1399" s="26">
        <f t="shared" si="21"/>
        <v>11319167.84</v>
      </c>
      <c r="H1399" t="s">
        <v>68</v>
      </c>
    </row>
    <row r="1400" spans="1:8" hidden="1">
      <c r="A1400" s="13" t="s">
        <v>995</v>
      </c>
      <c r="B1400" s="22" t="s">
        <v>996</v>
      </c>
      <c r="C1400" s="15" t="s">
        <v>73</v>
      </c>
      <c r="D1400" s="16"/>
      <c r="E1400" s="2">
        <v>24081787.489999998</v>
      </c>
      <c r="F1400" s="23">
        <v>0.47384370552802352</v>
      </c>
      <c r="G1400" s="26">
        <f t="shared" si="21"/>
        <v>11411003.42</v>
      </c>
      <c r="H1400" t="s">
        <v>68</v>
      </c>
    </row>
    <row r="1401" spans="1:8" hidden="1">
      <c r="A1401" s="19" t="s">
        <v>995</v>
      </c>
      <c r="B1401" s="20" t="s">
        <v>996</v>
      </c>
      <c r="C1401" s="19" t="s">
        <v>74</v>
      </c>
      <c r="D1401" s="20"/>
      <c r="E1401" s="3">
        <v>24081787.489999998</v>
      </c>
      <c r="F1401" s="24">
        <v>5.6126075797374296E-2</v>
      </c>
      <c r="G1401" s="26">
        <f t="shared" si="21"/>
        <v>1351616.23</v>
      </c>
      <c r="H1401" t="s">
        <v>68</v>
      </c>
    </row>
    <row r="1402" spans="1:8" hidden="1">
      <c r="A1402" s="13" t="s">
        <v>997</v>
      </c>
      <c r="B1402" s="14" t="s">
        <v>998</v>
      </c>
      <c r="C1402" s="15" t="s">
        <v>72</v>
      </c>
      <c r="D1402" s="16"/>
      <c r="E1402" s="2">
        <v>39804850.399999999</v>
      </c>
      <c r="F1402" s="23">
        <v>0.54276824263607837</v>
      </c>
      <c r="G1402" s="26">
        <f t="shared" si="21"/>
        <v>21604808.699999999</v>
      </c>
      <c r="H1402" t="s">
        <v>68</v>
      </c>
    </row>
    <row r="1403" spans="1:8" hidden="1">
      <c r="A1403" s="17" t="s">
        <v>997</v>
      </c>
      <c r="B1403" s="18" t="s">
        <v>998</v>
      </c>
      <c r="C1403" s="19" t="s">
        <v>73</v>
      </c>
      <c r="D1403" s="20"/>
      <c r="E1403" s="3">
        <v>39804850.399999999</v>
      </c>
      <c r="F1403" s="24">
        <v>0.24090572615240882</v>
      </c>
      <c r="G1403" s="26">
        <f t="shared" si="21"/>
        <v>9589216.3900000006</v>
      </c>
      <c r="H1403" t="s">
        <v>68</v>
      </c>
    </row>
    <row r="1404" spans="1:8" hidden="1">
      <c r="A1404" s="15" t="s">
        <v>997</v>
      </c>
      <c r="B1404" s="16" t="s">
        <v>998</v>
      </c>
      <c r="C1404" s="15" t="s">
        <v>74</v>
      </c>
      <c r="D1404" s="16"/>
      <c r="E1404" s="2">
        <v>39804850.399999999</v>
      </c>
      <c r="F1404" s="23">
        <v>0.21632603121151286</v>
      </c>
      <c r="G1404" s="26">
        <f t="shared" si="21"/>
        <v>8610825.3100000005</v>
      </c>
      <c r="H1404" t="s">
        <v>68</v>
      </c>
    </row>
    <row r="1405" spans="1:8" hidden="1">
      <c r="A1405" s="17" t="s">
        <v>999</v>
      </c>
      <c r="B1405" s="21" t="s">
        <v>1000</v>
      </c>
      <c r="C1405" s="19" t="s">
        <v>72</v>
      </c>
      <c r="D1405" s="20"/>
      <c r="E1405" s="3">
        <v>27123735.449999999</v>
      </c>
      <c r="F1405" s="24">
        <v>0.50377038904499416</v>
      </c>
      <c r="G1405" s="26">
        <f t="shared" si="21"/>
        <v>13664134.76</v>
      </c>
      <c r="H1405" t="s">
        <v>68</v>
      </c>
    </row>
    <row r="1406" spans="1:8" hidden="1">
      <c r="A1406" s="13" t="s">
        <v>999</v>
      </c>
      <c r="B1406" s="22" t="s">
        <v>1000</v>
      </c>
      <c r="C1406" s="15" t="s">
        <v>73</v>
      </c>
      <c r="D1406" s="16"/>
      <c r="E1406" s="2">
        <v>27123735.449999999</v>
      </c>
      <c r="F1406" s="23">
        <v>0.45148157754945217</v>
      </c>
      <c r="G1406" s="26">
        <f t="shared" si="21"/>
        <v>12245866.869999999</v>
      </c>
      <c r="H1406" t="s">
        <v>68</v>
      </c>
    </row>
    <row r="1407" spans="1:8" hidden="1">
      <c r="A1407" s="19" t="s">
        <v>999</v>
      </c>
      <c r="B1407" s="20" t="s">
        <v>1000</v>
      </c>
      <c r="C1407" s="19" t="s">
        <v>74</v>
      </c>
      <c r="D1407" s="20"/>
      <c r="E1407" s="3">
        <v>27123735.449999999</v>
      </c>
      <c r="F1407" s="24">
        <v>4.474803340555366E-2</v>
      </c>
      <c r="G1407" s="26">
        <f t="shared" si="21"/>
        <v>1213733.82</v>
      </c>
      <c r="H1407" t="s">
        <v>68</v>
      </c>
    </row>
    <row r="1408" spans="1:8" hidden="1">
      <c r="A1408" s="13" t="s">
        <v>1001</v>
      </c>
      <c r="B1408" s="14" t="s">
        <v>1002</v>
      </c>
      <c r="C1408" s="15" t="s">
        <v>72</v>
      </c>
      <c r="D1408" s="16"/>
      <c r="E1408" s="2">
        <v>23564123.59</v>
      </c>
      <c r="F1408" s="23">
        <v>0.31884609123287999</v>
      </c>
      <c r="G1408" s="26">
        <f t="shared" si="21"/>
        <v>7513328.6999999993</v>
      </c>
      <c r="H1408" t="s">
        <v>68</v>
      </c>
    </row>
    <row r="1409" spans="1:8" hidden="1">
      <c r="A1409" s="17" t="s">
        <v>1001</v>
      </c>
      <c r="B1409" s="18" t="s">
        <v>1002</v>
      </c>
      <c r="C1409" s="19" t="s">
        <v>73</v>
      </c>
      <c r="D1409" s="20"/>
      <c r="E1409" s="3">
        <v>23564123.59</v>
      </c>
      <c r="F1409" s="24">
        <v>0.60435931239316676</v>
      </c>
      <c r="G1409" s="26">
        <f t="shared" si="21"/>
        <v>14241197.529999999</v>
      </c>
      <c r="H1409" t="s">
        <v>68</v>
      </c>
    </row>
    <row r="1410" spans="1:8" hidden="1">
      <c r="A1410" s="15" t="s">
        <v>1001</v>
      </c>
      <c r="B1410" s="16" t="s">
        <v>1002</v>
      </c>
      <c r="C1410" s="15" t="s">
        <v>74</v>
      </c>
      <c r="D1410" s="16"/>
      <c r="E1410" s="2">
        <v>23564123.59</v>
      </c>
      <c r="F1410" s="23">
        <v>7.679459637395325E-2</v>
      </c>
      <c r="G1410" s="26">
        <f t="shared" si="21"/>
        <v>1809597.3600000003</v>
      </c>
      <c r="H1410" t="s">
        <v>68</v>
      </c>
    </row>
    <row r="1411" spans="1:8" hidden="1">
      <c r="A1411" s="17" t="s">
        <v>1003</v>
      </c>
      <c r="B1411" s="21" t="s">
        <v>1004</v>
      </c>
      <c r="C1411" s="19" t="s">
        <v>72</v>
      </c>
      <c r="D1411" s="20"/>
      <c r="E1411" s="3">
        <v>70171234.180000007</v>
      </c>
      <c r="F1411" s="24">
        <v>0.71445082997113674</v>
      </c>
      <c r="G1411" s="26">
        <f t="shared" si="21"/>
        <v>50133896.5</v>
      </c>
      <c r="H1411" t="s">
        <v>68</v>
      </c>
    </row>
    <row r="1412" spans="1:8" hidden="1">
      <c r="A1412" s="13" t="s">
        <v>1003</v>
      </c>
      <c r="B1412" s="22" t="s">
        <v>1004</v>
      </c>
      <c r="C1412" s="15" t="s">
        <v>73</v>
      </c>
      <c r="D1412" s="16"/>
      <c r="E1412" s="2">
        <v>70171234.180000007</v>
      </c>
      <c r="F1412" s="23">
        <v>0.24546713395144101</v>
      </c>
      <c r="G1412" s="26">
        <f t="shared" si="21"/>
        <v>17224731.739999998</v>
      </c>
      <c r="H1412" t="s">
        <v>68</v>
      </c>
    </row>
    <row r="1413" spans="1:8" hidden="1">
      <c r="A1413" s="19" t="s">
        <v>1003</v>
      </c>
      <c r="B1413" s="20" t="s">
        <v>1004</v>
      </c>
      <c r="C1413" s="19" t="s">
        <v>74</v>
      </c>
      <c r="D1413" s="20"/>
      <c r="E1413" s="3">
        <v>70171234.180000007</v>
      </c>
      <c r="F1413" s="24">
        <v>4.0082036077422167E-2</v>
      </c>
      <c r="G1413" s="26">
        <f t="shared" ref="G1413:G1476" si="22">F1413*E1413</f>
        <v>2812605.94</v>
      </c>
      <c r="H1413" t="s">
        <v>68</v>
      </c>
    </row>
    <row r="1414" spans="1:8" hidden="1">
      <c r="A1414" s="13" t="s">
        <v>1005</v>
      </c>
      <c r="B1414" s="14" t="s">
        <v>1231</v>
      </c>
      <c r="C1414" s="15" t="s">
        <v>72</v>
      </c>
      <c r="D1414" s="16"/>
      <c r="E1414" s="2">
        <v>53132811.259999998</v>
      </c>
      <c r="F1414" s="23">
        <v>0.47116008425562839</v>
      </c>
      <c r="G1414" s="26">
        <f t="shared" si="22"/>
        <v>25034059.829999998</v>
      </c>
      <c r="H1414" t="s">
        <v>68</v>
      </c>
    </row>
    <row r="1415" spans="1:8" hidden="1">
      <c r="A1415" s="17" t="s">
        <v>1005</v>
      </c>
      <c r="B1415" s="18" t="s">
        <v>1231</v>
      </c>
      <c r="C1415" s="19" t="s">
        <v>73</v>
      </c>
      <c r="D1415" s="20"/>
      <c r="E1415" s="3">
        <v>53132811.259999998</v>
      </c>
      <c r="F1415" s="24">
        <v>0.46535669586552192</v>
      </c>
      <c r="G1415" s="26">
        <f t="shared" si="22"/>
        <v>24725709.489999998</v>
      </c>
      <c r="H1415" t="s">
        <v>68</v>
      </c>
    </row>
    <row r="1416" spans="1:8" hidden="1">
      <c r="A1416" s="15" t="s">
        <v>1005</v>
      </c>
      <c r="B1416" s="16" t="s">
        <v>1231</v>
      </c>
      <c r="C1416" s="15" t="s">
        <v>74</v>
      </c>
      <c r="D1416" s="16"/>
      <c r="E1416" s="2">
        <v>53132811.259999998</v>
      </c>
      <c r="F1416" s="23">
        <v>6.3483219878849681E-2</v>
      </c>
      <c r="G1416" s="26">
        <f t="shared" si="22"/>
        <v>3373041.94</v>
      </c>
      <c r="H1416" t="s">
        <v>68</v>
      </c>
    </row>
    <row r="1417" spans="1:8" hidden="1">
      <c r="A1417" s="17" t="s">
        <v>1232</v>
      </c>
      <c r="B1417" s="21" t="s">
        <v>1233</v>
      </c>
      <c r="C1417" s="19" t="s">
        <v>72</v>
      </c>
      <c r="D1417" s="20"/>
      <c r="E1417" s="3">
        <v>39800276.240000002</v>
      </c>
      <c r="F1417" s="24">
        <v>0.84053908315285597</v>
      </c>
      <c r="G1417" s="26">
        <f t="shared" si="22"/>
        <v>33453687.699999999</v>
      </c>
      <c r="H1417" t="s">
        <v>68</v>
      </c>
    </row>
    <row r="1418" spans="1:8" hidden="1">
      <c r="A1418" s="13" t="s">
        <v>1232</v>
      </c>
      <c r="B1418" s="22" t="s">
        <v>1233</v>
      </c>
      <c r="C1418" s="15" t="s">
        <v>73</v>
      </c>
      <c r="D1418" s="16"/>
      <c r="E1418" s="2">
        <v>39800276.240000002</v>
      </c>
      <c r="F1418" s="23">
        <v>0.14165225954723171</v>
      </c>
      <c r="G1418" s="26">
        <f t="shared" si="22"/>
        <v>5637799.0599999996</v>
      </c>
      <c r="H1418" t="s">
        <v>68</v>
      </c>
    </row>
    <row r="1419" spans="1:8" hidden="1">
      <c r="A1419" s="19" t="s">
        <v>1232</v>
      </c>
      <c r="B1419" s="20" t="s">
        <v>1233</v>
      </c>
      <c r="C1419" s="19" t="s">
        <v>74</v>
      </c>
      <c r="D1419" s="20"/>
      <c r="E1419" s="3">
        <v>39800276.240000002</v>
      </c>
      <c r="F1419" s="24">
        <v>1.7808657299912246E-2</v>
      </c>
      <c r="G1419" s="26">
        <f t="shared" si="22"/>
        <v>708789.48</v>
      </c>
      <c r="H1419" t="s">
        <v>68</v>
      </c>
    </row>
    <row r="1420" spans="1:8" hidden="1">
      <c r="A1420" s="13" t="s">
        <v>1234</v>
      </c>
      <c r="B1420" s="14" t="s">
        <v>1235</v>
      </c>
      <c r="C1420" s="15" t="s">
        <v>72</v>
      </c>
      <c r="D1420" s="16"/>
      <c r="E1420" s="2">
        <v>55392180.079999998</v>
      </c>
      <c r="F1420" s="23">
        <v>0.42405480224962466</v>
      </c>
      <c r="G1420" s="26">
        <f t="shared" si="22"/>
        <v>23489319.969999999</v>
      </c>
      <c r="H1420" t="s">
        <v>68</v>
      </c>
    </row>
    <row r="1421" spans="1:8" hidden="1">
      <c r="A1421" s="17" t="s">
        <v>1234</v>
      </c>
      <c r="B1421" s="18" t="s">
        <v>1235</v>
      </c>
      <c r="C1421" s="19" t="s">
        <v>73</v>
      </c>
      <c r="D1421" s="20"/>
      <c r="E1421" s="3">
        <v>55392180.079999998</v>
      </c>
      <c r="F1421" s="24">
        <v>0.52442135980288718</v>
      </c>
      <c r="G1421" s="26">
        <f t="shared" si="22"/>
        <v>29048842.399999999</v>
      </c>
      <c r="H1421" t="s">
        <v>68</v>
      </c>
    </row>
    <row r="1422" spans="1:8" hidden="1">
      <c r="A1422" s="15" t="s">
        <v>1234</v>
      </c>
      <c r="B1422" s="16" t="s">
        <v>1235</v>
      </c>
      <c r="C1422" s="15" t="s">
        <v>74</v>
      </c>
      <c r="D1422" s="16"/>
      <c r="E1422" s="2">
        <v>55392180.079999998</v>
      </c>
      <c r="F1422" s="23">
        <v>5.1523837947488133E-2</v>
      </c>
      <c r="G1422" s="26">
        <f t="shared" si="22"/>
        <v>2854017.71</v>
      </c>
      <c r="H1422" t="s">
        <v>68</v>
      </c>
    </row>
    <row r="1423" spans="1:8" hidden="1">
      <c r="A1423" s="17" t="s">
        <v>1236</v>
      </c>
      <c r="B1423" s="21" t="s">
        <v>1237</v>
      </c>
      <c r="C1423" s="19" t="s">
        <v>72</v>
      </c>
      <c r="D1423" s="20"/>
      <c r="E1423" s="3">
        <v>146358873.93000001</v>
      </c>
      <c r="F1423" s="24">
        <v>0.63690565755912687</v>
      </c>
      <c r="G1423" s="26">
        <f t="shared" si="22"/>
        <v>93216794.840000004</v>
      </c>
      <c r="H1423" t="s">
        <v>68</v>
      </c>
    </row>
    <row r="1424" spans="1:8" hidden="1">
      <c r="A1424" s="13" t="s">
        <v>1236</v>
      </c>
      <c r="B1424" s="22" t="s">
        <v>1237</v>
      </c>
      <c r="C1424" s="15" t="s">
        <v>73</v>
      </c>
      <c r="D1424" s="16"/>
      <c r="E1424" s="2">
        <v>146358873.93000001</v>
      </c>
      <c r="F1424" s="23">
        <v>0.33135803315345991</v>
      </c>
      <c r="G1424" s="26">
        <f t="shared" si="22"/>
        <v>48497188.600000001</v>
      </c>
      <c r="H1424" t="s">
        <v>68</v>
      </c>
    </row>
    <row r="1425" spans="1:8" hidden="1">
      <c r="A1425" s="19" t="s">
        <v>1236</v>
      </c>
      <c r="B1425" s="20" t="s">
        <v>1237</v>
      </c>
      <c r="C1425" s="19" t="s">
        <v>74</v>
      </c>
      <c r="D1425" s="20"/>
      <c r="E1425" s="3">
        <v>146358873.93000001</v>
      </c>
      <c r="F1425" s="24">
        <v>3.1736309287413222E-2</v>
      </c>
      <c r="G1425" s="26">
        <f t="shared" si="22"/>
        <v>4644890.49</v>
      </c>
      <c r="H1425" t="s">
        <v>68</v>
      </c>
    </row>
    <row r="1426" spans="1:8" hidden="1">
      <c r="A1426" s="13" t="s">
        <v>1238</v>
      </c>
      <c r="B1426" s="14" t="s">
        <v>1239</v>
      </c>
      <c r="C1426" s="15" t="s">
        <v>72</v>
      </c>
      <c r="D1426" s="16"/>
      <c r="E1426" s="2">
        <v>139847960.08000001</v>
      </c>
      <c r="F1426" s="23">
        <v>0.78229397716932358</v>
      </c>
      <c r="G1426" s="26">
        <f t="shared" si="22"/>
        <v>109402216.89</v>
      </c>
      <c r="H1426" t="s">
        <v>68</v>
      </c>
    </row>
    <row r="1427" spans="1:8" hidden="1">
      <c r="A1427" s="17" t="s">
        <v>1238</v>
      </c>
      <c r="B1427" s="18" t="s">
        <v>1239</v>
      </c>
      <c r="C1427" s="19" t="s">
        <v>73</v>
      </c>
      <c r="D1427" s="20"/>
      <c r="E1427" s="3">
        <v>139847960.08000001</v>
      </c>
      <c r="F1427" s="24">
        <v>0.19119763495087225</v>
      </c>
      <c r="G1427" s="26">
        <f t="shared" si="22"/>
        <v>26738599.219999999</v>
      </c>
      <c r="H1427" t="s">
        <v>68</v>
      </c>
    </row>
    <row r="1428" spans="1:8" hidden="1">
      <c r="A1428" s="15" t="s">
        <v>1238</v>
      </c>
      <c r="B1428" s="16" t="s">
        <v>1239</v>
      </c>
      <c r="C1428" s="15" t="s">
        <v>74</v>
      </c>
      <c r="D1428" s="16"/>
      <c r="E1428" s="2">
        <v>139847960.08000001</v>
      </c>
      <c r="F1428" s="23">
        <v>2.6508387879804102E-2</v>
      </c>
      <c r="G1428" s="26">
        <f t="shared" si="22"/>
        <v>3707143.97</v>
      </c>
      <c r="H1428" t="s">
        <v>68</v>
      </c>
    </row>
    <row r="1429" spans="1:8" hidden="1">
      <c r="A1429" s="17" t="s">
        <v>1240</v>
      </c>
      <c r="B1429" s="21" t="s">
        <v>1241</v>
      </c>
      <c r="C1429" s="19" t="s">
        <v>72</v>
      </c>
      <c r="D1429" s="20"/>
      <c r="E1429" s="3">
        <v>12695760.550000001</v>
      </c>
      <c r="F1429" s="24">
        <v>0.62052039174604623</v>
      </c>
      <c r="G1429" s="26">
        <f t="shared" si="22"/>
        <v>7877978.3099999996</v>
      </c>
      <c r="H1429" t="s">
        <v>68</v>
      </c>
    </row>
    <row r="1430" spans="1:8" hidden="1">
      <c r="A1430" s="13" t="s">
        <v>1240</v>
      </c>
      <c r="B1430" s="22" t="s">
        <v>1241</v>
      </c>
      <c r="C1430" s="15" t="s">
        <v>73</v>
      </c>
      <c r="D1430" s="16"/>
      <c r="E1430" s="2">
        <v>12695760.550000001</v>
      </c>
      <c r="F1430" s="23">
        <v>0.33730604898656502</v>
      </c>
      <c r="G1430" s="26">
        <f t="shared" si="22"/>
        <v>4282356.83</v>
      </c>
      <c r="H1430" t="s">
        <v>68</v>
      </c>
    </row>
    <row r="1431" spans="1:8" hidden="1">
      <c r="A1431" s="19" t="s">
        <v>1240</v>
      </c>
      <c r="B1431" s="20" t="s">
        <v>1241</v>
      </c>
      <c r="C1431" s="19" t="s">
        <v>74</v>
      </c>
      <c r="D1431" s="20"/>
      <c r="E1431" s="3">
        <v>12695760.550000001</v>
      </c>
      <c r="F1431" s="24">
        <v>4.2173559267388673E-2</v>
      </c>
      <c r="G1431" s="26">
        <f t="shared" si="22"/>
        <v>535425.41</v>
      </c>
      <c r="H1431" t="s">
        <v>68</v>
      </c>
    </row>
    <row r="1432" spans="1:8" hidden="1">
      <c r="A1432" s="13" t="s">
        <v>1242</v>
      </c>
      <c r="B1432" s="14" t="s">
        <v>1243</v>
      </c>
      <c r="C1432" s="15" t="s">
        <v>72</v>
      </c>
      <c r="D1432" s="16"/>
      <c r="E1432" s="2">
        <v>12619113.380000001</v>
      </c>
      <c r="F1432" s="23">
        <v>0.52197873746340806</v>
      </c>
      <c r="G1432" s="26">
        <f t="shared" si="22"/>
        <v>6586908.8700000001</v>
      </c>
      <c r="H1432" t="s">
        <v>68</v>
      </c>
    </row>
    <row r="1433" spans="1:8" hidden="1">
      <c r="A1433" s="17" t="s">
        <v>1242</v>
      </c>
      <c r="B1433" s="18" t="s">
        <v>1243</v>
      </c>
      <c r="C1433" s="19" t="s">
        <v>73</v>
      </c>
      <c r="D1433" s="20"/>
      <c r="E1433" s="3">
        <v>12619113.380000001</v>
      </c>
      <c r="F1433" s="24">
        <v>0.4240825047567644</v>
      </c>
      <c r="G1433" s="26">
        <f t="shared" si="22"/>
        <v>5351545.21</v>
      </c>
      <c r="H1433" t="s">
        <v>68</v>
      </c>
    </row>
    <row r="1434" spans="1:8" hidden="1">
      <c r="A1434" s="15" t="s">
        <v>1242</v>
      </c>
      <c r="B1434" s="16" t="s">
        <v>1243</v>
      </c>
      <c r="C1434" s="15" t="s">
        <v>74</v>
      </c>
      <c r="D1434" s="16"/>
      <c r="E1434" s="2">
        <v>12619113.380000001</v>
      </c>
      <c r="F1434" s="23">
        <v>5.3938757779827477E-2</v>
      </c>
      <c r="G1434" s="26">
        <f t="shared" si="22"/>
        <v>680659.3</v>
      </c>
      <c r="H1434" t="s">
        <v>68</v>
      </c>
    </row>
    <row r="1435" spans="1:8" hidden="1">
      <c r="A1435" s="17" t="s">
        <v>1244</v>
      </c>
      <c r="B1435" s="21" t="s">
        <v>1245</v>
      </c>
      <c r="C1435" s="19" t="s">
        <v>72</v>
      </c>
      <c r="D1435" s="20"/>
      <c r="E1435" s="3">
        <v>8701431.3800000008</v>
      </c>
      <c r="F1435" s="24">
        <v>0.68406905140703411</v>
      </c>
      <c r="G1435" s="26">
        <f t="shared" si="22"/>
        <v>5952379.9100000001</v>
      </c>
      <c r="H1435" t="s">
        <v>68</v>
      </c>
    </row>
    <row r="1436" spans="1:8" hidden="1">
      <c r="A1436" s="13" t="s">
        <v>1244</v>
      </c>
      <c r="B1436" s="22" t="s">
        <v>1245</v>
      </c>
      <c r="C1436" s="15" t="s">
        <v>73</v>
      </c>
      <c r="D1436" s="16"/>
      <c r="E1436" s="2">
        <v>8701431.3800000008</v>
      </c>
      <c r="F1436" s="23">
        <v>0.30018063303971027</v>
      </c>
      <c r="G1436" s="26">
        <f t="shared" si="22"/>
        <v>2612001.1799999997</v>
      </c>
      <c r="H1436" t="s">
        <v>68</v>
      </c>
    </row>
    <row r="1437" spans="1:8" hidden="1">
      <c r="A1437" s="19" t="s">
        <v>1244</v>
      </c>
      <c r="B1437" s="20" t="s">
        <v>1245</v>
      </c>
      <c r="C1437" s="19" t="s">
        <v>74</v>
      </c>
      <c r="D1437" s="20"/>
      <c r="E1437" s="3">
        <v>8701431.3800000008</v>
      </c>
      <c r="F1437" s="24">
        <v>1.575031555325556E-2</v>
      </c>
      <c r="G1437" s="26">
        <f t="shared" si="22"/>
        <v>137050.29</v>
      </c>
      <c r="H1437" t="s">
        <v>68</v>
      </c>
    </row>
    <row r="1438" spans="1:8" hidden="1">
      <c r="A1438" s="13" t="s">
        <v>1246</v>
      </c>
      <c r="B1438" s="14" t="s">
        <v>1247</v>
      </c>
      <c r="C1438" s="15" t="s">
        <v>72</v>
      </c>
      <c r="D1438" s="16"/>
      <c r="E1438" s="2">
        <v>4620962.82</v>
      </c>
      <c r="F1438" s="23">
        <v>0.51681503250008831</v>
      </c>
      <c r="G1438" s="26">
        <f t="shared" si="22"/>
        <v>2388183.0499999998</v>
      </c>
      <c r="H1438" t="s">
        <v>68</v>
      </c>
    </row>
    <row r="1439" spans="1:8" hidden="1">
      <c r="A1439" s="17" t="s">
        <v>1246</v>
      </c>
      <c r="B1439" s="18" t="s">
        <v>1247</v>
      </c>
      <c r="C1439" s="19" t="s">
        <v>73</v>
      </c>
      <c r="D1439" s="20"/>
      <c r="E1439" s="3">
        <v>4620962.82</v>
      </c>
      <c r="F1439" s="24">
        <v>0.45284910342559304</v>
      </c>
      <c r="G1439" s="26">
        <f t="shared" si="22"/>
        <v>2092598.87</v>
      </c>
      <c r="H1439" t="s">
        <v>68</v>
      </c>
    </row>
    <row r="1440" spans="1:8" hidden="1">
      <c r="A1440" s="15" t="s">
        <v>1246</v>
      </c>
      <c r="B1440" s="16" t="s">
        <v>1247</v>
      </c>
      <c r="C1440" s="15" t="s">
        <v>74</v>
      </c>
      <c r="D1440" s="16"/>
      <c r="E1440" s="2">
        <v>4620962.82</v>
      </c>
      <c r="F1440" s="23">
        <v>3.0335864074318604E-2</v>
      </c>
      <c r="G1440" s="26">
        <f t="shared" si="22"/>
        <v>140180.9</v>
      </c>
      <c r="H1440" t="s">
        <v>68</v>
      </c>
    </row>
    <row r="1441" spans="1:9" hidden="1">
      <c r="A1441" s="17" t="s">
        <v>1248</v>
      </c>
      <c r="B1441" s="21" t="s">
        <v>1249</v>
      </c>
      <c r="C1441" s="19" t="s">
        <v>72</v>
      </c>
      <c r="D1441" s="20"/>
      <c r="E1441" s="3">
        <v>14879821.970000001</v>
      </c>
      <c r="F1441" s="24">
        <v>0.46728813113615497</v>
      </c>
      <c r="G1441" s="26">
        <f t="shared" si="22"/>
        <v>6953164.2000000002</v>
      </c>
      <c r="H1441" t="s">
        <v>68</v>
      </c>
    </row>
    <row r="1442" spans="1:9" hidden="1">
      <c r="A1442" s="13" t="s">
        <v>1248</v>
      </c>
      <c r="B1442" s="22" t="s">
        <v>1249</v>
      </c>
      <c r="C1442" s="15" t="s">
        <v>73</v>
      </c>
      <c r="D1442" s="16"/>
      <c r="E1442" s="2">
        <v>14879821.970000001</v>
      </c>
      <c r="F1442" s="23">
        <v>0.47712451360733588</v>
      </c>
      <c r="G1442" s="26">
        <f t="shared" si="22"/>
        <v>7099527.8200000003</v>
      </c>
      <c r="H1442" t="s">
        <v>68</v>
      </c>
    </row>
    <row r="1443" spans="1:9" hidden="1">
      <c r="A1443" s="19" t="s">
        <v>1248</v>
      </c>
      <c r="B1443" s="20" t="s">
        <v>1249</v>
      </c>
      <c r="C1443" s="19" t="s">
        <v>74</v>
      </c>
      <c r="D1443" s="20"/>
      <c r="E1443" s="3">
        <v>14879821.970000001</v>
      </c>
      <c r="F1443" s="24">
        <v>5.5587355256509152E-2</v>
      </c>
      <c r="G1443" s="26">
        <f t="shared" si="22"/>
        <v>827129.95</v>
      </c>
      <c r="H1443" t="s">
        <v>68</v>
      </c>
    </row>
    <row r="1444" spans="1:9" hidden="1">
      <c r="A1444" s="13" t="s">
        <v>1250</v>
      </c>
      <c r="B1444" s="14" t="s">
        <v>1251</v>
      </c>
      <c r="C1444" s="15" t="s">
        <v>72</v>
      </c>
      <c r="D1444" s="16"/>
      <c r="E1444" s="2">
        <v>14114404.92</v>
      </c>
      <c r="F1444" s="23">
        <v>0.59691975947647669</v>
      </c>
      <c r="G1444" s="26">
        <f t="shared" si="22"/>
        <v>8425167.1899999995</v>
      </c>
      <c r="H1444" t="s">
        <v>68</v>
      </c>
    </row>
    <row r="1445" spans="1:9" hidden="1">
      <c r="A1445" s="17" t="s">
        <v>1250</v>
      </c>
      <c r="B1445" s="18" t="s">
        <v>1251</v>
      </c>
      <c r="C1445" s="19" t="s">
        <v>73</v>
      </c>
      <c r="D1445" s="20"/>
      <c r="E1445" s="3">
        <v>14114404.92</v>
      </c>
      <c r="F1445" s="24">
        <v>0.35353166274331316</v>
      </c>
      <c r="G1445" s="26">
        <f t="shared" si="22"/>
        <v>4989889.04</v>
      </c>
      <c r="H1445" t="s">
        <v>68</v>
      </c>
    </row>
    <row r="1446" spans="1:9" hidden="1">
      <c r="A1446" s="15" t="s">
        <v>1250</v>
      </c>
      <c r="B1446" s="16" t="s">
        <v>1251</v>
      </c>
      <c r="C1446" s="15" t="s">
        <v>74</v>
      </c>
      <c r="D1446" s="16"/>
      <c r="E1446" s="2">
        <v>14114404.92</v>
      </c>
      <c r="F1446" s="23">
        <v>4.9548577780210087E-2</v>
      </c>
      <c r="G1446" s="26">
        <f t="shared" si="22"/>
        <v>699348.69</v>
      </c>
      <c r="H1446" t="s">
        <v>68</v>
      </c>
    </row>
    <row r="1447" spans="1:9" hidden="1">
      <c r="A1447" s="17" t="s">
        <v>1252</v>
      </c>
      <c r="B1447" s="21" t="s">
        <v>1253</v>
      </c>
      <c r="C1447" s="19" t="s">
        <v>72</v>
      </c>
      <c r="D1447" s="20"/>
      <c r="E1447" s="3">
        <v>28912943.510000002</v>
      </c>
      <c r="F1447" s="24">
        <v>0.57996664795475883</v>
      </c>
      <c r="G1447" s="26">
        <f t="shared" si="22"/>
        <v>16768542.93</v>
      </c>
      <c r="H1447" t="s">
        <v>68</v>
      </c>
      <c r="I1447" t="s">
        <v>1883</v>
      </c>
    </row>
    <row r="1448" spans="1:9" hidden="1">
      <c r="A1448" s="13" t="s">
        <v>1252</v>
      </c>
      <c r="B1448" s="22" t="s">
        <v>1253</v>
      </c>
      <c r="C1448" s="15" t="s">
        <v>73</v>
      </c>
      <c r="D1448" s="16"/>
      <c r="E1448" s="2">
        <v>28912943.510000002</v>
      </c>
      <c r="F1448" s="23">
        <v>0.40844002638180366</v>
      </c>
      <c r="G1448" s="26">
        <f t="shared" si="22"/>
        <v>11809203.41</v>
      </c>
      <c r="H1448" t="s">
        <v>68</v>
      </c>
      <c r="I1448" t="s">
        <v>1883</v>
      </c>
    </row>
    <row r="1449" spans="1:9" hidden="1">
      <c r="A1449" s="19" t="s">
        <v>1252</v>
      </c>
      <c r="B1449" s="20" t="s">
        <v>1253</v>
      </c>
      <c r="C1449" s="19" t="s">
        <v>74</v>
      </c>
      <c r="D1449" s="20"/>
      <c r="E1449" s="3">
        <v>28912943.510000002</v>
      </c>
      <c r="F1449" s="24">
        <v>1.159332566343744E-2</v>
      </c>
      <c r="G1449" s="26">
        <f t="shared" si="22"/>
        <v>335197.17</v>
      </c>
      <c r="H1449" t="s">
        <v>68</v>
      </c>
      <c r="I1449" t="s">
        <v>1883</v>
      </c>
    </row>
    <row r="1450" spans="1:9" hidden="1">
      <c r="A1450" s="13" t="s">
        <v>1254</v>
      </c>
      <c r="B1450" s="14" t="s">
        <v>1033</v>
      </c>
      <c r="C1450" s="15" t="s">
        <v>72</v>
      </c>
      <c r="D1450" s="16"/>
      <c r="E1450" s="2">
        <v>11265760.279999999</v>
      </c>
      <c r="F1450" s="23">
        <v>0.58933861585771297</v>
      </c>
      <c r="G1450" s="26">
        <f t="shared" si="22"/>
        <v>6639347.5700000003</v>
      </c>
      <c r="H1450" t="s">
        <v>68</v>
      </c>
    </row>
    <row r="1451" spans="1:9" hidden="1">
      <c r="A1451" s="17" t="s">
        <v>1254</v>
      </c>
      <c r="B1451" s="18" t="s">
        <v>1033</v>
      </c>
      <c r="C1451" s="19" t="s">
        <v>73</v>
      </c>
      <c r="D1451" s="20"/>
      <c r="E1451" s="3">
        <v>11265760.279999999</v>
      </c>
      <c r="F1451" s="24">
        <v>0.36518572983518166</v>
      </c>
      <c r="G1451" s="26">
        <f t="shared" si="22"/>
        <v>4114094.89</v>
      </c>
      <c r="H1451" t="s">
        <v>68</v>
      </c>
    </row>
    <row r="1452" spans="1:9" hidden="1">
      <c r="A1452" s="15" t="s">
        <v>1254</v>
      </c>
      <c r="B1452" s="16" t="s">
        <v>1033</v>
      </c>
      <c r="C1452" s="15" t="s">
        <v>74</v>
      </c>
      <c r="D1452" s="16"/>
      <c r="E1452" s="2">
        <v>11265760.279999999</v>
      </c>
      <c r="F1452" s="23">
        <v>4.5475654307105498E-2</v>
      </c>
      <c r="G1452" s="26">
        <f t="shared" si="22"/>
        <v>512317.82</v>
      </c>
      <c r="H1452" t="s">
        <v>68</v>
      </c>
    </row>
    <row r="1453" spans="1:9" hidden="1">
      <c r="A1453" s="17" t="s">
        <v>1034</v>
      </c>
      <c r="B1453" s="21" t="s">
        <v>1035</v>
      </c>
      <c r="C1453" s="19" t="s">
        <v>72</v>
      </c>
      <c r="D1453" s="20"/>
      <c r="E1453" s="3">
        <v>14189664.75</v>
      </c>
      <c r="F1453" s="24">
        <v>0.61341521898887719</v>
      </c>
      <c r="G1453" s="26">
        <f t="shared" si="22"/>
        <v>8704156.3100000005</v>
      </c>
      <c r="H1453" t="s">
        <v>68</v>
      </c>
    </row>
    <row r="1454" spans="1:9" hidden="1">
      <c r="A1454" s="13" t="s">
        <v>1034</v>
      </c>
      <c r="B1454" s="22" t="s">
        <v>1035</v>
      </c>
      <c r="C1454" s="15" t="s">
        <v>73</v>
      </c>
      <c r="D1454" s="16"/>
      <c r="E1454" s="2">
        <v>14189664.75</v>
      </c>
      <c r="F1454" s="23">
        <v>0.28469935063124024</v>
      </c>
      <c r="G1454" s="26">
        <f t="shared" si="22"/>
        <v>4039788.34</v>
      </c>
      <c r="H1454" t="s">
        <v>68</v>
      </c>
    </row>
    <row r="1455" spans="1:9" hidden="1">
      <c r="A1455" s="19" t="s">
        <v>1034</v>
      </c>
      <c r="B1455" s="20" t="s">
        <v>1035</v>
      </c>
      <c r="C1455" s="19" t="s">
        <v>74</v>
      </c>
      <c r="D1455" s="20"/>
      <c r="E1455" s="3">
        <v>14189664.75</v>
      </c>
      <c r="F1455" s="24">
        <v>0.10188543037988267</v>
      </c>
      <c r="G1455" s="26">
        <f t="shared" si="22"/>
        <v>1445720.1</v>
      </c>
      <c r="H1455" t="s">
        <v>68</v>
      </c>
    </row>
    <row r="1456" spans="1:9" hidden="1">
      <c r="A1456" s="13" t="s">
        <v>1036</v>
      </c>
      <c r="B1456" s="14" t="s">
        <v>1037</v>
      </c>
      <c r="C1456" s="15" t="s">
        <v>72</v>
      </c>
      <c r="D1456" s="16"/>
      <c r="E1456" s="2">
        <v>28357977.079999998</v>
      </c>
      <c r="F1456" s="23">
        <v>0.66650692631140251</v>
      </c>
      <c r="G1456" s="26">
        <f t="shared" si="22"/>
        <v>18900788.140000001</v>
      </c>
      <c r="H1456" t="s">
        <v>68</v>
      </c>
    </row>
    <row r="1457" spans="1:9" hidden="1">
      <c r="A1457" s="17" t="s">
        <v>1036</v>
      </c>
      <c r="B1457" s="18" t="s">
        <v>1037</v>
      </c>
      <c r="C1457" s="19" t="s">
        <v>73</v>
      </c>
      <c r="D1457" s="20"/>
      <c r="E1457" s="3">
        <v>28357977.079999998</v>
      </c>
      <c r="F1457" s="24">
        <v>0.29883910781410367</v>
      </c>
      <c r="G1457" s="26">
        <f t="shared" si="22"/>
        <v>8474472.5700000003</v>
      </c>
      <c r="H1457" t="s">
        <v>68</v>
      </c>
    </row>
    <row r="1458" spans="1:9" hidden="1">
      <c r="A1458" s="15" t="s">
        <v>1036</v>
      </c>
      <c r="B1458" s="16" t="s">
        <v>1037</v>
      </c>
      <c r="C1458" s="15" t="s">
        <v>74</v>
      </c>
      <c r="D1458" s="16"/>
      <c r="E1458" s="2">
        <v>28357977.079999998</v>
      </c>
      <c r="F1458" s="23">
        <v>3.4653965874493896E-2</v>
      </c>
      <c r="G1458" s="26">
        <f t="shared" si="22"/>
        <v>982716.37</v>
      </c>
      <c r="H1458" t="s">
        <v>68</v>
      </c>
    </row>
    <row r="1459" spans="1:9" hidden="1">
      <c r="A1459" s="17" t="s">
        <v>1038</v>
      </c>
      <c r="B1459" s="21" t="s">
        <v>1039</v>
      </c>
      <c r="C1459" s="19" t="s">
        <v>72</v>
      </c>
      <c r="D1459" s="20"/>
      <c r="E1459" s="3">
        <v>34661834.030000001</v>
      </c>
      <c r="F1459" s="24">
        <v>0.74427229781528093</v>
      </c>
      <c r="G1459" s="26">
        <f t="shared" si="22"/>
        <v>25797842.859999999</v>
      </c>
      <c r="H1459" t="s">
        <v>68</v>
      </c>
    </row>
    <row r="1460" spans="1:9" hidden="1">
      <c r="A1460" s="13" t="s">
        <v>1038</v>
      </c>
      <c r="B1460" s="22" t="s">
        <v>1039</v>
      </c>
      <c r="C1460" s="15" t="s">
        <v>73</v>
      </c>
      <c r="D1460" s="16"/>
      <c r="E1460" s="2">
        <v>34661834.030000001</v>
      </c>
      <c r="F1460" s="23">
        <v>0.22904879018024657</v>
      </c>
      <c r="G1460" s="26">
        <f t="shared" si="22"/>
        <v>7939251.1500000004</v>
      </c>
      <c r="H1460" t="s">
        <v>68</v>
      </c>
    </row>
    <row r="1461" spans="1:9" hidden="1">
      <c r="A1461" s="19" t="s">
        <v>1038</v>
      </c>
      <c r="B1461" s="20" t="s">
        <v>1039</v>
      </c>
      <c r="C1461" s="19" t="s">
        <v>74</v>
      </c>
      <c r="D1461" s="20"/>
      <c r="E1461" s="3">
        <v>34661834.030000001</v>
      </c>
      <c r="F1461" s="24">
        <v>2.6678912004472487E-2</v>
      </c>
      <c r="G1461" s="26">
        <f t="shared" si="22"/>
        <v>924740.02</v>
      </c>
      <c r="H1461" t="s">
        <v>68</v>
      </c>
    </row>
    <row r="1462" spans="1:9" hidden="1">
      <c r="A1462" s="13" t="s">
        <v>1040</v>
      </c>
      <c r="B1462" s="14" t="s">
        <v>1041</v>
      </c>
      <c r="C1462" s="15" t="s">
        <v>72</v>
      </c>
      <c r="D1462" s="16"/>
      <c r="E1462" s="2">
        <v>5854862.1900000004</v>
      </c>
      <c r="F1462" s="23">
        <v>0.50440618654424718</v>
      </c>
      <c r="G1462" s="26">
        <f t="shared" si="22"/>
        <v>2953228.71</v>
      </c>
      <c r="H1462" t="s">
        <v>68</v>
      </c>
    </row>
    <row r="1463" spans="1:9" hidden="1">
      <c r="A1463" s="17" t="s">
        <v>1040</v>
      </c>
      <c r="B1463" s="18" t="s">
        <v>1041</v>
      </c>
      <c r="C1463" s="19" t="s">
        <v>73</v>
      </c>
      <c r="D1463" s="20"/>
      <c r="E1463" s="3">
        <v>5854862.1900000004</v>
      </c>
      <c r="F1463" s="24">
        <v>0.44309140263470487</v>
      </c>
      <c r="G1463" s="26">
        <f t="shared" si="22"/>
        <v>2594239.1</v>
      </c>
      <c r="H1463" t="s">
        <v>68</v>
      </c>
    </row>
    <row r="1464" spans="1:9" hidden="1">
      <c r="A1464" s="15" t="s">
        <v>1040</v>
      </c>
      <c r="B1464" s="16" t="s">
        <v>1041</v>
      </c>
      <c r="C1464" s="15" t="s">
        <v>74</v>
      </c>
      <c r="D1464" s="16"/>
      <c r="E1464" s="2">
        <v>5854862.1900000004</v>
      </c>
      <c r="F1464" s="23">
        <v>5.2502410821047861E-2</v>
      </c>
      <c r="G1464" s="26">
        <f t="shared" si="22"/>
        <v>307394.38</v>
      </c>
      <c r="H1464" t="s">
        <v>68</v>
      </c>
    </row>
    <row r="1465" spans="1:9" hidden="1">
      <c r="A1465" s="17" t="s">
        <v>1042</v>
      </c>
      <c r="B1465" s="21" t="s">
        <v>1043</v>
      </c>
      <c r="C1465" s="19" t="s">
        <v>72</v>
      </c>
      <c r="D1465" s="20"/>
      <c r="E1465" s="3">
        <v>7320926.21</v>
      </c>
      <c r="F1465" s="24">
        <v>0.6966622055325975</v>
      </c>
      <c r="G1465" s="26">
        <f t="shared" si="22"/>
        <v>5100212.5999999996</v>
      </c>
      <c r="H1465" t="s">
        <v>68</v>
      </c>
    </row>
    <row r="1466" spans="1:9" hidden="1">
      <c r="A1466" s="13" t="s">
        <v>1042</v>
      </c>
      <c r="B1466" s="22" t="s">
        <v>1043</v>
      </c>
      <c r="C1466" s="15" t="s">
        <v>73</v>
      </c>
      <c r="D1466" s="16"/>
      <c r="E1466" s="2">
        <v>7320926.21</v>
      </c>
      <c r="F1466" s="23">
        <v>0.25229737973277566</v>
      </c>
      <c r="G1466" s="26">
        <f t="shared" si="22"/>
        <v>1847050.5000000002</v>
      </c>
      <c r="H1466" t="s">
        <v>68</v>
      </c>
    </row>
    <row r="1467" spans="1:9" hidden="1">
      <c r="A1467" s="19" t="s">
        <v>1042</v>
      </c>
      <c r="B1467" s="20" t="s">
        <v>1043</v>
      </c>
      <c r="C1467" s="19" t="s">
        <v>74</v>
      </c>
      <c r="D1467" s="20"/>
      <c r="E1467" s="3">
        <v>7320926.21</v>
      </c>
      <c r="F1467" s="24">
        <v>5.1040414734626859E-2</v>
      </c>
      <c r="G1467" s="26">
        <f t="shared" si="22"/>
        <v>373663.11</v>
      </c>
      <c r="H1467" t="s">
        <v>68</v>
      </c>
    </row>
    <row r="1468" spans="1:9" hidden="1">
      <c r="A1468" s="13" t="s">
        <v>1044</v>
      </c>
      <c r="B1468" s="14" t="s">
        <v>1045</v>
      </c>
      <c r="C1468" s="15" t="s">
        <v>72</v>
      </c>
      <c r="D1468" s="16"/>
      <c r="E1468" s="2">
        <v>24491326.100000001</v>
      </c>
      <c r="F1468" s="23">
        <v>0.71906905767752605</v>
      </c>
      <c r="G1468" s="26">
        <f t="shared" si="22"/>
        <v>17610954.780000001</v>
      </c>
      <c r="H1468" t="s">
        <v>68</v>
      </c>
    </row>
    <row r="1469" spans="1:9" hidden="1">
      <c r="A1469" s="17" t="s">
        <v>1044</v>
      </c>
      <c r="B1469" s="18" t="s">
        <v>1045</v>
      </c>
      <c r="C1469" s="19" t="s">
        <v>73</v>
      </c>
      <c r="D1469" s="20"/>
      <c r="E1469" s="3">
        <v>24491326.100000001</v>
      </c>
      <c r="F1469" s="24">
        <v>0.2539362272425093</v>
      </c>
      <c r="G1469" s="26">
        <f t="shared" si="22"/>
        <v>6219234.9499999993</v>
      </c>
      <c r="H1469" t="s">
        <v>68</v>
      </c>
    </row>
    <row r="1470" spans="1:9" hidden="1">
      <c r="A1470" s="15" t="s">
        <v>1044</v>
      </c>
      <c r="B1470" s="16" t="s">
        <v>1045</v>
      </c>
      <c r="C1470" s="15" t="s">
        <v>74</v>
      </c>
      <c r="D1470" s="16"/>
      <c r="E1470" s="2">
        <v>24491326.100000001</v>
      </c>
      <c r="F1470" s="23">
        <v>2.6994715079964572E-2</v>
      </c>
      <c r="G1470" s="26">
        <f t="shared" si="22"/>
        <v>661136.37</v>
      </c>
      <c r="H1470" t="s">
        <v>68</v>
      </c>
    </row>
    <row r="1471" spans="1:9" hidden="1">
      <c r="A1471" s="17" t="s">
        <v>1046</v>
      </c>
      <c r="B1471" s="21" t="s">
        <v>1047</v>
      </c>
      <c r="C1471" s="19" t="s">
        <v>72</v>
      </c>
      <c r="D1471" s="20"/>
      <c r="E1471" s="3">
        <v>12118412.16</v>
      </c>
      <c r="F1471" s="24">
        <v>0.83503663569072728</v>
      </c>
      <c r="G1471" s="26">
        <f t="shared" si="22"/>
        <v>10119318.119999999</v>
      </c>
      <c r="H1471" t="s">
        <v>68</v>
      </c>
      <c r="I1471" t="s">
        <v>1883</v>
      </c>
    </row>
    <row r="1472" spans="1:9" hidden="1">
      <c r="A1472" s="13" t="s">
        <v>1046</v>
      </c>
      <c r="B1472" s="22" t="s">
        <v>1047</v>
      </c>
      <c r="C1472" s="15" t="s">
        <v>73</v>
      </c>
      <c r="D1472" s="16"/>
      <c r="E1472" s="2">
        <v>12118412.16</v>
      </c>
      <c r="F1472" s="23">
        <v>0.1602983274006749</v>
      </c>
      <c r="G1472" s="26">
        <f t="shared" si="22"/>
        <v>1942561.2</v>
      </c>
      <c r="H1472" t="s">
        <v>68</v>
      </c>
      <c r="I1472" t="s">
        <v>1883</v>
      </c>
    </row>
    <row r="1473" spans="1:9" hidden="1">
      <c r="A1473" s="19" t="s">
        <v>1046</v>
      </c>
      <c r="B1473" s="20" t="s">
        <v>1047</v>
      </c>
      <c r="C1473" s="19" t="s">
        <v>74</v>
      </c>
      <c r="D1473" s="20"/>
      <c r="E1473" s="3">
        <v>12118412.16</v>
      </c>
      <c r="F1473" s="24">
        <v>4.6650369085977673E-3</v>
      </c>
      <c r="G1473" s="26">
        <f t="shared" si="22"/>
        <v>56532.84</v>
      </c>
      <c r="H1473" t="s">
        <v>68</v>
      </c>
      <c r="I1473" t="s">
        <v>1883</v>
      </c>
    </row>
    <row r="1474" spans="1:9" hidden="1">
      <c r="A1474" s="13" t="s">
        <v>1048</v>
      </c>
      <c r="B1474" s="14" t="s">
        <v>1049</v>
      </c>
      <c r="C1474" s="15" t="s">
        <v>72</v>
      </c>
      <c r="D1474" s="16"/>
      <c r="E1474" s="2">
        <v>68621518.370000005</v>
      </c>
      <c r="F1474" s="23">
        <v>0.68981716733179299</v>
      </c>
      <c r="G1474" s="26">
        <f t="shared" si="22"/>
        <v>47336301.420000002</v>
      </c>
      <c r="H1474" t="s">
        <v>68</v>
      </c>
    </row>
    <row r="1475" spans="1:9" hidden="1">
      <c r="A1475" s="17" t="s">
        <v>1048</v>
      </c>
      <c r="B1475" s="18" t="s">
        <v>1049</v>
      </c>
      <c r="C1475" s="19" t="s">
        <v>73</v>
      </c>
      <c r="D1475" s="20"/>
      <c r="E1475" s="3">
        <v>68621518.370000005</v>
      </c>
      <c r="F1475" s="24">
        <v>0.2604545025312881</v>
      </c>
      <c r="G1475" s="26">
        <f t="shared" si="22"/>
        <v>17872783.43</v>
      </c>
      <c r="H1475" t="s">
        <v>68</v>
      </c>
    </row>
    <row r="1476" spans="1:9" hidden="1">
      <c r="A1476" s="15" t="s">
        <v>1048</v>
      </c>
      <c r="B1476" s="16" t="s">
        <v>1049</v>
      </c>
      <c r="C1476" s="15" t="s">
        <v>74</v>
      </c>
      <c r="D1476" s="16"/>
      <c r="E1476" s="2">
        <v>68621518.370000005</v>
      </c>
      <c r="F1476" s="23">
        <v>4.9728330136918825E-2</v>
      </c>
      <c r="G1476" s="26">
        <f t="shared" si="22"/>
        <v>3412433.52</v>
      </c>
      <c r="H1476" t="s">
        <v>68</v>
      </c>
    </row>
    <row r="1477" spans="1:9" hidden="1">
      <c r="A1477" s="17" t="s">
        <v>1050</v>
      </c>
      <c r="B1477" s="21" t="s">
        <v>1051</v>
      </c>
      <c r="C1477" s="19" t="s">
        <v>72</v>
      </c>
      <c r="D1477" s="20"/>
      <c r="E1477" s="3">
        <v>5773643.1500000004</v>
      </c>
      <c r="F1477" s="24">
        <v>0.44575174168843462</v>
      </c>
      <c r="G1477" s="26">
        <f t="shared" ref="G1477:G1540" si="23">F1477*E1477</f>
        <v>2573611.4900000002</v>
      </c>
      <c r="H1477" t="s">
        <v>68</v>
      </c>
    </row>
    <row r="1478" spans="1:9" hidden="1">
      <c r="A1478" s="13" t="s">
        <v>1050</v>
      </c>
      <c r="B1478" s="22" t="s">
        <v>1051</v>
      </c>
      <c r="C1478" s="15" t="s">
        <v>73</v>
      </c>
      <c r="D1478" s="16"/>
      <c r="E1478" s="2">
        <v>5773643.1500000004</v>
      </c>
      <c r="F1478" s="23">
        <v>0.51286008384498094</v>
      </c>
      <c r="G1478" s="26">
        <f t="shared" si="23"/>
        <v>2961071.11</v>
      </c>
      <c r="H1478" t="s">
        <v>68</v>
      </c>
    </row>
    <row r="1479" spans="1:9" hidden="1">
      <c r="A1479" s="19" t="s">
        <v>1050</v>
      </c>
      <c r="B1479" s="20" t="s">
        <v>1051</v>
      </c>
      <c r="C1479" s="19" t="s">
        <v>74</v>
      </c>
      <c r="D1479" s="20"/>
      <c r="E1479" s="3">
        <v>5773643.1500000004</v>
      </c>
      <c r="F1479" s="24">
        <v>4.138817446658441E-2</v>
      </c>
      <c r="G1479" s="26">
        <f t="shared" si="23"/>
        <v>238960.55</v>
      </c>
      <c r="H1479" t="s">
        <v>68</v>
      </c>
    </row>
    <row r="1480" spans="1:9" hidden="1">
      <c r="A1480" s="13" t="s">
        <v>1052</v>
      </c>
      <c r="B1480" s="14" t="s">
        <v>1053</v>
      </c>
      <c r="C1480" s="15" t="s">
        <v>72</v>
      </c>
      <c r="D1480" s="16"/>
      <c r="E1480" s="2">
        <v>11770376.550000001</v>
      </c>
      <c r="F1480" s="23">
        <v>0.4373760871736937</v>
      </c>
      <c r="G1480" s="26">
        <f t="shared" si="23"/>
        <v>5148081.24</v>
      </c>
      <c r="H1480" t="s">
        <v>68</v>
      </c>
    </row>
    <row r="1481" spans="1:9" hidden="1">
      <c r="A1481" s="17" t="s">
        <v>1052</v>
      </c>
      <c r="B1481" s="18" t="s">
        <v>1053</v>
      </c>
      <c r="C1481" s="19" t="s">
        <v>73</v>
      </c>
      <c r="D1481" s="20"/>
      <c r="E1481" s="3">
        <v>11770376.550000001</v>
      </c>
      <c r="F1481" s="24">
        <v>0.5079859097625895</v>
      </c>
      <c r="G1481" s="26">
        <f t="shared" si="23"/>
        <v>5979185.4400000004</v>
      </c>
      <c r="H1481" t="s">
        <v>68</v>
      </c>
    </row>
    <row r="1482" spans="1:9" hidden="1">
      <c r="A1482" s="15" t="s">
        <v>1052</v>
      </c>
      <c r="B1482" s="16" t="s">
        <v>1053</v>
      </c>
      <c r="C1482" s="15" t="s">
        <v>74</v>
      </c>
      <c r="D1482" s="16"/>
      <c r="E1482" s="2">
        <v>11770376.550000001</v>
      </c>
      <c r="F1482" s="23">
        <v>5.4638003063716765E-2</v>
      </c>
      <c r="G1482" s="26">
        <f t="shared" si="23"/>
        <v>643109.87</v>
      </c>
      <c r="H1482" t="s">
        <v>68</v>
      </c>
    </row>
    <row r="1483" spans="1:9" hidden="1">
      <c r="A1483" s="17" t="s">
        <v>1054</v>
      </c>
      <c r="B1483" s="21" t="s">
        <v>1055</v>
      </c>
      <c r="C1483" s="19" t="s">
        <v>72</v>
      </c>
      <c r="D1483" s="20"/>
      <c r="E1483" s="3">
        <v>22366890.149999999</v>
      </c>
      <c r="F1483" s="24">
        <v>0.61323492617948949</v>
      </c>
      <c r="G1483" s="26">
        <f t="shared" si="23"/>
        <v>13716158.23</v>
      </c>
      <c r="H1483" t="s">
        <v>68</v>
      </c>
    </row>
    <row r="1484" spans="1:9" hidden="1">
      <c r="A1484" s="13" t="s">
        <v>1054</v>
      </c>
      <c r="B1484" s="22" t="s">
        <v>1055</v>
      </c>
      <c r="C1484" s="15" t="s">
        <v>73</v>
      </c>
      <c r="D1484" s="16"/>
      <c r="E1484" s="2">
        <v>22366890.149999999</v>
      </c>
      <c r="F1484" s="23">
        <v>0.35055717748048226</v>
      </c>
      <c r="G1484" s="26">
        <f t="shared" si="23"/>
        <v>7840873.8799999999</v>
      </c>
      <c r="H1484" t="s">
        <v>68</v>
      </c>
    </row>
    <row r="1485" spans="1:9" hidden="1">
      <c r="A1485" s="19" t="s">
        <v>1054</v>
      </c>
      <c r="B1485" s="20" t="s">
        <v>1055</v>
      </c>
      <c r="C1485" s="19" t="s">
        <v>74</v>
      </c>
      <c r="D1485" s="20"/>
      <c r="E1485" s="3">
        <v>22366890.149999999</v>
      </c>
      <c r="F1485" s="24">
        <v>3.62078963400283E-2</v>
      </c>
      <c r="G1485" s="26">
        <f t="shared" si="23"/>
        <v>809858.04</v>
      </c>
      <c r="H1485" t="s">
        <v>68</v>
      </c>
    </row>
    <row r="1486" spans="1:9" hidden="1">
      <c r="A1486" s="13" t="s">
        <v>1056</v>
      </c>
      <c r="B1486" s="14" t="s">
        <v>1057</v>
      </c>
      <c r="C1486" s="15" t="s">
        <v>72</v>
      </c>
      <c r="D1486" s="16"/>
      <c r="E1486" s="2">
        <v>16868919.969999999</v>
      </c>
      <c r="F1486" s="23">
        <v>0.33044901154984851</v>
      </c>
      <c r="G1486" s="26">
        <f t="shared" si="23"/>
        <v>5574317.9299999997</v>
      </c>
      <c r="H1486" t="s">
        <v>68</v>
      </c>
    </row>
    <row r="1487" spans="1:9" hidden="1">
      <c r="A1487" s="17" t="s">
        <v>1056</v>
      </c>
      <c r="B1487" s="18" t="s">
        <v>1057</v>
      </c>
      <c r="C1487" s="19" t="s">
        <v>73</v>
      </c>
      <c r="D1487" s="20"/>
      <c r="E1487" s="3">
        <v>16868919.969999999</v>
      </c>
      <c r="F1487" s="24">
        <v>0.55999672514896637</v>
      </c>
      <c r="G1487" s="26">
        <f t="shared" si="23"/>
        <v>9446539.9399999995</v>
      </c>
      <c r="H1487" t="s">
        <v>68</v>
      </c>
    </row>
    <row r="1488" spans="1:9" hidden="1">
      <c r="A1488" s="15" t="s">
        <v>1056</v>
      </c>
      <c r="B1488" s="16" t="s">
        <v>1057</v>
      </c>
      <c r="C1488" s="15" t="s">
        <v>74</v>
      </c>
      <c r="D1488" s="16"/>
      <c r="E1488" s="2">
        <v>16868919.969999999</v>
      </c>
      <c r="F1488" s="23">
        <v>0.10955426330118515</v>
      </c>
      <c r="G1488" s="26">
        <f t="shared" si="23"/>
        <v>1848062.1</v>
      </c>
      <c r="H1488" t="s">
        <v>68</v>
      </c>
    </row>
    <row r="1489" spans="1:9" hidden="1">
      <c r="A1489" s="17" t="s">
        <v>1058</v>
      </c>
      <c r="B1489" s="21" t="s">
        <v>1059</v>
      </c>
      <c r="C1489" s="19" t="s">
        <v>72</v>
      </c>
      <c r="D1489" s="20"/>
      <c r="E1489" s="3">
        <v>50302110.399999999</v>
      </c>
      <c r="F1489" s="24">
        <v>0.55574629807182008</v>
      </c>
      <c r="G1489" s="26">
        <f t="shared" si="23"/>
        <v>27955211.640000001</v>
      </c>
      <c r="H1489" t="s">
        <v>68</v>
      </c>
      <c r="I1489" t="s">
        <v>1883</v>
      </c>
    </row>
    <row r="1490" spans="1:9" hidden="1">
      <c r="A1490" s="13" t="s">
        <v>1058</v>
      </c>
      <c r="B1490" s="22" t="s">
        <v>1059</v>
      </c>
      <c r="C1490" s="15" t="s">
        <v>73</v>
      </c>
      <c r="D1490" s="16"/>
      <c r="E1490" s="2">
        <v>50302110.399999999</v>
      </c>
      <c r="F1490" s="23">
        <v>0.19225513786793327</v>
      </c>
      <c r="G1490" s="26">
        <f t="shared" si="23"/>
        <v>9670839.1699999999</v>
      </c>
      <c r="H1490" t="s">
        <v>68</v>
      </c>
      <c r="I1490" t="s">
        <v>1883</v>
      </c>
    </row>
    <row r="1491" spans="1:9" hidden="1">
      <c r="A1491" s="19" t="s">
        <v>1058</v>
      </c>
      <c r="B1491" s="20" t="s">
        <v>1059</v>
      </c>
      <c r="C1491" s="19" t="s">
        <v>74</v>
      </c>
      <c r="D1491" s="20"/>
      <c r="E1491" s="3">
        <v>50302110.399999999</v>
      </c>
      <c r="F1491" s="24">
        <v>0.25199856406024668</v>
      </c>
      <c r="G1491" s="26">
        <f t="shared" si="23"/>
        <v>12676059.59</v>
      </c>
      <c r="H1491" t="s">
        <v>68</v>
      </c>
      <c r="I1491" t="s">
        <v>1883</v>
      </c>
    </row>
    <row r="1492" spans="1:9" hidden="1">
      <c r="A1492" s="13" t="s">
        <v>1060</v>
      </c>
      <c r="B1492" s="14" t="s">
        <v>1061</v>
      </c>
      <c r="C1492" s="15" t="s">
        <v>72</v>
      </c>
      <c r="D1492" s="16"/>
      <c r="E1492" s="2">
        <v>18856936.359999999</v>
      </c>
      <c r="F1492" s="23">
        <v>0.54917324968900727</v>
      </c>
      <c r="G1492" s="26">
        <f t="shared" si="23"/>
        <v>10355725.02</v>
      </c>
      <c r="H1492" t="s">
        <v>68</v>
      </c>
    </row>
    <row r="1493" spans="1:9" hidden="1">
      <c r="A1493" s="17" t="s">
        <v>1060</v>
      </c>
      <c r="B1493" s="18" t="s">
        <v>1061</v>
      </c>
      <c r="C1493" s="19" t="s">
        <v>73</v>
      </c>
      <c r="D1493" s="20"/>
      <c r="E1493" s="3">
        <v>18856936.359999999</v>
      </c>
      <c r="F1493" s="24">
        <v>0.39524163934761247</v>
      </c>
      <c r="G1493" s="26">
        <f t="shared" si="23"/>
        <v>7453046.4400000004</v>
      </c>
      <c r="H1493" t="s">
        <v>68</v>
      </c>
    </row>
    <row r="1494" spans="1:9" hidden="1">
      <c r="A1494" s="15" t="s">
        <v>1060</v>
      </c>
      <c r="B1494" s="16" t="s">
        <v>1061</v>
      </c>
      <c r="C1494" s="15" t="s">
        <v>74</v>
      </c>
      <c r="D1494" s="16"/>
      <c r="E1494" s="2">
        <v>18856936.359999999</v>
      </c>
      <c r="F1494" s="23">
        <v>5.5585110963380271E-2</v>
      </c>
      <c r="G1494" s="26">
        <f t="shared" si="23"/>
        <v>1048164.9</v>
      </c>
      <c r="H1494" t="s">
        <v>68</v>
      </c>
    </row>
    <row r="1495" spans="1:9" hidden="1">
      <c r="A1495" s="17" t="s">
        <v>1062</v>
      </c>
      <c r="B1495" s="21" t="s">
        <v>1063</v>
      </c>
      <c r="C1495" s="19" t="s">
        <v>72</v>
      </c>
      <c r="D1495" s="20"/>
      <c r="E1495" s="3">
        <v>67771437.480000004</v>
      </c>
      <c r="F1495" s="24">
        <v>0.63180635326845658</v>
      </c>
      <c r="G1495" s="26">
        <f t="shared" si="23"/>
        <v>42818424.770000003</v>
      </c>
      <c r="H1495" t="s">
        <v>68</v>
      </c>
    </row>
    <row r="1496" spans="1:9" hidden="1">
      <c r="A1496" s="13" t="s">
        <v>1062</v>
      </c>
      <c r="B1496" s="22" t="s">
        <v>1063</v>
      </c>
      <c r="C1496" s="15" t="s">
        <v>73</v>
      </c>
      <c r="D1496" s="16"/>
      <c r="E1496" s="2">
        <v>67771437.480000004</v>
      </c>
      <c r="F1496" s="23">
        <v>0.33618269564849723</v>
      </c>
      <c r="G1496" s="26">
        <f t="shared" si="23"/>
        <v>22783584.539999999</v>
      </c>
      <c r="H1496" t="s">
        <v>68</v>
      </c>
    </row>
    <row r="1497" spans="1:9" hidden="1">
      <c r="A1497" s="19" t="s">
        <v>1062</v>
      </c>
      <c r="B1497" s="20" t="s">
        <v>1063</v>
      </c>
      <c r="C1497" s="19" t="s">
        <v>74</v>
      </c>
      <c r="D1497" s="20"/>
      <c r="E1497" s="3">
        <v>67771437.480000004</v>
      </c>
      <c r="F1497" s="24">
        <v>3.2010951083046142E-2</v>
      </c>
      <c r="G1497" s="26">
        <f t="shared" si="23"/>
        <v>2169428.17</v>
      </c>
      <c r="H1497" t="s">
        <v>68</v>
      </c>
    </row>
    <row r="1498" spans="1:9" hidden="1">
      <c r="A1498" s="13" t="s">
        <v>1064</v>
      </c>
      <c r="B1498" s="14" t="s">
        <v>1065</v>
      </c>
      <c r="C1498" s="15" t="s">
        <v>72</v>
      </c>
      <c r="D1498" s="16"/>
      <c r="E1498" s="2">
        <v>81667590.340000004</v>
      </c>
      <c r="F1498" s="23">
        <v>0.54637969326915248</v>
      </c>
      <c r="G1498" s="26">
        <f t="shared" si="23"/>
        <v>44621512.960000001</v>
      </c>
      <c r="H1498" t="s">
        <v>68</v>
      </c>
    </row>
    <row r="1499" spans="1:9" hidden="1">
      <c r="A1499" s="17" t="s">
        <v>1064</v>
      </c>
      <c r="B1499" s="18" t="s">
        <v>1065</v>
      </c>
      <c r="C1499" s="19" t="s">
        <v>73</v>
      </c>
      <c r="D1499" s="20"/>
      <c r="E1499" s="3">
        <v>81667590.340000004</v>
      </c>
      <c r="F1499" s="24">
        <v>0.39017835137952966</v>
      </c>
      <c r="G1499" s="26">
        <f t="shared" si="23"/>
        <v>31864925.760000005</v>
      </c>
      <c r="H1499" t="s">
        <v>68</v>
      </c>
    </row>
    <row r="1500" spans="1:9" hidden="1">
      <c r="A1500" s="15" t="s">
        <v>1064</v>
      </c>
      <c r="B1500" s="16" t="s">
        <v>1065</v>
      </c>
      <c r="C1500" s="15" t="s">
        <v>74</v>
      </c>
      <c r="D1500" s="16"/>
      <c r="E1500" s="2">
        <v>81667590.340000004</v>
      </c>
      <c r="F1500" s="23">
        <v>6.3441955351317886E-2</v>
      </c>
      <c r="G1500" s="26">
        <f t="shared" si="23"/>
        <v>5181151.62</v>
      </c>
      <c r="H1500" t="s">
        <v>68</v>
      </c>
    </row>
    <row r="1501" spans="1:9" hidden="1">
      <c r="A1501" s="17" t="s">
        <v>1066</v>
      </c>
      <c r="B1501" s="21" t="s">
        <v>1067</v>
      </c>
      <c r="C1501" s="19" t="s">
        <v>72</v>
      </c>
      <c r="D1501" s="20"/>
      <c r="E1501" s="3">
        <v>62160247.119999997</v>
      </c>
      <c r="F1501" s="24">
        <v>0.55674819218768901</v>
      </c>
      <c r="G1501" s="26">
        <f t="shared" si="23"/>
        <v>34607605.210000001</v>
      </c>
      <c r="H1501" t="s">
        <v>68</v>
      </c>
    </row>
    <row r="1502" spans="1:9" hidden="1">
      <c r="A1502" s="13" t="s">
        <v>1066</v>
      </c>
      <c r="B1502" s="22" t="s">
        <v>1067</v>
      </c>
      <c r="C1502" s="15" t="s">
        <v>73</v>
      </c>
      <c r="D1502" s="16"/>
      <c r="E1502" s="2">
        <v>62160247.119999997</v>
      </c>
      <c r="F1502" s="23">
        <v>0.401269901676028</v>
      </c>
      <c r="G1502" s="26">
        <f t="shared" si="23"/>
        <v>24943036.25</v>
      </c>
      <c r="H1502" t="s">
        <v>68</v>
      </c>
    </row>
    <row r="1503" spans="1:9" hidden="1">
      <c r="A1503" s="19" t="s">
        <v>1066</v>
      </c>
      <c r="B1503" s="20" t="s">
        <v>1067</v>
      </c>
      <c r="C1503" s="19" t="s">
        <v>74</v>
      </c>
      <c r="D1503" s="20"/>
      <c r="E1503" s="3">
        <v>62160247.119999997</v>
      </c>
      <c r="F1503" s="24">
        <v>4.1981906136283074E-2</v>
      </c>
      <c r="G1503" s="26">
        <f t="shared" si="23"/>
        <v>2609605.66</v>
      </c>
      <c r="H1503" t="s">
        <v>68</v>
      </c>
    </row>
    <row r="1504" spans="1:9" hidden="1">
      <c r="A1504" s="13" t="s">
        <v>1068</v>
      </c>
      <c r="B1504" s="14" t="s">
        <v>1069</v>
      </c>
      <c r="C1504" s="15" t="s">
        <v>72</v>
      </c>
      <c r="D1504" s="16"/>
      <c r="E1504" s="2">
        <v>29010636.989999998</v>
      </c>
      <c r="F1504" s="23">
        <v>0.43173296244123593</v>
      </c>
      <c r="G1504" s="26">
        <f t="shared" si="23"/>
        <v>12524848.25</v>
      </c>
      <c r="H1504" t="s">
        <v>68</v>
      </c>
    </row>
    <row r="1505" spans="1:9" hidden="1">
      <c r="A1505" s="17" t="s">
        <v>1068</v>
      </c>
      <c r="B1505" s="18" t="s">
        <v>1069</v>
      </c>
      <c r="C1505" s="19" t="s">
        <v>73</v>
      </c>
      <c r="D1505" s="20"/>
      <c r="E1505" s="3">
        <v>29010636.989999998</v>
      </c>
      <c r="F1505" s="24">
        <v>0.5152153930695198</v>
      </c>
      <c r="G1505" s="26">
        <f t="shared" si="23"/>
        <v>14946726.74</v>
      </c>
      <c r="H1505" t="s">
        <v>68</v>
      </c>
    </row>
    <row r="1506" spans="1:9" hidden="1">
      <c r="A1506" s="15" t="s">
        <v>1068</v>
      </c>
      <c r="B1506" s="16" t="s">
        <v>1069</v>
      </c>
      <c r="C1506" s="15" t="s">
        <v>74</v>
      </c>
      <c r="D1506" s="16"/>
      <c r="E1506" s="2">
        <v>29010636.989999998</v>
      </c>
      <c r="F1506" s="23">
        <v>5.3051644489244293E-2</v>
      </c>
      <c r="G1506" s="26">
        <f t="shared" si="23"/>
        <v>1539062</v>
      </c>
      <c r="H1506" t="s">
        <v>68</v>
      </c>
    </row>
    <row r="1507" spans="1:9" hidden="1">
      <c r="A1507" s="17" t="s">
        <v>1070</v>
      </c>
      <c r="B1507" s="21" t="s">
        <v>1071</v>
      </c>
      <c r="C1507" s="19" t="s">
        <v>72</v>
      </c>
      <c r="D1507" s="20"/>
      <c r="E1507" s="3">
        <v>20519652.670000002</v>
      </c>
      <c r="F1507" s="24">
        <v>0.66319040574676535</v>
      </c>
      <c r="G1507" s="26">
        <f t="shared" si="23"/>
        <v>13608436.779999997</v>
      </c>
      <c r="H1507" t="s">
        <v>68</v>
      </c>
    </row>
    <row r="1508" spans="1:9" hidden="1">
      <c r="A1508" s="13" t="s">
        <v>1070</v>
      </c>
      <c r="B1508" s="22" t="s">
        <v>1071</v>
      </c>
      <c r="C1508" s="15" t="s">
        <v>73</v>
      </c>
      <c r="D1508" s="16"/>
      <c r="E1508" s="2">
        <v>20519652.670000002</v>
      </c>
      <c r="F1508" s="23">
        <v>0.28741213873577709</v>
      </c>
      <c r="G1508" s="26">
        <f t="shared" si="23"/>
        <v>5897597.2599999988</v>
      </c>
      <c r="H1508" t="s">
        <v>68</v>
      </c>
    </row>
    <row r="1509" spans="1:9" hidden="1">
      <c r="A1509" s="19" t="s">
        <v>1070</v>
      </c>
      <c r="B1509" s="20" t="s">
        <v>1071</v>
      </c>
      <c r="C1509" s="19" t="s">
        <v>74</v>
      </c>
      <c r="D1509" s="20"/>
      <c r="E1509" s="3">
        <v>20519652.670000002</v>
      </c>
      <c r="F1509" s="24">
        <v>4.9397455517457348E-2</v>
      </c>
      <c r="G1509" s="26">
        <f t="shared" si="23"/>
        <v>1013618.63</v>
      </c>
      <c r="H1509" t="s">
        <v>68</v>
      </c>
    </row>
    <row r="1510" spans="1:9" hidden="1">
      <c r="A1510" s="13" t="s">
        <v>1072</v>
      </c>
      <c r="B1510" s="14" t="s">
        <v>1073</v>
      </c>
      <c r="C1510" s="15" t="s">
        <v>72</v>
      </c>
      <c r="D1510" s="16"/>
      <c r="E1510" s="2">
        <v>4134613.17</v>
      </c>
      <c r="F1510" s="23">
        <v>0.66738915989086345</v>
      </c>
      <c r="G1510" s="26">
        <f t="shared" si="23"/>
        <v>2759396.01</v>
      </c>
      <c r="H1510" t="s">
        <v>68</v>
      </c>
      <c r="I1510" t="s">
        <v>1883</v>
      </c>
    </row>
    <row r="1511" spans="1:9" hidden="1">
      <c r="A1511" s="17" t="s">
        <v>1072</v>
      </c>
      <c r="B1511" s="18" t="s">
        <v>1073</v>
      </c>
      <c r="C1511" s="19" t="s">
        <v>73</v>
      </c>
      <c r="D1511" s="20"/>
      <c r="E1511" s="3">
        <v>4134613.17</v>
      </c>
      <c r="F1511" s="24">
        <v>0.32896155071261479</v>
      </c>
      <c r="G1511" s="26">
        <f t="shared" si="23"/>
        <v>1360128.76</v>
      </c>
      <c r="H1511" t="s">
        <v>68</v>
      </c>
      <c r="I1511" t="s">
        <v>1883</v>
      </c>
    </row>
    <row r="1512" spans="1:9" hidden="1">
      <c r="A1512" s="15" t="s">
        <v>1072</v>
      </c>
      <c r="B1512" s="16" t="s">
        <v>1073</v>
      </c>
      <c r="C1512" s="15" t="s">
        <v>74</v>
      </c>
      <c r="D1512" s="16"/>
      <c r="E1512" s="2">
        <v>4134613.17</v>
      </c>
      <c r="F1512" s="23">
        <v>3.6492893965217065E-3</v>
      </c>
      <c r="G1512" s="26">
        <f t="shared" si="23"/>
        <v>15088.4</v>
      </c>
      <c r="H1512" t="s">
        <v>68</v>
      </c>
      <c r="I1512" t="s">
        <v>1883</v>
      </c>
    </row>
    <row r="1513" spans="1:9" hidden="1">
      <c r="A1513" s="17" t="s">
        <v>1074</v>
      </c>
      <c r="B1513" s="21" t="s">
        <v>1075</v>
      </c>
      <c r="C1513" s="19" t="s">
        <v>72</v>
      </c>
      <c r="D1513" s="20"/>
      <c r="E1513" s="3">
        <v>6113293.5099999998</v>
      </c>
      <c r="F1513" s="24">
        <v>0.58760529068724532</v>
      </c>
      <c r="G1513" s="26">
        <f t="shared" si="23"/>
        <v>3592203.6100000003</v>
      </c>
      <c r="H1513" t="s">
        <v>68</v>
      </c>
    </row>
    <row r="1514" spans="1:9" hidden="1">
      <c r="A1514" s="13" t="s">
        <v>1074</v>
      </c>
      <c r="B1514" s="22" t="s">
        <v>1075</v>
      </c>
      <c r="C1514" s="15" t="s">
        <v>73</v>
      </c>
      <c r="D1514" s="16"/>
      <c r="E1514" s="2">
        <v>6113293.5099999998</v>
      </c>
      <c r="F1514" s="23">
        <v>0.36653207740388699</v>
      </c>
      <c r="G1514" s="26">
        <f t="shared" si="23"/>
        <v>2240718.17</v>
      </c>
      <c r="H1514" t="s">
        <v>68</v>
      </c>
    </row>
    <row r="1515" spans="1:9" hidden="1">
      <c r="A1515" s="19" t="s">
        <v>1074</v>
      </c>
      <c r="B1515" s="20" t="s">
        <v>1075</v>
      </c>
      <c r="C1515" s="19" t="s">
        <v>74</v>
      </c>
      <c r="D1515" s="20"/>
      <c r="E1515" s="3">
        <v>6113293.5099999998</v>
      </c>
      <c r="F1515" s="24">
        <v>4.5862631908867725E-2</v>
      </c>
      <c r="G1515" s="26">
        <f t="shared" si="23"/>
        <v>280371.73</v>
      </c>
      <c r="H1515" t="s">
        <v>68</v>
      </c>
    </row>
    <row r="1516" spans="1:9" hidden="1">
      <c r="A1516" s="13" t="s">
        <v>1076</v>
      </c>
      <c r="B1516" s="14" t="s">
        <v>1077</v>
      </c>
      <c r="C1516" s="15" t="s">
        <v>72</v>
      </c>
      <c r="D1516" s="16"/>
      <c r="E1516" s="2">
        <v>5585255.3899999997</v>
      </c>
      <c r="F1516" s="23">
        <v>0.41312954357132808</v>
      </c>
      <c r="G1516" s="26">
        <f t="shared" si="23"/>
        <v>2307434.0099999998</v>
      </c>
      <c r="H1516" t="s">
        <v>68</v>
      </c>
    </row>
    <row r="1517" spans="1:9" hidden="1">
      <c r="A1517" s="17" t="s">
        <v>1076</v>
      </c>
      <c r="B1517" s="18" t="s">
        <v>1077</v>
      </c>
      <c r="C1517" s="19" t="s">
        <v>73</v>
      </c>
      <c r="D1517" s="20"/>
      <c r="E1517" s="3">
        <v>5585255.3899999997</v>
      </c>
      <c r="F1517" s="24">
        <v>0.53582275312928884</v>
      </c>
      <c r="G1517" s="26">
        <f t="shared" si="23"/>
        <v>2992706.92</v>
      </c>
      <c r="H1517" t="s">
        <v>68</v>
      </c>
    </row>
    <row r="1518" spans="1:9" hidden="1">
      <c r="A1518" s="15" t="s">
        <v>1076</v>
      </c>
      <c r="B1518" s="16" t="s">
        <v>1077</v>
      </c>
      <c r="C1518" s="15" t="s">
        <v>74</v>
      </c>
      <c r="D1518" s="16"/>
      <c r="E1518" s="2">
        <v>5585255.3899999997</v>
      </c>
      <c r="F1518" s="23">
        <v>5.1047703299383067E-2</v>
      </c>
      <c r="G1518" s="26">
        <f t="shared" si="23"/>
        <v>285114.46000000002</v>
      </c>
      <c r="H1518" t="s">
        <v>68</v>
      </c>
    </row>
    <row r="1519" spans="1:9" hidden="1">
      <c r="A1519" s="17" t="s">
        <v>1078</v>
      </c>
      <c r="B1519" s="21" t="s">
        <v>1079</v>
      </c>
      <c r="C1519" s="19" t="s">
        <v>72</v>
      </c>
      <c r="D1519" s="20"/>
      <c r="E1519" s="3">
        <v>6539228.5300000003</v>
      </c>
      <c r="F1519" s="24">
        <v>0.47518698203379656</v>
      </c>
      <c r="G1519" s="26">
        <f t="shared" si="23"/>
        <v>3107356.27</v>
      </c>
      <c r="H1519" t="s">
        <v>68</v>
      </c>
    </row>
    <row r="1520" spans="1:9" hidden="1">
      <c r="A1520" s="13" t="s">
        <v>1078</v>
      </c>
      <c r="B1520" s="22" t="s">
        <v>1079</v>
      </c>
      <c r="C1520" s="15" t="s">
        <v>73</v>
      </c>
      <c r="D1520" s="16"/>
      <c r="E1520" s="2">
        <v>6539228.5300000003</v>
      </c>
      <c r="F1520" s="23">
        <v>0.48464203467744532</v>
      </c>
      <c r="G1520" s="26">
        <f t="shared" si="23"/>
        <v>3169185.02</v>
      </c>
      <c r="H1520" t="s">
        <v>68</v>
      </c>
    </row>
    <row r="1521" spans="1:9" hidden="1">
      <c r="A1521" s="19" t="s">
        <v>1078</v>
      </c>
      <c r="B1521" s="20" t="s">
        <v>1079</v>
      </c>
      <c r="C1521" s="19" t="s">
        <v>74</v>
      </c>
      <c r="D1521" s="20"/>
      <c r="E1521" s="3">
        <v>6539228.5300000003</v>
      </c>
      <c r="F1521" s="24">
        <v>4.0170983288758066E-2</v>
      </c>
      <c r="G1521" s="26">
        <f t="shared" si="23"/>
        <v>262687.24</v>
      </c>
      <c r="H1521" t="s">
        <v>68</v>
      </c>
    </row>
    <row r="1522" spans="1:9" hidden="1">
      <c r="A1522" s="13" t="s">
        <v>1080</v>
      </c>
      <c r="B1522" s="14" t="s">
        <v>1081</v>
      </c>
      <c r="C1522" s="15" t="s">
        <v>72</v>
      </c>
      <c r="D1522" s="16"/>
      <c r="E1522" s="2">
        <v>11765234.449999999</v>
      </c>
      <c r="F1522" s="23">
        <v>0.476405779572034</v>
      </c>
      <c r="G1522" s="26">
        <f t="shared" si="23"/>
        <v>5605025.6900000004</v>
      </c>
      <c r="H1522" t="s">
        <v>68</v>
      </c>
    </row>
    <row r="1523" spans="1:9" hidden="1">
      <c r="A1523" s="17" t="s">
        <v>1080</v>
      </c>
      <c r="B1523" s="18" t="s">
        <v>1081</v>
      </c>
      <c r="C1523" s="19" t="s">
        <v>73</v>
      </c>
      <c r="D1523" s="20"/>
      <c r="E1523" s="3">
        <v>11765234.449999999</v>
      </c>
      <c r="F1523" s="24">
        <v>0.485690706316524</v>
      </c>
      <c r="G1523" s="26">
        <f t="shared" si="23"/>
        <v>5714265.0300000003</v>
      </c>
      <c r="H1523" t="s">
        <v>68</v>
      </c>
    </row>
    <row r="1524" spans="1:9" hidden="1">
      <c r="A1524" s="15" t="s">
        <v>1080</v>
      </c>
      <c r="B1524" s="16" t="s">
        <v>1081</v>
      </c>
      <c r="C1524" s="15" t="s">
        <v>74</v>
      </c>
      <c r="D1524" s="16"/>
      <c r="E1524" s="2">
        <v>11765234.449999999</v>
      </c>
      <c r="F1524" s="23">
        <v>3.7903514111442126E-2</v>
      </c>
      <c r="G1524" s="26">
        <f t="shared" si="23"/>
        <v>445943.73</v>
      </c>
      <c r="H1524" t="s">
        <v>68</v>
      </c>
    </row>
    <row r="1525" spans="1:9" hidden="1">
      <c r="A1525" s="17" t="s">
        <v>1082</v>
      </c>
      <c r="B1525" s="21" t="s">
        <v>1083</v>
      </c>
      <c r="C1525" s="19" t="s">
        <v>72</v>
      </c>
      <c r="D1525" s="20"/>
      <c r="E1525" s="3">
        <v>6848252.0300000003</v>
      </c>
      <c r="F1525" s="24">
        <v>0.43566744870515522</v>
      </c>
      <c r="G1525" s="26">
        <f t="shared" si="23"/>
        <v>2983560.49</v>
      </c>
      <c r="H1525" t="s">
        <v>68</v>
      </c>
    </row>
    <row r="1526" spans="1:9" hidden="1">
      <c r="A1526" s="13" t="s">
        <v>1082</v>
      </c>
      <c r="B1526" s="22" t="s">
        <v>1083</v>
      </c>
      <c r="C1526" s="15" t="s">
        <v>73</v>
      </c>
      <c r="D1526" s="16"/>
      <c r="E1526" s="2">
        <v>6848252.0300000003</v>
      </c>
      <c r="F1526" s="23">
        <v>0.50065358210830913</v>
      </c>
      <c r="G1526" s="26">
        <f t="shared" si="23"/>
        <v>3428601.9099999997</v>
      </c>
      <c r="H1526" t="s">
        <v>68</v>
      </c>
    </row>
    <row r="1527" spans="1:9" hidden="1">
      <c r="A1527" s="19" t="s">
        <v>1082</v>
      </c>
      <c r="B1527" s="20" t="s">
        <v>1083</v>
      </c>
      <c r="C1527" s="19" t="s">
        <v>74</v>
      </c>
      <c r="D1527" s="20"/>
      <c r="E1527" s="3">
        <v>6848252.0300000003</v>
      </c>
      <c r="F1527" s="24">
        <v>6.3678969186535622E-2</v>
      </c>
      <c r="G1527" s="26">
        <f t="shared" si="23"/>
        <v>436089.63000000006</v>
      </c>
      <c r="H1527" t="s">
        <v>68</v>
      </c>
    </row>
    <row r="1528" spans="1:9" hidden="1">
      <c r="A1528" s="13" t="s">
        <v>1084</v>
      </c>
      <c r="B1528" s="14" t="s">
        <v>1085</v>
      </c>
      <c r="C1528" s="15" t="s">
        <v>72</v>
      </c>
      <c r="D1528" s="16"/>
      <c r="E1528" s="2">
        <v>10065105.710000001</v>
      </c>
      <c r="F1528" s="23">
        <v>0.74900250501194177</v>
      </c>
      <c r="G1528" s="26">
        <f t="shared" si="23"/>
        <v>7538789.3899999997</v>
      </c>
      <c r="H1528" t="s">
        <v>68</v>
      </c>
    </row>
    <row r="1529" spans="1:9" hidden="1">
      <c r="A1529" s="17" t="s">
        <v>1084</v>
      </c>
      <c r="B1529" s="18" t="s">
        <v>1085</v>
      </c>
      <c r="C1529" s="19" t="s">
        <v>73</v>
      </c>
      <c r="D1529" s="20"/>
      <c r="E1529" s="3">
        <v>10065105.710000001</v>
      </c>
      <c r="F1529" s="24">
        <v>0.21431842070538967</v>
      </c>
      <c r="G1529" s="26">
        <f t="shared" si="23"/>
        <v>2157137.56</v>
      </c>
      <c r="H1529" t="s">
        <v>68</v>
      </c>
    </row>
    <row r="1530" spans="1:9" hidden="1">
      <c r="A1530" s="15" t="s">
        <v>1084</v>
      </c>
      <c r="B1530" s="16" t="s">
        <v>1085</v>
      </c>
      <c r="C1530" s="15" t="s">
        <v>74</v>
      </c>
      <c r="D1530" s="16"/>
      <c r="E1530" s="2">
        <v>10065105.710000001</v>
      </c>
      <c r="F1530" s="23">
        <v>3.6679074282668409E-2</v>
      </c>
      <c r="G1530" s="26">
        <f t="shared" si="23"/>
        <v>369178.76</v>
      </c>
      <c r="H1530" t="s">
        <v>68</v>
      </c>
    </row>
    <row r="1531" spans="1:9" hidden="1">
      <c r="A1531" s="17" t="s">
        <v>1086</v>
      </c>
      <c r="B1531" s="21" t="s">
        <v>1087</v>
      </c>
      <c r="C1531" s="19" t="s">
        <v>72</v>
      </c>
      <c r="D1531" s="20"/>
      <c r="E1531" s="3">
        <v>3344569.65</v>
      </c>
      <c r="F1531" s="24">
        <v>0.46204363242966107</v>
      </c>
      <c r="G1531" s="26">
        <f t="shared" si="23"/>
        <v>1545337.11</v>
      </c>
      <c r="H1531" t="s">
        <v>68</v>
      </c>
    </row>
    <row r="1532" spans="1:9" hidden="1">
      <c r="A1532" s="13" t="s">
        <v>1086</v>
      </c>
      <c r="B1532" s="22" t="s">
        <v>1087</v>
      </c>
      <c r="C1532" s="15" t="s">
        <v>73</v>
      </c>
      <c r="D1532" s="16"/>
      <c r="E1532" s="2">
        <v>3344569.65</v>
      </c>
      <c r="F1532" s="23">
        <v>0.49033970334569055</v>
      </c>
      <c r="G1532" s="26">
        <f t="shared" si="23"/>
        <v>1639975.29</v>
      </c>
      <c r="H1532" t="s">
        <v>68</v>
      </c>
    </row>
    <row r="1533" spans="1:9" hidden="1">
      <c r="A1533" s="19" t="s">
        <v>1086</v>
      </c>
      <c r="B1533" s="20" t="s">
        <v>1087</v>
      </c>
      <c r="C1533" s="19" t="s">
        <v>74</v>
      </c>
      <c r="D1533" s="20"/>
      <c r="E1533" s="3">
        <v>3344569.65</v>
      </c>
      <c r="F1533" s="24">
        <v>4.7616664224648456E-2</v>
      </c>
      <c r="G1533" s="26">
        <f t="shared" si="23"/>
        <v>159257.25</v>
      </c>
      <c r="H1533" t="s">
        <v>68</v>
      </c>
    </row>
    <row r="1534" spans="1:9" hidden="1">
      <c r="A1534" s="13" t="s">
        <v>1088</v>
      </c>
      <c r="B1534" s="14" t="s">
        <v>1089</v>
      </c>
      <c r="C1534" s="15" t="s">
        <v>72</v>
      </c>
      <c r="D1534" s="16"/>
      <c r="E1534" s="2">
        <v>2365710.67</v>
      </c>
      <c r="F1534" s="23">
        <v>0.40415036044961489</v>
      </c>
      <c r="G1534" s="26">
        <f t="shared" si="23"/>
        <v>956102.82</v>
      </c>
      <c r="H1534" t="s">
        <v>68</v>
      </c>
      <c r="I1534" t="s">
        <v>1883</v>
      </c>
    </row>
    <row r="1535" spans="1:9" hidden="1">
      <c r="A1535" s="17" t="s">
        <v>1088</v>
      </c>
      <c r="B1535" s="18" t="s">
        <v>1089</v>
      </c>
      <c r="C1535" s="19" t="s">
        <v>73</v>
      </c>
      <c r="D1535" s="20"/>
      <c r="E1535" s="3">
        <v>2365710.67</v>
      </c>
      <c r="F1535" s="24">
        <v>0.27874718509005159</v>
      </c>
      <c r="G1535" s="26">
        <f t="shared" si="23"/>
        <v>659435.18999999994</v>
      </c>
      <c r="H1535" t="s">
        <v>68</v>
      </c>
      <c r="I1535" t="s">
        <v>1883</v>
      </c>
    </row>
    <row r="1536" spans="1:9" hidden="1">
      <c r="A1536" s="15" t="s">
        <v>1088</v>
      </c>
      <c r="B1536" s="16" t="s">
        <v>1089</v>
      </c>
      <c r="C1536" s="15" t="s">
        <v>74</v>
      </c>
      <c r="D1536" s="16"/>
      <c r="E1536" s="2">
        <v>2365710.67</v>
      </c>
      <c r="F1536" s="23">
        <v>0.31710245446033353</v>
      </c>
      <c r="G1536" s="26">
        <f t="shared" si="23"/>
        <v>750172.66000000015</v>
      </c>
      <c r="H1536" t="s">
        <v>68</v>
      </c>
      <c r="I1536" t="s">
        <v>1883</v>
      </c>
    </row>
    <row r="1537" spans="1:8" hidden="1">
      <c r="A1537" s="17" t="s">
        <v>1090</v>
      </c>
      <c r="B1537" s="21" t="s">
        <v>1091</v>
      </c>
      <c r="C1537" s="19" t="s">
        <v>72</v>
      </c>
      <c r="D1537" s="20"/>
      <c r="E1537" s="3">
        <v>4485376.05</v>
      </c>
      <c r="F1537" s="24">
        <v>0.45881541637963669</v>
      </c>
      <c r="G1537" s="26">
        <f t="shared" si="23"/>
        <v>2057959.68</v>
      </c>
      <c r="H1537" t="s">
        <v>68</v>
      </c>
    </row>
    <row r="1538" spans="1:8" hidden="1">
      <c r="A1538" s="13" t="s">
        <v>1090</v>
      </c>
      <c r="B1538" s="22" t="s">
        <v>1091</v>
      </c>
      <c r="C1538" s="15" t="s">
        <v>73</v>
      </c>
      <c r="D1538" s="16"/>
      <c r="E1538" s="2">
        <v>4485376.05</v>
      </c>
      <c r="F1538" s="23">
        <v>0.50782246451777446</v>
      </c>
      <c r="G1538" s="26">
        <f t="shared" si="23"/>
        <v>2277774.7200000002</v>
      </c>
      <c r="H1538" t="s">
        <v>68</v>
      </c>
    </row>
    <row r="1539" spans="1:8" hidden="1">
      <c r="A1539" s="19" t="s">
        <v>1090</v>
      </c>
      <c r="B1539" s="20" t="s">
        <v>1091</v>
      </c>
      <c r="C1539" s="19" t="s">
        <v>74</v>
      </c>
      <c r="D1539" s="20"/>
      <c r="E1539" s="3">
        <v>4485376.05</v>
      </c>
      <c r="F1539" s="24">
        <v>3.3362119102588954E-2</v>
      </c>
      <c r="G1539" s="26">
        <f t="shared" si="23"/>
        <v>149641.65</v>
      </c>
      <c r="H1539" t="s">
        <v>68</v>
      </c>
    </row>
    <row r="1540" spans="1:8" hidden="1">
      <c r="A1540" s="13" t="s">
        <v>1092</v>
      </c>
      <c r="B1540" s="14" t="s">
        <v>1093</v>
      </c>
      <c r="C1540" s="15" t="s">
        <v>72</v>
      </c>
      <c r="D1540" s="16"/>
      <c r="E1540" s="2">
        <v>4955184.96</v>
      </c>
      <c r="F1540" s="23">
        <v>0.42186781056100076</v>
      </c>
      <c r="G1540" s="26">
        <f t="shared" si="23"/>
        <v>2090433.03</v>
      </c>
      <c r="H1540" t="s">
        <v>68</v>
      </c>
    </row>
    <row r="1541" spans="1:8" hidden="1">
      <c r="A1541" s="17" t="s">
        <v>1092</v>
      </c>
      <c r="B1541" s="18" t="s">
        <v>1093</v>
      </c>
      <c r="C1541" s="19" t="s">
        <v>73</v>
      </c>
      <c r="D1541" s="20"/>
      <c r="E1541" s="3">
        <v>4955184.96</v>
      </c>
      <c r="F1541" s="24">
        <v>0.52220837988659052</v>
      </c>
      <c r="G1541" s="26">
        <f t="shared" ref="G1541:G1604" si="24">F1541*E1541</f>
        <v>2587639.11</v>
      </c>
      <c r="H1541" t="s">
        <v>68</v>
      </c>
    </row>
    <row r="1542" spans="1:8" hidden="1">
      <c r="A1542" s="15" t="s">
        <v>1092</v>
      </c>
      <c r="B1542" s="16" t="s">
        <v>1093</v>
      </c>
      <c r="C1542" s="15" t="s">
        <v>74</v>
      </c>
      <c r="D1542" s="16"/>
      <c r="E1542" s="2">
        <v>4955184.96</v>
      </c>
      <c r="F1542" s="23">
        <v>5.5923809552408721E-2</v>
      </c>
      <c r="G1542" s="26">
        <f t="shared" si="24"/>
        <v>277112.82</v>
      </c>
      <c r="H1542" t="s">
        <v>68</v>
      </c>
    </row>
    <row r="1543" spans="1:8" hidden="1">
      <c r="A1543" s="17" t="s">
        <v>1094</v>
      </c>
      <c r="B1543" s="21" t="s">
        <v>1095</v>
      </c>
      <c r="C1543" s="19" t="s">
        <v>72</v>
      </c>
      <c r="D1543" s="20"/>
      <c r="E1543" s="3">
        <v>9506982.3000000007</v>
      </c>
      <c r="F1543" s="24">
        <v>0.36227350502167227</v>
      </c>
      <c r="G1543" s="26">
        <f t="shared" si="24"/>
        <v>3444127.8</v>
      </c>
      <c r="H1543" t="s">
        <v>68</v>
      </c>
    </row>
    <row r="1544" spans="1:8" hidden="1">
      <c r="A1544" s="13" t="s">
        <v>1094</v>
      </c>
      <c r="B1544" s="22" t="s">
        <v>1095</v>
      </c>
      <c r="C1544" s="15" t="s">
        <v>73</v>
      </c>
      <c r="D1544" s="16"/>
      <c r="E1544" s="2">
        <v>9506982.3000000007</v>
      </c>
      <c r="F1544" s="23">
        <v>0.61243379300285439</v>
      </c>
      <c r="G1544" s="26">
        <f t="shared" si="24"/>
        <v>5822397.2300000014</v>
      </c>
      <c r="H1544" t="s">
        <v>68</v>
      </c>
    </row>
    <row r="1545" spans="1:8" hidden="1">
      <c r="A1545" s="19" t="s">
        <v>1094</v>
      </c>
      <c r="B1545" s="20" t="s">
        <v>1095</v>
      </c>
      <c r="C1545" s="19" t="s">
        <v>74</v>
      </c>
      <c r="D1545" s="20"/>
      <c r="E1545" s="3">
        <v>9506982.3000000007</v>
      </c>
      <c r="F1545" s="24">
        <v>2.5292701975473328E-2</v>
      </c>
      <c r="G1545" s="26">
        <f t="shared" si="24"/>
        <v>240457.27</v>
      </c>
      <c r="H1545" t="s">
        <v>68</v>
      </c>
    </row>
    <row r="1546" spans="1:8" hidden="1">
      <c r="A1546" s="13" t="s">
        <v>1096</v>
      </c>
      <c r="B1546" s="14" t="s">
        <v>1097</v>
      </c>
      <c r="C1546" s="15" t="s">
        <v>72</v>
      </c>
      <c r="D1546" s="16"/>
      <c r="E1546" s="2">
        <v>6534618.9000000004</v>
      </c>
      <c r="F1546" s="23">
        <v>0.28893944373710911</v>
      </c>
      <c r="G1546" s="26">
        <f t="shared" si="24"/>
        <v>1888109.15</v>
      </c>
      <c r="H1546" t="s">
        <v>68</v>
      </c>
    </row>
    <row r="1547" spans="1:8" hidden="1">
      <c r="A1547" s="17" t="s">
        <v>1096</v>
      </c>
      <c r="B1547" s="18" t="s">
        <v>1097</v>
      </c>
      <c r="C1547" s="19" t="s">
        <v>73</v>
      </c>
      <c r="D1547" s="20"/>
      <c r="E1547" s="3">
        <v>6534618.9000000004</v>
      </c>
      <c r="F1547" s="24">
        <v>0.6820607610338224</v>
      </c>
      <c r="G1547" s="26">
        <f t="shared" si="24"/>
        <v>4457007.1399999997</v>
      </c>
      <c r="H1547" t="s">
        <v>68</v>
      </c>
    </row>
    <row r="1548" spans="1:8" hidden="1">
      <c r="A1548" s="15" t="s">
        <v>1096</v>
      </c>
      <c r="B1548" s="16" t="s">
        <v>1097</v>
      </c>
      <c r="C1548" s="15" t="s">
        <v>74</v>
      </c>
      <c r="D1548" s="16"/>
      <c r="E1548" s="2">
        <v>6534618.9000000004</v>
      </c>
      <c r="F1548" s="23">
        <v>2.8999795229068367E-2</v>
      </c>
      <c r="G1548" s="26">
        <f t="shared" si="24"/>
        <v>189502.61</v>
      </c>
      <c r="H1548" t="s">
        <v>68</v>
      </c>
    </row>
    <row r="1549" spans="1:8" hidden="1">
      <c r="A1549" s="17" t="s">
        <v>1098</v>
      </c>
      <c r="B1549" s="21" t="s">
        <v>1099</v>
      </c>
      <c r="C1549" s="19" t="s">
        <v>72</v>
      </c>
      <c r="D1549" s="20"/>
      <c r="E1549" s="3">
        <v>5316278.4000000004</v>
      </c>
      <c r="F1549" s="24">
        <v>0.42247084727541734</v>
      </c>
      <c r="G1549" s="26">
        <f t="shared" si="24"/>
        <v>2245972.64</v>
      </c>
      <c r="H1549" t="s">
        <v>68</v>
      </c>
    </row>
    <row r="1550" spans="1:8" hidden="1">
      <c r="A1550" s="13" t="s">
        <v>1098</v>
      </c>
      <c r="B1550" s="22" t="s">
        <v>1099</v>
      </c>
      <c r="C1550" s="15" t="s">
        <v>73</v>
      </c>
      <c r="D1550" s="16"/>
      <c r="E1550" s="2">
        <v>5316278.4000000004</v>
      </c>
      <c r="F1550" s="23">
        <v>0.50325705102276053</v>
      </c>
      <c r="G1550" s="26">
        <f t="shared" si="24"/>
        <v>2675454.59</v>
      </c>
      <c r="H1550" t="s">
        <v>68</v>
      </c>
    </row>
    <row r="1551" spans="1:8" hidden="1">
      <c r="A1551" s="19" t="s">
        <v>1098</v>
      </c>
      <c r="B1551" s="20" t="s">
        <v>1099</v>
      </c>
      <c r="C1551" s="19" t="s">
        <v>74</v>
      </c>
      <c r="D1551" s="20"/>
      <c r="E1551" s="3">
        <v>5316278.4000000004</v>
      </c>
      <c r="F1551" s="24">
        <v>7.427210170182208E-2</v>
      </c>
      <c r="G1551" s="26">
        <f t="shared" si="24"/>
        <v>394851.17</v>
      </c>
      <c r="H1551" t="s">
        <v>68</v>
      </c>
    </row>
    <row r="1552" spans="1:8" hidden="1">
      <c r="A1552" s="13" t="s">
        <v>1100</v>
      </c>
      <c r="B1552" s="14" t="s">
        <v>1101</v>
      </c>
      <c r="C1552" s="15" t="s">
        <v>72</v>
      </c>
      <c r="D1552" s="16"/>
      <c r="E1552" s="2">
        <v>4753798.2300000004</v>
      </c>
      <c r="F1552" s="23">
        <v>0.39858939490580775</v>
      </c>
      <c r="G1552" s="26">
        <f t="shared" si="24"/>
        <v>1894813.56</v>
      </c>
      <c r="H1552" t="s">
        <v>68</v>
      </c>
    </row>
    <row r="1553" spans="1:8" hidden="1">
      <c r="A1553" s="17" t="s">
        <v>1100</v>
      </c>
      <c r="B1553" s="18" t="s">
        <v>1101</v>
      </c>
      <c r="C1553" s="19" t="s">
        <v>73</v>
      </c>
      <c r="D1553" s="20"/>
      <c r="E1553" s="3">
        <v>4753798.2300000004</v>
      </c>
      <c r="F1553" s="24">
        <v>0.54174488175531998</v>
      </c>
      <c r="G1553" s="26">
        <f t="shared" si="24"/>
        <v>2575345.86</v>
      </c>
      <c r="H1553" t="s">
        <v>68</v>
      </c>
    </row>
    <row r="1554" spans="1:8" hidden="1">
      <c r="A1554" s="15" t="s">
        <v>1100</v>
      </c>
      <c r="B1554" s="16" t="s">
        <v>1101</v>
      </c>
      <c r="C1554" s="15" t="s">
        <v>74</v>
      </c>
      <c r="D1554" s="16"/>
      <c r="E1554" s="2">
        <v>4753798.2300000004</v>
      </c>
      <c r="F1554" s="23">
        <v>5.9665723338872122E-2</v>
      </c>
      <c r="G1554" s="26">
        <f t="shared" si="24"/>
        <v>283638.81</v>
      </c>
      <c r="H1554" t="s">
        <v>68</v>
      </c>
    </row>
    <row r="1555" spans="1:8" hidden="1">
      <c r="A1555" s="17" t="s">
        <v>1102</v>
      </c>
      <c r="B1555" s="21" t="s">
        <v>1103</v>
      </c>
      <c r="C1555" s="19" t="s">
        <v>72</v>
      </c>
      <c r="D1555" s="20"/>
      <c r="E1555" s="3">
        <v>10906527.880000001</v>
      </c>
      <c r="F1555" s="24">
        <v>0.42460722339436219</v>
      </c>
      <c r="G1555" s="26">
        <f t="shared" si="24"/>
        <v>4630990.5199999996</v>
      </c>
      <c r="H1555" t="s">
        <v>68</v>
      </c>
    </row>
    <row r="1556" spans="1:8" hidden="1">
      <c r="A1556" s="13" t="s">
        <v>1102</v>
      </c>
      <c r="B1556" s="22" t="s">
        <v>1103</v>
      </c>
      <c r="C1556" s="15" t="s">
        <v>73</v>
      </c>
      <c r="D1556" s="16"/>
      <c r="E1556" s="2">
        <v>10906527.880000001</v>
      </c>
      <c r="F1556" s="23">
        <v>0.5307114238083257</v>
      </c>
      <c r="G1556" s="26">
        <f t="shared" si="24"/>
        <v>5788218.9400000004</v>
      </c>
      <c r="H1556" t="s">
        <v>68</v>
      </c>
    </row>
    <row r="1557" spans="1:8" hidden="1">
      <c r="A1557" s="19" t="s">
        <v>1102</v>
      </c>
      <c r="B1557" s="20" t="s">
        <v>1103</v>
      </c>
      <c r="C1557" s="19" t="s">
        <v>74</v>
      </c>
      <c r="D1557" s="20"/>
      <c r="E1557" s="3">
        <v>10906527.880000001</v>
      </c>
      <c r="F1557" s="24">
        <v>4.4681352797312057E-2</v>
      </c>
      <c r="G1557" s="26">
        <f t="shared" si="24"/>
        <v>487318.42</v>
      </c>
      <c r="H1557" t="s">
        <v>68</v>
      </c>
    </row>
    <row r="1558" spans="1:8" hidden="1">
      <c r="A1558" s="13" t="s">
        <v>1104</v>
      </c>
      <c r="B1558" s="14" t="s">
        <v>1105</v>
      </c>
      <c r="C1558" s="15" t="s">
        <v>72</v>
      </c>
      <c r="D1558" s="16"/>
      <c r="E1558" s="2">
        <v>9789530.1600000001</v>
      </c>
      <c r="F1558" s="23">
        <v>0.46639524628626305</v>
      </c>
      <c r="G1558" s="26">
        <f t="shared" si="24"/>
        <v>4565790.33</v>
      </c>
      <c r="H1558" t="s">
        <v>68</v>
      </c>
    </row>
    <row r="1559" spans="1:8" hidden="1">
      <c r="A1559" s="17" t="s">
        <v>1104</v>
      </c>
      <c r="B1559" s="18" t="s">
        <v>1105</v>
      </c>
      <c r="C1559" s="19" t="s">
        <v>73</v>
      </c>
      <c r="D1559" s="20"/>
      <c r="E1559" s="3">
        <v>9789530.1600000001</v>
      </c>
      <c r="F1559" s="24">
        <v>0.47872682992990545</v>
      </c>
      <c r="G1559" s="26">
        <f t="shared" si="24"/>
        <v>4686510.74</v>
      </c>
      <c r="H1559" t="s">
        <v>68</v>
      </c>
    </row>
    <row r="1560" spans="1:8" hidden="1">
      <c r="A1560" s="15" t="s">
        <v>1104</v>
      </c>
      <c r="B1560" s="16" t="s">
        <v>1105</v>
      </c>
      <c r="C1560" s="15" t="s">
        <v>74</v>
      </c>
      <c r="D1560" s="16"/>
      <c r="E1560" s="2">
        <v>9789530.1600000001</v>
      </c>
      <c r="F1560" s="23">
        <v>5.4877923783831516E-2</v>
      </c>
      <c r="G1560" s="26">
        <f t="shared" si="24"/>
        <v>537229.09</v>
      </c>
      <c r="H1560" t="s">
        <v>68</v>
      </c>
    </row>
    <row r="1561" spans="1:8" hidden="1">
      <c r="A1561" s="17" t="s">
        <v>1106</v>
      </c>
      <c r="B1561" s="21" t="s">
        <v>1107</v>
      </c>
      <c r="C1561" s="19" t="s">
        <v>72</v>
      </c>
      <c r="D1561" s="20"/>
      <c r="E1561" s="3">
        <v>7269538.1900000004</v>
      </c>
      <c r="F1561" s="24">
        <v>0.2497637349918097</v>
      </c>
      <c r="G1561" s="26">
        <f t="shared" si="24"/>
        <v>1815667.01</v>
      </c>
      <c r="H1561" t="s">
        <v>68</v>
      </c>
    </row>
    <row r="1562" spans="1:8" hidden="1">
      <c r="A1562" s="13" t="s">
        <v>1106</v>
      </c>
      <c r="B1562" s="22" t="s">
        <v>1107</v>
      </c>
      <c r="C1562" s="15" t="s">
        <v>73</v>
      </c>
      <c r="D1562" s="16"/>
      <c r="E1562" s="2">
        <v>7269538.1900000004</v>
      </c>
      <c r="F1562" s="23">
        <v>0.65093266536646388</v>
      </c>
      <c r="G1562" s="26">
        <f t="shared" si="24"/>
        <v>4731979.87</v>
      </c>
      <c r="H1562" t="s">
        <v>68</v>
      </c>
    </row>
    <row r="1563" spans="1:8" hidden="1">
      <c r="A1563" s="19" t="s">
        <v>1106</v>
      </c>
      <c r="B1563" s="20" t="s">
        <v>1107</v>
      </c>
      <c r="C1563" s="19" t="s">
        <v>74</v>
      </c>
      <c r="D1563" s="20"/>
      <c r="E1563" s="3">
        <v>7269538.1900000004</v>
      </c>
      <c r="F1563" s="24">
        <v>9.9303599641726345E-2</v>
      </c>
      <c r="G1563" s="26">
        <f t="shared" si="24"/>
        <v>721891.31</v>
      </c>
      <c r="H1563" t="s">
        <v>68</v>
      </c>
    </row>
    <row r="1564" spans="1:8" hidden="1">
      <c r="A1564" s="13" t="s">
        <v>1108</v>
      </c>
      <c r="B1564" s="14" t="s">
        <v>1109</v>
      </c>
      <c r="C1564" s="15" t="s">
        <v>72</v>
      </c>
      <c r="D1564" s="16"/>
      <c r="E1564" s="2">
        <v>7036665.0199999996</v>
      </c>
      <c r="F1564" s="23">
        <v>0.24034367490752034</v>
      </c>
      <c r="G1564" s="26">
        <f t="shared" si="24"/>
        <v>1691217.93</v>
      </c>
      <c r="H1564" t="s">
        <v>68</v>
      </c>
    </row>
    <row r="1565" spans="1:8" hidden="1">
      <c r="A1565" s="17" t="s">
        <v>1108</v>
      </c>
      <c r="B1565" s="18" t="s">
        <v>1109</v>
      </c>
      <c r="C1565" s="19" t="s">
        <v>73</v>
      </c>
      <c r="D1565" s="20"/>
      <c r="E1565" s="3">
        <v>7036665.0199999996</v>
      </c>
      <c r="F1565" s="24">
        <v>0.70547167101042429</v>
      </c>
      <c r="G1565" s="26">
        <f t="shared" si="24"/>
        <v>4964167.83</v>
      </c>
      <c r="H1565" t="s">
        <v>68</v>
      </c>
    </row>
    <row r="1566" spans="1:8" hidden="1">
      <c r="A1566" s="15" t="s">
        <v>1108</v>
      </c>
      <c r="B1566" s="16" t="s">
        <v>1109</v>
      </c>
      <c r="C1566" s="15" t="s">
        <v>74</v>
      </c>
      <c r="D1566" s="16"/>
      <c r="E1566" s="2">
        <v>7036665.0199999996</v>
      </c>
      <c r="F1566" s="23">
        <v>5.4184654082055486E-2</v>
      </c>
      <c r="G1566" s="26">
        <f t="shared" si="24"/>
        <v>381279.26</v>
      </c>
      <c r="H1566" t="s">
        <v>68</v>
      </c>
    </row>
    <row r="1567" spans="1:8" hidden="1">
      <c r="A1567" s="17" t="s">
        <v>1110</v>
      </c>
      <c r="B1567" s="21" t="s">
        <v>1111</v>
      </c>
      <c r="C1567" s="19" t="s">
        <v>72</v>
      </c>
      <c r="D1567" s="20"/>
      <c r="E1567" s="3">
        <v>11326336.52</v>
      </c>
      <c r="F1567" s="24">
        <v>0.23749137995769176</v>
      </c>
      <c r="G1567" s="26">
        <f t="shared" si="24"/>
        <v>2689907.29</v>
      </c>
      <c r="H1567" t="s">
        <v>68</v>
      </c>
    </row>
    <row r="1568" spans="1:8" hidden="1">
      <c r="A1568" s="13" t="s">
        <v>1110</v>
      </c>
      <c r="B1568" s="22" t="s">
        <v>1111</v>
      </c>
      <c r="C1568" s="15" t="s">
        <v>73</v>
      </c>
      <c r="D1568" s="16"/>
      <c r="E1568" s="2">
        <v>11326336.52</v>
      </c>
      <c r="F1568" s="23">
        <v>0.7006575847350861</v>
      </c>
      <c r="G1568" s="26">
        <f t="shared" si="24"/>
        <v>7935883.5899999999</v>
      </c>
      <c r="H1568" t="s">
        <v>68</v>
      </c>
    </row>
    <row r="1569" spans="1:8" hidden="1">
      <c r="A1569" s="19" t="s">
        <v>1110</v>
      </c>
      <c r="B1569" s="20" t="s">
        <v>1111</v>
      </c>
      <c r="C1569" s="19" t="s">
        <v>74</v>
      </c>
      <c r="D1569" s="20"/>
      <c r="E1569" s="3">
        <v>11326336.52</v>
      </c>
      <c r="F1569" s="24">
        <v>6.1851035307222184E-2</v>
      </c>
      <c r="G1569" s="26">
        <f t="shared" si="24"/>
        <v>700545.64</v>
      </c>
      <c r="H1569" t="s">
        <v>68</v>
      </c>
    </row>
    <row r="1570" spans="1:8" hidden="1">
      <c r="A1570" s="13" t="s">
        <v>1112</v>
      </c>
      <c r="B1570" s="14" t="s">
        <v>1113</v>
      </c>
      <c r="C1570" s="15" t="s">
        <v>72</v>
      </c>
      <c r="D1570" s="16"/>
      <c r="E1570" s="2">
        <v>16677248.359999999</v>
      </c>
      <c r="F1570" s="23">
        <v>0.52493576044579582</v>
      </c>
      <c r="G1570" s="26">
        <f t="shared" si="24"/>
        <v>8754484.0500000007</v>
      </c>
      <c r="H1570" t="s">
        <v>68</v>
      </c>
    </row>
    <row r="1571" spans="1:8" hidden="1">
      <c r="A1571" s="17" t="s">
        <v>1112</v>
      </c>
      <c r="B1571" s="18" t="s">
        <v>1113</v>
      </c>
      <c r="C1571" s="19" t="s">
        <v>73</v>
      </c>
      <c r="D1571" s="20"/>
      <c r="E1571" s="3">
        <v>16677248.359999999</v>
      </c>
      <c r="F1571" s="24">
        <v>0.34285245842558165</v>
      </c>
      <c r="G1571" s="26">
        <f t="shared" si="24"/>
        <v>5717835.5999999996</v>
      </c>
      <c r="H1571" t="s">
        <v>68</v>
      </c>
    </row>
    <row r="1572" spans="1:8" hidden="1">
      <c r="A1572" s="15" t="s">
        <v>1112</v>
      </c>
      <c r="B1572" s="16" t="s">
        <v>1113</v>
      </c>
      <c r="C1572" s="15" t="s">
        <v>74</v>
      </c>
      <c r="D1572" s="16"/>
      <c r="E1572" s="2">
        <v>16677248.359999999</v>
      </c>
      <c r="F1572" s="23">
        <v>0.13221178112862259</v>
      </c>
      <c r="G1572" s="26">
        <f t="shared" si="24"/>
        <v>2204928.71</v>
      </c>
      <c r="H1572" t="s">
        <v>68</v>
      </c>
    </row>
    <row r="1573" spans="1:8" hidden="1">
      <c r="A1573" s="17" t="s">
        <v>1114</v>
      </c>
      <c r="B1573" s="21" t="s">
        <v>1115</v>
      </c>
      <c r="C1573" s="19" t="s">
        <v>72</v>
      </c>
      <c r="D1573" s="20"/>
      <c r="E1573" s="3">
        <v>21909111.600000001</v>
      </c>
      <c r="F1573" s="24">
        <v>0.35053777306059275</v>
      </c>
      <c r="G1573" s="26">
        <f t="shared" si="24"/>
        <v>7679971.1900000004</v>
      </c>
      <c r="H1573" t="s">
        <v>68</v>
      </c>
    </row>
    <row r="1574" spans="1:8" hidden="1">
      <c r="A1574" s="13" t="s">
        <v>1114</v>
      </c>
      <c r="B1574" s="22" t="s">
        <v>1115</v>
      </c>
      <c r="C1574" s="15" t="s">
        <v>73</v>
      </c>
      <c r="D1574" s="16"/>
      <c r="E1574" s="2">
        <v>21909111.600000001</v>
      </c>
      <c r="F1574" s="23">
        <v>0.53795018050846011</v>
      </c>
      <c r="G1574" s="26">
        <f t="shared" si="24"/>
        <v>11786010.539999997</v>
      </c>
      <c r="H1574" t="s">
        <v>68</v>
      </c>
    </row>
    <row r="1575" spans="1:8" hidden="1">
      <c r="A1575" s="19" t="s">
        <v>1114</v>
      </c>
      <c r="B1575" s="20" t="s">
        <v>1115</v>
      </c>
      <c r="C1575" s="19" t="s">
        <v>74</v>
      </c>
      <c r="D1575" s="20"/>
      <c r="E1575" s="3">
        <v>21909111.600000001</v>
      </c>
      <c r="F1575" s="24">
        <v>0.11151204643094702</v>
      </c>
      <c r="G1575" s="26">
        <f t="shared" si="24"/>
        <v>2443129.87</v>
      </c>
      <c r="H1575" t="s">
        <v>68</v>
      </c>
    </row>
    <row r="1576" spans="1:8" hidden="1">
      <c r="A1576" s="13" t="s">
        <v>1116</v>
      </c>
      <c r="B1576" s="14" t="s">
        <v>1117</v>
      </c>
      <c r="C1576" s="15" t="s">
        <v>72</v>
      </c>
      <c r="D1576" s="16"/>
      <c r="E1576" s="2">
        <v>5844057.46</v>
      </c>
      <c r="F1576" s="23">
        <v>0.48656637780560086</v>
      </c>
      <c r="G1576" s="26">
        <f t="shared" si="24"/>
        <v>2843521.87</v>
      </c>
      <c r="H1576" t="s">
        <v>68</v>
      </c>
    </row>
    <row r="1577" spans="1:8" hidden="1">
      <c r="A1577" s="17" t="s">
        <v>1116</v>
      </c>
      <c r="B1577" s="18" t="s">
        <v>1117</v>
      </c>
      <c r="C1577" s="19" t="s">
        <v>73</v>
      </c>
      <c r="D1577" s="20"/>
      <c r="E1577" s="3">
        <v>5844057.46</v>
      </c>
      <c r="F1577" s="24">
        <v>0.45883667440874204</v>
      </c>
      <c r="G1577" s="26">
        <f t="shared" si="24"/>
        <v>2681467.89</v>
      </c>
      <c r="H1577" t="s">
        <v>68</v>
      </c>
    </row>
    <row r="1578" spans="1:8" hidden="1">
      <c r="A1578" s="15" t="s">
        <v>1116</v>
      </c>
      <c r="B1578" s="16" t="s">
        <v>1117</v>
      </c>
      <c r="C1578" s="15" t="s">
        <v>74</v>
      </c>
      <c r="D1578" s="16"/>
      <c r="E1578" s="2">
        <v>5844057.46</v>
      </c>
      <c r="F1578" s="23">
        <v>5.4596947785657129E-2</v>
      </c>
      <c r="G1578" s="26">
        <f t="shared" si="24"/>
        <v>319067.7</v>
      </c>
      <c r="H1578" t="s">
        <v>68</v>
      </c>
    </row>
    <row r="1579" spans="1:8" hidden="1">
      <c r="A1579" s="17" t="s">
        <v>1118</v>
      </c>
      <c r="B1579" s="21" t="s">
        <v>1341</v>
      </c>
      <c r="C1579" s="19" t="s">
        <v>72</v>
      </c>
      <c r="D1579" s="20"/>
      <c r="E1579" s="3">
        <v>9418684.6899999995</v>
      </c>
      <c r="F1579" s="24">
        <v>0.36501654776172365</v>
      </c>
      <c r="G1579" s="26">
        <f t="shared" si="24"/>
        <v>3437975.77</v>
      </c>
      <c r="H1579" t="s">
        <v>68</v>
      </c>
    </row>
    <row r="1580" spans="1:8" hidden="1">
      <c r="A1580" s="13" t="s">
        <v>1118</v>
      </c>
      <c r="B1580" s="22" t="s">
        <v>1341</v>
      </c>
      <c r="C1580" s="15" t="s">
        <v>73</v>
      </c>
      <c r="D1580" s="16"/>
      <c r="E1580" s="2">
        <v>9418684.6899999995</v>
      </c>
      <c r="F1580" s="23">
        <v>0.58409546673124701</v>
      </c>
      <c r="G1580" s="26">
        <f t="shared" si="24"/>
        <v>5501411.0300000003</v>
      </c>
      <c r="H1580" t="s">
        <v>68</v>
      </c>
    </row>
    <row r="1581" spans="1:8" hidden="1">
      <c r="A1581" s="19" t="s">
        <v>1118</v>
      </c>
      <c r="B1581" s="20" t="s">
        <v>1341</v>
      </c>
      <c r="C1581" s="19" t="s">
        <v>74</v>
      </c>
      <c r="D1581" s="20"/>
      <c r="E1581" s="3">
        <v>9418684.6899999995</v>
      </c>
      <c r="F1581" s="24">
        <v>5.0887985507029436E-2</v>
      </c>
      <c r="G1581" s="26">
        <f t="shared" si="24"/>
        <v>479297.89</v>
      </c>
      <c r="H1581" t="s">
        <v>68</v>
      </c>
    </row>
    <row r="1582" spans="1:8" hidden="1">
      <c r="A1582" s="13" t="s">
        <v>1342</v>
      </c>
      <c r="B1582" s="14" t="s">
        <v>1343</v>
      </c>
      <c r="C1582" s="15" t="s">
        <v>72</v>
      </c>
      <c r="D1582" s="16"/>
      <c r="E1582" s="2">
        <v>8020030.0700000003</v>
      </c>
      <c r="F1582" s="23">
        <v>0.34153927929100641</v>
      </c>
      <c r="G1582" s="26">
        <f t="shared" si="24"/>
        <v>2739155.29</v>
      </c>
      <c r="H1582" t="s">
        <v>68</v>
      </c>
    </row>
    <row r="1583" spans="1:8" hidden="1">
      <c r="A1583" s="17" t="s">
        <v>1342</v>
      </c>
      <c r="B1583" s="18" t="s">
        <v>1343</v>
      </c>
      <c r="C1583" s="19" t="s">
        <v>73</v>
      </c>
      <c r="D1583" s="20"/>
      <c r="E1583" s="3">
        <v>8020030.0700000003</v>
      </c>
      <c r="F1583" s="24">
        <v>0.59291520087779426</v>
      </c>
      <c r="G1583" s="26">
        <f t="shared" si="24"/>
        <v>4755197.74</v>
      </c>
      <c r="H1583" t="s">
        <v>68</v>
      </c>
    </row>
    <row r="1584" spans="1:8" hidden="1">
      <c r="A1584" s="15" t="s">
        <v>1342</v>
      </c>
      <c r="B1584" s="16" t="s">
        <v>1343</v>
      </c>
      <c r="C1584" s="15" t="s">
        <v>74</v>
      </c>
      <c r="D1584" s="16"/>
      <c r="E1584" s="2">
        <v>8020030.0700000003</v>
      </c>
      <c r="F1584" s="23">
        <v>6.5545519831199342E-2</v>
      </c>
      <c r="G1584" s="26">
        <f t="shared" si="24"/>
        <v>525677.04</v>
      </c>
      <c r="H1584" t="s">
        <v>68</v>
      </c>
    </row>
    <row r="1585" spans="1:9" hidden="1">
      <c r="A1585" s="17" t="s">
        <v>1344</v>
      </c>
      <c r="B1585" s="21" t="s">
        <v>1345</v>
      </c>
      <c r="C1585" s="19" t="s">
        <v>72</v>
      </c>
      <c r="D1585" s="20"/>
      <c r="E1585" s="3">
        <v>11517126.49</v>
      </c>
      <c r="F1585" s="24">
        <v>0.37616254746890426</v>
      </c>
      <c r="G1585" s="26">
        <f t="shared" si="24"/>
        <v>4332311.6399999997</v>
      </c>
      <c r="H1585" t="s">
        <v>68</v>
      </c>
    </row>
    <row r="1586" spans="1:9" hidden="1">
      <c r="A1586" s="13" t="s">
        <v>1344</v>
      </c>
      <c r="B1586" s="22" t="s">
        <v>1345</v>
      </c>
      <c r="C1586" s="15" t="s">
        <v>73</v>
      </c>
      <c r="D1586" s="16"/>
      <c r="E1586" s="2">
        <v>11517126.49</v>
      </c>
      <c r="F1586" s="23">
        <v>0.56756945368931178</v>
      </c>
      <c r="G1586" s="26">
        <f t="shared" si="24"/>
        <v>6536769.1900000013</v>
      </c>
      <c r="H1586" t="s">
        <v>68</v>
      </c>
    </row>
    <row r="1587" spans="1:9" hidden="1">
      <c r="A1587" s="19" t="s">
        <v>1344</v>
      </c>
      <c r="B1587" s="20" t="s">
        <v>1345</v>
      </c>
      <c r="C1587" s="19" t="s">
        <v>74</v>
      </c>
      <c r="D1587" s="20"/>
      <c r="E1587" s="3">
        <v>11517126.49</v>
      </c>
      <c r="F1587" s="24">
        <v>5.6267998841784017E-2</v>
      </c>
      <c r="G1587" s="26">
        <f t="shared" si="24"/>
        <v>648045.66</v>
      </c>
      <c r="H1587" t="s">
        <v>68</v>
      </c>
    </row>
    <row r="1588" spans="1:9" hidden="1">
      <c r="A1588" s="13" t="s">
        <v>1346</v>
      </c>
      <c r="B1588" s="14" t="s">
        <v>1347</v>
      </c>
      <c r="C1588" s="15" t="s">
        <v>72</v>
      </c>
      <c r="D1588" s="16"/>
      <c r="E1588" s="2">
        <v>11463955.83</v>
      </c>
      <c r="F1588" s="23">
        <v>0.23481675347662256</v>
      </c>
      <c r="G1588" s="26">
        <f t="shared" si="24"/>
        <v>2691928.89</v>
      </c>
      <c r="H1588" t="s">
        <v>68</v>
      </c>
    </row>
    <row r="1589" spans="1:9" hidden="1">
      <c r="A1589" s="17" t="s">
        <v>1346</v>
      </c>
      <c r="B1589" s="18" t="s">
        <v>1347</v>
      </c>
      <c r="C1589" s="19" t="s">
        <v>73</v>
      </c>
      <c r="D1589" s="20"/>
      <c r="E1589" s="3">
        <v>11463955.83</v>
      </c>
      <c r="F1589" s="24">
        <v>0.66103483582595068</v>
      </c>
      <c r="G1589" s="26">
        <f t="shared" si="24"/>
        <v>7578074.1600000001</v>
      </c>
      <c r="H1589" t="s">
        <v>68</v>
      </c>
    </row>
    <row r="1590" spans="1:9" hidden="1">
      <c r="A1590" s="15" t="s">
        <v>1346</v>
      </c>
      <c r="B1590" s="16" t="s">
        <v>1347</v>
      </c>
      <c r="C1590" s="15" t="s">
        <v>74</v>
      </c>
      <c r="D1590" s="16"/>
      <c r="E1590" s="2">
        <v>11463955.83</v>
      </c>
      <c r="F1590" s="23">
        <v>0.10414841069742678</v>
      </c>
      <c r="G1590" s="26">
        <f t="shared" si="24"/>
        <v>1193952.78</v>
      </c>
      <c r="H1590" t="s">
        <v>68</v>
      </c>
    </row>
    <row r="1591" spans="1:9" hidden="1">
      <c r="A1591" s="17" t="s">
        <v>1348</v>
      </c>
      <c r="B1591" s="21" t="s">
        <v>1349</v>
      </c>
      <c r="C1591" s="19" t="s">
        <v>72</v>
      </c>
      <c r="D1591" s="20"/>
      <c r="E1591" s="3">
        <v>5931946.0700000003</v>
      </c>
      <c r="F1591" s="24">
        <v>0.76678987744067606</v>
      </c>
      <c r="G1591" s="26">
        <f t="shared" si="24"/>
        <v>4548556.2</v>
      </c>
      <c r="H1591" t="s">
        <v>68</v>
      </c>
      <c r="I1591" t="s">
        <v>1883</v>
      </c>
    </row>
    <row r="1592" spans="1:9" hidden="1">
      <c r="A1592" s="13" t="s">
        <v>1348</v>
      </c>
      <c r="B1592" s="22" t="s">
        <v>1349</v>
      </c>
      <c r="C1592" s="15" t="s">
        <v>73</v>
      </c>
      <c r="D1592" s="16"/>
      <c r="E1592" s="2">
        <v>5931946.0700000003</v>
      </c>
      <c r="F1592" s="23">
        <v>0.21792205369796966</v>
      </c>
      <c r="G1592" s="26">
        <f t="shared" si="24"/>
        <v>1292701.8700000001</v>
      </c>
      <c r="H1592" t="s">
        <v>68</v>
      </c>
      <c r="I1592" t="s">
        <v>1883</v>
      </c>
    </row>
    <row r="1593" spans="1:9" hidden="1">
      <c r="A1593" s="19" t="s">
        <v>1348</v>
      </c>
      <c r="B1593" s="20" t="s">
        <v>1349</v>
      </c>
      <c r="C1593" s="19" t="s">
        <v>74</v>
      </c>
      <c r="D1593" s="20"/>
      <c r="E1593" s="3">
        <v>5931946.0700000003</v>
      </c>
      <c r="F1593" s="24">
        <v>1.5288068861354297E-2</v>
      </c>
      <c r="G1593" s="26">
        <f t="shared" si="24"/>
        <v>90688</v>
      </c>
      <c r="H1593" t="s">
        <v>68</v>
      </c>
      <c r="I1593" t="s">
        <v>1883</v>
      </c>
    </row>
    <row r="1594" spans="1:9" hidden="1">
      <c r="A1594" s="13" t="s">
        <v>1350</v>
      </c>
      <c r="B1594" s="14" t="s">
        <v>1025</v>
      </c>
      <c r="C1594" s="15" t="s">
        <v>72</v>
      </c>
      <c r="D1594" s="16"/>
      <c r="E1594" s="2">
        <v>19428839.039999999</v>
      </c>
      <c r="F1594" s="23">
        <v>0.34617311081496305</v>
      </c>
      <c r="G1594" s="26">
        <f t="shared" si="24"/>
        <v>6725741.6500000004</v>
      </c>
      <c r="H1594" t="s">
        <v>68</v>
      </c>
    </row>
    <row r="1595" spans="1:9" hidden="1">
      <c r="A1595" s="17" t="s">
        <v>1350</v>
      </c>
      <c r="B1595" s="18" t="s">
        <v>1025</v>
      </c>
      <c r="C1595" s="19" t="s">
        <v>73</v>
      </c>
      <c r="D1595" s="20"/>
      <c r="E1595" s="3">
        <v>19428839.039999999</v>
      </c>
      <c r="F1595" s="24">
        <v>0.55319628660632514</v>
      </c>
      <c r="G1595" s="26">
        <f t="shared" si="24"/>
        <v>10747961.609999998</v>
      </c>
      <c r="H1595" t="s">
        <v>68</v>
      </c>
    </row>
    <row r="1596" spans="1:9" hidden="1">
      <c r="A1596" s="15" t="s">
        <v>1350</v>
      </c>
      <c r="B1596" s="16" t="s">
        <v>1025</v>
      </c>
      <c r="C1596" s="15" t="s">
        <v>74</v>
      </c>
      <c r="D1596" s="16"/>
      <c r="E1596" s="2">
        <v>19428839.039999999</v>
      </c>
      <c r="F1596" s="23">
        <v>0.10063060257871179</v>
      </c>
      <c r="G1596" s="26">
        <f t="shared" si="24"/>
        <v>1955135.78</v>
      </c>
      <c r="H1596" t="s">
        <v>68</v>
      </c>
    </row>
    <row r="1597" spans="1:9" hidden="1">
      <c r="A1597" s="17" t="s">
        <v>1351</v>
      </c>
      <c r="B1597" s="21" t="s">
        <v>1352</v>
      </c>
      <c r="C1597" s="19" t="s">
        <v>72</v>
      </c>
      <c r="D1597" s="20"/>
      <c r="E1597" s="3">
        <v>20556857.420000002</v>
      </c>
      <c r="F1597" s="24">
        <v>0.4535975635521044</v>
      </c>
      <c r="G1597" s="26">
        <f t="shared" si="24"/>
        <v>9324540.4399999995</v>
      </c>
      <c r="H1597" t="s">
        <v>68</v>
      </c>
    </row>
    <row r="1598" spans="1:9" hidden="1">
      <c r="A1598" s="13" t="s">
        <v>1351</v>
      </c>
      <c r="B1598" s="22" t="s">
        <v>1352</v>
      </c>
      <c r="C1598" s="15" t="s">
        <v>73</v>
      </c>
      <c r="D1598" s="16"/>
      <c r="E1598" s="2">
        <v>20556857.420000002</v>
      </c>
      <c r="F1598" s="23">
        <v>0.44945796097271368</v>
      </c>
      <c r="G1598" s="26">
        <f t="shared" si="24"/>
        <v>9239443.2200000007</v>
      </c>
      <c r="H1598" t="s">
        <v>68</v>
      </c>
    </row>
    <row r="1599" spans="1:9" hidden="1">
      <c r="A1599" s="19" t="s">
        <v>1351</v>
      </c>
      <c r="B1599" s="20" t="s">
        <v>1352</v>
      </c>
      <c r="C1599" s="19" t="s">
        <v>74</v>
      </c>
      <c r="D1599" s="20"/>
      <c r="E1599" s="3">
        <v>20556857.420000002</v>
      </c>
      <c r="F1599" s="24">
        <v>9.694447547518184E-2</v>
      </c>
      <c r="G1599" s="26">
        <f t="shared" si="24"/>
        <v>1992873.76</v>
      </c>
      <c r="H1599" t="s">
        <v>68</v>
      </c>
    </row>
    <row r="1600" spans="1:9" hidden="1">
      <c r="A1600" s="13" t="s">
        <v>1353</v>
      </c>
      <c r="B1600" s="14" t="s">
        <v>1354</v>
      </c>
      <c r="C1600" s="15" t="s">
        <v>72</v>
      </c>
      <c r="D1600" s="16"/>
      <c r="E1600" s="2">
        <v>19037960.460000001</v>
      </c>
      <c r="F1600" s="23">
        <v>0.47499264319829348</v>
      </c>
      <c r="G1600" s="26">
        <f t="shared" si="24"/>
        <v>9042891.1600000001</v>
      </c>
      <c r="H1600" t="s">
        <v>68</v>
      </c>
    </row>
    <row r="1601" spans="1:9" hidden="1">
      <c r="A1601" s="17" t="s">
        <v>1353</v>
      </c>
      <c r="B1601" s="18" t="s">
        <v>1354</v>
      </c>
      <c r="C1601" s="19" t="s">
        <v>73</v>
      </c>
      <c r="D1601" s="20"/>
      <c r="E1601" s="3">
        <v>19037960.460000001</v>
      </c>
      <c r="F1601" s="24">
        <v>0.43938238277021818</v>
      </c>
      <c r="G1601" s="26">
        <f t="shared" si="24"/>
        <v>8364944.4299999997</v>
      </c>
      <c r="H1601" t="s">
        <v>68</v>
      </c>
    </row>
    <row r="1602" spans="1:9" hidden="1">
      <c r="A1602" s="15" t="s">
        <v>1353</v>
      </c>
      <c r="B1602" s="16" t="s">
        <v>1354</v>
      </c>
      <c r="C1602" s="15" t="s">
        <v>74</v>
      </c>
      <c r="D1602" s="16"/>
      <c r="E1602" s="2">
        <v>19037960.460000001</v>
      </c>
      <c r="F1602" s="23">
        <v>8.5624974031488249E-2</v>
      </c>
      <c r="G1602" s="26">
        <f t="shared" si="24"/>
        <v>1630124.87</v>
      </c>
      <c r="H1602" t="s">
        <v>68</v>
      </c>
    </row>
    <row r="1603" spans="1:9" hidden="1">
      <c r="A1603" s="17" t="s">
        <v>1355</v>
      </c>
      <c r="B1603" s="21" t="s">
        <v>1356</v>
      </c>
      <c r="C1603" s="19" t="s">
        <v>72</v>
      </c>
      <c r="D1603" s="20"/>
      <c r="E1603" s="3">
        <v>6378662.2699999996</v>
      </c>
      <c r="F1603" s="24">
        <v>0.13586089109558705</v>
      </c>
      <c r="G1603" s="26">
        <f t="shared" si="24"/>
        <v>866610.74</v>
      </c>
      <c r="H1603" t="s">
        <v>68</v>
      </c>
      <c r="I1603" t="s">
        <v>1883</v>
      </c>
    </row>
    <row r="1604" spans="1:9" hidden="1">
      <c r="A1604" s="13" t="s">
        <v>1355</v>
      </c>
      <c r="B1604" s="22" t="s">
        <v>1356</v>
      </c>
      <c r="C1604" s="15" t="s">
        <v>73</v>
      </c>
      <c r="D1604" s="16"/>
      <c r="E1604" s="2">
        <v>6378662.2699999996</v>
      </c>
      <c r="F1604" s="23">
        <v>0.64655338618515701</v>
      </c>
      <c r="G1604" s="26">
        <f t="shared" si="24"/>
        <v>4124145.69</v>
      </c>
      <c r="H1604" t="s">
        <v>68</v>
      </c>
      <c r="I1604" t="s">
        <v>1883</v>
      </c>
    </row>
    <row r="1605" spans="1:9" hidden="1">
      <c r="A1605" s="19" t="s">
        <v>1355</v>
      </c>
      <c r="B1605" s="20" t="s">
        <v>1356</v>
      </c>
      <c r="C1605" s="19" t="s">
        <v>74</v>
      </c>
      <c r="D1605" s="20"/>
      <c r="E1605" s="3">
        <v>6378662.2699999996</v>
      </c>
      <c r="F1605" s="24">
        <v>0.21758572271925603</v>
      </c>
      <c r="G1605" s="26">
        <f t="shared" ref="G1605:G1668" si="25">F1605*E1605</f>
        <v>1387905.84</v>
      </c>
      <c r="H1605" t="s">
        <v>68</v>
      </c>
      <c r="I1605" t="s">
        <v>1883</v>
      </c>
    </row>
    <row r="1606" spans="1:9" hidden="1">
      <c r="A1606" s="13" t="s">
        <v>1357</v>
      </c>
      <c r="B1606" s="14" t="s">
        <v>1358</v>
      </c>
      <c r="C1606" s="15" t="s">
        <v>72</v>
      </c>
      <c r="D1606" s="16"/>
      <c r="E1606" s="2">
        <v>9544435.4600000009</v>
      </c>
      <c r="F1606" s="23">
        <v>0.34342202990809473</v>
      </c>
      <c r="G1606" s="26">
        <f t="shared" si="25"/>
        <v>3277769.4000000004</v>
      </c>
      <c r="H1606" t="s">
        <v>68</v>
      </c>
    </row>
    <row r="1607" spans="1:9" hidden="1">
      <c r="A1607" s="17" t="s">
        <v>1357</v>
      </c>
      <c r="B1607" s="18" t="s">
        <v>1358</v>
      </c>
      <c r="C1607" s="19" t="s">
        <v>73</v>
      </c>
      <c r="D1607" s="20"/>
      <c r="E1607" s="3">
        <v>9544435.4600000009</v>
      </c>
      <c r="F1607" s="24">
        <v>0.60267977651556148</v>
      </c>
      <c r="G1607" s="26">
        <f t="shared" si="25"/>
        <v>5752238.2300000004</v>
      </c>
      <c r="H1607" t="s">
        <v>68</v>
      </c>
    </row>
    <row r="1608" spans="1:9" hidden="1">
      <c r="A1608" s="15" t="s">
        <v>1357</v>
      </c>
      <c r="B1608" s="16" t="s">
        <v>1358</v>
      </c>
      <c r="C1608" s="15" t="s">
        <v>74</v>
      </c>
      <c r="D1608" s="16"/>
      <c r="E1608" s="2">
        <v>9544435.4600000009</v>
      </c>
      <c r="F1608" s="23">
        <v>5.3898193576343796E-2</v>
      </c>
      <c r="G1608" s="26">
        <f t="shared" si="25"/>
        <v>514427.83</v>
      </c>
      <c r="H1608" t="s">
        <v>68</v>
      </c>
    </row>
    <row r="1609" spans="1:9" hidden="1">
      <c r="A1609" s="17" t="s">
        <v>1359</v>
      </c>
      <c r="B1609" s="21" t="s">
        <v>1360</v>
      </c>
      <c r="C1609" s="19" t="s">
        <v>72</v>
      </c>
      <c r="D1609" s="20"/>
      <c r="E1609" s="3">
        <v>6318044.5800000001</v>
      </c>
      <c r="F1609" s="24">
        <v>0.44098428472943763</v>
      </c>
      <c r="G1609" s="26">
        <f t="shared" si="25"/>
        <v>2786158.37</v>
      </c>
      <c r="H1609" t="s">
        <v>68</v>
      </c>
    </row>
    <row r="1610" spans="1:9" hidden="1">
      <c r="A1610" s="13" t="s">
        <v>1359</v>
      </c>
      <c r="B1610" s="22" t="s">
        <v>1360</v>
      </c>
      <c r="C1610" s="15" t="s">
        <v>73</v>
      </c>
      <c r="D1610" s="16"/>
      <c r="E1610" s="2">
        <v>6318044.5800000001</v>
      </c>
      <c r="F1610" s="23">
        <v>0.48771149063338831</v>
      </c>
      <c r="G1610" s="26">
        <f t="shared" si="25"/>
        <v>3081382.94</v>
      </c>
      <c r="H1610" t="s">
        <v>68</v>
      </c>
    </row>
    <row r="1611" spans="1:9" hidden="1">
      <c r="A1611" s="19" t="s">
        <v>1359</v>
      </c>
      <c r="B1611" s="20" t="s">
        <v>1360</v>
      </c>
      <c r="C1611" s="19" t="s">
        <v>74</v>
      </c>
      <c r="D1611" s="20"/>
      <c r="E1611" s="3">
        <v>6318044.5800000001</v>
      </c>
      <c r="F1611" s="24">
        <v>7.1304224637174063E-2</v>
      </c>
      <c r="G1611" s="26">
        <f t="shared" si="25"/>
        <v>450503.27000000008</v>
      </c>
      <c r="H1611" t="s">
        <v>68</v>
      </c>
    </row>
    <row r="1612" spans="1:9" hidden="1">
      <c r="A1612" s="13" t="s">
        <v>1361</v>
      </c>
      <c r="B1612" s="14" t="s">
        <v>1362</v>
      </c>
      <c r="C1612" s="15" t="s">
        <v>72</v>
      </c>
      <c r="D1612" s="16"/>
      <c r="E1612" s="2">
        <v>10923012.73</v>
      </c>
      <c r="F1612" s="23">
        <v>0.46537970573252274</v>
      </c>
      <c r="G1612" s="26">
        <f t="shared" si="25"/>
        <v>5083348.45</v>
      </c>
      <c r="H1612" t="s">
        <v>68</v>
      </c>
    </row>
    <row r="1613" spans="1:9" hidden="1">
      <c r="A1613" s="17" t="s">
        <v>1361</v>
      </c>
      <c r="B1613" s="18" t="s">
        <v>1362</v>
      </c>
      <c r="C1613" s="19" t="s">
        <v>73</v>
      </c>
      <c r="D1613" s="20"/>
      <c r="E1613" s="3">
        <v>10923012.73</v>
      </c>
      <c r="F1613" s="24">
        <v>0.45080746234743241</v>
      </c>
      <c r="G1613" s="26">
        <f t="shared" si="25"/>
        <v>4924175.6500000004</v>
      </c>
      <c r="H1613" t="s">
        <v>68</v>
      </c>
    </row>
    <row r="1614" spans="1:9" hidden="1">
      <c r="A1614" s="15" t="s">
        <v>1361</v>
      </c>
      <c r="B1614" s="16" t="s">
        <v>1362</v>
      </c>
      <c r="C1614" s="15" t="s">
        <v>74</v>
      </c>
      <c r="D1614" s="16"/>
      <c r="E1614" s="2">
        <v>10923012.73</v>
      </c>
      <c r="F1614" s="23">
        <v>8.3812831920044822E-2</v>
      </c>
      <c r="G1614" s="26">
        <f t="shared" si="25"/>
        <v>915488.63</v>
      </c>
      <c r="H1614" t="s">
        <v>68</v>
      </c>
    </row>
    <row r="1615" spans="1:9" hidden="1">
      <c r="A1615" s="17" t="s">
        <v>1363</v>
      </c>
      <c r="B1615" s="21" t="s">
        <v>1364</v>
      </c>
      <c r="C1615" s="19" t="s">
        <v>72</v>
      </c>
      <c r="D1615" s="20"/>
      <c r="E1615" s="3">
        <v>9650874.7200000007</v>
      </c>
      <c r="F1615" s="24">
        <v>0.44616111854366702</v>
      </c>
      <c r="G1615" s="26">
        <f t="shared" si="25"/>
        <v>4305845.0599999996</v>
      </c>
      <c r="H1615" t="s">
        <v>68</v>
      </c>
    </row>
    <row r="1616" spans="1:9" hidden="1">
      <c r="A1616" s="13" t="s">
        <v>1363</v>
      </c>
      <c r="B1616" s="22" t="s">
        <v>1364</v>
      </c>
      <c r="C1616" s="15" t="s">
        <v>73</v>
      </c>
      <c r="D1616" s="16"/>
      <c r="E1616" s="2">
        <v>9650874.7200000007</v>
      </c>
      <c r="F1616" s="23">
        <v>0.47119721081614035</v>
      </c>
      <c r="G1616" s="26">
        <f t="shared" si="25"/>
        <v>4547465.25</v>
      </c>
      <c r="H1616" t="s">
        <v>68</v>
      </c>
    </row>
    <row r="1617" spans="1:9" hidden="1">
      <c r="A1617" s="19" t="s">
        <v>1363</v>
      </c>
      <c r="B1617" s="20" t="s">
        <v>1364</v>
      </c>
      <c r="C1617" s="19" t="s">
        <v>74</v>
      </c>
      <c r="D1617" s="20"/>
      <c r="E1617" s="3">
        <v>9650874.7200000007</v>
      </c>
      <c r="F1617" s="24">
        <v>8.2641670640192497E-2</v>
      </c>
      <c r="G1617" s="26">
        <f t="shared" si="25"/>
        <v>797564.41</v>
      </c>
      <c r="H1617" t="s">
        <v>68</v>
      </c>
    </row>
    <row r="1618" spans="1:9" hidden="1">
      <c r="A1618" s="13" t="s">
        <v>1365</v>
      </c>
      <c r="B1618" s="14" t="s">
        <v>1144</v>
      </c>
      <c r="C1618" s="15" t="s">
        <v>72</v>
      </c>
      <c r="D1618" s="16"/>
      <c r="E1618" s="2">
        <v>10368740.119999999</v>
      </c>
      <c r="F1618" s="23">
        <v>0.62084607536677283</v>
      </c>
      <c r="G1618" s="26">
        <f t="shared" si="25"/>
        <v>6437391.6100000003</v>
      </c>
      <c r="H1618" t="s">
        <v>68</v>
      </c>
      <c r="I1618" t="s">
        <v>1883</v>
      </c>
    </row>
    <row r="1619" spans="1:9" hidden="1">
      <c r="A1619" s="17" t="s">
        <v>1365</v>
      </c>
      <c r="B1619" s="18" t="s">
        <v>1144</v>
      </c>
      <c r="C1619" s="19" t="s">
        <v>73</v>
      </c>
      <c r="D1619" s="20"/>
      <c r="E1619" s="3">
        <v>10368740.119999999</v>
      </c>
      <c r="F1619" s="24">
        <v>0.29999038012344359</v>
      </c>
      <c r="G1619" s="26">
        <f t="shared" si="25"/>
        <v>3110522.29</v>
      </c>
      <c r="H1619" t="s">
        <v>68</v>
      </c>
      <c r="I1619" t="s">
        <v>1883</v>
      </c>
    </row>
    <row r="1620" spans="1:9" hidden="1">
      <c r="A1620" s="15" t="s">
        <v>1365</v>
      </c>
      <c r="B1620" s="16" t="s">
        <v>1144</v>
      </c>
      <c r="C1620" s="15" t="s">
        <v>74</v>
      </c>
      <c r="D1620" s="16"/>
      <c r="E1620" s="2">
        <v>10368740.119999999</v>
      </c>
      <c r="F1620" s="23">
        <v>7.9163544509783704E-2</v>
      </c>
      <c r="G1620" s="26">
        <f t="shared" si="25"/>
        <v>820826.22</v>
      </c>
      <c r="H1620" t="s">
        <v>68</v>
      </c>
      <c r="I1620" t="s">
        <v>1883</v>
      </c>
    </row>
    <row r="1621" spans="1:9" hidden="1">
      <c r="A1621" s="17" t="s">
        <v>1145</v>
      </c>
      <c r="B1621" s="21" t="s">
        <v>1146</v>
      </c>
      <c r="C1621" s="19" t="s">
        <v>72</v>
      </c>
      <c r="D1621" s="20"/>
      <c r="E1621" s="3">
        <v>13060811.08</v>
      </c>
      <c r="F1621" s="24">
        <v>0.78774704549206298</v>
      </c>
      <c r="G1621" s="26">
        <f t="shared" si="25"/>
        <v>10288615.34</v>
      </c>
      <c r="H1621" t="s">
        <v>68</v>
      </c>
    </row>
    <row r="1622" spans="1:9" hidden="1">
      <c r="A1622" s="13" t="s">
        <v>1145</v>
      </c>
      <c r="B1622" s="22" t="s">
        <v>1146</v>
      </c>
      <c r="C1622" s="15" t="s">
        <v>73</v>
      </c>
      <c r="D1622" s="16"/>
      <c r="E1622" s="2">
        <v>13060811.08</v>
      </c>
      <c r="F1622" s="23">
        <v>0.18715320779297268</v>
      </c>
      <c r="G1622" s="26">
        <f t="shared" si="25"/>
        <v>2444372.69</v>
      </c>
      <c r="H1622" t="s">
        <v>68</v>
      </c>
    </row>
    <row r="1623" spans="1:9" hidden="1">
      <c r="A1623" s="19" t="s">
        <v>1145</v>
      </c>
      <c r="B1623" s="20" t="s">
        <v>1146</v>
      </c>
      <c r="C1623" s="19" t="s">
        <v>74</v>
      </c>
      <c r="D1623" s="20"/>
      <c r="E1623" s="3">
        <v>13060811.08</v>
      </c>
      <c r="F1623" s="24">
        <v>2.5099746714964351E-2</v>
      </c>
      <c r="G1623" s="26">
        <f t="shared" si="25"/>
        <v>327823.05</v>
      </c>
      <c r="H1623" t="s">
        <v>68</v>
      </c>
    </row>
    <row r="1624" spans="1:9" hidden="1">
      <c r="A1624" s="13" t="s">
        <v>1147</v>
      </c>
      <c r="B1624" s="14" t="s">
        <v>862</v>
      </c>
      <c r="C1624" s="15" t="s">
        <v>72</v>
      </c>
      <c r="D1624" s="16"/>
      <c r="E1624" s="2">
        <v>29256917.890000001</v>
      </c>
      <c r="F1624" s="23">
        <v>0.4115612264857062</v>
      </c>
      <c r="G1624" s="26">
        <f t="shared" si="25"/>
        <v>12041013.01</v>
      </c>
      <c r="H1624" t="s">
        <v>68</v>
      </c>
    </row>
    <row r="1625" spans="1:9" hidden="1">
      <c r="A1625" s="17" t="s">
        <v>1147</v>
      </c>
      <c r="B1625" s="18" t="s">
        <v>862</v>
      </c>
      <c r="C1625" s="19" t="s">
        <v>73</v>
      </c>
      <c r="D1625" s="20"/>
      <c r="E1625" s="3">
        <v>29256917.890000001</v>
      </c>
      <c r="F1625" s="24">
        <v>0.53524707759297063</v>
      </c>
      <c r="G1625" s="26">
        <f t="shared" si="25"/>
        <v>15659679.800000001</v>
      </c>
      <c r="H1625" t="s">
        <v>68</v>
      </c>
    </row>
    <row r="1626" spans="1:9" hidden="1">
      <c r="A1626" s="15" t="s">
        <v>1147</v>
      </c>
      <c r="B1626" s="16" t="s">
        <v>862</v>
      </c>
      <c r="C1626" s="15" t="s">
        <v>74</v>
      </c>
      <c r="D1626" s="16"/>
      <c r="E1626" s="2">
        <v>29256917.890000001</v>
      </c>
      <c r="F1626" s="23">
        <v>5.3191695921323175E-2</v>
      </c>
      <c r="G1626" s="26">
        <f t="shared" si="25"/>
        <v>1556225.08</v>
      </c>
      <c r="H1626" t="s">
        <v>68</v>
      </c>
    </row>
    <row r="1627" spans="1:9" hidden="1">
      <c r="A1627" s="17" t="s">
        <v>1148</v>
      </c>
      <c r="B1627" s="21" t="s">
        <v>1149</v>
      </c>
      <c r="C1627" s="19" t="s">
        <v>72</v>
      </c>
      <c r="D1627" s="20"/>
      <c r="E1627" s="3">
        <v>39876061.18</v>
      </c>
      <c r="F1627" s="24">
        <v>0.6964236353396025</v>
      </c>
      <c r="G1627" s="26">
        <f t="shared" si="25"/>
        <v>27770631.489999998</v>
      </c>
      <c r="H1627" t="s">
        <v>68</v>
      </c>
    </row>
    <row r="1628" spans="1:9" hidden="1">
      <c r="A1628" s="13" t="s">
        <v>1148</v>
      </c>
      <c r="B1628" s="22" t="s">
        <v>1149</v>
      </c>
      <c r="C1628" s="15" t="s">
        <v>73</v>
      </c>
      <c r="D1628" s="16"/>
      <c r="E1628" s="2">
        <v>39876061.18</v>
      </c>
      <c r="F1628" s="23">
        <v>0.26302481487967261</v>
      </c>
      <c r="G1628" s="26">
        <f t="shared" si="25"/>
        <v>10488393.609999999</v>
      </c>
      <c r="H1628" t="s">
        <v>68</v>
      </c>
    </row>
    <row r="1629" spans="1:9" hidden="1">
      <c r="A1629" s="19" t="s">
        <v>1148</v>
      </c>
      <c r="B1629" s="20" t="s">
        <v>1149</v>
      </c>
      <c r="C1629" s="19" t="s">
        <v>74</v>
      </c>
      <c r="D1629" s="20"/>
      <c r="E1629" s="3">
        <v>39876061.18</v>
      </c>
      <c r="F1629" s="24">
        <v>4.0551549780724859E-2</v>
      </c>
      <c r="G1629" s="26">
        <f t="shared" si="25"/>
        <v>1617036.08</v>
      </c>
      <c r="H1629" t="s">
        <v>68</v>
      </c>
    </row>
    <row r="1630" spans="1:9" hidden="1">
      <c r="A1630" s="13" t="s">
        <v>1150</v>
      </c>
      <c r="B1630" s="14" t="s">
        <v>1013</v>
      </c>
      <c r="C1630" s="15" t="s">
        <v>72</v>
      </c>
      <c r="D1630" s="16"/>
      <c r="E1630" s="2">
        <v>30492028.600000001</v>
      </c>
      <c r="F1630" s="23">
        <v>0.60030175099599636</v>
      </c>
      <c r="G1630" s="26">
        <f t="shared" si="25"/>
        <v>18304418.16</v>
      </c>
      <c r="H1630" t="s">
        <v>68</v>
      </c>
    </row>
    <row r="1631" spans="1:9" hidden="1">
      <c r="A1631" s="17" t="s">
        <v>1150</v>
      </c>
      <c r="B1631" s="18" t="s">
        <v>1013</v>
      </c>
      <c r="C1631" s="19" t="s">
        <v>73</v>
      </c>
      <c r="D1631" s="20"/>
      <c r="E1631" s="3">
        <v>30492028.600000001</v>
      </c>
      <c r="F1631" s="24">
        <v>0.38079411613827491</v>
      </c>
      <c r="G1631" s="26">
        <f t="shared" si="25"/>
        <v>11611185.08</v>
      </c>
      <c r="H1631" t="s">
        <v>68</v>
      </c>
    </row>
    <row r="1632" spans="1:9" hidden="1">
      <c r="A1632" s="15" t="s">
        <v>1150</v>
      </c>
      <c r="B1632" s="16" t="s">
        <v>1013</v>
      </c>
      <c r="C1632" s="15" t="s">
        <v>74</v>
      </c>
      <c r="D1632" s="16"/>
      <c r="E1632" s="2">
        <v>30492028.600000001</v>
      </c>
      <c r="F1632" s="23">
        <v>1.8904132865728715E-2</v>
      </c>
      <c r="G1632" s="26">
        <f t="shared" si="25"/>
        <v>576425.36</v>
      </c>
      <c r="H1632" t="s">
        <v>68</v>
      </c>
    </row>
    <row r="1633" spans="1:9" hidden="1">
      <c r="A1633" s="17" t="s">
        <v>1151</v>
      </c>
      <c r="B1633" s="21" t="s">
        <v>1152</v>
      </c>
      <c r="C1633" s="19" t="s">
        <v>72</v>
      </c>
      <c r="D1633" s="20"/>
      <c r="E1633" s="3">
        <v>11521393.949999999</v>
      </c>
      <c r="F1633" s="24">
        <v>0.19713222721630833</v>
      </c>
      <c r="G1633" s="26">
        <f t="shared" si="25"/>
        <v>2271238.0499999998</v>
      </c>
      <c r="H1633" t="s">
        <v>68</v>
      </c>
    </row>
    <row r="1634" spans="1:9" hidden="1">
      <c r="A1634" s="13" t="s">
        <v>1151</v>
      </c>
      <c r="B1634" s="22" t="s">
        <v>1152</v>
      </c>
      <c r="C1634" s="15" t="s">
        <v>73</v>
      </c>
      <c r="D1634" s="16"/>
      <c r="E1634" s="2">
        <v>11521393.949999999</v>
      </c>
      <c r="F1634" s="23">
        <v>0.73154302218786649</v>
      </c>
      <c r="G1634" s="26">
        <f t="shared" si="25"/>
        <v>8428395.3499999996</v>
      </c>
      <c r="H1634" t="s">
        <v>68</v>
      </c>
    </row>
    <row r="1635" spans="1:9" hidden="1">
      <c r="A1635" s="19" t="s">
        <v>1151</v>
      </c>
      <c r="B1635" s="20" t="s">
        <v>1152</v>
      </c>
      <c r="C1635" s="19" t="s">
        <v>74</v>
      </c>
      <c r="D1635" s="20"/>
      <c r="E1635" s="3">
        <v>11521393.949999999</v>
      </c>
      <c r="F1635" s="24">
        <v>7.132475059582527E-2</v>
      </c>
      <c r="G1635" s="26">
        <f t="shared" si="25"/>
        <v>821760.55000000016</v>
      </c>
      <c r="H1635" t="s">
        <v>68</v>
      </c>
    </row>
    <row r="1636" spans="1:9" hidden="1">
      <c r="A1636" s="13" t="s">
        <v>1153</v>
      </c>
      <c r="B1636" s="14" t="s">
        <v>1154</v>
      </c>
      <c r="C1636" s="15" t="s">
        <v>72</v>
      </c>
      <c r="D1636" s="16"/>
      <c r="E1636" s="2">
        <v>13990418.050000001</v>
      </c>
      <c r="F1636" s="23">
        <v>0.26615514180435801</v>
      </c>
      <c r="G1636" s="26">
        <f t="shared" si="25"/>
        <v>3723621.7</v>
      </c>
      <c r="H1636" t="s">
        <v>68</v>
      </c>
    </row>
    <row r="1637" spans="1:9" hidden="1">
      <c r="A1637" s="17" t="s">
        <v>1153</v>
      </c>
      <c r="B1637" s="18" t="s">
        <v>1154</v>
      </c>
      <c r="C1637" s="19" t="s">
        <v>73</v>
      </c>
      <c r="D1637" s="20"/>
      <c r="E1637" s="3">
        <v>13990418.050000001</v>
      </c>
      <c r="F1637" s="24">
        <v>0.64954075836211334</v>
      </c>
      <c r="G1637" s="26">
        <f t="shared" si="25"/>
        <v>9087346.75</v>
      </c>
      <c r="H1637" t="s">
        <v>68</v>
      </c>
    </row>
    <row r="1638" spans="1:9" hidden="1">
      <c r="A1638" s="15" t="s">
        <v>1153</v>
      </c>
      <c r="B1638" s="16" t="s">
        <v>1154</v>
      </c>
      <c r="C1638" s="15" t="s">
        <v>74</v>
      </c>
      <c r="D1638" s="16"/>
      <c r="E1638" s="2">
        <v>13990418.050000001</v>
      </c>
      <c r="F1638" s="23">
        <v>8.4304099833528559E-2</v>
      </c>
      <c r="G1638" s="26">
        <f t="shared" si="25"/>
        <v>1179449.6000000001</v>
      </c>
      <c r="H1638" t="s">
        <v>68</v>
      </c>
    </row>
    <row r="1639" spans="1:9" hidden="1">
      <c r="A1639" s="17" t="s">
        <v>1155</v>
      </c>
      <c r="B1639" s="21" t="s">
        <v>1156</v>
      </c>
      <c r="C1639" s="19" t="s">
        <v>72</v>
      </c>
      <c r="D1639" s="20"/>
      <c r="E1639" s="3">
        <v>17901191.079999998</v>
      </c>
      <c r="F1639" s="24">
        <v>0.14737847320939274</v>
      </c>
      <c r="G1639" s="26">
        <f t="shared" si="25"/>
        <v>2638250.21</v>
      </c>
      <c r="H1639" t="s">
        <v>68</v>
      </c>
    </row>
    <row r="1640" spans="1:9" hidden="1">
      <c r="A1640" s="13" t="s">
        <v>1155</v>
      </c>
      <c r="B1640" s="22" t="s">
        <v>1156</v>
      </c>
      <c r="C1640" s="15" t="s">
        <v>73</v>
      </c>
      <c r="D1640" s="16"/>
      <c r="E1640" s="2">
        <v>17901191.079999998</v>
      </c>
      <c r="F1640" s="23">
        <v>0.73495959744819395</v>
      </c>
      <c r="G1640" s="26">
        <f t="shared" si="25"/>
        <v>13156652.189999999</v>
      </c>
      <c r="H1640" t="s">
        <v>68</v>
      </c>
    </row>
    <row r="1641" spans="1:9" hidden="1">
      <c r="A1641" s="19" t="s">
        <v>1155</v>
      </c>
      <c r="B1641" s="20" t="s">
        <v>1156</v>
      </c>
      <c r="C1641" s="19" t="s">
        <v>74</v>
      </c>
      <c r="D1641" s="20"/>
      <c r="E1641" s="3">
        <v>17901191.079999998</v>
      </c>
      <c r="F1641" s="24">
        <v>0.11766192934241336</v>
      </c>
      <c r="G1641" s="26">
        <f t="shared" si="25"/>
        <v>2106288.6800000002</v>
      </c>
      <c r="H1641" t="s">
        <v>68</v>
      </c>
    </row>
    <row r="1642" spans="1:9" hidden="1">
      <c r="A1642" s="13" t="s">
        <v>1157</v>
      </c>
      <c r="B1642" s="14" t="s">
        <v>1158</v>
      </c>
      <c r="C1642" s="15" t="s">
        <v>72</v>
      </c>
      <c r="D1642" s="16"/>
      <c r="E1642" s="2">
        <v>16853911.940000001</v>
      </c>
      <c r="F1642" s="23">
        <v>0.22468685095075913</v>
      </c>
      <c r="G1642" s="26">
        <f t="shared" si="25"/>
        <v>3786852.4</v>
      </c>
      <c r="H1642" t="s">
        <v>68</v>
      </c>
    </row>
    <row r="1643" spans="1:9" hidden="1">
      <c r="A1643" s="17" t="s">
        <v>1157</v>
      </c>
      <c r="B1643" s="18" t="s">
        <v>1158</v>
      </c>
      <c r="C1643" s="19" t="s">
        <v>73</v>
      </c>
      <c r="D1643" s="20"/>
      <c r="E1643" s="3">
        <v>16853911.940000001</v>
      </c>
      <c r="F1643" s="24">
        <v>0.67531044664993067</v>
      </c>
      <c r="G1643" s="26">
        <f t="shared" si="25"/>
        <v>11381622.800000001</v>
      </c>
      <c r="H1643" t="s">
        <v>68</v>
      </c>
    </row>
    <row r="1644" spans="1:9" hidden="1">
      <c r="A1644" s="15" t="s">
        <v>1157</v>
      </c>
      <c r="B1644" s="16" t="s">
        <v>1158</v>
      </c>
      <c r="C1644" s="15" t="s">
        <v>74</v>
      </c>
      <c r="D1644" s="16"/>
      <c r="E1644" s="2">
        <v>16853911.940000001</v>
      </c>
      <c r="F1644" s="23">
        <v>0.10000270239931014</v>
      </c>
      <c r="G1644" s="26">
        <f t="shared" si="25"/>
        <v>1685436.74</v>
      </c>
      <c r="H1644" t="s">
        <v>68</v>
      </c>
    </row>
    <row r="1645" spans="1:9" hidden="1">
      <c r="A1645" s="17" t="s">
        <v>1159</v>
      </c>
      <c r="B1645" s="21" t="s">
        <v>1160</v>
      </c>
      <c r="C1645" s="19" t="s">
        <v>72</v>
      </c>
      <c r="D1645" s="20"/>
      <c r="E1645" s="3">
        <v>8425008.5500000007</v>
      </c>
      <c r="F1645" s="24">
        <v>0.20245285211016192</v>
      </c>
      <c r="G1645" s="26">
        <f t="shared" si="25"/>
        <v>1705667.01</v>
      </c>
      <c r="H1645" t="s">
        <v>68</v>
      </c>
    </row>
    <row r="1646" spans="1:9" hidden="1">
      <c r="A1646" s="13" t="s">
        <v>1159</v>
      </c>
      <c r="B1646" s="22" t="s">
        <v>1160</v>
      </c>
      <c r="C1646" s="15" t="s">
        <v>73</v>
      </c>
      <c r="D1646" s="16"/>
      <c r="E1646" s="2">
        <v>8425008.5500000007</v>
      </c>
      <c r="F1646" s="23">
        <v>0.69139645917629355</v>
      </c>
      <c r="G1646" s="26">
        <f t="shared" si="25"/>
        <v>5825021.0800000001</v>
      </c>
      <c r="H1646" t="s">
        <v>68</v>
      </c>
    </row>
    <row r="1647" spans="1:9" hidden="1">
      <c r="A1647" s="19" t="s">
        <v>1159</v>
      </c>
      <c r="B1647" s="20" t="s">
        <v>1160</v>
      </c>
      <c r="C1647" s="19" t="s">
        <v>74</v>
      </c>
      <c r="D1647" s="20"/>
      <c r="E1647" s="3">
        <v>8425008.5500000007</v>
      </c>
      <c r="F1647" s="24">
        <v>0.10615068871354438</v>
      </c>
      <c r="G1647" s="26">
        <f t="shared" si="25"/>
        <v>894320.46</v>
      </c>
      <c r="H1647" t="s">
        <v>68</v>
      </c>
    </row>
    <row r="1648" spans="1:9" hidden="1">
      <c r="A1648" s="13" t="s">
        <v>1161</v>
      </c>
      <c r="B1648" s="14" t="s">
        <v>1162</v>
      </c>
      <c r="C1648" s="15" t="s">
        <v>72</v>
      </c>
      <c r="D1648" s="16"/>
      <c r="E1648" s="2">
        <v>8302259.7699999996</v>
      </c>
      <c r="F1648" s="23">
        <v>0.67043619860138404</v>
      </c>
      <c r="G1648" s="26">
        <f t="shared" si="25"/>
        <v>5566135.4800000004</v>
      </c>
      <c r="H1648" t="s">
        <v>68</v>
      </c>
      <c r="I1648" t="s">
        <v>1883</v>
      </c>
    </row>
    <row r="1649" spans="1:9" hidden="1">
      <c r="A1649" s="17" t="s">
        <v>1161</v>
      </c>
      <c r="B1649" s="18" t="s">
        <v>1162</v>
      </c>
      <c r="C1649" s="19" t="s">
        <v>73</v>
      </c>
      <c r="D1649" s="20"/>
      <c r="E1649" s="3">
        <v>8302259.7699999996</v>
      </c>
      <c r="F1649" s="24">
        <v>0.31128625116484399</v>
      </c>
      <c r="G1649" s="26">
        <f t="shared" si="25"/>
        <v>2584379.3199999998</v>
      </c>
      <c r="H1649" t="s">
        <v>68</v>
      </c>
      <c r="I1649" t="s">
        <v>1883</v>
      </c>
    </row>
    <row r="1650" spans="1:9" hidden="1">
      <c r="A1650" s="15" t="s">
        <v>1161</v>
      </c>
      <c r="B1650" s="16" t="s">
        <v>1162</v>
      </c>
      <c r="C1650" s="15" t="s">
        <v>74</v>
      </c>
      <c r="D1650" s="16"/>
      <c r="E1650" s="2">
        <v>8302259.7699999996</v>
      </c>
      <c r="F1650" s="23">
        <v>1.8277550233772078E-2</v>
      </c>
      <c r="G1650" s="26">
        <f t="shared" si="25"/>
        <v>151744.97</v>
      </c>
      <c r="H1650" t="s">
        <v>68</v>
      </c>
      <c r="I1650" t="s">
        <v>1883</v>
      </c>
    </row>
    <row r="1651" spans="1:9" hidden="1">
      <c r="A1651" s="17" t="s">
        <v>1163</v>
      </c>
      <c r="B1651" s="21" t="s">
        <v>1164</v>
      </c>
      <c r="C1651" s="19" t="s">
        <v>72</v>
      </c>
      <c r="D1651" s="20"/>
      <c r="E1651" s="3">
        <v>12812446.98</v>
      </c>
      <c r="F1651" s="24">
        <v>0.53521277947173207</v>
      </c>
      <c r="G1651" s="26">
        <f t="shared" si="25"/>
        <v>6857385.3599999994</v>
      </c>
      <c r="H1651" t="s">
        <v>68</v>
      </c>
    </row>
    <row r="1652" spans="1:9" hidden="1">
      <c r="A1652" s="13" t="s">
        <v>1163</v>
      </c>
      <c r="B1652" s="22" t="s">
        <v>1164</v>
      </c>
      <c r="C1652" s="15" t="s">
        <v>73</v>
      </c>
      <c r="D1652" s="16"/>
      <c r="E1652" s="2">
        <v>12812446.98</v>
      </c>
      <c r="F1652" s="23">
        <v>0.42274650958204396</v>
      </c>
      <c r="G1652" s="26">
        <f t="shared" si="25"/>
        <v>5416417.2400000002</v>
      </c>
      <c r="H1652" t="s">
        <v>68</v>
      </c>
    </row>
    <row r="1653" spans="1:9" hidden="1">
      <c r="A1653" s="19" t="s">
        <v>1163</v>
      </c>
      <c r="B1653" s="20" t="s">
        <v>1164</v>
      </c>
      <c r="C1653" s="19" t="s">
        <v>74</v>
      </c>
      <c r="D1653" s="20"/>
      <c r="E1653" s="3">
        <v>12812446.98</v>
      </c>
      <c r="F1653" s="24">
        <v>4.2040710946223948E-2</v>
      </c>
      <c r="G1653" s="26">
        <f t="shared" si="25"/>
        <v>538644.38</v>
      </c>
      <c r="H1653" t="s">
        <v>68</v>
      </c>
    </row>
    <row r="1654" spans="1:9" hidden="1">
      <c r="A1654" s="13" t="s">
        <v>1165</v>
      </c>
      <c r="B1654" s="14" t="s">
        <v>1166</v>
      </c>
      <c r="C1654" s="15" t="s">
        <v>72</v>
      </c>
      <c r="D1654" s="16"/>
      <c r="E1654" s="2">
        <v>20434468.960000001</v>
      </c>
      <c r="F1654" s="23">
        <v>0.60353469298083484</v>
      </c>
      <c r="G1654" s="26">
        <f t="shared" si="25"/>
        <v>12332910.949999999</v>
      </c>
      <c r="H1654" t="s">
        <v>68</v>
      </c>
    </row>
    <row r="1655" spans="1:9" hidden="1">
      <c r="A1655" s="17" t="s">
        <v>1165</v>
      </c>
      <c r="B1655" s="18" t="s">
        <v>1166</v>
      </c>
      <c r="C1655" s="19" t="s">
        <v>73</v>
      </c>
      <c r="D1655" s="20"/>
      <c r="E1655" s="3">
        <v>20434468.960000001</v>
      </c>
      <c r="F1655" s="24">
        <v>0.33021767696575366</v>
      </c>
      <c r="G1655" s="26">
        <f t="shared" si="25"/>
        <v>6747822.8700000001</v>
      </c>
      <c r="H1655" t="s">
        <v>68</v>
      </c>
    </row>
    <row r="1656" spans="1:9" hidden="1">
      <c r="A1656" s="15" t="s">
        <v>1165</v>
      </c>
      <c r="B1656" s="16" t="s">
        <v>1166</v>
      </c>
      <c r="C1656" s="15" t="s">
        <v>74</v>
      </c>
      <c r="D1656" s="16"/>
      <c r="E1656" s="2">
        <v>20434468.960000001</v>
      </c>
      <c r="F1656" s="23">
        <v>6.6247630053411471E-2</v>
      </c>
      <c r="G1656" s="26">
        <f t="shared" si="25"/>
        <v>1353735.14</v>
      </c>
      <c r="H1656" t="s">
        <v>68</v>
      </c>
    </row>
    <row r="1657" spans="1:9" hidden="1">
      <c r="A1657" s="17" t="s">
        <v>1167</v>
      </c>
      <c r="B1657" s="21" t="s">
        <v>1168</v>
      </c>
      <c r="C1657" s="19" t="s">
        <v>72</v>
      </c>
      <c r="D1657" s="20"/>
      <c r="E1657" s="3">
        <v>19445224.649999999</v>
      </c>
      <c r="F1657" s="24">
        <v>0.50477795071398168</v>
      </c>
      <c r="G1657" s="26">
        <f t="shared" si="25"/>
        <v>9815520.6500000004</v>
      </c>
      <c r="H1657" t="s">
        <v>68</v>
      </c>
    </row>
    <row r="1658" spans="1:9" hidden="1">
      <c r="A1658" s="13" t="s">
        <v>1167</v>
      </c>
      <c r="B1658" s="22" t="s">
        <v>1168</v>
      </c>
      <c r="C1658" s="15" t="s">
        <v>73</v>
      </c>
      <c r="D1658" s="16"/>
      <c r="E1658" s="2">
        <v>19445224.649999999</v>
      </c>
      <c r="F1658" s="23">
        <v>0.44240027949484251</v>
      </c>
      <c r="G1658" s="26">
        <f t="shared" si="25"/>
        <v>8602572.8200000003</v>
      </c>
      <c r="H1658" t="s">
        <v>68</v>
      </c>
    </row>
    <row r="1659" spans="1:9" hidden="1">
      <c r="A1659" s="19" t="s">
        <v>1167</v>
      </c>
      <c r="B1659" s="20" t="s">
        <v>1168</v>
      </c>
      <c r="C1659" s="19" t="s">
        <v>74</v>
      </c>
      <c r="D1659" s="20"/>
      <c r="E1659" s="3">
        <v>19445224.649999999</v>
      </c>
      <c r="F1659" s="24">
        <v>5.2821769791175963E-2</v>
      </c>
      <c r="G1659" s="26">
        <f t="shared" si="25"/>
        <v>1027131.18</v>
      </c>
      <c r="H1659" t="s">
        <v>68</v>
      </c>
    </row>
    <row r="1660" spans="1:9" hidden="1">
      <c r="A1660" s="13" t="s">
        <v>1169</v>
      </c>
      <c r="B1660" s="14" t="s">
        <v>1170</v>
      </c>
      <c r="C1660" s="15" t="s">
        <v>72</v>
      </c>
      <c r="D1660" s="16"/>
      <c r="E1660" s="2">
        <v>17080374.030000001</v>
      </c>
      <c r="F1660" s="23">
        <v>0.36926408923610671</v>
      </c>
      <c r="G1660" s="26">
        <f t="shared" si="25"/>
        <v>6307168.7599999998</v>
      </c>
      <c r="H1660" t="s">
        <v>68</v>
      </c>
    </row>
    <row r="1661" spans="1:9" hidden="1">
      <c r="A1661" s="17" t="s">
        <v>1169</v>
      </c>
      <c r="B1661" s="18" t="s">
        <v>1170</v>
      </c>
      <c r="C1661" s="19" t="s">
        <v>73</v>
      </c>
      <c r="D1661" s="20"/>
      <c r="E1661" s="3">
        <v>17080374.030000001</v>
      </c>
      <c r="F1661" s="24">
        <v>0.58020152208575493</v>
      </c>
      <c r="G1661" s="26">
        <f t="shared" si="25"/>
        <v>9910059.0099999998</v>
      </c>
      <c r="H1661" t="s">
        <v>68</v>
      </c>
    </row>
    <row r="1662" spans="1:9" hidden="1">
      <c r="A1662" s="15" t="s">
        <v>1169</v>
      </c>
      <c r="B1662" s="16" t="s">
        <v>1170</v>
      </c>
      <c r="C1662" s="15" t="s">
        <v>74</v>
      </c>
      <c r="D1662" s="16"/>
      <c r="E1662" s="2">
        <v>17080374.030000001</v>
      </c>
      <c r="F1662" s="23">
        <v>5.053438867813833E-2</v>
      </c>
      <c r="G1662" s="26">
        <f t="shared" si="25"/>
        <v>863146.26</v>
      </c>
      <c r="H1662" t="s">
        <v>68</v>
      </c>
    </row>
    <row r="1663" spans="1:9" hidden="1">
      <c r="A1663" s="17" t="s">
        <v>1171</v>
      </c>
      <c r="B1663" s="21" t="s">
        <v>1172</v>
      </c>
      <c r="C1663" s="19" t="s">
        <v>72</v>
      </c>
      <c r="D1663" s="20"/>
      <c r="E1663" s="3">
        <v>14534876.24</v>
      </c>
      <c r="F1663" s="24">
        <v>0.31451626862974924</v>
      </c>
      <c r="G1663" s="26">
        <f t="shared" si="25"/>
        <v>4571455.04</v>
      </c>
      <c r="H1663" t="s">
        <v>68</v>
      </c>
    </row>
    <row r="1664" spans="1:9" hidden="1">
      <c r="A1664" s="13" t="s">
        <v>1171</v>
      </c>
      <c r="B1664" s="22" t="s">
        <v>1172</v>
      </c>
      <c r="C1664" s="15" t="s">
        <v>73</v>
      </c>
      <c r="D1664" s="16"/>
      <c r="E1664" s="2">
        <v>14534876.24</v>
      </c>
      <c r="F1664" s="23">
        <v>0.62208787406916366</v>
      </c>
      <c r="G1664" s="26">
        <f t="shared" si="25"/>
        <v>9041970.2599999998</v>
      </c>
      <c r="H1664" t="s">
        <v>68</v>
      </c>
    </row>
    <row r="1665" spans="1:9" hidden="1">
      <c r="A1665" s="19" t="s">
        <v>1171</v>
      </c>
      <c r="B1665" s="20" t="s">
        <v>1172</v>
      </c>
      <c r="C1665" s="19" t="s">
        <v>74</v>
      </c>
      <c r="D1665" s="20"/>
      <c r="E1665" s="3">
        <v>14534876.24</v>
      </c>
      <c r="F1665" s="24">
        <v>6.3395857301087002E-2</v>
      </c>
      <c r="G1665" s="26">
        <f t="shared" si="25"/>
        <v>921450.94000000006</v>
      </c>
      <c r="H1665" t="s">
        <v>68</v>
      </c>
    </row>
    <row r="1666" spans="1:9" hidden="1">
      <c r="A1666" s="13" t="s">
        <v>1173</v>
      </c>
      <c r="B1666" s="14" t="s">
        <v>1174</v>
      </c>
      <c r="C1666" s="15" t="s">
        <v>72</v>
      </c>
      <c r="D1666" s="16"/>
      <c r="E1666" s="2">
        <v>11908354.83</v>
      </c>
      <c r="F1666" s="23">
        <v>0.53285218240343624</v>
      </c>
      <c r="G1666" s="26">
        <f t="shared" si="25"/>
        <v>6345392.8600000013</v>
      </c>
      <c r="H1666" t="s">
        <v>68</v>
      </c>
    </row>
    <row r="1667" spans="1:9" hidden="1">
      <c r="A1667" s="17" t="s">
        <v>1173</v>
      </c>
      <c r="B1667" s="18" t="s">
        <v>1174</v>
      </c>
      <c r="C1667" s="19" t="s">
        <v>73</v>
      </c>
      <c r="D1667" s="20"/>
      <c r="E1667" s="3">
        <v>11908354.83</v>
      </c>
      <c r="F1667" s="24">
        <v>0.42839855402595528</v>
      </c>
      <c r="G1667" s="26">
        <f t="shared" si="25"/>
        <v>5101521.99</v>
      </c>
      <c r="H1667" t="s">
        <v>68</v>
      </c>
    </row>
    <row r="1668" spans="1:9" hidden="1">
      <c r="A1668" s="15" t="s">
        <v>1173</v>
      </c>
      <c r="B1668" s="16" t="s">
        <v>1174</v>
      </c>
      <c r="C1668" s="15" t="s">
        <v>74</v>
      </c>
      <c r="D1668" s="16"/>
      <c r="E1668" s="2">
        <v>11908354.83</v>
      </c>
      <c r="F1668" s="23">
        <v>3.8749263570608601E-2</v>
      </c>
      <c r="G1668" s="26">
        <f t="shared" si="25"/>
        <v>461439.98</v>
      </c>
      <c r="H1668" t="s">
        <v>68</v>
      </c>
    </row>
    <row r="1669" spans="1:9" hidden="1">
      <c r="A1669" s="17" t="s">
        <v>1175</v>
      </c>
      <c r="B1669" s="21" t="s">
        <v>1176</v>
      </c>
      <c r="C1669" s="19" t="s">
        <v>72</v>
      </c>
      <c r="D1669" s="20"/>
      <c r="E1669" s="3">
        <v>31681171.879999999</v>
      </c>
      <c r="F1669" s="24">
        <v>0.55519594687417229</v>
      </c>
      <c r="G1669" s="26">
        <f t="shared" ref="G1669:G1732" si="26">F1669*E1669</f>
        <v>17589258.219999999</v>
      </c>
      <c r="H1669" t="s">
        <v>68</v>
      </c>
    </row>
    <row r="1670" spans="1:9" hidden="1">
      <c r="A1670" s="13" t="s">
        <v>1175</v>
      </c>
      <c r="B1670" s="22" t="s">
        <v>1176</v>
      </c>
      <c r="C1670" s="15" t="s">
        <v>73</v>
      </c>
      <c r="D1670" s="16"/>
      <c r="E1670" s="2">
        <v>31681171.879999999</v>
      </c>
      <c r="F1670" s="23">
        <v>0.40574144317290328</v>
      </c>
      <c r="G1670" s="26">
        <f t="shared" si="26"/>
        <v>12854364.4</v>
      </c>
      <c r="H1670" t="s">
        <v>68</v>
      </c>
    </row>
    <row r="1671" spans="1:9" hidden="1">
      <c r="A1671" s="19" t="s">
        <v>1175</v>
      </c>
      <c r="B1671" s="20" t="s">
        <v>1176</v>
      </c>
      <c r="C1671" s="19" t="s">
        <v>74</v>
      </c>
      <c r="D1671" s="20"/>
      <c r="E1671" s="3">
        <v>31681171.879999999</v>
      </c>
      <c r="F1671" s="24">
        <v>3.9062609952924508E-2</v>
      </c>
      <c r="G1671" s="26">
        <f t="shared" si="26"/>
        <v>1237549.26</v>
      </c>
      <c r="H1671" t="s">
        <v>68</v>
      </c>
    </row>
    <row r="1672" spans="1:9" hidden="1">
      <c r="A1672" s="13" t="s">
        <v>1177</v>
      </c>
      <c r="B1672" s="14" t="s">
        <v>1178</v>
      </c>
      <c r="C1672" s="15" t="s">
        <v>72</v>
      </c>
      <c r="D1672" s="16"/>
      <c r="E1672" s="2">
        <v>2265980.46</v>
      </c>
      <c r="F1672" s="23">
        <v>0.53527567488379846</v>
      </c>
      <c r="G1672" s="26">
        <f t="shared" si="26"/>
        <v>1212924.22</v>
      </c>
      <c r="H1672" t="s">
        <v>68</v>
      </c>
      <c r="I1672" t="s">
        <v>1883</v>
      </c>
    </row>
    <row r="1673" spans="1:9" hidden="1">
      <c r="A1673" s="17" t="s">
        <v>1177</v>
      </c>
      <c r="B1673" s="18" t="s">
        <v>1178</v>
      </c>
      <c r="C1673" s="19" t="s">
        <v>73</v>
      </c>
      <c r="D1673" s="20"/>
      <c r="E1673" s="3">
        <v>2265980.46</v>
      </c>
      <c r="F1673" s="24">
        <v>0.4647243251162016</v>
      </c>
      <c r="G1673" s="26">
        <f t="shared" si="26"/>
        <v>1053056.24</v>
      </c>
      <c r="H1673" t="s">
        <v>68</v>
      </c>
      <c r="I1673" t="s">
        <v>1883</v>
      </c>
    </row>
    <row r="1674" spans="1:9" hidden="1">
      <c r="A1674" s="15" t="s">
        <v>1177</v>
      </c>
      <c r="B1674" s="16" t="s">
        <v>1178</v>
      </c>
      <c r="C1674" s="15" t="s">
        <v>74</v>
      </c>
      <c r="D1674" s="16"/>
      <c r="E1674" s="2">
        <v>2265980.46</v>
      </c>
      <c r="F1674" s="23">
        <v>0</v>
      </c>
      <c r="G1674" s="26">
        <f t="shared" si="26"/>
        <v>0</v>
      </c>
      <c r="H1674" t="s">
        <v>68</v>
      </c>
      <c r="I1674" t="s">
        <v>1883</v>
      </c>
    </row>
    <row r="1675" spans="1:9" hidden="1">
      <c r="A1675" s="17" t="s">
        <v>1179</v>
      </c>
      <c r="B1675" s="21" t="s">
        <v>1180</v>
      </c>
      <c r="C1675" s="19" t="s">
        <v>72</v>
      </c>
      <c r="D1675" s="20"/>
      <c r="E1675" s="3">
        <v>16972129.460000001</v>
      </c>
      <c r="F1675" s="24">
        <v>0.53102828264662549</v>
      </c>
      <c r="G1675" s="26">
        <f t="shared" si="26"/>
        <v>9012680.7599999998</v>
      </c>
      <c r="H1675" t="s">
        <v>68</v>
      </c>
    </row>
    <row r="1676" spans="1:9" hidden="1">
      <c r="A1676" s="13" t="s">
        <v>1179</v>
      </c>
      <c r="B1676" s="22" t="s">
        <v>1180</v>
      </c>
      <c r="C1676" s="15" t="s">
        <v>73</v>
      </c>
      <c r="D1676" s="16"/>
      <c r="E1676" s="2">
        <v>16972129.460000001</v>
      </c>
      <c r="F1676" s="23">
        <v>0.4292737241470464</v>
      </c>
      <c r="G1676" s="26">
        <f t="shared" si="26"/>
        <v>7285689.2199999997</v>
      </c>
      <c r="H1676" t="s">
        <v>68</v>
      </c>
    </row>
    <row r="1677" spans="1:9" hidden="1">
      <c r="A1677" s="19" t="s">
        <v>1179</v>
      </c>
      <c r="B1677" s="20" t="s">
        <v>1180</v>
      </c>
      <c r="C1677" s="19" t="s">
        <v>74</v>
      </c>
      <c r="D1677" s="20"/>
      <c r="E1677" s="3">
        <v>16972129.460000001</v>
      </c>
      <c r="F1677" s="24">
        <v>3.9697993206328039E-2</v>
      </c>
      <c r="G1677" s="26">
        <f t="shared" si="26"/>
        <v>673759.48</v>
      </c>
      <c r="H1677" t="s">
        <v>68</v>
      </c>
    </row>
    <row r="1678" spans="1:9" hidden="1">
      <c r="A1678" s="13" t="s">
        <v>1181</v>
      </c>
      <c r="B1678" s="14" t="s">
        <v>1182</v>
      </c>
      <c r="C1678" s="15" t="s">
        <v>72</v>
      </c>
      <c r="D1678" s="16"/>
      <c r="E1678" s="2">
        <v>16768943.859999999</v>
      </c>
      <c r="F1678" s="23">
        <v>0.55803967489697359</v>
      </c>
      <c r="G1678" s="26">
        <f t="shared" si="26"/>
        <v>9357735.9800000004</v>
      </c>
      <c r="H1678" t="s">
        <v>68</v>
      </c>
    </row>
    <row r="1679" spans="1:9" hidden="1">
      <c r="A1679" s="17" t="s">
        <v>1181</v>
      </c>
      <c r="B1679" s="18" t="s">
        <v>1182</v>
      </c>
      <c r="C1679" s="19" t="s">
        <v>73</v>
      </c>
      <c r="D1679" s="20"/>
      <c r="E1679" s="3">
        <v>16768943.859999999</v>
      </c>
      <c r="F1679" s="24">
        <v>0.36899376917587223</v>
      </c>
      <c r="G1679" s="26">
        <f t="shared" si="26"/>
        <v>6187635.7999999998</v>
      </c>
      <c r="H1679" t="s">
        <v>68</v>
      </c>
    </row>
    <row r="1680" spans="1:9" hidden="1">
      <c r="A1680" s="15" t="s">
        <v>1181</v>
      </c>
      <c r="B1680" s="16" t="s">
        <v>1182</v>
      </c>
      <c r="C1680" s="15" t="s">
        <v>74</v>
      </c>
      <c r="D1680" s="16"/>
      <c r="E1680" s="2">
        <v>16768943.859999999</v>
      </c>
      <c r="F1680" s="23">
        <v>7.2966555927154259E-2</v>
      </c>
      <c r="G1680" s="26">
        <f t="shared" si="26"/>
        <v>1223572.08</v>
      </c>
      <c r="H1680" t="s">
        <v>68</v>
      </c>
    </row>
    <row r="1681" spans="1:9" hidden="1">
      <c r="A1681" s="17" t="s">
        <v>1183</v>
      </c>
      <c r="B1681" s="21" t="s">
        <v>1149</v>
      </c>
      <c r="C1681" s="19" t="s">
        <v>72</v>
      </c>
      <c r="D1681" s="20"/>
      <c r="E1681" s="3">
        <v>6646869.0599999996</v>
      </c>
      <c r="F1681" s="24">
        <v>0.35052492067596108</v>
      </c>
      <c r="G1681" s="26">
        <f t="shared" si="26"/>
        <v>2329893.25</v>
      </c>
      <c r="H1681" t="s">
        <v>68</v>
      </c>
    </row>
    <row r="1682" spans="1:9" hidden="1">
      <c r="A1682" s="13" t="s">
        <v>1183</v>
      </c>
      <c r="B1682" s="22" t="s">
        <v>1149</v>
      </c>
      <c r="C1682" s="15" t="s">
        <v>73</v>
      </c>
      <c r="D1682" s="16"/>
      <c r="E1682" s="2">
        <v>6646869.0599999996</v>
      </c>
      <c r="F1682" s="23">
        <v>0.58359472783115129</v>
      </c>
      <c r="G1682" s="26">
        <f t="shared" si="26"/>
        <v>3879077.74</v>
      </c>
      <c r="H1682" t="s">
        <v>68</v>
      </c>
    </row>
    <row r="1683" spans="1:9" hidden="1">
      <c r="A1683" s="19" t="s">
        <v>1183</v>
      </c>
      <c r="B1683" s="20" t="s">
        <v>1149</v>
      </c>
      <c r="C1683" s="19" t="s">
        <v>74</v>
      </c>
      <c r="D1683" s="20"/>
      <c r="E1683" s="3">
        <v>6646869.0599999996</v>
      </c>
      <c r="F1683" s="24">
        <v>6.5880351492887693E-2</v>
      </c>
      <c r="G1683" s="26">
        <f t="shared" si="26"/>
        <v>437898.07</v>
      </c>
      <c r="H1683" t="s">
        <v>68</v>
      </c>
    </row>
    <row r="1684" spans="1:9" hidden="1">
      <c r="A1684" s="13" t="s">
        <v>1184</v>
      </c>
      <c r="B1684" s="14" t="s">
        <v>1185</v>
      </c>
      <c r="C1684" s="15" t="s">
        <v>72</v>
      </c>
      <c r="D1684" s="16"/>
      <c r="E1684" s="2">
        <v>8389730.3699999992</v>
      </c>
      <c r="F1684" s="23">
        <v>0.454911224995661</v>
      </c>
      <c r="G1684" s="26">
        <f t="shared" si="26"/>
        <v>3816582.52</v>
      </c>
      <c r="H1684" t="s">
        <v>68</v>
      </c>
      <c r="I1684" t="s">
        <v>1883</v>
      </c>
    </row>
    <row r="1685" spans="1:9" hidden="1">
      <c r="A1685" s="17" t="s">
        <v>1184</v>
      </c>
      <c r="B1685" s="18" t="s">
        <v>1185</v>
      </c>
      <c r="C1685" s="19" t="s">
        <v>73</v>
      </c>
      <c r="D1685" s="20"/>
      <c r="E1685" s="3">
        <v>8389730.3699999992</v>
      </c>
      <c r="F1685" s="24">
        <v>0.36782080280370205</v>
      </c>
      <c r="G1685" s="26">
        <f t="shared" si="26"/>
        <v>3085917.36</v>
      </c>
      <c r="H1685" t="s">
        <v>68</v>
      </c>
      <c r="I1685" t="s">
        <v>1883</v>
      </c>
    </row>
    <row r="1686" spans="1:9" hidden="1">
      <c r="A1686" s="15" t="s">
        <v>1184</v>
      </c>
      <c r="B1686" s="16" t="s">
        <v>1185</v>
      </c>
      <c r="C1686" s="15" t="s">
        <v>74</v>
      </c>
      <c r="D1686" s="16"/>
      <c r="E1686" s="2">
        <v>8389730.3699999992</v>
      </c>
      <c r="F1686" s="23">
        <v>0.17726797220063703</v>
      </c>
      <c r="G1686" s="26">
        <f t="shared" si="26"/>
        <v>1487230.49</v>
      </c>
      <c r="H1686" t="s">
        <v>68</v>
      </c>
      <c r="I1686" t="s">
        <v>1883</v>
      </c>
    </row>
    <row r="1687" spans="1:9" hidden="1">
      <c r="A1687" s="17" t="s">
        <v>1186</v>
      </c>
      <c r="B1687" s="21" t="s">
        <v>1187</v>
      </c>
      <c r="C1687" s="19" t="s">
        <v>72</v>
      </c>
      <c r="D1687" s="20"/>
      <c r="E1687" s="3">
        <v>24793691.5</v>
      </c>
      <c r="F1687" s="24">
        <v>0.74444768662222005</v>
      </c>
      <c r="G1687" s="26">
        <f t="shared" si="26"/>
        <v>18457606.280000001</v>
      </c>
      <c r="H1687" t="s">
        <v>68</v>
      </c>
    </row>
    <row r="1688" spans="1:9" hidden="1">
      <c r="A1688" s="13" t="s">
        <v>1186</v>
      </c>
      <c r="B1688" s="22" t="s">
        <v>1187</v>
      </c>
      <c r="C1688" s="15" t="s">
        <v>73</v>
      </c>
      <c r="D1688" s="16"/>
      <c r="E1688" s="2">
        <v>24793691.5</v>
      </c>
      <c r="F1688" s="23">
        <v>0.22194273369901371</v>
      </c>
      <c r="G1688" s="26">
        <f t="shared" si="26"/>
        <v>5502779.6699999999</v>
      </c>
      <c r="H1688" t="s">
        <v>68</v>
      </c>
    </row>
    <row r="1689" spans="1:9" hidden="1">
      <c r="A1689" s="19" t="s">
        <v>1186</v>
      </c>
      <c r="B1689" s="20" t="s">
        <v>1187</v>
      </c>
      <c r="C1689" s="19" t="s">
        <v>74</v>
      </c>
      <c r="D1689" s="20"/>
      <c r="E1689" s="3">
        <v>24793691.5</v>
      </c>
      <c r="F1689" s="24">
        <v>3.3609579678766273E-2</v>
      </c>
      <c r="G1689" s="26">
        <f t="shared" si="26"/>
        <v>833305.55</v>
      </c>
      <c r="H1689" t="s">
        <v>68</v>
      </c>
    </row>
    <row r="1690" spans="1:9" hidden="1">
      <c r="A1690" s="13" t="s">
        <v>1188</v>
      </c>
      <c r="B1690" s="14" t="s">
        <v>1189</v>
      </c>
      <c r="C1690" s="15" t="s">
        <v>72</v>
      </c>
      <c r="D1690" s="16"/>
      <c r="E1690" s="2">
        <v>36360032.649999999</v>
      </c>
      <c r="F1690" s="23">
        <v>0.77252012203569898</v>
      </c>
      <c r="G1690" s="26">
        <f t="shared" si="26"/>
        <v>28088856.859999999</v>
      </c>
      <c r="H1690" t="s">
        <v>68</v>
      </c>
    </row>
    <row r="1691" spans="1:9" hidden="1">
      <c r="A1691" s="17" t="s">
        <v>1188</v>
      </c>
      <c r="B1691" s="18" t="s">
        <v>1189</v>
      </c>
      <c r="C1691" s="19" t="s">
        <v>73</v>
      </c>
      <c r="D1691" s="20"/>
      <c r="E1691" s="3">
        <v>36360032.649999999</v>
      </c>
      <c r="F1691" s="24">
        <v>0.20350543222078213</v>
      </c>
      <c r="G1691" s="26">
        <f t="shared" si="26"/>
        <v>7399464.1600000001</v>
      </c>
      <c r="H1691" t="s">
        <v>68</v>
      </c>
    </row>
    <row r="1692" spans="1:9" hidden="1">
      <c r="A1692" s="15" t="s">
        <v>1188</v>
      </c>
      <c r="B1692" s="16" t="s">
        <v>1189</v>
      </c>
      <c r="C1692" s="15" t="s">
        <v>74</v>
      </c>
      <c r="D1692" s="16"/>
      <c r="E1692" s="2">
        <v>36360032.649999999</v>
      </c>
      <c r="F1692" s="23">
        <v>2.3974445743518882E-2</v>
      </c>
      <c r="G1692" s="26">
        <f t="shared" si="26"/>
        <v>871711.63</v>
      </c>
      <c r="H1692" t="s">
        <v>68</v>
      </c>
    </row>
    <row r="1693" spans="1:9" hidden="1">
      <c r="A1693" s="17" t="s">
        <v>1190</v>
      </c>
      <c r="B1693" s="21" t="s">
        <v>1191</v>
      </c>
      <c r="C1693" s="19" t="s">
        <v>72</v>
      </c>
      <c r="D1693" s="20"/>
      <c r="E1693" s="3">
        <v>12771086.09</v>
      </c>
      <c r="F1693" s="24">
        <v>0.35831915999557717</v>
      </c>
      <c r="G1693" s="26">
        <f t="shared" si="26"/>
        <v>4576124.84</v>
      </c>
      <c r="H1693" t="s">
        <v>68</v>
      </c>
    </row>
    <row r="1694" spans="1:9" hidden="1">
      <c r="A1694" s="13" t="s">
        <v>1190</v>
      </c>
      <c r="B1694" s="22" t="s">
        <v>1191</v>
      </c>
      <c r="C1694" s="15" t="s">
        <v>73</v>
      </c>
      <c r="D1694" s="16"/>
      <c r="E1694" s="2">
        <v>12771086.09</v>
      </c>
      <c r="F1694" s="23">
        <v>0.54467843541096983</v>
      </c>
      <c r="G1694" s="26">
        <f t="shared" si="26"/>
        <v>6956135.1900000004</v>
      </c>
      <c r="H1694" t="s">
        <v>68</v>
      </c>
    </row>
    <row r="1695" spans="1:9" hidden="1">
      <c r="A1695" s="19" t="s">
        <v>1190</v>
      </c>
      <c r="B1695" s="20" t="s">
        <v>1191</v>
      </c>
      <c r="C1695" s="19" t="s">
        <v>74</v>
      </c>
      <c r="D1695" s="20"/>
      <c r="E1695" s="3">
        <v>12771086.09</v>
      </c>
      <c r="F1695" s="24">
        <v>9.7002404593453023E-2</v>
      </c>
      <c r="G1695" s="26">
        <f t="shared" si="26"/>
        <v>1238826.06</v>
      </c>
      <c r="H1695" t="s">
        <v>68</v>
      </c>
    </row>
    <row r="1696" spans="1:9" hidden="1">
      <c r="A1696" s="13" t="s">
        <v>1192</v>
      </c>
      <c r="B1696" s="14" t="s">
        <v>1193</v>
      </c>
      <c r="C1696" s="15" t="s">
        <v>72</v>
      </c>
      <c r="D1696" s="16"/>
      <c r="E1696" s="2">
        <v>10045347.390000001</v>
      </c>
      <c r="F1696" s="23">
        <v>0.60168163283400389</v>
      </c>
      <c r="G1696" s="26">
        <f t="shared" si="26"/>
        <v>6044101.0199999996</v>
      </c>
      <c r="H1696" t="s">
        <v>68</v>
      </c>
    </row>
    <row r="1697" spans="1:9" hidden="1">
      <c r="A1697" s="17" t="s">
        <v>1192</v>
      </c>
      <c r="B1697" s="18" t="s">
        <v>1193</v>
      </c>
      <c r="C1697" s="19" t="s">
        <v>73</v>
      </c>
      <c r="D1697" s="20"/>
      <c r="E1697" s="3">
        <v>10045347.390000001</v>
      </c>
      <c r="F1697" s="24">
        <v>0.36644924332477463</v>
      </c>
      <c r="G1697" s="26">
        <f t="shared" si="26"/>
        <v>3681109.95</v>
      </c>
      <c r="H1697" t="s">
        <v>68</v>
      </c>
    </row>
    <row r="1698" spans="1:9" hidden="1">
      <c r="A1698" s="15" t="s">
        <v>1192</v>
      </c>
      <c r="B1698" s="16" t="s">
        <v>1193</v>
      </c>
      <c r="C1698" s="15" t="s">
        <v>74</v>
      </c>
      <c r="D1698" s="16"/>
      <c r="E1698" s="2">
        <v>10045347.390000001</v>
      </c>
      <c r="F1698" s="23">
        <v>3.1869123841221383E-2</v>
      </c>
      <c r="G1698" s="26">
        <f t="shared" si="26"/>
        <v>320136.42000000004</v>
      </c>
      <c r="H1698" t="s">
        <v>68</v>
      </c>
    </row>
    <row r="1699" spans="1:9" hidden="1">
      <c r="A1699" s="17" t="s">
        <v>1194</v>
      </c>
      <c r="B1699" s="21" t="s">
        <v>1195</v>
      </c>
      <c r="C1699" s="19" t="s">
        <v>72</v>
      </c>
      <c r="D1699" s="20"/>
      <c r="E1699" s="3">
        <v>16505943.74</v>
      </c>
      <c r="F1699" s="24">
        <v>0.44614440688745499</v>
      </c>
      <c r="G1699" s="26">
        <f t="shared" si="26"/>
        <v>7364034.4800000004</v>
      </c>
      <c r="H1699" t="s">
        <v>68</v>
      </c>
    </row>
    <row r="1700" spans="1:9" hidden="1">
      <c r="A1700" s="13" t="s">
        <v>1194</v>
      </c>
      <c r="B1700" s="22" t="s">
        <v>1195</v>
      </c>
      <c r="C1700" s="15" t="s">
        <v>73</v>
      </c>
      <c r="D1700" s="16"/>
      <c r="E1700" s="2">
        <v>16505943.74</v>
      </c>
      <c r="F1700" s="23">
        <v>0.51294614130315708</v>
      </c>
      <c r="G1700" s="26">
        <f t="shared" si="26"/>
        <v>8466660.1500000004</v>
      </c>
      <c r="H1700" t="s">
        <v>68</v>
      </c>
    </row>
    <row r="1701" spans="1:9" hidden="1">
      <c r="A1701" s="19" t="s">
        <v>1194</v>
      </c>
      <c r="B1701" s="20" t="s">
        <v>1195</v>
      </c>
      <c r="C1701" s="19" t="s">
        <v>74</v>
      </c>
      <c r="D1701" s="20"/>
      <c r="E1701" s="3">
        <v>16505943.74</v>
      </c>
      <c r="F1701" s="24">
        <v>4.0909451809388028E-2</v>
      </c>
      <c r="G1701" s="26">
        <f t="shared" si="26"/>
        <v>675249.11</v>
      </c>
      <c r="H1701" t="s">
        <v>68</v>
      </c>
    </row>
    <row r="1702" spans="1:9" hidden="1">
      <c r="A1702" s="13" t="s">
        <v>1196</v>
      </c>
      <c r="B1702" s="14" t="s">
        <v>1197</v>
      </c>
      <c r="C1702" s="15" t="s">
        <v>72</v>
      </c>
      <c r="D1702" s="16"/>
      <c r="E1702" s="2">
        <v>13739270</v>
      </c>
      <c r="F1702" s="23">
        <v>0.41630267765317952</v>
      </c>
      <c r="G1702" s="26">
        <f t="shared" si="26"/>
        <v>5719694.8899999997</v>
      </c>
      <c r="H1702" t="s">
        <v>68</v>
      </c>
    </row>
    <row r="1703" spans="1:9" hidden="1">
      <c r="A1703" s="17" t="s">
        <v>1196</v>
      </c>
      <c r="B1703" s="18" t="s">
        <v>1197</v>
      </c>
      <c r="C1703" s="19" t="s">
        <v>73</v>
      </c>
      <c r="D1703" s="20"/>
      <c r="E1703" s="3">
        <v>13739270</v>
      </c>
      <c r="F1703" s="24">
        <v>0.53311920283974334</v>
      </c>
      <c r="G1703" s="26">
        <f t="shared" si="26"/>
        <v>7324668.6700000009</v>
      </c>
      <c r="H1703" t="s">
        <v>68</v>
      </c>
    </row>
    <row r="1704" spans="1:9" hidden="1">
      <c r="A1704" s="15" t="s">
        <v>1196</v>
      </c>
      <c r="B1704" s="16" t="s">
        <v>1197</v>
      </c>
      <c r="C1704" s="15" t="s">
        <v>74</v>
      </c>
      <c r="D1704" s="16"/>
      <c r="E1704" s="2">
        <v>13739270</v>
      </c>
      <c r="F1704" s="23">
        <v>5.0578119507077156E-2</v>
      </c>
      <c r="G1704" s="26">
        <f t="shared" si="26"/>
        <v>694906.44</v>
      </c>
      <c r="H1704" t="s">
        <v>68</v>
      </c>
    </row>
    <row r="1705" spans="1:9" hidden="1">
      <c r="A1705" s="17" t="s">
        <v>1198</v>
      </c>
      <c r="B1705" s="21" t="s">
        <v>1199</v>
      </c>
      <c r="C1705" s="19" t="s">
        <v>72</v>
      </c>
      <c r="D1705" s="20"/>
      <c r="E1705" s="3">
        <v>25769869.5</v>
      </c>
      <c r="F1705" s="24">
        <v>0.42581064486958309</v>
      </c>
      <c r="G1705" s="26">
        <f t="shared" si="26"/>
        <v>10973084.75</v>
      </c>
      <c r="H1705" t="s">
        <v>68</v>
      </c>
    </row>
    <row r="1706" spans="1:9" hidden="1">
      <c r="A1706" s="13" t="s">
        <v>1198</v>
      </c>
      <c r="B1706" s="22" t="s">
        <v>1199</v>
      </c>
      <c r="C1706" s="15" t="s">
        <v>73</v>
      </c>
      <c r="D1706" s="16"/>
      <c r="E1706" s="2">
        <v>25769869.5</v>
      </c>
      <c r="F1706" s="23">
        <v>0.52670553880763737</v>
      </c>
      <c r="G1706" s="26">
        <f t="shared" si="26"/>
        <v>13573133</v>
      </c>
      <c r="H1706" t="s">
        <v>68</v>
      </c>
    </row>
    <row r="1707" spans="1:9" hidden="1">
      <c r="A1707" s="19" t="s">
        <v>1198</v>
      </c>
      <c r="B1707" s="20" t="s">
        <v>1199</v>
      </c>
      <c r="C1707" s="19" t="s">
        <v>74</v>
      </c>
      <c r="D1707" s="20"/>
      <c r="E1707" s="3">
        <v>25769869.5</v>
      </c>
      <c r="F1707" s="24">
        <v>4.7483816322779593E-2</v>
      </c>
      <c r="G1707" s="26">
        <f t="shared" si="26"/>
        <v>1223651.75</v>
      </c>
      <c r="H1707" t="s">
        <v>68</v>
      </c>
    </row>
    <row r="1708" spans="1:9" hidden="1">
      <c r="A1708" s="13" t="s">
        <v>1200</v>
      </c>
      <c r="B1708" s="14" t="s">
        <v>1201</v>
      </c>
      <c r="C1708" s="15" t="s">
        <v>72</v>
      </c>
      <c r="D1708" s="16"/>
      <c r="E1708" s="2">
        <v>20788556.800000001</v>
      </c>
      <c r="F1708" s="23">
        <v>0.34490627410941771</v>
      </c>
      <c r="G1708" s="26">
        <f t="shared" si="26"/>
        <v>7170103.6699999999</v>
      </c>
      <c r="H1708" t="s">
        <v>68</v>
      </c>
      <c r="I1708" t="s">
        <v>1883</v>
      </c>
    </row>
    <row r="1709" spans="1:9" hidden="1">
      <c r="A1709" s="17" t="s">
        <v>1200</v>
      </c>
      <c r="B1709" s="18" t="s">
        <v>1201</v>
      </c>
      <c r="C1709" s="19" t="s">
        <v>73</v>
      </c>
      <c r="D1709" s="20"/>
      <c r="E1709" s="3">
        <v>20788556.800000001</v>
      </c>
      <c r="F1709" s="24">
        <v>0.58324170439768097</v>
      </c>
      <c r="G1709" s="26">
        <f t="shared" si="26"/>
        <v>12124753.300000001</v>
      </c>
      <c r="H1709" t="s">
        <v>68</v>
      </c>
      <c r="I1709" t="s">
        <v>1883</v>
      </c>
    </row>
    <row r="1710" spans="1:9" hidden="1">
      <c r="A1710" s="15" t="s">
        <v>1200</v>
      </c>
      <c r="B1710" s="16" t="s">
        <v>1201</v>
      </c>
      <c r="C1710" s="15" t="s">
        <v>74</v>
      </c>
      <c r="D1710" s="16"/>
      <c r="E1710" s="2">
        <v>20788556.800000001</v>
      </c>
      <c r="F1710" s="23">
        <v>7.1852021492901333E-2</v>
      </c>
      <c r="G1710" s="26">
        <f t="shared" si="26"/>
        <v>1493699.8300000003</v>
      </c>
      <c r="H1710" t="s">
        <v>68</v>
      </c>
      <c r="I1710" t="s">
        <v>1883</v>
      </c>
    </row>
    <row r="1711" spans="1:9" hidden="1">
      <c r="A1711" s="17" t="s">
        <v>1202</v>
      </c>
      <c r="B1711" s="21" t="s">
        <v>1203</v>
      </c>
      <c r="C1711" s="19" t="s">
        <v>72</v>
      </c>
      <c r="D1711" s="20"/>
      <c r="E1711" s="3">
        <v>32232003.739999998</v>
      </c>
      <c r="F1711" s="24">
        <v>0.6805492049747448</v>
      </c>
      <c r="G1711" s="26">
        <f t="shared" si="26"/>
        <v>21935464.52</v>
      </c>
      <c r="H1711" t="s">
        <v>68</v>
      </c>
    </row>
    <row r="1712" spans="1:9" hidden="1">
      <c r="A1712" s="13" t="s">
        <v>1202</v>
      </c>
      <c r="B1712" s="22" t="s">
        <v>1203</v>
      </c>
      <c r="C1712" s="15" t="s">
        <v>73</v>
      </c>
      <c r="D1712" s="16"/>
      <c r="E1712" s="2">
        <v>32232003.739999998</v>
      </c>
      <c r="F1712" s="23">
        <v>0.29227461022874651</v>
      </c>
      <c r="G1712" s="26">
        <f t="shared" si="26"/>
        <v>9420596.3300000001</v>
      </c>
      <c r="H1712" t="s">
        <v>68</v>
      </c>
    </row>
    <row r="1713" spans="1:8" hidden="1">
      <c r="A1713" s="19" t="s">
        <v>1202</v>
      </c>
      <c r="B1713" s="20" t="s">
        <v>1203</v>
      </c>
      <c r="C1713" s="19" t="s">
        <v>74</v>
      </c>
      <c r="D1713" s="20"/>
      <c r="E1713" s="3">
        <v>32232003.739999998</v>
      </c>
      <c r="F1713" s="24">
        <v>2.7176184796508716E-2</v>
      </c>
      <c r="G1713" s="26">
        <f t="shared" si="26"/>
        <v>875942.89</v>
      </c>
      <c r="H1713" t="s">
        <v>68</v>
      </c>
    </row>
    <row r="1714" spans="1:8" hidden="1">
      <c r="A1714" s="13" t="s">
        <v>1204</v>
      </c>
      <c r="B1714" s="14" t="s">
        <v>1205</v>
      </c>
      <c r="C1714" s="15" t="s">
        <v>72</v>
      </c>
      <c r="D1714" s="16"/>
      <c r="E1714" s="2">
        <v>11977808.18</v>
      </c>
      <c r="F1714" s="23">
        <v>0.73624189730512124</v>
      </c>
      <c r="G1714" s="26">
        <f t="shared" si="26"/>
        <v>8818564.2200000007</v>
      </c>
      <c r="H1714" t="s">
        <v>68</v>
      </c>
    </row>
    <row r="1715" spans="1:8" hidden="1">
      <c r="A1715" s="17" t="s">
        <v>1204</v>
      </c>
      <c r="B1715" s="18" t="s">
        <v>1205</v>
      </c>
      <c r="C1715" s="19" t="s">
        <v>73</v>
      </c>
      <c r="D1715" s="20"/>
      <c r="E1715" s="3">
        <v>11977808.18</v>
      </c>
      <c r="F1715" s="24">
        <v>0.24058790946508546</v>
      </c>
      <c r="G1715" s="26">
        <f t="shared" si="26"/>
        <v>2881715.83</v>
      </c>
      <c r="H1715" t="s">
        <v>68</v>
      </c>
    </row>
    <row r="1716" spans="1:8" hidden="1">
      <c r="A1716" s="15" t="s">
        <v>1204</v>
      </c>
      <c r="B1716" s="16" t="s">
        <v>1205</v>
      </c>
      <c r="C1716" s="15" t="s">
        <v>74</v>
      </c>
      <c r="D1716" s="16"/>
      <c r="E1716" s="2">
        <v>11977808.18</v>
      </c>
      <c r="F1716" s="23">
        <v>2.3170193229793402E-2</v>
      </c>
      <c r="G1716" s="26">
        <f t="shared" si="26"/>
        <v>277528.13</v>
      </c>
      <c r="H1716" t="s">
        <v>68</v>
      </c>
    </row>
    <row r="1717" spans="1:8" hidden="1">
      <c r="A1717" s="17" t="s">
        <v>1206</v>
      </c>
      <c r="B1717" s="21" t="s">
        <v>1207</v>
      </c>
      <c r="C1717" s="19" t="s">
        <v>72</v>
      </c>
      <c r="D1717" s="20"/>
      <c r="E1717" s="3">
        <v>34289142.93</v>
      </c>
      <c r="F1717" s="24">
        <v>0.70638807681624372</v>
      </c>
      <c r="G1717" s="26">
        <f t="shared" si="26"/>
        <v>24221441.73</v>
      </c>
      <c r="H1717" t="s">
        <v>68</v>
      </c>
    </row>
    <row r="1718" spans="1:8" hidden="1">
      <c r="A1718" s="13" t="s">
        <v>1206</v>
      </c>
      <c r="B1718" s="22" t="s">
        <v>1207</v>
      </c>
      <c r="C1718" s="15" t="s">
        <v>73</v>
      </c>
      <c r="D1718" s="16"/>
      <c r="E1718" s="2">
        <v>34289142.93</v>
      </c>
      <c r="F1718" s="23">
        <v>0.22831184016415426</v>
      </c>
      <c r="G1718" s="26">
        <f t="shared" si="26"/>
        <v>7828617.3200000003</v>
      </c>
      <c r="H1718" t="s">
        <v>68</v>
      </c>
    </row>
    <row r="1719" spans="1:8" hidden="1">
      <c r="A1719" s="19" t="s">
        <v>1206</v>
      </c>
      <c r="B1719" s="20" t="s">
        <v>1207</v>
      </c>
      <c r="C1719" s="19" t="s">
        <v>74</v>
      </c>
      <c r="D1719" s="20"/>
      <c r="E1719" s="3">
        <v>34289142.93</v>
      </c>
      <c r="F1719" s="24">
        <v>6.5300083019602023E-2</v>
      </c>
      <c r="G1719" s="26">
        <f t="shared" si="26"/>
        <v>2239083.88</v>
      </c>
      <c r="H1719" t="s">
        <v>68</v>
      </c>
    </row>
    <row r="1720" spans="1:8" hidden="1">
      <c r="A1720" s="13" t="s">
        <v>1208</v>
      </c>
      <c r="B1720" s="14" t="s">
        <v>1209</v>
      </c>
      <c r="C1720" s="15" t="s">
        <v>72</v>
      </c>
      <c r="D1720" s="16"/>
      <c r="E1720" s="2">
        <v>73835540.200000003</v>
      </c>
      <c r="F1720" s="23">
        <v>0.61830116345515673</v>
      </c>
      <c r="G1720" s="26">
        <f t="shared" si="26"/>
        <v>45652600.409999996</v>
      </c>
      <c r="H1720" t="s">
        <v>68</v>
      </c>
    </row>
    <row r="1721" spans="1:8" hidden="1">
      <c r="A1721" s="17" t="s">
        <v>1208</v>
      </c>
      <c r="B1721" s="18" t="s">
        <v>1209</v>
      </c>
      <c r="C1721" s="19" t="s">
        <v>73</v>
      </c>
      <c r="D1721" s="20"/>
      <c r="E1721" s="3">
        <v>73835540.200000003</v>
      </c>
      <c r="F1721" s="24">
        <v>0.32987458050723384</v>
      </c>
      <c r="G1721" s="26">
        <f t="shared" si="26"/>
        <v>24356467.850000001</v>
      </c>
      <c r="H1721" t="s">
        <v>68</v>
      </c>
    </row>
    <row r="1722" spans="1:8" hidden="1">
      <c r="A1722" s="15" t="s">
        <v>1208</v>
      </c>
      <c r="B1722" s="16" t="s">
        <v>1209</v>
      </c>
      <c r="C1722" s="15" t="s">
        <v>74</v>
      </c>
      <c r="D1722" s="16"/>
      <c r="E1722" s="2">
        <v>73835540.200000003</v>
      </c>
      <c r="F1722" s="23">
        <v>5.1824256037609373E-2</v>
      </c>
      <c r="G1722" s="26">
        <f t="shared" si="26"/>
        <v>3826471.94</v>
      </c>
      <c r="H1722" t="s">
        <v>68</v>
      </c>
    </row>
    <row r="1723" spans="1:8" hidden="1">
      <c r="A1723" s="17" t="s">
        <v>1210</v>
      </c>
      <c r="B1723" s="21" t="s">
        <v>1211</v>
      </c>
      <c r="C1723" s="19" t="s">
        <v>72</v>
      </c>
      <c r="D1723" s="20"/>
      <c r="E1723" s="3">
        <v>11789867.859999999</v>
      </c>
      <c r="F1723" s="24">
        <v>0.57159478969766842</v>
      </c>
      <c r="G1723" s="26">
        <f t="shared" si="26"/>
        <v>6739027.04</v>
      </c>
      <c r="H1723" t="s">
        <v>68</v>
      </c>
    </row>
    <row r="1724" spans="1:8" hidden="1">
      <c r="A1724" s="13" t="s">
        <v>1210</v>
      </c>
      <c r="B1724" s="22" t="s">
        <v>1211</v>
      </c>
      <c r="C1724" s="15" t="s">
        <v>73</v>
      </c>
      <c r="D1724" s="16"/>
      <c r="E1724" s="2">
        <v>11789867.859999999</v>
      </c>
      <c r="F1724" s="23">
        <v>0.38166623777579811</v>
      </c>
      <c r="G1724" s="26">
        <f t="shared" si="26"/>
        <v>4499794.51</v>
      </c>
      <c r="H1724" t="s">
        <v>68</v>
      </c>
    </row>
    <row r="1725" spans="1:8" hidden="1">
      <c r="A1725" s="19" t="s">
        <v>1210</v>
      </c>
      <c r="B1725" s="20" t="s">
        <v>1211</v>
      </c>
      <c r="C1725" s="19" t="s">
        <v>74</v>
      </c>
      <c r="D1725" s="20"/>
      <c r="E1725" s="3">
        <v>11789867.859999999</v>
      </c>
      <c r="F1725" s="24">
        <v>4.673897252653348E-2</v>
      </c>
      <c r="G1725" s="26">
        <f t="shared" si="26"/>
        <v>551046.31000000006</v>
      </c>
      <c r="H1725" t="s">
        <v>68</v>
      </c>
    </row>
    <row r="1726" spans="1:8" hidden="1">
      <c r="A1726" s="13" t="s">
        <v>1212</v>
      </c>
      <c r="B1726" s="14" t="s">
        <v>1213</v>
      </c>
      <c r="C1726" s="15" t="s">
        <v>72</v>
      </c>
      <c r="D1726" s="16"/>
      <c r="E1726" s="2">
        <v>13634098.720000001</v>
      </c>
      <c r="F1726" s="23">
        <v>0.39045100004967548</v>
      </c>
      <c r="G1726" s="26">
        <f t="shared" si="26"/>
        <v>5323447.4800000004</v>
      </c>
      <c r="H1726" t="s">
        <v>68</v>
      </c>
    </row>
    <row r="1727" spans="1:8" hidden="1">
      <c r="A1727" s="17" t="s">
        <v>1212</v>
      </c>
      <c r="B1727" s="18" t="s">
        <v>1213</v>
      </c>
      <c r="C1727" s="19" t="s">
        <v>73</v>
      </c>
      <c r="D1727" s="20"/>
      <c r="E1727" s="3">
        <v>13634098.720000001</v>
      </c>
      <c r="F1727" s="24">
        <v>0.55316712640026999</v>
      </c>
      <c r="G1727" s="26">
        <f t="shared" si="26"/>
        <v>7541935.21</v>
      </c>
      <c r="H1727" t="s">
        <v>68</v>
      </c>
    </row>
    <row r="1728" spans="1:8" hidden="1">
      <c r="A1728" s="15" t="s">
        <v>1212</v>
      </c>
      <c r="B1728" s="16" t="s">
        <v>1213</v>
      </c>
      <c r="C1728" s="15" t="s">
        <v>74</v>
      </c>
      <c r="D1728" s="16"/>
      <c r="E1728" s="2">
        <v>13634098.720000001</v>
      </c>
      <c r="F1728" s="23">
        <v>5.6381873550054508E-2</v>
      </c>
      <c r="G1728" s="26">
        <f t="shared" si="26"/>
        <v>768716.03</v>
      </c>
      <c r="H1728" t="s">
        <v>68</v>
      </c>
    </row>
    <row r="1729" spans="1:9" hidden="1">
      <c r="A1729" s="17" t="s">
        <v>1214</v>
      </c>
      <c r="B1729" s="21" t="s">
        <v>1215</v>
      </c>
      <c r="C1729" s="19" t="s">
        <v>72</v>
      </c>
      <c r="D1729" s="20"/>
      <c r="E1729" s="3">
        <v>15684082.49</v>
      </c>
      <c r="F1729" s="24">
        <v>0.57727741076169248</v>
      </c>
      <c r="G1729" s="26">
        <f t="shared" si="26"/>
        <v>9054066.5299999993</v>
      </c>
      <c r="H1729" t="s">
        <v>68</v>
      </c>
    </row>
    <row r="1730" spans="1:9" hidden="1">
      <c r="A1730" s="13" t="s">
        <v>1214</v>
      </c>
      <c r="B1730" s="22" t="s">
        <v>1215</v>
      </c>
      <c r="C1730" s="15" t="s">
        <v>73</v>
      </c>
      <c r="D1730" s="16"/>
      <c r="E1730" s="2">
        <v>15684082.49</v>
      </c>
      <c r="F1730" s="23">
        <v>0.38147146916720914</v>
      </c>
      <c r="G1730" s="26">
        <f t="shared" si="26"/>
        <v>5983029.9900000002</v>
      </c>
      <c r="H1730" t="s">
        <v>68</v>
      </c>
    </row>
    <row r="1731" spans="1:9" hidden="1">
      <c r="A1731" s="19" t="s">
        <v>1214</v>
      </c>
      <c r="B1731" s="20" t="s">
        <v>1215</v>
      </c>
      <c r="C1731" s="19" t="s">
        <v>74</v>
      </c>
      <c r="D1731" s="20"/>
      <c r="E1731" s="3">
        <v>15684082.49</v>
      </c>
      <c r="F1731" s="24">
        <v>4.1251120071098275E-2</v>
      </c>
      <c r="G1731" s="26">
        <f t="shared" si="26"/>
        <v>646985.97</v>
      </c>
      <c r="H1731" t="s">
        <v>68</v>
      </c>
    </row>
    <row r="1732" spans="1:9" hidden="1">
      <c r="A1732" s="13" t="s">
        <v>1216</v>
      </c>
      <c r="B1732" s="14" t="s">
        <v>1217</v>
      </c>
      <c r="C1732" s="15" t="s">
        <v>72</v>
      </c>
      <c r="D1732" s="16"/>
      <c r="E1732" s="2">
        <v>16832199.039999999</v>
      </c>
      <c r="F1732" s="23">
        <v>0.6173788543793266</v>
      </c>
      <c r="G1732" s="26">
        <f t="shared" si="26"/>
        <v>10391843.76</v>
      </c>
      <c r="H1732" t="s">
        <v>68</v>
      </c>
      <c r="I1732" t="s">
        <v>1883</v>
      </c>
    </row>
    <row r="1733" spans="1:9" hidden="1">
      <c r="A1733" s="17" t="s">
        <v>1216</v>
      </c>
      <c r="B1733" s="18" t="s">
        <v>1217</v>
      </c>
      <c r="C1733" s="19" t="s">
        <v>73</v>
      </c>
      <c r="D1733" s="20"/>
      <c r="E1733" s="3">
        <v>16832199.039999999</v>
      </c>
      <c r="F1733" s="24">
        <v>0.27021743797060044</v>
      </c>
      <c r="G1733" s="26">
        <f t="shared" ref="G1733:G1796" si="27">F1733*E1733</f>
        <v>4548353.7</v>
      </c>
      <c r="H1733" t="s">
        <v>68</v>
      </c>
      <c r="I1733" t="s">
        <v>1883</v>
      </c>
    </row>
    <row r="1734" spans="1:9" hidden="1">
      <c r="A1734" s="15" t="s">
        <v>1216</v>
      </c>
      <c r="B1734" s="16" t="s">
        <v>1217</v>
      </c>
      <c r="C1734" s="15" t="s">
        <v>74</v>
      </c>
      <c r="D1734" s="16"/>
      <c r="E1734" s="2">
        <v>16832199.039999999</v>
      </c>
      <c r="F1734" s="23">
        <v>0.11240370765007304</v>
      </c>
      <c r="G1734" s="26">
        <f t="shared" si="27"/>
        <v>1892001.58</v>
      </c>
      <c r="H1734" t="s">
        <v>68</v>
      </c>
      <c r="I1734" t="s">
        <v>1883</v>
      </c>
    </row>
    <row r="1735" spans="1:9" hidden="1">
      <c r="A1735" s="17" t="s">
        <v>1218</v>
      </c>
      <c r="B1735" s="21" t="s">
        <v>1219</v>
      </c>
      <c r="C1735" s="19" t="s">
        <v>72</v>
      </c>
      <c r="D1735" s="20"/>
      <c r="E1735" s="3">
        <v>41886616.590000004</v>
      </c>
      <c r="F1735" s="24">
        <v>0.43851792542215451</v>
      </c>
      <c r="G1735" s="26">
        <f t="shared" si="27"/>
        <v>18368032.210000001</v>
      </c>
      <c r="H1735" t="s">
        <v>68</v>
      </c>
    </row>
    <row r="1736" spans="1:9" hidden="1">
      <c r="A1736" s="13" t="s">
        <v>1218</v>
      </c>
      <c r="B1736" s="22" t="s">
        <v>1219</v>
      </c>
      <c r="C1736" s="15" t="s">
        <v>73</v>
      </c>
      <c r="D1736" s="16"/>
      <c r="E1736" s="2">
        <v>41886616.590000004</v>
      </c>
      <c r="F1736" s="23">
        <v>0.49019269808729138</v>
      </c>
      <c r="G1736" s="26">
        <f t="shared" si="27"/>
        <v>20532513.600000001</v>
      </c>
      <c r="H1736" t="s">
        <v>68</v>
      </c>
    </row>
    <row r="1737" spans="1:9" hidden="1">
      <c r="A1737" s="19" t="s">
        <v>1218</v>
      </c>
      <c r="B1737" s="20" t="s">
        <v>1219</v>
      </c>
      <c r="C1737" s="19" t="s">
        <v>74</v>
      </c>
      <c r="D1737" s="20"/>
      <c r="E1737" s="3">
        <v>41886616.590000004</v>
      </c>
      <c r="F1737" s="24">
        <v>7.1289376490554099E-2</v>
      </c>
      <c r="G1737" s="26">
        <f t="shared" si="27"/>
        <v>2986070.7799999993</v>
      </c>
      <c r="H1737" t="s">
        <v>68</v>
      </c>
    </row>
    <row r="1738" spans="1:9" hidden="1">
      <c r="A1738" s="13" t="s">
        <v>1220</v>
      </c>
      <c r="B1738" s="14" t="s">
        <v>1221</v>
      </c>
      <c r="C1738" s="15" t="s">
        <v>72</v>
      </c>
      <c r="D1738" s="16"/>
      <c r="E1738" s="2">
        <v>42677018.090000004</v>
      </c>
      <c r="F1738" s="23">
        <v>0.71350328169097244</v>
      </c>
      <c r="G1738" s="26">
        <f t="shared" si="27"/>
        <v>30450192.459999997</v>
      </c>
      <c r="H1738" t="s">
        <v>68</v>
      </c>
    </row>
    <row r="1739" spans="1:9" hidden="1">
      <c r="A1739" s="17" t="s">
        <v>1220</v>
      </c>
      <c r="B1739" s="18" t="s">
        <v>1221</v>
      </c>
      <c r="C1739" s="19" t="s">
        <v>73</v>
      </c>
      <c r="D1739" s="20"/>
      <c r="E1739" s="3">
        <v>42677018.090000004</v>
      </c>
      <c r="F1739" s="24">
        <v>0.23840414197973314</v>
      </c>
      <c r="G1739" s="26">
        <f t="shared" si="27"/>
        <v>10174377.880000001</v>
      </c>
      <c r="H1739" t="s">
        <v>68</v>
      </c>
    </row>
    <row r="1740" spans="1:9" hidden="1">
      <c r="A1740" s="15" t="s">
        <v>1220</v>
      </c>
      <c r="B1740" s="16" t="s">
        <v>1221</v>
      </c>
      <c r="C1740" s="15" t="s">
        <v>74</v>
      </c>
      <c r="D1740" s="16"/>
      <c r="E1740" s="2">
        <v>42677018.090000004</v>
      </c>
      <c r="F1740" s="23">
        <v>4.8092576329294326E-2</v>
      </c>
      <c r="G1740" s="26">
        <f t="shared" si="27"/>
        <v>2052447.75</v>
      </c>
      <c r="H1740" t="s">
        <v>68</v>
      </c>
    </row>
    <row r="1741" spans="1:9" hidden="1">
      <c r="A1741" s="17" t="s">
        <v>1222</v>
      </c>
      <c r="B1741" s="21" t="s">
        <v>1223</v>
      </c>
      <c r="C1741" s="19" t="s">
        <v>72</v>
      </c>
      <c r="D1741" s="20"/>
      <c r="E1741" s="3">
        <v>24286362.109999999</v>
      </c>
      <c r="F1741" s="24">
        <v>0.61706011761347324</v>
      </c>
      <c r="G1741" s="26">
        <f t="shared" si="27"/>
        <v>14986145.459999999</v>
      </c>
      <c r="H1741" t="s">
        <v>68</v>
      </c>
    </row>
    <row r="1742" spans="1:9" hidden="1">
      <c r="A1742" s="13" t="s">
        <v>1222</v>
      </c>
      <c r="B1742" s="22" t="s">
        <v>1223</v>
      </c>
      <c r="C1742" s="15" t="s">
        <v>73</v>
      </c>
      <c r="D1742" s="16"/>
      <c r="E1742" s="2">
        <v>24286362.109999999</v>
      </c>
      <c r="F1742" s="23">
        <v>0.34663958693647262</v>
      </c>
      <c r="G1742" s="26">
        <f t="shared" si="27"/>
        <v>8418614.5299999993</v>
      </c>
      <c r="H1742" t="s">
        <v>68</v>
      </c>
    </row>
    <row r="1743" spans="1:9" hidden="1">
      <c r="A1743" s="19" t="s">
        <v>1222</v>
      </c>
      <c r="B1743" s="20" t="s">
        <v>1223</v>
      </c>
      <c r="C1743" s="19" t="s">
        <v>74</v>
      </c>
      <c r="D1743" s="20"/>
      <c r="E1743" s="3">
        <v>24286362.109999999</v>
      </c>
      <c r="F1743" s="24">
        <v>3.6300295450054129E-2</v>
      </c>
      <c r="G1743" s="26">
        <f t="shared" si="27"/>
        <v>881602.12</v>
      </c>
      <c r="H1743" t="s">
        <v>68</v>
      </c>
    </row>
    <row r="1744" spans="1:9" hidden="1">
      <c r="A1744" s="13" t="s">
        <v>1224</v>
      </c>
      <c r="B1744" s="14" t="s">
        <v>1225</v>
      </c>
      <c r="C1744" s="15" t="s">
        <v>72</v>
      </c>
      <c r="D1744" s="16"/>
      <c r="E1744" s="2">
        <v>9307829.1400000006</v>
      </c>
      <c r="F1744" s="23">
        <v>0.59454313210566723</v>
      </c>
      <c r="G1744" s="26">
        <f t="shared" si="27"/>
        <v>5533905.8899999997</v>
      </c>
      <c r="H1744" t="s">
        <v>68</v>
      </c>
    </row>
    <row r="1745" spans="1:8" hidden="1">
      <c r="A1745" s="17" t="s">
        <v>1224</v>
      </c>
      <c r="B1745" s="18" t="s">
        <v>1225</v>
      </c>
      <c r="C1745" s="19" t="s">
        <v>73</v>
      </c>
      <c r="D1745" s="20"/>
      <c r="E1745" s="3">
        <v>9307829.1400000006</v>
      </c>
      <c r="F1745" s="24">
        <v>0.34886475043309617</v>
      </c>
      <c r="G1745" s="26">
        <f t="shared" si="27"/>
        <v>3247173.49</v>
      </c>
      <c r="H1745" t="s">
        <v>68</v>
      </c>
    </row>
    <row r="1746" spans="1:8" hidden="1">
      <c r="A1746" s="15" t="s">
        <v>1224</v>
      </c>
      <c r="B1746" s="16" t="s">
        <v>1225</v>
      </c>
      <c r="C1746" s="15" t="s">
        <v>74</v>
      </c>
      <c r="D1746" s="16"/>
      <c r="E1746" s="2">
        <v>9307829.1400000006</v>
      </c>
      <c r="F1746" s="23">
        <v>5.6592117461236505E-2</v>
      </c>
      <c r="G1746" s="26">
        <f t="shared" si="27"/>
        <v>526749.76</v>
      </c>
      <c r="H1746" t="s">
        <v>68</v>
      </c>
    </row>
    <row r="1747" spans="1:8" hidden="1">
      <c r="A1747" s="17" t="s">
        <v>1226</v>
      </c>
      <c r="B1747" s="21" t="s">
        <v>1227</v>
      </c>
      <c r="C1747" s="19" t="s">
        <v>72</v>
      </c>
      <c r="D1747" s="20"/>
      <c r="E1747" s="3">
        <v>5122505.47</v>
      </c>
      <c r="F1747" s="24">
        <v>0.44693246955185784</v>
      </c>
      <c r="G1747" s="26">
        <f t="shared" si="27"/>
        <v>2289414.02</v>
      </c>
      <c r="H1747" t="s">
        <v>68</v>
      </c>
    </row>
    <row r="1748" spans="1:8" hidden="1">
      <c r="A1748" s="13" t="s">
        <v>1226</v>
      </c>
      <c r="B1748" s="22" t="s">
        <v>1227</v>
      </c>
      <c r="C1748" s="15" t="s">
        <v>73</v>
      </c>
      <c r="D1748" s="16"/>
      <c r="E1748" s="2">
        <v>5122505.47</v>
      </c>
      <c r="F1748" s="23">
        <v>0.49767921868124432</v>
      </c>
      <c r="G1748" s="26">
        <f t="shared" si="27"/>
        <v>2549364.52</v>
      </c>
      <c r="H1748" t="s">
        <v>68</v>
      </c>
    </row>
    <row r="1749" spans="1:8" hidden="1">
      <c r="A1749" s="19" t="s">
        <v>1226</v>
      </c>
      <c r="B1749" s="20" t="s">
        <v>1227</v>
      </c>
      <c r="C1749" s="19" t="s">
        <v>74</v>
      </c>
      <c r="D1749" s="20"/>
      <c r="E1749" s="3">
        <v>5122505.47</v>
      </c>
      <c r="F1749" s="24">
        <v>5.538831176689793E-2</v>
      </c>
      <c r="G1749" s="26">
        <f t="shared" si="27"/>
        <v>283726.93</v>
      </c>
      <c r="H1749" t="s">
        <v>68</v>
      </c>
    </row>
    <row r="1750" spans="1:8" hidden="1">
      <c r="A1750" s="13" t="s">
        <v>1228</v>
      </c>
      <c r="B1750" s="14" t="s">
        <v>1229</v>
      </c>
      <c r="C1750" s="15" t="s">
        <v>72</v>
      </c>
      <c r="D1750" s="16"/>
      <c r="E1750" s="2">
        <v>19891559.57</v>
      </c>
      <c r="F1750" s="23">
        <v>0.58835595966294563</v>
      </c>
      <c r="G1750" s="26">
        <f t="shared" si="27"/>
        <v>11703317.620000001</v>
      </c>
      <c r="H1750" t="s">
        <v>68</v>
      </c>
    </row>
    <row r="1751" spans="1:8" hidden="1">
      <c r="A1751" s="17" t="s">
        <v>1228</v>
      </c>
      <c r="B1751" s="18" t="s">
        <v>1229</v>
      </c>
      <c r="C1751" s="19" t="s">
        <v>73</v>
      </c>
      <c r="D1751" s="20"/>
      <c r="E1751" s="3">
        <v>19891559.57</v>
      </c>
      <c r="F1751" s="24">
        <v>0.37496904874412518</v>
      </c>
      <c r="G1751" s="26">
        <f t="shared" si="27"/>
        <v>7458719.1699999999</v>
      </c>
      <c r="H1751" t="s">
        <v>68</v>
      </c>
    </row>
    <row r="1752" spans="1:8" hidden="1">
      <c r="A1752" s="15" t="s">
        <v>1228</v>
      </c>
      <c r="B1752" s="16" t="s">
        <v>1229</v>
      </c>
      <c r="C1752" s="15" t="s">
        <v>74</v>
      </c>
      <c r="D1752" s="16"/>
      <c r="E1752" s="2">
        <v>19891559.57</v>
      </c>
      <c r="F1752" s="23">
        <v>3.6674991592929182E-2</v>
      </c>
      <c r="G1752" s="26">
        <f t="shared" si="27"/>
        <v>729522.78</v>
      </c>
      <c r="H1752" t="s">
        <v>68</v>
      </c>
    </row>
    <row r="1753" spans="1:8" hidden="1">
      <c r="A1753" s="17" t="s">
        <v>1230</v>
      </c>
      <c r="B1753" s="21" t="s">
        <v>1452</v>
      </c>
      <c r="C1753" s="19" t="s">
        <v>72</v>
      </c>
      <c r="D1753" s="20"/>
      <c r="E1753" s="3">
        <v>6143270.0800000001</v>
      </c>
      <c r="F1753" s="24">
        <v>0.23788703426172661</v>
      </c>
      <c r="G1753" s="26">
        <f t="shared" si="27"/>
        <v>1461404.3</v>
      </c>
      <c r="H1753" t="s">
        <v>68</v>
      </c>
    </row>
    <row r="1754" spans="1:8" hidden="1">
      <c r="A1754" s="13" t="s">
        <v>1230</v>
      </c>
      <c r="B1754" s="22" t="s">
        <v>1452</v>
      </c>
      <c r="C1754" s="15" t="s">
        <v>73</v>
      </c>
      <c r="D1754" s="16"/>
      <c r="E1754" s="2">
        <v>6143270.0800000001</v>
      </c>
      <c r="F1754" s="23">
        <v>0.68488126278179196</v>
      </c>
      <c r="G1754" s="26">
        <f t="shared" si="27"/>
        <v>4207410.57</v>
      </c>
      <c r="H1754" t="s">
        <v>68</v>
      </c>
    </row>
    <row r="1755" spans="1:8" hidden="1">
      <c r="A1755" s="19" t="s">
        <v>1230</v>
      </c>
      <c r="B1755" s="20" t="s">
        <v>1452</v>
      </c>
      <c r="C1755" s="19" t="s">
        <v>74</v>
      </c>
      <c r="D1755" s="20"/>
      <c r="E1755" s="3">
        <v>6143270.0800000001</v>
      </c>
      <c r="F1755" s="24">
        <v>7.7231702956481449E-2</v>
      </c>
      <c r="G1755" s="26">
        <f t="shared" si="27"/>
        <v>474455.21</v>
      </c>
      <c r="H1755" t="s">
        <v>68</v>
      </c>
    </row>
    <row r="1756" spans="1:8" hidden="1">
      <c r="A1756" s="13" t="s">
        <v>1453</v>
      </c>
      <c r="B1756" s="14" t="s">
        <v>1454</v>
      </c>
      <c r="C1756" s="15" t="s">
        <v>72</v>
      </c>
      <c r="D1756" s="16"/>
      <c r="E1756" s="2">
        <v>12977788.609999999</v>
      </c>
      <c r="F1756" s="23">
        <v>0.51012633037486343</v>
      </c>
      <c r="G1756" s="26">
        <f t="shared" si="27"/>
        <v>6620311.6799999997</v>
      </c>
      <c r="H1756" t="s">
        <v>68</v>
      </c>
    </row>
    <row r="1757" spans="1:8" hidden="1">
      <c r="A1757" s="17" t="s">
        <v>1453</v>
      </c>
      <c r="B1757" s="18" t="s">
        <v>1454</v>
      </c>
      <c r="C1757" s="19" t="s">
        <v>73</v>
      </c>
      <c r="D1757" s="20"/>
      <c r="E1757" s="3">
        <v>12977788.609999999</v>
      </c>
      <c r="F1757" s="24">
        <v>0.45471149726178201</v>
      </c>
      <c r="G1757" s="26">
        <f t="shared" si="27"/>
        <v>5901149.6900000004</v>
      </c>
      <c r="H1757" t="s">
        <v>68</v>
      </c>
    </row>
    <row r="1758" spans="1:8" hidden="1">
      <c r="A1758" s="15" t="s">
        <v>1453</v>
      </c>
      <c r="B1758" s="16" t="s">
        <v>1454</v>
      </c>
      <c r="C1758" s="15" t="s">
        <v>74</v>
      </c>
      <c r="D1758" s="16"/>
      <c r="E1758" s="2">
        <v>12977788.609999999</v>
      </c>
      <c r="F1758" s="23">
        <v>3.5162172363354595E-2</v>
      </c>
      <c r="G1758" s="26">
        <f t="shared" si="27"/>
        <v>456327.24000000005</v>
      </c>
      <c r="H1758" t="s">
        <v>68</v>
      </c>
    </row>
    <row r="1759" spans="1:8" hidden="1">
      <c r="A1759" s="17" t="s">
        <v>1455</v>
      </c>
      <c r="B1759" s="21" t="s">
        <v>1207</v>
      </c>
      <c r="C1759" s="19" t="s">
        <v>72</v>
      </c>
      <c r="D1759" s="20"/>
      <c r="E1759" s="3">
        <v>9756389.7300000004</v>
      </c>
      <c r="F1759" s="24">
        <v>0.41470575407200339</v>
      </c>
      <c r="G1759" s="26">
        <f t="shared" si="27"/>
        <v>4046030.9599999995</v>
      </c>
      <c r="H1759" t="s">
        <v>68</v>
      </c>
    </row>
    <row r="1760" spans="1:8" hidden="1">
      <c r="A1760" s="13" t="s">
        <v>1455</v>
      </c>
      <c r="B1760" s="22" t="s">
        <v>1207</v>
      </c>
      <c r="C1760" s="15" t="s">
        <v>73</v>
      </c>
      <c r="D1760" s="16"/>
      <c r="E1760" s="2">
        <v>9756389.7300000004</v>
      </c>
      <c r="F1760" s="23">
        <v>0.51942033480042205</v>
      </c>
      <c r="G1760" s="26">
        <f t="shared" si="27"/>
        <v>5067667.22</v>
      </c>
      <c r="H1760" t="s">
        <v>68</v>
      </c>
    </row>
    <row r="1761" spans="1:8" hidden="1">
      <c r="A1761" s="19" t="s">
        <v>1455</v>
      </c>
      <c r="B1761" s="20" t="s">
        <v>1207</v>
      </c>
      <c r="C1761" s="19" t="s">
        <v>74</v>
      </c>
      <c r="D1761" s="20"/>
      <c r="E1761" s="3">
        <v>9756389.7300000004</v>
      </c>
      <c r="F1761" s="24">
        <v>6.5873911127574444E-2</v>
      </c>
      <c r="G1761" s="26">
        <f t="shared" si="27"/>
        <v>642691.55000000005</v>
      </c>
      <c r="H1761" t="s">
        <v>68</v>
      </c>
    </row>
    <row r="1762" spans="1:8" hidden="1">
      <c r="A1762" s="13" t="s">
        <v>1456</v>
      </c>
      <c r="B1762" s="14" t="s">
        <v>1457</v>
      </c>
      <c r="C1762" s="15" t="s">
        <v>72</v>
      </c>
      <c r="D1762" s="16"/>
      <c r="E1762" s="2">
        <v>19033325.890000001</v>
      </c>
      <c r="F1762" s="23">
        <v>0.30509383665053191</v>
      </c>
      <c r="G1762" s="26">
        <f t="shared" si="27"/>
        <v>5806950.4199999999</v>
      </c>
      <c r="H1762" t="s">
        <v>68</v>
      </c>
    </row>
    <row r="1763" spans="1:8" hidden="1">
      <c r="A1763" s="17" t="s">
        <v>1456</v>
      </c>
      <c r="B1763" s="18" t="s">
        <v>1457</v>
      </c>
      <c r="C1763" s="19" t="s">
        <v>73</v>
      </c>
      <c r="D1763" s="20"/>
      <c r="E1763" s="3">
        <v>19033325.890000001</v>
      </c>
      <c r="F1763" s="24">
        <v>0.63839321305289753</v>
      </c>
      <c r="G1763" s="26">
        <f t="shared" si="27"/>
        <v>12150746.07</v>
      </c>
      <c r="H1763" t="s">
        <v>68</v>
      </c>
    </row>
    <row r="1764" spans="1:8" hidden="1">
      <c r="A1764" s="15" t="s">
        <v>1456</v>
      </c>
      <c r="B1764" s="16" t="s">
        <v>1457</v>
      </c>
      <c r="C1764" s="15" t="s">
        <v>74</v>
      </c>
      <c r="D1764" s="16"/>
      <c r="E1764" s="2">
        <v>19033325.890000001</v>
      </c>
      <c r="F1764" s="23">
        <v>5.6512950296570573E-2</v>
      </c>
      <c r="G1764" s="26">
        <f t="shared" si="27"/>
        <v>1075629.3999999999</v>
      </c>
      <c r="H1764" t="s">
        <v>68</v>
      </c>
    </row>
    <row r="1765" spans="1:8" hidden="1">
      <c r="A1765" s="17" t="s">
        <v>1458</v>
      </c>
      <c r="B1765" s="21" t="s">
        <v>1345</v>
      </c>
      <c r="C1765" s="19" t="s">
        <v>72</v>
      </c>
      <c r="D1765" s="20"/>
      <c r="E1765" s="3">
        <v>6578553.0899999999</v>
      </c>
      <c r="F1765" s="24">
        <v>0.5230027002791886</v>
      </c>
      <c r="G1765" s="26">
        <f t="shared" si="27"/>
        <v>3440601.03</v>
      </c>
      <c r="H1765" t="s">
        <v>68</v>
      </c>
    </row>
    <row r="1766" spans="1:8" hidden="1">
      <c r="A1766" s="13" t="s">
        <v>1458</v>
      </c>
      <c r="B1766" s="22" t="s">
        <v>1345</v>
      </c>
      <c r="C1766" s="15" t="s">
        <v>73</v>
      </c>
      <c r="D1766" s="16"/>
      <c r="E1766" s="2">
        <v>6578553.0899999999</v>
      </c>
      <c r="F1766" s="23">
        <v>0.43806451062630253</v>
      </c>
      <c r="G1766" s="26">
        <f t="shared" si="27"/>
        <v>2881830.64</v>
      </c>
      <c r="H1766" t="s">
        <v>68</v>
      </c>
    </row>
    <row r="1767" spans="1:8" hidden="1">
      <c r="A1767" s="19" t="s">
        <v>1458</v>
      </c>
      <c r="B1767" s="20" t="s">
        <v>1345</v>
      </c>
      <c r="C1767" s="19" t="s">
        <v>74</v>
      </c>
      <c r="D1767" s="20"/>
      <c r="E1767" s="3">
        <v>6578553.0899999999</v>
      </c>
      <c r="F1767" s="24">
        <v>3.8932789094508931E-2</v>
      </c>
      <c r="G1767" s="26">
        <f t="shared" si="27"/>
        <v>256121.42</v>
      </c>
      <c r="H1767" t="s">
        <v>68</v>
      </c>
    </row>
    <row r="1768" spans="1:8" hidden="1">
      <c r="A1768" s="13" t="s">
        <v>1459</v>
      </c>
      <c r="B1768" s="14" t="s">
        <v>1460</v>
      </c>
      <c r="C1768" s="15" t="s">
        <v>72</v>
      </c>
      <c r="D1768" s="16"/>
      <c r="E1768" s="2">
        <v>12941097.390000001</v>
      </c>
      <c r="F1768" s="23">
        <v>0.42462861412713621</v>
      </c>
      <c r="G1768" s="26">
        <f t="shared" si="27"/>
        <v>5495160.25</v>
      </c>
      <c r="H1768" t="s">
        <v>68</v>
      </c>
    </row>
    <row r="1769" spans="1:8" hidden="1">
      <c r="A1769" s="17" t="s">
        <v>1459</v>
      </c>
      <c r="B1769" s="18" t="s">
        <v>1460</v>
      </c>
      <c r="C1769" s="19" t="s">
        <v>73</v>
      </c>
      <c r="D1769" s="20"/>
      <c r="E1769" s="3">
        <v>12941097.390000001</v>
      </c>
      <c r="F1769" s="24">
        <v>0.51747000645978447</v>
      </c>
      <c r="G1769" s="26">
        <f t="shared" si="27"/>
        <v>6696629.75</v>
      </c>
      <c r="H1769" t="s">
        <v>68</v>
      </c>
    </row>
    <row r="1770" spans="1:8" hidden="1">
      <c r="A1770" s="15" t="s">
        <v>1459</v>
      </c>
      <c r="B1770" s="16" t="s">
        <v>1460</v>
      </c>
      <c r="C1770" s="15" t="s">
        <v>74</v>
      </c>
      <c r="D1770" s="16"/>
      <c r="E1770" s="2">
        <v>12941097.390000001</v>
      </c>
      <c r="F1770" s="23">
        <v>5.7901379413079275E-2</v>
      </c>
      <c r="G1770" s="26">
        <f t="shared" si="27"/>
        <v>749307.39</v>
      </c>
      <c r="H1770" t="s">
        <v>68</v>
      </c>
    </row>
    <row r="1771" spans="1:8" hidden="1">
      <c r="A1771" s="17" t="s">
        <v>1461</v>
      </c>
      <c r="B1771" s="21" t="s">
        <v>1462</v>
      </c>
      <c r="C1771" s="19" t="s">
        <v>72</v>
      </c>
      <c r="D1771" s="20"/>
      <c r="E1771" s="3">
        <v>11298582.15</v>
      </c>
      <c r="F1771" s="24">
        <v>0.57015296649411884</v>
      </c>
      <c r="G1771" s="26">
        <f t="shared" si="27"/>
        <v>6441920.129999999</v>
      </c>
      <c r="H1771" t="s">
        <v>68</v>
      </c>
    </row>
    <row r="1772" spans="1:8" hidden="1">
      <c r="A1772" s="13" t="s">
        <v>1461</v>
      </c>
      <c r="B1772" s="22" t="s">
        <v>1462</v>
      </c>
      <c r="C1772" s="15" t="s">
        <v>73</v>
      </c>
      <c r="D1772" s="16"/>
      <c r="E1772" s="2">
        <v>11298582.15</v>
      </c>
      <c r="F1772" s="23">
        <v>0.38727269332639225</v>
      </c>
      <c r="G1772" s="26">
        <f t="shared" si="27"/>
        <v>4375632.34</v>
      </c>
      <c r="H1772" t="s">
        <v>68</v>
      </c>
    </row>
    <row r="1773" spans="1:8" hidden="1">
      <c r="A1773" s="19" t="s">
        <v>1461</v>
      </c>
      <c r="B1773" s="20" t="s">
        <v>1462</v>
      </c>
      <c r="C1773" s="19" t="s">
        <v>74</v>
      </c>
      <c r="D1773" s="20"/>
      <c r="E1773" s="3">
        <v>11298582.15</v>
      </c>
      <c r="F1773" s="24">
        <v>4.2574340179488801E-2</v>
      </c>
      <c r="G1773" s="26">
        <f t="shared" si="27"/>
        <v>481029.68</v>
      </c>
      <c r="H1773" t="s">
        <v>68</v>
      </c>
    </row>
    <row r="1774" spans="1:8" hidden="1">
      <c r="A1774" s="13" t="s">
        <v>1463</v>
      </c>
      <c r="B1774" s="14" t="s">
        <v>1464</v>
      </c>
      <c r="C1774" s="15" t="s">
        <v>72</v>
      </c>
      <c r="D1774" s="16"/>
      <c r="E1774" s="2">
        <v>7924210.2699999996</v>
      </c>
      <c r="F1774" s="23">
        <v>0.50270545382688347</v>
      </c>
      <c r="G1774" s="26">
        <f t="shared" si="27"/>
        <v>3983543.7200000007</v>
      </c>
      <c r="H1774" t="s">
        <v>68</v>
      </c>
    </row>
    <row r="1775" spans="1:8" hidden="1">
      <c r="A1775" s="17" t="s">
        <v>1463</v>
      </c>
      <c r="B1775" s="18" t="s">
        <v>1464</v>
      </c>
      <c r="C1775" s="19" t="s">
        <v>73</v>
      </c>
      <c r="D1775" s="20"/>
      <c r="E1775" s="3">
        <v>7924210.2699999996</v>
      </c>
      <c r="F1775" s="24">
        <v>0.45098681612849228</v>
      </c>
      <c r="G1775" s="26">
        <f t="shared" si="27"/>
        <v>3573714.36</v>
      </c>
      <c r="H1775" t="s">
        <v>68</v>
      </c>
    </row>
    <row r="1776" spans="1:8" hidden="1">
      <c r="A1776" s="15" t="s">
        <v>1463</v>
      </c>
      <c r="B1776" s="16" t="s">
        <v>1464</v>
      </c>
      <c r="C1776" s="15" t="s">
        <v>74</v>
      </c>
      <c r="D1776" s="16"/>
      <c r="E1776" s="2">
        <v>7924210.2699999996</v>
      </c>
      <c r="F1776" s="23">
        <v>4.6307730044624372E-2</v>
      </c>
      <c r="G1776" s="26">
        <f t="shared" si="27"/>
        <v>366952.19</v>
      </c>
      <c r="H1776" t="s">
        <v>68</v>
      </c>
    </row>
    <row r="1777" spans="1:8" hidden="1">
      <c r="A1777" s="17" t="s">
        <v>1465</v>
      </c>
      <c r="B1777" s="21" t="s">
        <v>1466</v>
      </c>
      <c r="C1777" s="19" t="s">
        <v>72</v>
      </c>
      <c r="D1777" s="20"/>
      <c r="E1777" s="3">
        <v>15645265.630000001</v>
      </c>
      <c r="F1777" s="24">
        <v>0.57330404750692621</v>
      </c>
      <c r="G1777" s="26">
        <f t="shared" si="27"/>
        <v>8969494.1099999994</v>
      </c>
      <c r="H1777" t="s">
        <v>68</v>
      </c>
    </row>
    <row r="1778" spans="1:8" hidden="1">
      <c r="A1778" s="13" t="s">
        <v>1465</v>
      </c>
      <c r="B1778" s="22" t="s">
        <v>1466</v>
      </c>
      <c r="C1778" s="15" t="s">
        <v>73</v>
      </c>
      <c r="D1778" s="16"/>
      <c r="E1778" s="2">
        <v>15645265.630000001</v>
      </c>
      <c r="F1778" s="23">
        <v>0.36790458635376971</v>
      </c>
      <c r="G1778" s="26">
        <f t="shared" si="27"/>
        <v>5755964.9800000004</v>
      </c>
      <c r="H1778" t="s">
        <v>68</v>
      </c>
    </row>
    <row r="1779" spans="1:8" hidden="1">
      <c r="A1779" s="19" t="s">
        <v>1465</v>
      </c>
      <c r="B1779" s="20" t="s">
        <v>1466</v>
      </c>
      <c r="C1779" s="19" t="s">
        <v>74</v>
      </c>
      <c r="D1779" s="20"/>
      <c r="E1779" s="3">
        <v>15645265.630000001</v>
      </c>
      <c r="F1779" s="24">
        <v>5.8791366139304087E-2</v>
      </c>
      <c r="G1779" s="26">
        <f t="shared" si="27"/>
        <v>919806.54</v>
      </c>
      <c r="H1779" t="s">
        <v>68</v>
      </c>
    </row>
    <row r="1780" spans="1:8" hidden="1">
      <c r="A1780" s="13" t="s">
        <v>1467</v>
      </c>
      <c r="B1780" s="14" t="s">
        <v>1468</v>
      </c>
      <c r="C1780" s="15" t="s">
        <v>72</v>
      </c>
      <c r="D1780" s="16"/>
      <c r="E1780" s="2">
        <v>13033759.67</v>
      </c>
      <c r="F1780" s="23">
        <v>0.33205016661167269</v>
      </c>
      <c r="G1780" s="26">
        <f t="shared" si="27"/>
        <v>4327862.07</v>
      </c>
      <c r="H1780" t="s">
        <v>68</v>
      </c>
    </row>
    <row r="1781" spans="1:8" hidden="1">
      <c r="A1781" s="17" t="s">
        <v>1467</v>
      </c>
      <c r="B1781" s="18" t="s">
        <v>1468</v>
      </c>
      <c r="C1781" s="19" t="s">
        <v>73</v>
      </c>
      <c r="D1781" s="20"/>
      <c r="E1781" s="3">
        <v>13033759.67</v>
      </c>
      <c r="F1781" s="24">
        <v>0.60611042554231787</v>
      </c>
      <c r="G1781" s="26">
        <f t="shared" si="27"/>
        <v>7899897.6200000001</v>
      </c>
      <c r="H1781" t="s">
        <v>68</v>
      </c>
    </row>
    <row r="1782" spans="1:8" hidden="1">
      <c r="A1782" s="15" t="s">
        <v>1467</v>
      </c>
      <c r="B1782" s="16" t="s">
        <v>1468</v>
      </c>
      <c r="C1782" s="15" t="s">
        <v>74</v>
      </c>
      <c r="D1782" s="16"/>
      <c r="E1782" s="2">
        <v>13033759.67</v>
      </c>
      <c r="F1782" s="23">
        <v>6.1839407846009484E-2</v>
      </c>
      <c r="G1782" s="26">
        <f t="shared" si="27"/>
        <v>805999.98</v>
      </c>
      <c r="H1782" t="s">
        <v>68</v>
      </c>
    </row>
    <row r="1783" spans="1:8" hidden="1">
      <c r="A1783" s="17" t="s">
        <v>1469</v>
      </c>
      <c r="B1783" s="21" t="s">
        <v>1025</v>
      </c>
      <c r="C1783" s="19" t="s">
        <v>72</v>
      </c>
      <c r="D1783" s="20"/>
      <c r="E1783" s="3">
        <v>17914157.23</v>
      </c>
      <c r="F1783" s="24">
        <v>0.58170145746789337</v>
      </c>
      <c r="G1783" s="26">
        <f t="shared" si="27"/>
        <v>10420691.369999999</v>
      </c>
      <c r="H1783" t="s">
        <v>68</v>
      </c>
    </row>
    <row r="1784" spans="1:8" hidden="1">
      <c r="A1784" s="13" t="s">
        <v>1469</v>
      </c>
      <c r="B1784" s="22" t="s">
        <v>1025</v>
      </c>
      <c r="C1784" s="15" t="s">
        <v>73</v>
      </c>
      <c r="D1784" s="16"/>
      <c r="E1784" s="2">
        <v>17914157.23</v>
      </c>
      <c r="F1784" s="23">
        <v>0.37597707966527655</v>
      </c>
      <c r="G1784" s="26">
        <f t="shared" si="27"/>
        <v>6735312.5199999996</v>
      </c>
      <c r="H1784" t="s">
        <v>68</v>
      </c>
    </row>
    <row r="1785" spans="1:8" hidden="1">
      <c r="A1785" s="19" t="s">
        <v>1469</v>
      </c>
      <c r="B1785" s="20" t="s">
        <v>1025</v>
      </c>
      <c r="C1785" s="19" t="s">
        <v>74</v>
      </c>
      <c r="D1785" s="20"/>
      <c r="E1785" s="3">
        <v>17914157.23</v>
      </c>
      <c r="F1785" s="24">
        <v>4.2321462866830042E-2</v>
      </c>
      <c r="G1785" s="26">
        <f t="shared" si="27"/>
        <v>758153.34</v>
      </c>
      <c r="H1785" t="s">
        <v>68</v>
      </c>
    </row>
    <row r="1786" spans="1:8" hidden="1">
      <c r="A1786" s="13" t="s">
        <v>1470</v>
      </c>
      <c r="B1786" s="14" t="s">
        <v>1471</v>
      </c>
      <c r="C1786" s="15" t="s">
        <v>72</v>
      </c>
      <c r="D1786" s="16"/>
      <c r="E1786" s="2">
        <v>25838279.390000001</v>
      </c>
      <c r="F1786" s="23">
        <v>0.49355734480274926</v>
      </c>
      <c r="G1786" s="26">
        <f t="shared" si="27"/>
        <v>12752672.57</v>
      </c>
      <c r="H1786" t="s">
        <v>68</v>
      </c>
    </row>
    <row r="1787" spans="1:8" hidden="1">
      <c r="A1787" s="17" t="s">
        <v>1470</v>
      </c>
      <c r="B1787" s="18" t="s">
        <v>1471</v>
      </c>
      <c r="C1787" s="19" t="s">
        <v>73</v>
      </c>
      <c r="D1787" s="20"/>
      <c r="E1787" s="3">
        <v>25838279.390000001</v>
      </c>
      <c r="F1787" s="24">
        <v>0.45014028079986634</v>
      </c>
      <c r="G1787" s="26">
        <f t="shared" si="27"/>
        <v>11630850.34</v>
      </c>
      <c r="H1787" t="s">
        <v>68</v>
      </c>
    </row>
    <row r="1788" spans="1:8" hidden="1">
      <c r="A1788" s="15" t="s">
        <v>1470</v>
      </c>
      <c r="B1788" s="16" t="s">
        <v>1471</v>
      </c>
      <c r="C1788" s="15" t="s">
        <v>74</v>
      </c>
      <c r="D1788" s="16"/>
      <c r="E1788" s="2">
        <v>25838279.390000001</v>
      </c>
      <c r="F1788" s="23">
        <v>5.6302374397384357E-2</v>
      </c>
      <c r="G1788" s="26">
        <f t="shared" si="27"/>
        <v>1454756.48</v>
      </c>
      <c r="H1788" t="s">
        <v>68</v>
      </c>
    </row>
    <row r="1789" spans="1:8" hidden="1">
      <c r="A1789" s="17" t="s">
        <v>1472</v>
      </c>
      <c r="B1789" s="21" t="s">
        <v>1473</v>
      </c>
      <c r="C1789" s="19" t="s">
        <v>72</v>
      </c>
      <c r="D1789" s="20"/>
      <c r="E1789" s="3">
        <v>23829695.469999999</v>
      </c>
      <c r="F1789" s="24">
        <v>0.6849927465732738</v>
      </c>
      <c r="G1789" s="26">
        <f t="shared" si="27"/>
        <v>16323168.550000001</v>
      </c>
      <c r="H1789" t="s">
        <v>68</v>
      </c>
    </row>
    <row r="1790" spans="1:8" hidden="1">
      <c r="A1790" s="13" t="s">
        <v>1472</v>
      </c>
      <c r="B1790" s="22" t="s">
        <v>1473</v>
      </c>
      <c r="C1790" s="15" t="s">
        <v>73</v>
      </c>
      <c r="D1790" s="16"/>
      <c r="E1790" s="2">
        <v>23829695.469999999</v>
      </c>
      <c r="F1790" s="23">
        <v>0.28486519051600789</v>
      </c>
      <c r="G1790" s="26">
        <f t="shared" si="27"/>
        <v>6788250.7400000002</v>
      </c>
      <c r="H1790" t="s">
        <v>68</v>
      </c>
    </row>
    <row r="1791" spans="1:8" hidden="1">
      <c r="A1791" s="19" t="s">
        <v>1472</v>
      </c>
      <c r="B1791" s="20" t="s">
        <v>1473</v>
      </c>
      <c r="C1791" s="19" t="s">
        <v>74</v>
      </c>
      <c r="D1791" s="20"/>
      <c r="E1791" s="3">
        <v>23829695.469999999</v>
      </c>
      <c r="F1791" s="24">
        <v>3.0142062910718349E-2</v>
      </c>
      <c r="G1791" s="26">
        <f t="shared" si="27"/>
        <v>718276.18</v>
      </c>
      <c r="H1791" t="s">
        <v>68</v>
      </c>
    </row>
    <row r="1792" spans="1:8" hidden="1">
      <c r="A1792" s="13" t="s">
        <v>1474</v>
      </c>
      <c r="B1792" s="14" t="s">
        <v>846</v>
      </c>
      <c r="C1792" s="15" t="s">
        <v>72</v>
      </c>
      <c r="D1792" s="16"/>
      <c r="E1792" s="2">
        <v>7147042.0099999998</v>
      </c>
      <c r="F1792" s="23">
        <v>0.24905867315588931</v>
      </c>
      <c r="G1792" s="26">
        <f t="shared" si="27"/>
        <v>1780032.8</v>
      </c>
      <c r="H1792" t="s">
        <v>68</v>
      </c>
    </row>
    <row r="1793" spans="1:9" hidden="1">
      <c r="A1793" s="17" t="s">
        <v>1474</v>
      </c>
      <c r="B1793" s="18" t="s">
        <v>846</v>
      </c>
      <c r="C1793" s="19" t="s">
        <v>73</v>
      </c>
      <c r="D1793" s="20"/>
      <c r="E1793" s="3">
        <v>7147042.0099999998</v>
      </c>
      <c r="F1793" s="24">
        <v>0.67479530178387748</v>
      </c>
      <c r="G1793" s="26">
        <f t="shared" si="27"/>
        <v>4822790.37</v>
      </c>
      <c r="H1793" t="s">
        <v>68</v>
      </c>
    </row>
    <row r="1794" spans="1:9" hidden="1">
      <c r="A1794" s="15" t="s">
        <v>1474</v>
      </c>
      <c r="B1794" s="16" t="s">
        <v>846</v>
      </c>
      <c r="C1794" s="15" t="s">
        <v>74</v>
      </c>
      <c r="D1794" s="16"/>
      <c r="E1794" s="2">
        <v>7147042.0099999998</v>
      </c>
      <c r="F1794" s="23">
        <v>7.6146025060233269E-2</v>
      </c>
      <c r="G1794" s="26">
        <f t="shared" si="27"/>
        <v>544218.84</v>
      </c>
      <c r="H1794" t="s">
        <v>68</v>
      </c>
    </row>
    <row r="1795" spans="1:9" hidden="1">
      <c r="A1795" s="17" t="s">
        <v>1475</v>
      </c>
      <c r="B1795" s="21" t="s">
        <v>1476</v>
      </c>
      <c r="C1795" s="19" t="s">
        <v>72</v>
      </c>
      <c r="D1795" s="20"/>
      <c r="E1795" s="3">
        <v>19652713.960000001</v>
      </c>
      <c r="F1795" s="24">
        <v>0.15973390476192531</v>
      </c>
      <c r="G1795" s="26">
        <f t="shared" si="27"/>
        <v>3139204.74</v>
      </c>
      <c r="H1795" t="s">
        <v>68</v>
      </c>
    </row>
    <row r="1796" spans="1:9" hidden="1">
      <c r="A1796" s="13" t="s">
        <v>1475</v>
      </c>
      <c r="B1796" s="22" t="s">
        <v>1476</v>
      </c>
      <c r="C1796" s="15" t="s">
        <v>73</v>
      </c>
      <c r="D1796" s="16"/>
      <c r="E1796" s="2">
        <v>19652713.960000001</v>
      </c>
      <c r="F1796" s="23">
        <v>0.71850999453512632</v>
      </c>
      <c r="G1796" s="26">
        <f t="shared" si="27"/>
        <v>14120671.400000002</v>
      </c>
      <c r="H1796" t="s">
        <v>68</v>
      </c>
    </row>
    <row r="1797" spans="1:9" hidden="1">
      <c r="A1797" s="19" t="s">
        <v>1475</v>
      </c>
      <c r="B1797" s="20" t="s">
        <v>1476</v>
      </c>
      <c r="C1797" s="19" t="s">
        <v>74</v>
      </c>
      <c r="D1797" s="20"/>
      <c r="E1797" s="3">
        <v>19652713.960000001</v>
      </c>
      <c r="F1797" s="24">
        <v>0.1217561007029484</v>
      </c>
      <c r="G1797" s="26">
        <f t="shared" ref="G1797:G1860" si="28">F1797*E1797</f>
        <v>2392837.8199999998</v>
      </c>
      <c r="H1797" t="s">
        <v>68</v>
      </c>
    </row>
    <row r="1798" spans="1:9" hidden="1">
      <c r="A1798" s="13" t="s">
        <v>1477</v>
      </c>
      <c r="B1798" s="14" t="s">
        <v>1137</v>
      </c>
      <c r="C1798" s="15" t="s">
        <v>72</v>
      </c>
      <c r="D1798" s="16"/>
      <c r="E1798" s="2">
        <v>6657574.9900000002</v>
      </c>
      <c r="F1798" s="23">
        <v>0.28427998075016803</v>
      </c>
      <c r="G1798" s="26">
        <f t="shared" si="28"/>
        <v>1892615.2900000003</v>
      </c>
      <c r="H1798" t="s">
        <v>68</v>
      </c>
    </row>
    <row r="1799" spans="1:9" hidden="1">
      <c r="A1799" s="17" t="s">
        <v>1477</v>
      </c>
      <c r="B1799" s="18" t="s">
        <v>1137</v>
      </c>
      <c r="C1799" s="19" t="s">
        <v>73</v>
      </c>
      <c r="D1799" s="20"/>
      <c r="E1799" s="3">
        <v>6657574.9900000002</v>
      </c>
      <c r="F1799" s="24">
        <v>0.62439753908051732</v>
      </c>
      <c r="G1799" s="26">
        <f t="shared" si="28"/>
        <v>4156973.44</v>
      </c>
      <c r="H1799" t="s">
        <v>68</v>
      </c>
    </row>
    <row r="1800" spans="1:9" hidden="1">
      <c r="A1800" s="15" t="s">
        <v>1477</v>
      </c>
      <c r="B1800" s="16" t="s">
        <v>1137</v>
      </c>
      <c r="C1800" s="15" t="s">
        <v>74</v>
      </c>
      <c r="D1800" s="16"/>
      <c r="E1800" s="2">
        <v>6657574.9900000002</v>
      </c>
      <c r="F1800" s="23">
        <v>9.1322480169314615E-2</v>
      </c>
      <c r="G1800" s="26">
        <f t="shared" si="28"/>
        <v>607986.26</v>
      </c>
      <c r="H1800" t="s">
        <v>68</v>
      </c>
    </row>
    <row r="1801" spans="1:9" hidden="1">
      <c r="A1801" s="17" t="s">
        <v>1478</v>
      </c>
      <c r="B1801" s="21" t="s">
        <v>1479</v>
      </c>
      <c r="C1801" s="19" t="s">
        <v>72</v>
      </c>
      <c r="D1801" s="20"/>
      <c r="E1801" s="3">
        <v>6285216.0700000003</v>
      </c>
      <c r="F1801" s="24">
        <v>0.28767636145880343</v>
      </c>
      <c r="G1801" s="26">
        <f t="shared" si="28"/>
        <v>1808108.09</v>
      </c>
      <c r="H1801" t="s">
        <v>68</v>
      </c>
      <c r="I1801" t="s">
        <v>1883</v>
      </c>
    </row>
    <row r="1802" spans="1:9" hidden="1">
      <c r="A1802" s="13" t="s">
        <v>1478</v>
      </c>
      <c r="B1802" s="22" t="s">
        <v>1479</v>
      </c>
      <c r="C1802" s="15" t="s">
        <v>73</v>
      </c>
      <c r="D1802" s="16"/>
      <c r="E1802" s="2">
        <v>6285216.0700000003</v>
      </c>
      <c r="F1802" s="23">
        <v>0.53174934843568544</v>
      </c>
      <c r="G1802" s="26">
        <f t="shared" si="28"/>
        <v>3342159.55</v>
      </c>
      <c r="H1802" t="s">
        <v>68</v>
      </c>
      <c r="I1802" t="s">
        <v>1883</v>
      </c>
    </row>
    <row r="1803" spans="1:9" hidden="1">
      <c r="A1803" s="19" t="s">
        <v>1478</v>
      </c>
      <c r="B1803" s="20" t="s">
        <v>1479</v>
      </c>
      <c r="C1803" s="19" t="s">
        <v>74</v>
      </c>
      <c r="D1803" s="20"/>
      <c r="E1803" s="3">
        <v>6285216.0700000003</v>
      </c>
      <c r="F1803" s="24">
        <v>0.18057429010551102</v>
      </c>
      <c r="G1803" s="26">
        <f t="shared" si="28"/>
        <v>1134948.43</v>
      </c>
      <c r="H1803" t="s">
        <v>68</v>
      </c>
      <c r="I1803" t="s">
        <v>1883</v>
      </c>
    </row>
    <row r="1804" spans="1:9" hidden="1">
      <c r="A1804" s="13" t="s">
        <v>1255</v>
      </c>
      <c r="B1804" s="14" t="s">
        <v>1256</v>
      </c>
      <c r="C1804" s="15" t="s">
        <v>72</v>
      </c>
      <c r="D1804" s="16"/>
      <c r="E1804" s="2">
        <v>7247766.5099999998</v>
      </c>
      <c r="F1804" s="23">
        <v>0.32089350654316262</v>
      </c>
      <c r="G1804" s="26">
        <f t="shared" si="28"/>
        <v>2325761.21</v>
      </c>
      <c r="H1804" t="s">
        <v>68</v>
      </c>
    </row>
    <row r="1805" spans="1:9" hidden="1">
      <c r="A1805" s="17" t="s">
        <v>1255</v>
      </c>
      <c r="B1805" s="18" t="s">
        <v>1256</v>
      </c>
      <c r="C1805" s="19" t="s">
        <v>73</v>
      </c>
      <c r="D1805" s="20"/>
      <c r="E1805" s="3">
        <v>7247766.5099999998</v>
      </c>
      <c r="F1805" s="24">
        <v>0.64226601168475006</v>
      </c>
      <c r="G1805" s="26">
        <f t="shared" si="28"/>
        <v>4654994.09</v>
      </c>
      <c r="H1805" t="s">
        <v>68</v>
      </c>
    </row>
    <row r="1806" spans="1:9" hidden="1">
      <c r="A1806" s="15" t="s">
        <v>1255</v>
      </c>
      <c r="B1806" s="16" t="s">
        <v>1256</v>
      </c>
      <c r="C1806" s="15" t="s">
        <v>74</v>
      </c>
      <c r="D1806" s="16"/>
      <c r="E1806" s="2">
        <v>7247766.5099999998</v>
      </c>
      <c r="F1806" s="23">
        <v>3.6840481772087333E-2</v>
      </c>
      <c r="G1806" s="26">
        <f t="shared" si="28"/>
        <v>267011.21000000002</v>
      </c>
      <c r="H1806" t="s">
        <v>68</v>
      </c>
    </row>
    <row r="1807" spans="1:9" hidden="1">
      <c r="A1807" s="17" t="s">
        <v>1257</v>
      </c>
      <c r="B1807" s="21" t="s">
        <v>1258</v>
      </c>
      <c r="C1807" s="19" t="s">
        <v>72</v>
      </c>
      <c r="D1807" s="20"/>
      <c r="E1807" s="3">
        <v>9759289</v>
      </c>
      <c r="F1807" s="24">
        <v>0.36805767407851125</v>
      </c>
      <c r="G1807" s="26">
        <f t="shared" si="28"/>
        <v>3591981.21</v>
      </c>
      <c r="H1807" t="s">
        <v>68</v>
      </c>
    </row>
    <row r="1808" spans="1:9" hidden="1">
      <c r="A1808" s="13" t="s">
        <v>1257</v>
      </c>
      <c r="B1808" s="22" t="s">
        <v>1258</v>
      </c>
      <c r="C1808" s="15" t="s">
        <v>73</v>
      </c>
      <c r="D1808" s="16"/>
      <c r="E1808" s="2">
        <v>9759289</v>
      </c>
      <c r="F1808" s="23">
        <v>0.60113391764502511</v>
      </c>
      <c r="G1808" s="26">
        <f t="shared" si="28"/>
        <v>5866639.6299999999</v>
      </c>
      <c r="H1808" t="s">
        <v>68</v>
      </c>
    </row>
    <row r="1809" spans="1:9" hidden="1">
      <c r="A1809" s="19" t="s">
        <v>1257</v>
      </c>
      <c r="B1809" s="20" t="s">
        <v>1258</v>
      </c>
      <c r="C1809" s="19" t="s">
        <v>74</v>
      </c>
      <c r="D1809" s="20"/>
      <c r="E1809" s="3">
        <v>9759289</v>
      </c>
      <c r="F1809" s="24">
        <v>3.080840827646358E-2</v>
      </c>
      <c r="G1809" s="26">
        <f t="shared" si="28"/>
        <v>300668.15999999997</v>
      </c>
      <c r="H1809" t="s">
        <v>68</v>
      </c>
    </row>
    <row r="1810" spans="1:9" hidden="1">
      <c r="A1810" s="13" t="s">
        <v>1259</v>
      </c>
      <c r="B1810" s="14" t="s">
        <v>1260</v>
      </c>
      <c r="C1810" s="15" t="s">
        <v>72</v>
      </c>
      <c r="D1810" s="16"/>
      <c r="E1810" s="2">
        <v>8762625.2699999996</v>
      </c>
      <c r="F1810" s="23">
        <v>0.28903044715045773</v>
      </c>
      <c r="G1810" s="26">
        <f t="shared" si="28"/>
        <v>2532665.5</v>
      </c>
      <c r="H1810" t="s">
        <v>68</v>
      </c>
    </row>
    <row r="1811" spans="1:9" hidden="1">
      <c r="A1811" s="17" t="s">
        <v>1259</v>
      </c>
      <c r="B1811" s="18" t="s">
        <v>1260</v>
      </c>
      <c r="C1811" s="19" t="s">
        <v>73</v>
      </c>
      <c r="D1811" s="20"/>
      <c r="E1811" s="3">
        <v>8762625.2699999996</v>
      </c>
      <c r="F1811" s="24">
        <v>0.67684598248259908</v>
      </c>
      <c r="G1811" s="26">
        <f t="shared" si="28"/>
        <v>5930947.71</v>
      </c>
      <c r="H1811" t="s">
        <v>68</v>
      </c>
    </row>
    <row r="1812" spans="1:9" hidden="1">
      <c r="A1812" s="15" t="s">
        <v>1259</v>
      </c>
      <c r="B1812" s="16" t="s">
        <v>1260</v>
      </c>
      <c r="C1812" s="15" t="s">
        <v>74</v>
      </c>
      <c r="D1812" s="16"/>
      <c r="E1812" s="2">
        <v>8762625.2699999996</v>
      </c>
      <c r="F1812" s="23">
        <v>3.4123570366943239E-2</v>
      </c>
      <c r="G1812" s="26">
        <f t="shared" si="28"/>
        <v>299012.06</v>
      </c>
      <c r="H1812" t="s">
        <v>68</v>
      </c>
    </row>
    <row r="1813" spans="1:9" hidden="1">
      <c r="A1813" s="17" t="s">
        <v>1261</v>
      </c>
      <c r="B1813" s="21" t="s">
        <v>1262</v>
      </c>
      <c r="C1813" s="19" t="s">
        <v>72</v>
      </c>
      <c r="D1813" s="20"/>
      <c r="E1813" s="3">
        <v>8163698.3399999999</v>
      </c>
      <c r="F1813" s="24">
        <v>0.37551715562287669</v>
      </c>
      <c r="G1813" s="26">
        <f t="shared" si="28"/>
        <v>3065608.78</v>
      </c>
      <c r="H1813" t="s">
        <v>68</v>
      </c>
    </row>
    <row r="1814" spans="1:9" hidden="1">
      <c r="A1814" s="13" t="s">
        <v>1261</v>
      </c>
      <c r="B1814" s="22" t="s">
        <v>1262</v>
      </c>
      <c r="C1814" s="15" t="s">
        <v>73</v>
      </c>
      <c r="D1814" s="16"/>
      <c r="E1814" s="2">
        <v>8163698.3399999999</v>
      </c>
      <c r="F1814" s="23">
        <v>0.58431438685423054</v>
      </c>
      <c r="G1814" s="26">
        <f t="shared" si="28"/>
        <v>4770166.3899999997</v>
      </c>
      <c r="H1814" t="s">
        <v>68</v>
      </c>
    </row>
    <row r="1815" spans="1:9" hidden="1">
      <c r="A1815" s="19" t="s">
        <v>1261</v>
      </c>
      <c r="B1815" s="20" t="s">
        <v>1262</v>
      </c>
      <c r="C1815" s="19" t="s">
        <v>74</v>
      </c>
      <c r="D1815" s="20"/>
      <c r="E1815" s="3">
        <v>8163698.3399999999</v>
      </c>
      <c r="F1815" s="24">
        <v>4.0168457522892741E-2</v>
      </c>
      <c r="G1815" s="26">
        <f t="shared" si="28"/>
        <v>327923.17</v>
      </c>
      <c r="H1815" t="s">
        <v>68</v>
      </c>
    </row>
    <row r="1816" spans="1:9" hidden="1">
      <c r="A1816" s="13" t="s">
        <v>1263</v>
      </c>
      <c r="B1816" s="14" t="s">
        <v>1264</v>
      </c>
      <c r="C1816" s="15" t="s">
        <v>72</v>
      </c>
      <c r="D1816" s="16"/>
      <c r="E1816" s="2">
        <v>10525800.359999999</v>
      </c>
      <c r="F1816" s="23">
        <v>0.84756727040944957</v>
      </c>
      <c r="G1816" s="26">
        <f t="shared" si="28"/>
        <v>8921323.8800000008</v>
      </c>
      <c r="H1816" t="s">
        <v>68</v>
      </c>
      <c r="I1816" t="s">
        <v>1883</v>
      </c>
    </row>
    <row r="1817" spans="1:9" hidden="1">
      <c r="A1817" s="17" t="s">
        <v>1263</v>
      </c>
      <c r="B1817" s="18" t="s">
        <v>1264</v>
      </c>
      <c r="C1817" s="19" t="s">
        <v>73</v>
      </c>
      <c r="D1817" s="20"/>
      <c r="E1817" s="3">
        <v>10525800.359999999</v>
      </c>
      <c r="F1817" s="24">
        <v>0.14101659249026458</v>
      </c>
      <c r="G1817" s="26">
        <f t="shared" si="28"/>
        <v>1484312.5</v>
      </c>
      <c r="H1817" t="s">
        <v>68</v>
      </c>
      <c r="I1817" t="s">
        <v>1883</v>
      </c>
    </row>
    <row r="1818" spans="1:9" hidden="1">
      <c r="A1818" s="15" t="s">
        <v>1263</v>
      </c>
      <c r="B1818" s="16" t="s">
        <v>1264</v>
      </c>
      <c r="C1818" s="15" t="s">
        <v>74</v>
      </c>
      <c r="D1818" s="16"/>
      <c r="E1818" s="2">
        <v>10525800.359999999</v>
      </c>
      <c r="F1818" s="23">
        <v>1.1416137100286026E-2</v>
      </c>
      <c r="G1818" s="26">
        <f t="shared" si="28"/>
        <v>120163.98</v>
      </c>
      <c r="H1818" t="s">
        <v>68</v>
      </c>
      <c r="I1818" t="s">
        <v>1883</v>
      </c>
    </row>
    <row r="1819" spans="1:9" hidden="1">
      <c r="A1819" s="17" t="s">
        <v>1265</v>
      </c>
      <c r="B1819" s="21" t="s">
        <v>1266</v>
      </c>
      <c r="C1819" s="19" t="s">
        <v>72</v>
      </c>
      <c r="D1819" s="20"/>
      <c r="E1819" s="3">
        <v>7052335.3899999997</v>
      </c>
      <c r="F1819" s="24">
        <v>0.51902917651793645</v>
      </c>
      <c r="G1819" s="26">
        <f t="shared" si="28"/>
        <v>3660367.83</v>
      </c>
      <c r="H1819" t="s">
        <v>68</v>
      </c>
    </row>
    <row r="1820" spans="1:9" hidden="1">
      <c r="A1820" s="13" t="s">
        <v>1265</v>
      </c>
      <c r="B1820" s="22" t="s">
        <v>1266</v>
      </c>
      <c r="C1820" s="15" t="s">
        <v>73</v>
      </c>
      <c r="D1820" s="16"/>
      <c r="E1820" s="2">
        <v>7052335.3899999997</v>
      </c>
      <c r="F1820" s="23">
        <v>0.44953822311051489</v>
      </c>
      <c r="G1820" s="26">
        <f t="shared" si="28"/>
        <v>3170294.32</v>
      </c>
      <c r="H1820" t="s">
        <v>68</v>
      </c>
    </row>
    <row r="1821" spans="1:9" hidden="1">
      <c r="A1821" s="19" t="s">
        <v>1265</v>
      </c>
      <c r="B1821" s="20" t="s">
        <v>1266</v>
      </c>
      <c r="C1821" s="19" t="s">
        <v>74</v>
      </c>
      <c r="D1821" s="20"/>
      <c r="E1821" s="3">
        <v>7052335.3899999997</v>
      </c>
      <c r="F1821" s="24">
        <v>3.1432600371548693E-2</v>
      </c>
      <c r="G1821" s="26">
        <f t="shared" si="28"/>
        <v>221673.24</v>
      </c>
      <c r="H1821" t="s">
        <v>68</v>
      </c>
    </row>
    <row r="1822" spans="1:9" hidden="1">
      <c r="A1822" s="13" t="s">
        <v>1267</v>
      </c>
      <c r="B1822" s="14" t="s">
        <v>1268</v>
      </c>
      <c r="C1822" s="15" t="s">
        <v>72</v>
      </c>
      <c r="D1822" s="16"/>
      <c r="E1822" s="2">
        <v>9968547.3800000008</v>
      </c>
      <c r="F1822" s="23">
        <v>0.43141409937302211</v>
      </c>
      <c r="G1822" s="26">
        <f t="shared" si="28"/>
        <v>4300571.8899999997</v>
      </c>
      <c r="H1822" t="s">
        <v>68</v>
      </c>
    </row>
    <row r="1823" spans="1:9" hidden="1">
      <c r="A1823" s="17" t="s">
        <v>1267</v>
      </c>
      <c r="B1823" s="18" t="s">
        <v>1268</v>
      </c>
      <c r="C1823" s="19" t="s">
        <v>73</v>
      </c>
      <c r="D1823" s="20"/>
      <c r="E1823" s="3">
        <v>9968547.3800000008</v>
      </c>
      <c r="F1823" s="24">
        <v>0.52442943697981403</v>
      </c>
      <c r="G1823" s="26">
        <f t="shared" si="28"/>
        <v>5227799.6900000004</v>
      </c>
      <c r="H1823" t="s">
        <v>68</v>
      </c>
    </row>
    <row r="1824" spans="1:9" hidden="1">
      <c r="A1824" s="15" t="s">
        <v>1267</v>
      </c>
      <c r="B1824" s="16" t="s">
        <v>1268</v>
      </c>
      <c r="C1824" s="15" t="s">
        <v>74</v>
      </c>
      <c r="D1824" s="16"/>
      <c r="E1824" s="2">
        <v>9968547.3800000008</v>
      </c>
      <c r="F1824" s="23">
        <v>4.4156463647163802E-2</v>
      </c>
      <c r="G1824" s="26">
        <f t="shared" si="28"/>
        <v>440175.8</v>
      </c>
      <c r="H1824" t="s">
        <v>68</v>
      </c>
    </row>
    <row r="1825" spans="1:8" hidden="1">
      <c r="A1825" s="17" t="s">
        <v>1269</v>
      </c>
      <c r="B1825" s="21" t="s">
        <v>1270</v>
      </c>
      <c r="C1825" s="19" t="s">
        <v>72</v>
      </c>
      <c r="D1825" s="20"/>
      <c r="E1825" s="3">
        <v>5174502.62</v>
      </c>
      <c r="F1825" s="24">
        <v>0.48023831902127823</v>
      </c>
      <c r="G1825" s="26">
        <f t="shared" si="28"/>
        <v>2484994.44</v>
      </c>
      <c r="H1825" t="s">
        <v>68</v>
      </c>
    </row>
    <row r="1826" spans="1:8" hidden="1">
      <c r="A1826" s="13" t="s">
        <v>1269</v>
      </c>
      <c r="B1826" s="22" t="s">
        <v>1270</v>
      </c>
      <c r="C1826" s="15" t="s">
        <v>73</v>
      </c>
      <c r="D1826" s="16"/>
      <c r="E1826" s="2">
        <v>5174502.62</v>
      </c>
      <c r="F1826" s="23">
        <v>0.47371194876310646</v>
      </c>
      <c r="G1826" s="26">
        <f t="shared" si="28"/>
        <v>2451223.7200000002</v>
      </c>
      <c r="H1826" t="s">
        <v>68</v>
      </c>
    </row>
    <row r="1827" spans="1:8" hidden="1">
      <c r="A1827" s="19" t="s">
        <v>1269</v>
      </c>
      <c r="B1827" s="20" t="s">
        <v>1270</v>
      </c>
      <c r="C1827" s="19" t="s">
        <v>74</v>
      </c>
      <c r="D1827" s="20"/>
      <c r="E1827" s="3">
        <v>5174502.62</v>
      </c>
      <c r="F1827" s="24">
        <v>4.6049732215615341E-2</v>
      </c>
      <c r="G1827" s="26">
        <f t="shared" si="28"/>
        <v>238284.46</v>
      </c>
      <c r="H1827" t="s">
        <v>68</v>
      </c>
    </row>
    <row r="1828" spans="1:8" hidden="1">
      <c r="A1828" s="13" t="s">
        <v>1271</v>
      </c>
      <c r="B1828" s="14" t="s">
        <v>1272</v>
      </c>
      <c r="C1828" s="15" t="s">
        <v>72</v>
      </c>
      <c r="D1828" s="16"/>
      <c r="E1828" s="2">
        <v>24217676.260000002</v>
      </c>
      <c r="F1828" s="23">
        <v>0.34477408197048875</v>
      </c>
      <c r="G1828" s="26">
        <f t="shared" si="28"/>
        <v>8349627.1000000006</v>
      </c>
      <c r="H1828" t="s">
        <v>68</v>
      </c>
    </row>
    <row r="1829" spans="1:8" hidden="1">
      <c r="A1829" s="17" t="s">
        <v>1271</v>
      </c>
      <c r="B1829" s="18" t="s">
        <v>1272</v>
      </c>
      <c r="C1829" s="19" t="s">
        <v>73</v>
      </c>
      <c r="D1829" s="20"/>
      <c r="E1829" s="3">
        <v>24217676.260000002</v>
      </c>
      <c r="F1829" s="24">
        <v>0.55967224288925232</v>
      </c>
      <c r="G1829" s="26">
        <f t="shared" si="28"/>
        <v>13553961.190000001</v>
      </c>
      <c r="H1829" t="s">
        <v>68</v>
      </c>
    </row>
    <row r="1830" spans="1:8" hidden="1">
      <c r="A1830" s="15" t="s">
        <v>1271</v>
      </c>
      <c r="B1830" s="16" t="s">
        <v>1272</v>
      </c>
      <c r="C1830" s="15" t="s">
        <v>74</v>
      </c>
      <c r="D1830" s="16"/>
      <c r="E1830" s="2">
        <v>24217676.260000002</v>
      </c>
      <c r="F1830" s="23">
        <v>9.5553675140258892E-2</v>
      </c>
      <c r="G1830" s="26">
        <f t="shared" si="28"/>
        <v>2314087.9700000002</v>
      </c>
      <c r="H1830" t="s">
        <v>68</v>
      </c>
    </row>
    <row r="1831" spans="1:8" hidden="1">
      <c r="A1831" s="17" t="s">
        <v>1273</v>
      </c>
      <c r="B1831" s="21" t="s">
        <v>1274</v>
      </c>
      <c r="C1831" s="19" t="s">
        <v>72</v>
      </c>
      <c r="D1831" s="20"/>
      <c r="E1831" s="3">
        <v>27806138.300000001</v>
      </c>
      <c r="F1831" s="24">
        <v>0.26552790755557737</v>
      </c>
      <c r="G1831" s="26">
        <f t="shared" si="28"/>
        <v>7383305.7199999997</v>
      </c>
      <c r="H1831" t="s">
        <v>68</v>
      </c>
    </row>
    <row r="1832" spans="1:8" hidden="1">
      <c r="A1832" s="13" t="s">
        <v>1273</v>
      </c>
      <c r="B1832" s="22" t="s">
        <v>1274</v>
      </c>
      <c r="C1832" s="15" t="s">
        <v>73</v>
      </c>
      <c r="D1832" s="16"/>
      <c r="E1832" s="2">
        <v>27806138.300000001</v>
      </c>
      <c r="F1832" s="23">
        <v>0.66074825823620387</v>
      </c>
      <c r="G1832" s="26">
        <f t="shared" si="28"/>
        <v>18372857.449999999</v>
      </c>
      <c r="H1832" t="s">
        <v>68</v>
      </c>
    </row>
    <row r="1833" spans="1:8" hidden="1">
      <c r="A1833" s="19" t="s">
        <v>1273</v>
      </c>
      <c r="B1833" s="20" t="s">
        <v>1274</v>
      </c>
      <c r="C1833" s="19" t="s">
        <v>74</v>
      </c>
      <c r="D1833" s="20"/>
      <c r="E1833" s="3">
        <v>27806138.300000001</v>
      </c>
      <c r="F1833" s="24">
        <v>7.3723834208218694E-2</v>
      </c>
      <c r="G1833" s="26">
        <f t="shared" si="28"/>
        <v>2049975.1300000001</v>
      </c>
      <c r="H1833" t="s">
        <v>68</v>
      </c>
    </row>
    <row r="1834" spans="1:8" hidden="1">
      <c r="A1834" s="13" t="s">
        <v>1275</v>
      </c>
      <c r="B1834" s="14" t="s">
        <v>1276</v>
      </c>
      <c r="C1834" s="15" t="s">
        <v>72</v>
      </c>
      <c r="D1834" s="16"/>
      <c r="E1834" s="2">
        <v>11922420.73</v>
      </c>
      <c r="F1834" s="23">
        <v>0.45051712161813634</v>
      </c>
      <c r="G1834" s="26">
        <f t="shared" si="28"/>
        <v>5371254.6699999999</v>
      </c>
      <c r="H1834" t="s">
        <v>68</v>
      </c>
    </row>
    <row r="1835" spans="1:8" hidden="1">
      <c r="A1835" s="17" t="s">
        <v>1275</v>
      </c>
      <c r="B1835" s="18" t="s">
        <v>1276</v>
      </c>
      <c r="C1835" s="19" t="s">
        <v>73</v>
      </c>
      <c r="D1835" s="20"/>
      <c r="E1835" s="3">
        <v>11922420.73</v>
      </c>
      <c r="F1835" s="24">
        <v>0.4919289171906282</v>
      </c>
      <c r="G1835" s="26">
        <f t="shared" si="28"/>
        <v>5864983.5199999996</v>
      </c>
      <c r="H1835" t="s">
        <v>68</v>
      </c>
    </row>
    <row r="1836" spans="1:8" hidden="1">
      <c r="A1836" s="15" t="s">
        <v>1275</v>
      </c>
      <c r="B1836" s="16" t="s">
        <v>1276</v>
      </c>
      <c r="C1836" s="15" t="s">
        <v>74</v>
      </c>
      <c r="D1836" s="16"/>
      <c r="E1836" s="2">
        <v>11922420.73</v>
      </c>
      <c r="F1836" s="23">
        <v>5.7553961191235369E-2</v>
      </c>
      <c r="G1836" s="26">
        <f t="shared" si="28"/>
        <v>686182.54</v>
      </c>
      <c r="H1836" t="s">
        <v>68</v>
      </c>
    </row>
    <row r="1837" spans="1:8" hidden="1">
      <c r="A1837" s="17" t="s">
        <v>1277</v>
      </c>
      <c r="B1837" s="21" t="s">
        <v>1278</v>
      </c>
      <c r="C1837" s="19" t="s">
        <v>72</v>
      </c>
      <c r="D1837" s="20"/>
      <c r="E1837" s="3">
        <v>8409506.3900000006</v>
      </c>
      <c r="F1837" s="24">
        <v>0.46633628397778049</v>
      </c>
      <c r="G1837" s="26">
        <f t="shared" si="28"/>
        <v>3921657.96</v>
      </c>
      <c r="H1837" t="s">
        <v>68</v>
      </c>
    </row>
    <row r="1838" spans="1:8" hidden="1">
      <c r="A1838" s="13" t="s">
        <v>1277</v>
      </c>
      <c r="B1838" s="22" t="s">
        <v>1278</v>
      </c>
      <c r="C1838" s="15" t="s">
        <v>73</v>
      </c>
      <c r="D1838" s="16"/>
      <c r="E1838" s="2">
        <v>8409506.3900000006</v>
      </c>
      <c r="F1838" s="23">
        <v>0.37022210646063847</v>
      </c>
      <c r="G1838" s="26">
        <f t="shared" si="28"/>
        <v>3113385.17</v>
      </c>
      <c r="H1838" t="s">
        <v>68</v>
      </c>
    </row>
    <row r="1839" spans="1:8" hidden="1">
      <c r="A1839" s="19" t="s">
        <v>1277</v>
      </c>
      <c r="B1839" s="20" t="s">
        <v>1278</v>
      </c>
      <c r="C1839" s="19" t="s">
        <v>74</v>
      </c>
      <c r="D1839" s="20"/>
      <c r="E1839" s="3">
        <v>8409506.3900000006</v>
      </c>
      <c r="F1839" s="24">
        <v>0.16344160956158094</v>
      </c>
      <c r="G1839" s="26">
        <f t="shared" si="28"/>
        <v>1374463.26</v>
      </c>
      <c r="H1839" t="s">
        <v>68</v>
      </c>
    </row>
    <row r="1840" spans="1:8" hidden="1">
      <c r="A1840" s="13" t="s">
        <v>1279</v>
      </c>
      <c r="B1840" s="14" t="s">
        <v>1280</v>
      </c>
      <c r="C1840" s="15" t="s">
        <v>72</v>
      </c>
      <c r="D1840" s="16"/>
      <c r="E1840" s="2">
        <v>34944083.149999999</v>
      </c>
      <c r="F1840" s="23">
        <v>0.33250454705376925</v>
      </c>
      <c r="G1840" s="26">
        <f t="shared" si="28"/>
        <v>11619066.539999999</v>
      </c>
      <c r="H1840" t="s">
        <v>68</v>
      </c>
    </row>
    <row r="1841" spans="1:8" hidden="1">
      <c r="A1841" s="17" t="s">
        <v>1279</v>
      </c>
      <c r="B1841" s="18" t="s">
        <v>1280</v>
      </c>
      <c r="C1841" s="19" t="s">
        <v>73</v>
      </c>
      <c r="D1841" s="20"/>
      <c r="E1841" s="3">
        <v>34944083.149999999</v>
      </c>
      <c r="F1841" s="24">
        <v>0.54644811220351053</v>
      </c>
      <c r="G1841" s="26">
        <f t="shared" si="28"/>
        <v>19095128.27</v>
      </c>
      <c r="H1841" t="s">
        <v>68</v>
      </c>
    </row>
    <row r="1842" spans="1:8" hidden="1">
      <c r="A1842" s="15" t="s">
        <v>1279</v>
      </c>
      <c r="B1842" s="16" t="s">
        <v>1280</v>
      </c>
      <c r="C1842" s="15" t="s">
        <v>74</v>
      </c>
      <c r="D1842" s="16"/>
      <c r="E1842" s="2">
        <v>34944083.149999999</v>
      </c>
      <c r="F1842" s="23">
        <v>0.12104734074272028</v>
      </c>
      <c r="G1842" s="26">
        <f t="shared" si="28"/>
        <v>4229888.34</v>
      </c>
      <c r="H1842" t="s">
        <v>68</v>
      </c>
    </row>
    <row r="1843" spans="1:8" hidden="1">
      <c r="A1843" s="17" t="s">
        <v>1281</v>
      </c>
      <c r="B1843" s="21" t="s">
        <v>1282</v>
      </c>
      <c r="C1843" s="19" t="s">
        <v>72</v>
      </c>
      <c r="D1843" s="20"/>
      <c r="E1843" s="3">
        <v>35933156.039999999</v>
      </c>
      <c r="F1843" s="24">
        <v>0.30939721736727249</v>
      </c>
      <c r="G1843" s="26">
        <f t="shared" si="28"/>
        <v>11117618.49</v>
      </c>
      <c r="H1843" t="s">
        <v>68</v>
      </c>
    </row>
    <row r="1844" spans="1:8" hidden="1">
      <c r="A1844" s="13" t="s">
        <v>1281</v>
      </c>
      <c r="B1844" s="22" t="s">
        <v>1282</v>
      </c>
      <c r="C1844" s="15" t="s">
        <v>73</v>
      </c>
      <c r="D1844" s="16"/>
      <c r="E1844" s="2">
        <v>35933156.039999999</v>
      </c>
      <c r="F1844" s="23">
        <v>0.57343891048875428</v>
      </c>
      <c r="G1844" s="26">
        <f t="shared" si="28"/>
        <v>20605469.850000001</v>
      </c>
      <c r="H1844" t="s">
        <v>68</v>
      </c>
    </row>
    <row r="1845" spans="1:8" hidden="1">
      <c r="A1845" s="19" t="s">
        <v>1281</v>
      </c>
      <c r="B1845" s="20" t="s">
        <v>1282</v>
      </c>
      <c r="C1845" s="19" t="s">
        <v>74</v>
      </c>
      <c r="D1845" s="20"/>
      <c r="E1845" s="3">
        <v>35933156.039999999</v>
      </c>
      <c r="F1845" s="24">
        <v>0.11716387214397325</v>
      </c>
      <c r="G1845" s="26">
        <f t="shared" si="28"/>
        <v>4210067.7</v>
      </c>
      <c r="H1845" t="s">
        <v>68</v>
      </c>
    </row>
    <row r="1846" spans="1:8" hidden="1">
      <c r="A1846" s="13" t="s">
        <v>1283</v>
      </c>
      <c r="B1846" s="14" t="s">
        <v>1284</v>
      </c>
      <c r="C1846" s="15" t="s">
        <v>72</v>
      </c>
      <c r="D1846" s="16"/>
      <c r="E1846" s="2">
        <v>10117515.84</v>
      </c>
      <c r="F1846" s="23">
        <v>0.35764169063065193</v>
      </c>
      <c r="G1846" s="26">
        <f t="shared" si="28"/>
        <v>3618445.4700000007</v>
      </c>
      <c r="H1846" t="s">
        <v>68</v>
      </c>
    </row>
    <row r="1847" spans="1:8" hidden="1">
      <c r="A1847" s="17" t="s">
        <v>1283</v>
      </c>
      <c r="B1847" s="18" t="s">
        <v>1284</v>
      </c>
      <c r="C1847" s="19" t="s">
        <v>73</v>
      </c>
      <c r="D1847" s="20"/>
      <c r="E1847" s="3">
        <v>10117515.84</v>
      </c>
      <c r="F1847" s="24">
        <v>0.58709736895257481</v>
      </c>
      <c r="G1847" s="26">
        <f t="shared" si="28"/>
        <v>5939966.9299999997</v>
      </c>
      <c r="H1847" t="s">
        <v>68</v>
      </c>
    </row>
    <row r="1848" spans="1:8" hidden="1">
      <c r="A1848" s="15" t="s">
        <v>1283</v>
      </c>
      <c r="B1848" s="16" t="s">
        <v>1284</v>
      </c>
      <c r="C1848" s="15" t="s">
        <v>74</v>
      </c>
      <c r="D1848" s="16"/>
      <c r="E1848" s="2">
        <v>10117515.84</v>
      </c>
      <c r="F1848" s="23">
        <v>5.5260940416773291E-2</v>
      </c>
      <c r="G1848" s="26">
        <f t="shared" si="28"/>
        <v>559103.43999999994</v>
      </c>
      <c r="H1848" t="s">
        <v>68</v>
      </c>
    </row>
    <row r="1849" spans="1:8" hidden="1">
      <c r="A1849" s="17" t="s">
        <v>1285</v>
      </c>
      <c r="B1849" s="21" t="s">
        <v>1286</v>
      </c>
      <c r="C1849" s="19" t="s">
        <v>72</v>
      </c>
      <c r="D1849" s="20"/>
      <c r="E1849" s="3">
        <v>48385730.399999999</v>
      </c>
      <c r="F1849" s="24">
        <v>0.45114523867970796</v>
      </c>
      <c r="G1849" s="26">
        <f t="shared" si="28"/>
        <v>21828991.890000001</v>
      </c>
      <c r="H1849" t="s">
        <v>68</v>
      </c>
    </row>
    <row r="1850" spans="1:8" hidden="1">
      <c r="A1850" s="13" t="s">
        <v>1285</v>
      </c>
      <c r="B1850" s="22" t="s">
        <v>1286</v>
      </c>
      <c r="C1850" s="15" t="s">
        <v>73</v>
      </c>
      <c r="D1850" s="16"/>
      <c r="E1850" s="2">
        <v>48385730.399999999</v>
      </c>
      <c r="F1850" s="23">
        <v>0.50270033931326163</v>
      </c>
      <c r="G1850" s="26">
        <f t="shared" si="28"/>
        <v>24323523.089999996</v>
      </c>
      <c r="H1850" t="s">
        <v>68</v>
      </c>
    </row>
    <row r="1851" spans="1:8" hidden="1">
      <c r="A1851" s="19" t="s">
        <v>1285</v>
      </c>
      <c r="B1851" s="20" t="s">
        <v>1286</v>
      </c>
      <c r="C1851" s="19" t="s">
        <v>74</v>
      </c>
      <c r="D1851" s="20"/>
      <c r="E1851" s="3">
        <v>48385730.399999999</v>
      </c>
      <c r="F1851" s="24">
        <v>4.6154422007030405E-2</v>
      </c>
      <c r="G1851" s="26">
        <f t="shared" si="28"/>
        <v>2233215.42</v>
      </c>
      <c r="H1851" t="s">
        <v>68</v>
      </c>
    </row>
    <row r="1852" spans="1:8" hidden="1">
      <c r="A1852" s="13" t="s">
        <v>1287</v>
      </c>
      <c r="B1852" s="14" t="s">
        <v>1174</v>
      </c>
      <c r="C1852" s="15" t="s">
        <v>72</v>
      </c>
      <c r="D1852" s="16"/>
      <c r="E1852" s="2">
        <v>20682988.780000001</v>
      </c>
      <c r="F1852" s="23">
        <v>0.51384840136242627</v>
      </c>
      <c r="G1852" s="26">
        <f t="shared" si="28"/>
        <v>10627920.720000001</v>
      </c>
      <c r="H1852" t="s">
        <v>68</v>
      </c>
    </row>
    <row r="1853" spans="1:8" hidden="1">
      <c r="A1853" s="17" t="s">
        <v>1287</v>
      </c>
      <c r="B1853" s="18" t="s">
        <v>1174</v>
      </c>
      <c r="C1853" s="19" t="s">
        <v>73</v>
      </c>
      <c r="D1853" s="20"/>
      <c r="E1853" s="3">
        <v>20682988.780000001</v>
      </c>
      <c r="F1853" s="24">
        <v>0.37752661441031832</v>
      </c>
      <c r="G1853" s="26">
        <f t="shared" si="28"/>
        <v>7808378.7300000004</v>
      </c>
      <c r="H1853" t="s">
        <v>68</v>
      </c>
    </row>
    <row r="1854" spans="1:8" hidden="1">
      <c r="A1854" s="15" t="s">
        <v>1287</v>
      </c>
      <c r="B1854" s="16" t="s">
        <v>1174</v>
      </c>
      <c r="C1854" s="15" t="s">
        <v>74</v>
      </c>
      <c r="D1854" s="16"/>
      <c r="E1854" s="2">
        <v>20682988.780000001</v>
      </c>
      <c r="F1854" s="23">
        <v>0.10862498422725538</v>
      </c>
      <c r="G1854" s="26">
        <f t="shared" si="28"/>
        <v>2246689.33</v>
      </c>
      <c r="H1854" t="s">
        <v>68</v>
      </c>
    </row>
    <row r="1855" spans="1:8" hidden="1">
      <c r="A1855" s="17" t="s">
        <v>1288</v>
      </c>
      <c r="B1855" s="21" t="s">
        <v>1289</v>
      </c>
      <c r="C1855" s="19" t="s">
        <v>72</v>
      </c>
      <c r="D1855" s="20"/>
      <c r="E1855" s="3">
        <v>18092282.18</v>
      </c>
      <c r="F1855" s="24">
        <v>0.48893357078957528</v>
      </c>
      <c r="G1855" s="26">
        <f t="shared" si="28"/>
        <v>8845924.1300000008</v>
      </c>
      <c r="H1855" t="s">
        <v>68</v>
      </c>
    </row>
    <row r="1856" spans="1:8" hidden="1">
      <c r="A1856" s="13" t="s">
        <v>1288</v>
      </c>
      <c r="B1856" s="22" t="s">
        <v>1289</v>
      </c>
      <c r="C1856" s="15" t="s">
        <v>73</v>
      </c>
      <c r="D1856" s="16"/>
      <c r="E1856" s="2">
        <v>18092282.18</v>
      </c>
      <c r="F1856" s="23">
        <v>0.48031603440312914</v>
      </c>
      <c r="G1856" s="26">
        <f t="shared" si="28"/>
        <v>8690013.2300000004</v>
      </c>
      <c r="H1856" t="s">
        <v>68</v>
      </c>
    </row>
    <row r="1857" spans="1:8" hidden="1">
      <c r="A1857" s="19" t="s">
        <v>1288</v>
      </c>
      <c r="B1857" s="20" t="s">
        <v>1289</v>
      </c>
      <c r="C1857" s="19" t="s">
        <v>74</v>
      </c>
      <c r="D1857" s="20"/>
      <c r="E1857" s="3">
        <v>18092282.18</v>
      </c>
      <c r="F1857" s="24">
        <v>3.0750394807295668E-2</v>
      </c>
      <c r="G1857" s="26">
        <f t="shared" si="28"/>
        <v>556344.81999999995</v>
      </c>
      <c r="H1857" t="s">
        <v>68</v>
      </c>
    </row>
    <row r="1858" spans="1:8" hidden="1">
      <c r="A1858" s="13" t="s">
        <v>1290</v>
      </c>
      <c r="B1858" s="14" t="s">
        <v>1291</v>
      </c>
      <c r="C1858" s="15" t="s">
        <v>72</v>
      </c>
      <c r="D1858" s="16"/>
      <c r="E1858" s="2">
        <v>62992473.82</v>
      </c>
      <c r="F1858" s="23">
        <v>0.49278066057066622</v>
      </c>
      <c r="G1858" s="26">
        <f t="shared" si="28"/>
        <v>31041472.859999999</v>
      </c>
      <c r="H1858" t="s">
        <v>68</v>
      </c>
    </row>
    <row r="1859" spans="1:8" hidden="1">
      <c r="A1859" s="17" t="s">
        <v>1290</v>
      </c>
      <c r="B1859" s="18" t="s">
        <v>1291</v>
      </c>
      <c r="C1859" s="19" t="s">
        <v>73</v>
      </c>
      <c r="D1859" s="20"/>
      <c r="E1859" s="3">
        <v>62992473.82</v>
      </c>
      <c r="F1859" s="24">
        <v>0.45415917386811405</v>
      </c>
      <c r="G1859" s="26">
        <f t="shared" si="28"/>
        <v>28608609.870000001</v>
      </c>
      <c r="H1859" t="s">
        <v>68</v>
      </c>
    </row>
    <row r="1860" spans="1:8" hidden="1">
      <c r="A1860" s="15" t="s">
        <v>1290</v>
      </c>
      <c r="B1860" s="16" t="s">
        <v>1291</v>
      </c>
      <c r="C1860" s="15" t="s">
        <v>74</v>
      </c>
      <c r="D1860" s="16"/>
      <c r="E1860" s="2">
        <v>62992473.82</v>
      </c>
      <c r="F1860" s="23">
        <v>5.3060165561219737E-2</v>
      </c>
      <c r="G1860" s="26">
        <f t="shared" si="28"/>
        <v>3342391.09</v>
      </c>
      <c r="H1860" t="s">
        <v>68</v>
      </c>
    </row>
    <row r="1861" spans="1:8" hidden="1">
      <c r="A1861" s="17" t="s">
        <v>1292</v>
      </c>
      <c r="B1861" s="21" t="s">
        <v>1293</v>
      </c>
      <c r="C1861" s="19" t="s">
        <v>72</v>
      </c>
      <c r="D1861" s="20"/>
      <c r="E1861" s="3">
        <v>21353164.57</v>
      </c>
      <c r="F1861" s="24">
        <v>0.20289247787125539</v>
      </c>
      <c r="G1861" s="26">
        <f t="shared" ref="G1861:G1924" si="29">F1861*E1861</f>
        <v>4332396.47</v>
      </c>
      <c r="H1861" t="s">
        <v>68</v>
      </c>
    </row>
    <row r="1862" spans="1:8" hidden="1">
      <c r="A1862" s="13" t="s">
        <v>1292</v>
      </c>
      <c r="B1862" s="22" t="s">
        <v>1293</v>
      </c>
      <c r="C1862" s="15" t="s">
        <v>73</v>
      </c>
      <c r="D1862" s="16"/>
      <c r="E1862" s="2">
        <v>21353164.57</v>
      </c>
      <c r="F1862" s="23">
        <v>0.67946240157694815</v>
      </c>
      <c r="G1862" s="26">
        <f t="shared" si="29"/>
        <v>14508672.480000002</v>
      </c>
      <c r="H1862" t="s">
        <v>68</v>
      </c>
    </row>
    <row r="1863" spans="1:8" hidden="1">
      <c r="A1863" s="19" t="s">
        <v>1292</v>
      </c>
      <c r="B1863" s="20" t="s">
        <v>1293</v>
      </c>
      <c r="C1863" s="19" t="s">
        <v>74</v>
      </c>
      <c r="D1863" s="20"/>
      <c r="E1863" s="3">
        <v>21353164.57</v>
      </c>
      <c r="F1863" s="24">
        <v>0.1176451205517965</v>
      </c>
      <c r="G1863" s="26">
        <f t="shared" si="29"/>
        <v>2512095.62</v>
      </c>
      <c r="H1863" t="s">
        <v>68</v>
      </c>
    </row>
    <row r="1864" spans="1:8" hidden="1">
      <c r="A1864" s="13" t="s">
        <v>1294</v>
      </c>
      <c r="B1864" s="14" t="s">
        <v>1295</v>
      </c>
      <c r="C1864" s="15" t="s">
        <v>72</v>
      </c>
      <c r="D1864" s="16"/>
      <c r="E1864" s="2">
        <v>11251998.560000001</v>
      </c>
      <c r="F1864" s="23">
        <v>0.30257324881847475</v>
      </c>
      <c r="G1864" s="26">
        <f t="shared" si="29"/>
        <v>3404553.76</v>
      </c>
      <c r="H1864" t="s">
        <v>68</v>
      </c>
    </row>
    <row r="1865" spans="1:8" hidden="1">
      <c r="A1865" s="17" t="s">
        <v>1294</v>
      </c>
      <c r="B1865" s="18" t="s">
        <v>1295</v>
      </c>
      <c r="C1865" s="19" t="s">
        <v>73</v>
      </c>
      <c r="D1865" s="20"/>
      <c r="E1865" s="3">
        <v>11251998.560000001</v>
      </c>
      <c r="F1865" s="24">
        <v>0.63951367053854302</v>
      </c>
      <c r="G1865" s="26">
        <f t="shared" si="29"/>
        <v>7195806.9000000013</v>
      </c>
      <c r="H1865" t="s">
        <v>68</v>
      </c>
    </row>
    <row r="1866" spans="1:8" hidden="1">
      <c r="A1866" s="15" t="s">
        <v>1294</v>
      </c>
      <c r="B1866" s="16" t="s">
        <v>1295</v>
      </c>
      <c r="C1866" s="15" t="s">
        <v>74</v>
      </c>
      <c r="D1866" s="16"/>
      <c r="E1866" s="2">
        <v>11251998.560000001</v>
      </c>
      <c r="F1866" s="23">
        <v>5.7913080642982236E-2</v>
      </c>
      <c r="G1866" s="26">
        <f t="shared" si="29"/>
        <v>651637.9</v>
      </c>
      <c r="H1866" t="s">
        <v>68</v>
      </c>
    </row>
    <row r="1867" spans="1:8" hidden="1">
      <c r="A1867" s="17" t="s">
        <v>1296</v>
      </c>
      <c r="B1867" s="21" t="s">
        <v>1473</v>
      </c>
      <c r="C1867" s="19" t="s">
        <v>72</v>
      </c>
      <c r="D1867" s="20"/>
      <c r="E1867" s="3">
        <v>15058086.01</v>
      </c>
      <c r="F1867" s="24">
        <v>0.30951253080271118</v>
      </c>
      <c r="G1867" s="26">
        <f t="shared" si="29"/>
        <v>4660666.3099999996</v>
      </c>
      <c r="H1867" t="s">
        <v>68</v>
      </c>
    </row>
    <row r="1868" spans="1:8" hidden="1">
      <c r="A1868" s="13" t="s">
        <v>1296</v>
      </c>
      <c r="B1868" s="22" t="s">
        <v>1473</v>
      </c>
      <c r="C1868" s="15" t="s">
        <v>73</v>
      </c>
      <c r="D1868" s="16"/>
      <c r="E1868" s="2">
        <v>15058086.01</v>
      </c>
      <c r="F1868" s="23">
        <v>0.55505995080977766</v>
      </c>
      <c r="G1868" s="26">
        <f t="shared" si="29"/>
        <v>8358140.4800000014</v>
      </c>
      <c r="H1868" t="s">
        <v>68</v>
      </c>
    </row>
    <row r="1869" spans="1:8" hidden="1">
      <c r="A1869" s="19" t="s">
        <v>1296</v>
      </c>
      <c r="B1869" s="20" t="s">
        <v>1473</v>
      </c>
      <c r="C1869" s="19" t="s">
        <v>74</v>
      </c>
      <c r="D1869" s="20"/>
      <c r="E1869" s="3">
        <v>15058086.01</v>
      </c>
      <c r="F1869" s="24">
        <v>0.13542751838751119</v>
      </c>
      <c r="G1869" s="26">
        <f t="shared" si="29"/>
        <v>2039279.22</v>
      </c>
      <c r="H1869" t="s">
        <v>68</v>
      </c>
    </row>
    <row r="1870" spans="1:8" hidden="1">
      <c r="A1870" s="13" t="s">
        <v>1297</v>
      </c>
      <c r="B1870" s="14" t="s">
        <v>1298</v>
      </c>
      <c r="C1870" s="15" t="s">
        <v>72</v>
      </c>
      <c r="D1870" s="16"/>
      <c r="E1870" s="2">
        <v>11007336.050000001</v>
      </c>
      <c r="F1870" s="23">
        <v>0.42482045508186328</v>
      </c>
      <c r="G1870" s="26">
        <f t="shared" si="29"/>
        <v>4676141.51</v>
      </c>
      <c r="H1870" t="s">
        <v>68</v>
      </c>
    </row>
    <row r="1871" spans="1:8" hidden="1">
      <c r="A1871" s="17" t="s">
        <v>1297</v>
      </c>
      <c r="B1871" s="18" t="s">
        <v>1298</v>
      </c>
      <c r="C1871" s="19" t="s">
        <v>73</v>
      </c>
      <c r="D1871" s="20"/>
      <c r="E1871" s="3">
        <v>11007336.050000001</v>
      </c>
      <c r="F1871" s="24">
        <v>0.4914479621070531</v>
      </c>
      <c r="G1871" s="26">
        <f t="shared" si="29"/>
        <v>5409532.8700000001</v>
      </c>
      <c r="H1871" t="s">
        <v>68</v>
      </c>
    </row>
    <row r="1872" spans="1:8" hidden="1">
      <c r="A1872" s="15" t="s">
        <v>1297</v>
      </c>
      <c r="B1872" s="16" t="s">
        <v>1298</v>
      </c>
      <c r="C1872" s="15" t="s">
        <v>74</v>
      </c>
      <c r="D1872" s="16"/>
      <c r="E1872" s="2">
        <v>11007336.050000001</v>
      </c>
      <c r="F1872" s="23">
        <v>8.3731582811083519E-2</v>
      </c>
      <c r="G1872" s="26">
        <f t="shared" si="29"/>
        <v>921661.67</v>
      </c>
      <c r="H1872" t="s">
        <v>68</v>
      </c>
    </row>
    <row r="1873" spans="1:8" hidden="1">
      <c r="A1873" s="17" t="s">
        <v>1299</v>
      </c>
      <c r="B1873" s="21" t="s">
        <v>1300</v>
      </c>
      <c r="C1873" s="19" t="s">
        <v>72</v>
      </c>
      <c r="D1873" s="20"/>
      <c r="E1873" s="3">
        <v>17154055.640000001</v>
      </c>
      <c r="F1873" s="24">
        <v>0.34880932157219002</v>
      </c>
      <c r="G1873" s="26">
        <f t="shared" si="29"/>
        <v>5983494.5099999998</v>
      </c>
      <c r="H1873" t="s">
        <v>68</v>
      </c>
    </row>
    <row r="1874" spans="1:8" hidden="1">
      <c r="A1874" s="13" t="s">
        <v>1299</v>
      </c>
      <c r="B1874" s="22" t="s">
        <v>1300</v>
      </c>
      <c r="C1874" s="15" t="s">
        <v>73</v>
      </c>
      <c r="D1874" s="16"/>
      <c r="E1874" s="2">
        <v>17154055.640000001</v>
      </c>
      <c r="F1874" s="23">
        <v>0.58641472204062406</v>
      </c>
      <c r="G1874" s="26">
        <f t="shared" si="29"/>
        <v>10059390.77</v>
      </c>
      <c r="H1874" t="s">
        <v>68</v>
      </c>
    </row>
    <row r="1875" spans="1:8" hidden="1">
      <c r="A1875" s="19" t="s">
        <v>1299</v>
      </c>
      <c r="B1875" s="20" t="s">
        <v>1300</v>
      </c>
      <c r="C1875" s="19" t="s">
        <v>74</v>
      </c>
      <c r="D1875" s="20"/>
      <c r="E1875" s="3">
        <v>17154055.640000001</v>
      </c>
      <c r="F1875" s="24">
        <v>6.477595638718589E-2</v>
      </c>
      <c r="G1875" s="26">
        <f t="shared" si="29"/>
        <v>1111170.3600000001</v>
      </c>
      <c r="H1875" t="s">
        <v>68</v>
      </c>
    </row>
    <row r="1876" spans="1:8" hidden="1">
      <c r="A1876" s="13" t="s">
        <v>1301</v>
      </c>
      <c r="B1876" s="14" t="s">
        <v>1302</v>
      </c>
      <c r="C1876" s="15" t="s">
        <v>72</v>
      </c>
      <c r="D1876" s="16"/>
      <c r="E1876" s="2">
        <v>20062755.899999999</v>
      </c>
      <c r="F1876" s="23">
        <v>0.22846374958885887</v>
      </c>
      <c r="G1876" s="26">
        <f t="shared" si="29"/>
        <v>4583612.4400000004</v>
      </c>
      <c r="H1876" t="s">
        <v>68</v>
      </c>
    </row>
    <row r="1877" spans="1:8" hidden="1">
      <c r="A1877" s="17" t="s">
        <v>1301</v>
      </c>
      <c r="B1877" s="18" t="s">
        <v>1302</v>
      </c>
      <c r="C1877" s="19" t="s">
        <v>73</v>
      </c>
      <c r="D1877" s="20"/>
      <c r="E1877" s="3">
        <v>20062755.899999999</v>
      </c>
      <c r="F1877" s="24">
        <v>0.67884503843263133</v>
      </c>
      <c r="G1877" s="26">
        <f t="shared" si="29"/>
        <v>13619502.300000001</v>
      </c>
      <c r="H1877" t="s">
        <v>68</v>
      </c>
    </row>
    <row r="1878" spans="1:8" hidden="1">
      <c r="A1878" s="15" t="s">
        <v>1301</v>
      </c>
      <c r="B1878" s="16" t="s">
        <v>1302</v>
      </c>
      <c r="C1878" s="15" t="s">
        <v>74</v>
      </c>
      <c r="D1878" s="16"/>
      <c r="E1878" s="2">
        <v>20062755.899999999</v>
      </c>
      <c r="F1878" s="23">
        <v>9.2691211978509894E-2</v>
      </c>
      <c r="G1878" s="26">
        <f t="shared" si="29"/>
        <v>1859641.16</v>
      </c>
      <c r="H1878" t="s">
        <v>68</v>
      </c>
    </row>
    <row r="1879" spans="1:8" hidden="1">
      <c r="A1879" s="17" t="s">
        <v>1303</v>
      </c>
      <c r="B1879" s="21" t="s">
        <v>1304</v>
      </c>
      <c r="C1879" s="19" t="s">
        <v>72</v>
      </c>
      <c r="D1879" s="20"/>
      <c r="E1879" s="3">
        <v>17450402.960000001</v>
      </c>
      <c r="F1879" s="24">
        <v>0.26922966482603217</v>
      </c>
      <c r="G1879" s="26">
        <f t="shared" si="29"/>
        <v>4698166.1399999997</v>
      </c>
      <c r="H1879" t="s">
        <v>68</v>
      </c>
    </row>
    <row r="1880" spans="1:8" hidden="1">
      <c r="A1880" s="13" t="s">
        <v>1303</v>
      </c>
      <c r="B1880" s="22" t="s">
        <v>1304</v>
      </c>
      <c r="C1880" s="15" t="s">
        <v>73</v>
      </c>
      <c r="D1880" s="16"/>
      <c r="E1880" s="2">
        <v>17450402.960000001</v>
      </c>
      <c r="F1880" s="23">
        <v>0.63801392927834144</v>
      </c>
      <c r="G1880" s="26">
        <f t="shared" si="29"/>
        <v>11133600.16</v>
      </c>
      <c r="H1880" t="s">
        <v>68</v>
      </c>
    </row>
    <row r="1881" spans="1:8" hidden="1">
      <c r="A1881" s="19" t="s">
        <v>1303</v>
      </c>
      <c r="B1881" s="20" t="s">
        <v>1304</v>
      </c>
      <c r="C1881" s="19" t="s">
        <v>74</v>
      </c>
      <c r="D1881" s="20"/>
      <c r="E1881" s="3">
        <v>17450402.960000001</v>
      </c>
      <c r="F1881" s="24">
        <v>9.2756405895626365E-2</v>
      </c>
      <c r="G1881" s="26">
        <f t="shared" si="29"/>
        <v>1618636.66</v>
      </c>
      <c r="H1881" t="s">
        <v>68</v>
      </c>
    </row>
    <row r="1882" spans="1:8" hidden="1">
      <c r="A1882" s="13" t="s">
        <v>1305</v>
      </c>
      <c r="B1882" s="14" t="s">
        <v>1306</v>
      </c>
      <c r="C1882" s="15" t="s">
        <v>72</v>
      </c>
      <c r="D1882" s="16"/>
      <c r="E1882" s="2">
        <v>24269485.530000001</v>
      </c>
      <c r="F1882" s="23">
        <v>0.29664452264967317</v>
      </c>
      <c r="G1882" s="26">
        <f t="shared" si="29"/>
        <v>7199409.9500000002</v>
      </c>
      <c r="H1882" t="s">
        <v>68</v>
      </c>
    </row>
    <row r="1883" spans="1:8" hidden="1">
      <c r="A1883" s="17" t="s">
        <v>1305</v>
      </c>
      <c r="B1883" s="18" t="s">
        <v>1306</v>
      </c>
      <c r="C1883" s="19" t="s">
        <v>73</v>
      </c>
      <c r="D1883" s="20"/>
      <c r="E1883" s="3">
        <v>24269485.530000001</v>
      </c>
      <c r="F1883" s="24">
        <v>0.64256924444166408</v>
      </c>
      <c r="G1883" s="26">
        <f t="shared" si="29"/>
        <v>15594824.98</v>
      </c>
      <c r="H1883" t="s">
        <v>68</v>
      </c>
    </row>
    <row r="1884" spans="1:8" hidden="1">
      <c r="A1884" s="15" t="s">
        <v>1305</v>
      </c>
      <c r="B1884" s="16" t="s">
        <v>1306</v>
      </c>
      <c r="C1884" s="15" t="s">
        <v>74</v>
      </c>
      <c r="D1884" s="16"/>
      <c r="E1884" s="2">
        <v>24269485.530000001</v>
      </c>
      <c r="F1884" s="23">
        <v>6.0786232908662731E-2</v>
      </c>
      <c r="G1884" s="26">
        <f t="shared" si="29"/>
        <v>1475250.6</v>
      </c>
      <c r="H1884" t="s">
        <v>68</v>
      </c>
    </row>
    <row r="1885" spans="1:8" hidden="1">
      <c r="A1885" s="17" t="s">
        <v>1307</v>
      </c>
      <c r="B1885" s="21" t="s">
        <v>1308</v>
      </c>
      <c r="C1885" s="19" t="s">
        <v>72</v>
      </c>
      <c r="D1885" s="20"/>
      <c r="E1885" s="3">
        <v>14552960.99</v>
      </c>
      <c r="F1885" s="24">
        <v>0.47074432926106541</v>
      </c>
      <c r="G1885" s="26">
        <f t="shared" si="29"/>
        <v>6850723.8600000003</v>
      </c>
      <c r="H1885" t="s">
        <v>68</v>
      </c>
    </row>
    <row r="1886" spans="1:8" hidden="1">
      <c r="A1886" s="13" t="s">
        <v>1307</v>
      </c>
      <c r="B1886" s="22" t="s">
        <v>1308</v>
      </c>
      <c r="C1886" s="15" t="s">
        <v>73</v>
      </c>
      <c r="D1886" s="16"/>
      <c r="E1886" s="2">
        <v>14552960.99</v>
      </c>
      <c r="F1886" s="23">
        <v>0.45196467402885543</v>
      </c>
      <c r="G1886" s="26">
        <f t="shared" si="29"/>
        <v>6577424.2699999996</v>
      </c>
      <c r="H1886" t="s">
        <v>68</v>
      </c>
    </row>
    <row r="1887" spans="1:8" hidden="1">
      <c r="A1887" s="19" t="s">
        <v>1307</v>
      </c>
      <c r="B1887" s="20" t="s">
        <v>1308</v>
      </c>
      <c r="C1887" s="19" t="s">
        <v>74</v>
      </c>
      <c r="D1887" s="20"/>
      <c r="E1887" s="3">
        <v>14552960.99</v>
      </c>
      <c r="F1887" s="24">
        <v>7.7290996710079135E-2</v>
      </c>
      <c r="G1887" s="26">
        <f t="shared" si="29"/>
        <v>1124812.8600000001</v>
      </c>
      <c r="H1887" t="s">
        <v>68</v>
      </c>
    </row>
    <row r="1888" spans="1:8" hidden="1">
      <c r="A1888" s="13" t="s">
        <v>1309</v>
      </c>
      <c r="B1888" s="14" t="s">
        <v>1310</v>
      </c>
      <c r="C1888" s="15" t="s">
        <v>72</v>
      </c>
      <c r="D1888" s="16"/>
      <c r="E1888" s="2">
        <v>9454691.0600000005</v>
      </c>
      <c r="F1888" s="23">
        <v>0.30176787923517828</v>
      </c>
      <c r="G1888" s="26">
        <f t="shared" si="29"/>
        <v>2853122.07</v>
      </c>
      <c r="H1888" t="s">
        <v>68</v>
      </c>
    </row>
    <row r="1889" spans="1:8" hidden="1">
      <c r="A1889" s="17" t="s">
        <v>1309</v>
      </c>
      <c r="B1889" s="18" t="s">
        <v>1310</v>
      </c>
      <c r="C1889" s="19" t="s">
        <v>73</v>
      </c>
      <c r="D1889" s="20"/>
      <c r="E1889" s="3">
        <v>9454691.0600000005</v>
      </c>
      <c r="F1889" s="24">
        <v>0.60805284102006385</v>
      </c>
      <c r="G1889" s="26">
        <f t="shared" si="29"/>
        <v>5748951.7599999988</v>
      </c>
      <c r="H1889" t="s">
        <v>68</v>
      </c>
    </row>
    <row r="1890" spans="1:8" hidden="1">
      <c r="A1890" s="15" t="s">
        <v>1309</v>
      </c>
      <c r="B1890" s="16" t="s">
        <v>1310</v>
      </c>
      <c r="C1890" s="15" t="s">
        <v>74</v>
      </c>
      <c r="D1890" s="16"/>
      <c r="E1890" s="2">
        <v>9454691.0600000005</v>
      </c>
      <c r="F1890" s="23">
        <v>9.0179279744757729E-2</v>
      </c>
      <c r="G1890" s="26">
        <f t="shared" si="29"/>
        <v>852617.23</v>
      </c>
      <c r="H1890" t="s">
        <v>68</v>
      </c>
    </row>
    <row r="1891" spans="1:8" hidden="1">
      <c r="A1891" s="17" t="s">
        <v>1311</v>
      </c>
      <c r="B1891" s="21" t="s">
        <v>1312</v>
      </c>
      <c r="C1891" s="19" t="s">
        <v>72</v>
      </c>
      <c r="D1891" s="20"/>
      <c r="E1891" s="3">
        <v>18920026.07</v>
      </c>
      <c r="F1891" s="24">
        <v>0.48076639251692105</v>
      </c>
      <c r="G1891" s="26">
        <f t="shared" si="29"/>
        <v>9096112.6799999997</v>
      </c>
      <c r="H1891" t="s">
        <v>68</v>
      </c>
    </row>
    <row r="1892" spans="1:8" hidden="1">
      <c r="A1892" s="13" t="s">
        <v>1311</v>
      </c>
      <c r="B1892" s="22" t="s">
        <v>1312</v>
      </c>
      <c r="C1892" s="15" t="s">
        <v>73</v>
      </c>
      <c r="D1892" s="16"/>
      <c r="E1892" s="2">
        <v>18920026.07</v>
      </c>
      <c r="F1892" s="23">
        <v>0.46726000467926421</v>
      </c>
      <c r="G1892" s="26">
        <f t="shared" si="29"/>
        <v>8840571.4700000007</v>
      </c>
      <c r="H1892" t="s">
        <v>68</v>
      </c>
    </row>
    <row r="1893" spans="1:8" hidden="1">
      <c r="A1893" s="19" t="s">
        <v>1311</v>
      </c>
      <c r="B1893" s="20" t="s">
        <v>1312</v>
      </c>
      <c r="C1893" s="19" t="s">
        <v>74</v>
      </c>
      <c r="D1893" s="20"/>
      <c r="E1893" s="3">
        <v>18920026.07</v>
      </c>
      <c r="F1893" s="24">
        <v>5.1973602803814745E-2</v>
      </c>
      <c r="G1893" s="26">
        <f t="shared" si="29"/>
        <v>983341.92</v>
      </c>
      <c r="H1893" t="s">
        <v>68</v>
      </c>
    </row>
    <row r="1894" spans="1:8" hidden="1">
      <c r="A1894" s="13" t="s">
        <v>1313</v>
      </c>
      <c r="B1894" s="14" t="s">
        <v>1314</v>
      </c>
      <c r="C1894" s="15" t="s">
        <v>72</v>
      </c>
      <c r="D1894" s="16"/>
      <c r="E1894" s="2">
        <v>8808986.4399999995</v>
      </c>
      <c r="F1894" s="23">
        <v>0.79759216770913777</v>
      </c>
      <c r="G1894" s="26">
        <f t="shared" si="29"/>
        <v>7025978.5899999999</v>
      </c>
      <c r="H1894" t="s">
        <v>68</v>
      </c>
    </row>
    <row r="1895" spans="1:8" hidden="1">
      <c r="A1895" s="17" t="s">
        <v>1313</v>
      </c>
      <c r="B1895" s="18" t="s">
        <v>1314</v>
      </c>
      <c r="C1895" s="19" t="s">
        <v>73</v>
      </c>
      <c r="D1895" s="20"/>
      <c r="E1895" s="3">
        <v>8808986.4399999995</v>
      </c>
      <c r="F1895" s="24">
        <v>0.17328236686444487</v>
      </c>
      <c r="G1895" s="26">
        <f t="shared" si="29"/>
        <v>1526442.02</v>
      </c>
      <c r="H1895" t="s">
        <v>68</v>
      </c>
    </row>
    <row r="1896" spans="1:8" hidden="1">
      <c r="A1896" s="15" t="s">
        <v>1313</v>
      </c>
      <c r="B1896" s="16" t="s">
        <v>1314</v>
      </c>
      <c r="C1896" s="15" t="s">
        <v>74</v>
      </c>
      <c r="D1896" s="16"/>
      <c r="E1896" s="2">
        <v>8808986.4399999995</v>
      </c>
      <c r="F1896" s="23">
        <v>2.9125465426417436E-2</v>
      </c>
      <c r="G1896" s="26">
        <f t="shared" si="29"/>
        <v>256565.83</v>
      </c>
      <c r="H1896" t="s">
        <v>68</v>
      </c>
    </row>
    <row r="1897" spans="1:8" hidden="1">
      <c r="A1897" s="17" t="s">
        <v>1315</v>
      </c>
      <c r="B1897" s="21" t="s">
        <v>1316</v>
      </c>
      <c r="C1897" s="19" t="s">
        <v>72</v>
      </c>
      <c r="D1897" s="20"/>
      <c r="E1897" s="3">
        <v>11638254.17</v>
      </c>
      <c r="F1897" s="24">
        <v>0.39288433498784808</v>
      </c>
      <c r="G1897" s="26">
        <f t="shared" si="29"/>
        <v>4572487.75</v>
      </c>
      <c r="H1897" t="s">
        <v>68</v>
      </c>
    </row>
    <row r="1898" spans="1:8" hidden="1">
      <c r="A1898" s="13" t="s">
        <v>1315</v>
      </c>
      <c r="B1898" s="22" t="s">
        <v>1316</v>
      </c>
      <c r="C1898" s="15" t="s">
        <v>73</v>
      </c>
      <c r="D1898" s="16"/>
      <c r="E1898" s="2">
        <v>11638254.17</v>
      </c>
      <c r="F1898" s="23">
        <v>0.56050141238666562</v>
      </c>
      <c r="G1898" s="26">
        <f t="shared" si="29"/>
        <v>6523257.9000000004</v>
      </c>
      <c r="H1898" t="s">
        <v>68</v>
      </c>
    </row>
    <row r="1899" spans="1:8" hidden="1">
      <c r="A1899" s="19" t="s">
        <v>1315</v>
      </c>
      <c r="B1899" s="20" t="s">
        <v>1316</v>
      </c>
      <c r="C1899" s="19" t="s">
        <v>74</v>
      </c>
      <c r="D1899" s="20"/>
      <c r="E1899" s="3">
        <v>11638254.17</v>
      </c>
      <c r="F1899" s="24">
        <v>4.6614252625486352E-2</v>
      </c>
      <c r="G1899" s="26">
        <f t="shared" si="29"/>
        <v>542508.52</v>
      </c>
      <c r="H1899" t="s">
        <v>68</v>
      </c>
    </row>
    <row r="1900" spans="1:8" hidden="1">
      <c r="A1900" s="13" t="s">
        <v>1317</v>
      </c>
      <c r="B1900" s="14" t="s">
        <v>1318</v>
      </c>
      <c r="C1900" s="15" t="s">
        <v>72</v>
      </c>
      <c r="D1900" s="16"/>
      <c r="E1900" s="2">
        <v>153698.9</v>
      </c>
      <c r="F1900" s="23">
        <v>0.90665138136967804</v>
      </c>
      <c r="G1900" s="26">
        <f t="shared" si="29"/>
        <v>139351.32</v>
      </c>
      <c r="H1900" t="s">
        <v>68</v>
      </c>
    </row>
    <row r="1901" spans="1:8" hidden="1">
      <c r="A1901" s="17" t="s">
        <v>1317</v>
      </c>
      <c r="B1901" s="18" t="s">
        <v>1318</v>
      </c>
      <c r="C1901" s="19" t="s">
        <v>73</v>
      </c>
      <c r="D1901" s="20"/>
      <c r="E1901" s="3">
        <v>153698.9</v>
      </c>
      <c r="F1901" s="24">
        <v>9.3348618630322011E-2</v>
      </c>
      <c r="G1901" s="26">
        <f t="shared" si="29"/>
        <v>14347.58</v>
      </c>
      <c r="H1901" t="s">
        <v>68</v>
      </c>
    </row>
    <row r="1902" spans="1:8" hidden="1">
      <c r="A1902" s="15" t="s">
        <v>1317</v>
      </c>
      <c r="B1902" s="16" t="s">
        <v>1318</v>
      </c>
      <c r="C1902" s="15" t="s">
        <v>74</v>
      </c>
      <c r="D1902" s="16"/>
      <c r="E1902" s="2">
        <v>153698.9</v>
      </c>
      <c r="F1902" s="23">
        <v>0</v>
      </c>
      <c r="G1902" s="26">
        <f t="shared" si="29"/>
        <v>0</v>
      </c>
      <c r="H1902" t="s">
        <v>68</v>
      </c>
    </row>
    <row r="1903" spans="1:8" hidden="1">
      <c r="A1903" s="17" t="s">
        <v>1319</v>
      </c>
      <c r="B1903" s="21" t="s">
        <v>1320</v>
      </c>
      <c r="C1903" s="19" t="s">
        <v>72</v>
      </c>
      <c r="D1903" s="20"/>
      <c r="E1903" s="3">
        <v>165538.65</v>
      </c>
      <c r="F1903" s="24">
        <v>5.832202932668594E-2</v>
      </c>
      <c r="G1903" s="26">
        <f t="shared" si="29"/>
        <v>9654.5499999999993</v>
      </c>
      <c r="H1903" t="s">
        <v>68</v>
      </c>
    </row>
    <row r="1904" spans="1:8" hidden="1">
      <c r="A1904" s="13" t="s">
        <v>1319</v>
      </c>
      <c r="B1904" s="22" t="s">
        <v>1320</v>
      </c>
      <c r="C1904" s="15" t="s">
        <v>73</v>
      </c>
      <c r="D1904" s="16"/>
      <c r="E1904" s="2">
        <v>165538.65</v>
      </c>
      <c r="F1904" s="23">
        <v>0.94167797067331416</v>
      </c>
      <c r="G1904" s="26">
        <f t="shared" si="29"/>
        <v>155884.1</v>
      </c>
      <c r="H1904" t="s">
        <v>68</v>
      </c>
    </row>
    <row r="1905" spans="1:8" hidden="1">
      <c r="A1905" s="19" t="s">
        <v>1319</v>
      </c>
      <c r="B1905" s="20" t="s">
        <v>1320</v>
      </c>
      <c r="C1905" s="19" t="s">
        <v>74</v>
      </c>
      <c r="D1905" s="20"/>
      <c r="E1905" s="3">
        <v>165538.65</v>
      </c>
      <c r="F1905" s="24">
        <v>0</v>
      </c>
      <c r="G1905" s="26">
        <f t="shared" si="29"/>
        <v>0</v>
      </c>
      <c r="H1905" t="s">
        <v>68</v>
      </c>
    </row>
    <row r="1906" spans="1:8" hidden="1">
      <c r="A1906" s="13" t="s">
        <v>1321</v>
      </c>
      <c r="B1906" s="14" t="s">
        <v>1322</v>
      </c>
      <c r="C1906" s="15" t="s">
        <v>72</v>
      </c>
      <c r="D1906" s="16"/>
      <c r="E1906" s="2">
        <v>2344321.52</v>
      </c>
      <c r="F1906" s="23">
        <v>0.85622473832002366</v>
      </c>
      <c r="G1906" s="26">
        <f t="shared" si="29"/>
        <v>2007266.08</v>
      </c>
      <c r="H1906" t="s">
        <v>68</v>
      </c>
    </row>
    <row r="1907" spans="1:8" hidden="1">
      <c r="A1907" s="17" t="s">
        <v>1321</v>
      </c>
      <c r="B1907" s="18" t="s">
        <v>1322</v>
      </c>
      <c r="C1907" s="19" t="s">
        <v>73</v>
      </c>
      <c r="D1907" s="20"/>
      <c r="E1907" s="3">
        <v>2344321.52</v>
      </c>
      <c r="F1907" s="24">
        <v>0.13072255549656858</v>
      </c>
      <c r="G1907" s="26">
        <f t="shared" si="29"/>
        <v>306455.7</v>
      </c>
      <c r="H1907" t="s">
        <v>68</v>
      </c>
    </row>
    <row r="1908" spans="1:8" hidden="1">
      <c r="A1908" s="15" t="s">
        <v>1321</v>
      </c>
      <c r="B1908" s="16" t="s">
        <v>1322</v>
      </c>
      <c r="C1908" s="15" t="s">
        <v>74</v>
      </c>
      <c r="D1908" s="16"/>
      <c r="E1908" s="2">
        <v>2344321.52</v>
      </c>
      <c r="F1908" s="23">
        <v>1.3052706183407812E-2</v>
      </c>
      <c r="G1908" s="26">
        <f t="shared" si="29"/>
        <v>30599.74</v>
      </c>
      <c r="H1908" t="s">
        <v>68</v>
      </c>
    </row>
    <row r="1909" spans="1:8" hidden="1">
      <c r="A1909" s="17" t="s">
        <v>1323</v>
      </c>
      <c r="B1909" s="21" t="s">
        <v>1324</v>
      </c>
      <c r="C1909" s="19" t="s">
        <v>72</v>
      </c>
      <c r="D1909" s="20"/>
      <c r="E1909" s="3">
        <v>5483477.9500000002</v>
      </c>
      <c r="F1909" s="24">
        <v>0.40249596152748274</v>
      </c>
      <c r="G1909" s="26">
        <f t="shared" si="29"/>
        <v>2207077.73</v>
      </c>
      <c r="H1909" t="s">
        <v>68</v>
      </c>
    </row>
    <row r="1910" spans="1:8" hidden="1">
      <c r="A1910" s="13" t="s">
        <v>1323</v>
      </c>
      <c r="B1910" s="22" t="s">
        <v>1324</v>
      </c>
      <c r="C1910" s="15" t="s">
        <v>73</v>
      </c>
      <c r="D1910" s="16"/>
      <c r="E1910" s="2">
        <v>5483477.9500000002</v>
      </c>
      <c r="F1910" s="23">
        <v>0.57148268828180482</v>
      </c>
      <c r="G1910" s="26">
        <f t="shared" si="29"/>
        <v>3133712.72</v>
      </c>
      <c r="H1910" t="s">
        <v>68</v>
      </c>
    </row>
    <row r="1911" spans="1:8" hidden="1">
      <c r="A1911" s="19" t="s">
        <v>1323</v>
      </c>
      <c r="B1911" s="20" t="s">
        <v>1324</v>
      </c>
      <c r="C1911" s="19" t="s">
        <v>74</v>
      </c>
      <c r="D1911" s="20"/>
      <c r="E1911" s="3">
        <v>5483477.9500000002</v>
      </c>
      <c r="F1911" s="24">
        <v>2.6021350190712448E-2</v>
      </c>
      <c r="G1911" s="26">
        <f t="shared" si="29"/>
        <v>142687.5</v>
      </c>
      <c r="H1911" t="s">
        <v>68</v>
      </c>
    </row>
    <row r="1912" spans="1:8" hidden="1">
      <c r="A1912" s="13" t="s">
        <v>1325</v>
      </c>
      <c r="B1912" s="14" t="s">
        <v>1326</v>
      </c>
      <c r="C1912" s="15" t="s">
        <v>72</v>
      </c>
      <c r="D1912" s="16"/>
      <c r="E1912" s="2">
        <v>9275419.9199999999</v>
      </c>
      <c r="F1912" s="23">
        <v>0.40532057226795615</v>
      </c>
      <c r="G1912" s="26">
        <f t="shared" si="29"/>
        <v>3759518.51</v>
      </c>
      <c r="H1912" t="s">
        <v>68</v>
      </c>
    </row>
    <row r="1913" spans="1:8" hidden="1">
      <c r="A1913" s="17" t="s">
        <v>1325</v>
      </c>
      <c r="B1913" s="18" t="s">
        <v>1326</v>
      </c>
      <c r="C1913" s="19" t="s">
        <v>73</v>
      </c>
      <c r="D1913" s="20"/>
      <c r="E1913" s="3">
        <v>9275419.9199999999</v>
      </c>
      <c r="F1913" s="24">
        <v>0.52035966151708202</v>
      </c>
      <c r="G1913" s="26">
        <f t="shared" si="29"/>
        <v>4826554.37</v>
      </c>
      <c r="H1913" t="s">
        <v>68</v>
      </c>
    </row>
    <row r="1914" spans="1:8" hidden="1">
      <c r="A1914" s="15" t="s">
        <v>1325</v>
      </c>
      <c r="B1914" s="16" t="s">
        <v>1326</v>
      </c>
      <c r="C1914" s="15" t="s">
        <v>74</v>
      </c>
      <c r="D1914" s="16"/>
      <c r="E1914" s="2">
        <v>9275419.9199999999</v>
      </c>
      <c r="F1914" s="23">
        <v>7.4319766214961835E-2</v>
      </c>
      <c r="G1914" s="26">
        <f t="shared" si="29"/>
        <v>689347.04</v>
      </c>
      <c r="H1914" t="s">
        <v>68</v>
      </c>
    </row>
    <row r="1915" spans="1:8" hidden="1">
      <c r="A1915" s="17" t="s">
        <v>1327</v>
      </c>
      <c r="B1915" s="21" t="s">
        <v>1328</v>
      </c>
      <c r="C1915" s="19" t="s">
        <v>72</v>
      </c>
      <c r="D1915" s="20"/>
      <c r="E1915" s="3">
        <v>18438974.43</v>
      </c>
      <c r="F1915" s="24">
        <v>0.25279437626510121</v>
      </c>
      <c r="G1915" s="26">
        <f t="shared" si="29"/>
        <v>4661269.04</v>
      </c>
      <c r="H1915" t="s">
        <v>68</v>
      </c>
    </row>
    <row r="1916" spans="1:8" hidden="1">
      <c r="A1916" s="13" t="s">
        <v>1327</v>
      </c>
      <c r="B1916" s="22" t="s">
        <v>1328</v>
      </c>
      <c r="C1916" s="15" t="s">
        <v>73</v>
      </c>
      <c r="D1916" s="16"/>
      <c r="E1916" s="2">
        <v>18438974.43</v>
      </c>
      <c r="F1916" s="23">
        <v>0.67700806394577773</v>
      </c>
      <c r="G1916" s="26">
        <f t="shared" si="29"/>
        <v>12483334.380000001</v>
      </c>
      <c r="H1916" t="s">
        <v>68</v>
      </c>
    </row>
    <row r="1917" spans="1:8" hidden="1">
      <c r="A1917" s="19" t="s">
        <v>1327</v>
      </c>
      <c r="B1917" s="20" t="s">
        <v>1328</v>
      </c>
      <c r="C1917" s="19" t="s">
        <v>74</v>
      </c>
      <c r="D1917" s="20"/>
      <c r="E1917" s="3">
        <v>18438974.43</v>
      </c>
      <c r="F1917" s="24">
        <v>7.0197559789121095E-2</v>
      </c>
      <c r="G1917" s="26">
        <f t="shared" si="29"/>
        <v>1294371.01</v>
      </c>
      <c r="H1917" t="s">
        <v>68</v>
      </c>
    </row>
    <row r="1918" spans="1:8" hidden="1">
      <c r="A1918" s="13" t="s">
        <v>1329</v>
      </c>
      <c r="B1918" s="14" t="s">
        <v>1137</v>
      </c>
      <c r="C1918" s="15" t="s">
        <v>72</v>
      </c>
      <c r="D1918" s="16"/>
      <c r="E1918" s="2">
        <v>9408431.1300000008</v>
      </c>
      <c r="F1918" s="23">
        <v>9.8995041482543109E-2</v>
      </c>
      <c r="G1918" s="26">
        <f t="shared" si="29"/>
        <v>931388.03</v>
      </c>
      <c r="H1918" t="s">
        <v>68</v>
      </c>
    </row>
    <row r="1919" spans="1:8" hidden="1">
      <c r="A1919" s="17" t="s">
        <v>1329</v>
      </c>
      <c r="B1919" s="18" t="s">
        <v>1137</v>
      </c>
      <c r="C1919" s="19" t="s">
        <v>73</v>
      </c>
      <c r="D1919" s="20"/>
      <c r="E1919" s="3">
        <v>9408431.1300000008</v>
      </c>
      <c r="F1919" s="24">
        <v>0.7300558897751106</v>
      </c>
      <c r="G1919" s="26">
        <f t="shared" si="29"/>
        <v>6868680.5599999996</v>
      </c>
      <c r="H1919" t="s">
        <v>68</v>
      </c>
    </row>
    <row r="1920" spans="1:8" hidden="1">
      <c r="A1920" s="15" t="s">
        <v>1329</v>
      </c>
      <c r="B1920" s="16" t="s">
        <v>1137</v>
      </c>
      <c r="C1920" s="15" t="s">
        <v>74</v>
      </c>
      <c r="D1920" s="16"/>
      <c r="E1920" s="2">
        <v>9408431.1300000008</v>
      </c>
      <c r="F1920" s="23">
        <v>0.17094906874234619</v>
      </c>
      <c r="G1920" s="26">
        <f t="shared" si="29"/>
        <v>1608362.54</v>
      </c>
      <c r="H1920" t="s">
        <v>68</v>
      </c>
    </row>
    <row r="1921" spans="1:8" hidden="1">
      <c r="A1921" s="17" t="s">
        <v>1330</v>
      </c>
      <c r="B1921" s="21" t="s">
        <v>1331</v>
      </c>
      <c r="C1921" s="19" t="s">
        <v>72</v>
      </c>
      <c r="D1921" s="20"/>
      <c r="E1921" s="3">
        <v>19517130.77</v>
      </c>
      <c r="F1921" s="24">
        <v>0.46727668054662524</v>
      </c>
      <c r="G1921" s="26">
        <f t="shared" si="29"/>
        <v>9119900.0800000001</v>
      </c>
      <c r="H1921" t="s">
        <v>68</v>
      </c>
    </row>
    <row r="1922" spans="1:8" hidden="1">
      <c r="A1922" s="13" t="s">
        <v>1330</v>
      </c>
      <c r="B1922" s="22" t="s">
        <v>1331</v>
      </c>
      <c r="C1922" s="15" t="s">
        <v>73</v>
      </c>
      <c r="D1922" s="16"/>
      <c r="E1922" s="2">
        <v>19517130.77</v>
      </c>
      <c r="F1922" s="23">
        <v>0.46182657872307736</v>
      </c>
      <c r="G1922" s="26">
        <f t="shared" si="29"/>
        <v>9013529.7300000004</v>
      </c>
      <c r="H1922" t="s">
        <v>68</v>
      </c>
    </row>
    <row r="1923" spans="1:8" hidden="1">
      <c r="A1923" s="19" t="s">
        <v>1330</v>
      </c>
      <c r="B1923" s="20" t="s">
        <v>1331</v>
      </c>
      <c r="C1923" s="19" t="s">
        <v>74</v>
      </c>
      <c r="D1923" s="20"/>
      <c r="E1923" s="3">
        <v>19517130.77</v>
      </c>
      <c r="F1923" s="24">
        <v>7.089674073029742E-2</v>
      </c>
      <c r="G1923" s="26">
        <f t="shared" si="29"/>
        <v>1383700.96</v>
      </c>
      <c r="H1923" t="s">
        <v>68</v>
      </c>
    </row>
    <row r="1924" spans="1:8" hidden="1">
      <c r="A1924" s="13" t="s">
        <v>1332</v>
      </c>
      <c r="B1924" s="14" t="s">
        <v>1333</v>
      </c>
      <c r="C1924" s="15" t="s">
        <v>72</v>
      </c>
      <c r="D1924" s="16"/>
      <c r="E1924" s="2">
        <v>28343337.66</v>
      </c>
      <c r="F1924" s="23">
        <v>0.35879051726330807</v>
      </c>
      <c r="G1924" s="26">
        <f t="shared" si="29"/>
        <v>10169320.779999999</v>
      </c>
      <c r="H1924" t="s">
        <v>68</v>
      </c>
    </row>
    <row r="1925" spans="1:8" hidden="1">
      <c r="A1925" s="17" t="s">
        <v>1332</v>
      </c>
      <c r="B1925" s="18" t="s">
        <v>1333</v>
      </c>
      <c r="C1925" s="19" t="s">
        <v>73</v>
      </c>
      <c r="D1925" s="20"/>
      <c r="E1925" s="3">
        <v>28343337.66</v>
      </c>
      <c r="F1925" s="24">
        <v>0.59341870783752992</v>
      </c>
      <c r="G1925" s="26">
        <f t="shared" ref="G1925:G1988" si="30">F1925*E1925</f>
        <v>16819466.809999999</v>
      </c>
      <c r="H1925" t="s">
        <v>68</v>
      </c>
    </row>
    <row r="1926" spans="1:8" hidden="1">
      <c r="A1926" s="15" t="s">
        <v>1332</v>
      </c>
      <c r="B1926" s="16" t="s">
        <v>1333</v>
      </c>
      <c r="C1926" s="15" t="s">
        <v>74</v>
      </c>
      <c r="D1926" s="16"/>
      <c r="E1926" s="2">
        <v>28343337.66</v>
      </c>
      <c r="F1926" s="23">
        <v>4.7790774899161968E-2</v>
      </c>
      <c r="G1926" s="26">
        <f t="shared" si="30"/>
        <v>1354550.07</v>
      </c>
      <c r="H1926" t="s">
        <v>68</v>
      </c>
    </row>
    <row r="1927" spans="1:8" hidden="1">
      <c r="A1927" s="17" t="s">
        <v>1334</v>
      </c>
      <c r="B1927" s="21" t="s">
        <v>1335</v>
      </c>
      <c r="C1927" s="19" t="s">
        <v>72</v>
      </c>
      <c r="D1927" s="20"/>
      <c r="E1927" s="3">
        <v>13536338.75</v>
      </c>
      <c r="F1927" s="24">
        <v>0.36211317702137147</v>
      </c>
      <c r="G1927" s="26">
        <f t="shared" si="30"/>
        <v>4901686.63</v>
      </c>
      <c r="H1927" t="s">
        <v>68</v>
      </c>
    </row>
    <row r="1928" spans="1:8" hidden="1">
      <c r="A1928" s="13" t="s">
        <v>1334</v>
      </c>
      <c r="B1928" s="22" t="s">
        <v>1335</v>
      </c>
      <c r="C1928" s="15" t="s">
        <v>73</v>
      </c>
      <c r="D1928" s="16"/>
      <c r="E1928" s="2">
        <v>13536338.75</v>
      </c>
      <c r="F1928" s="23">
        <v>0.55970755312251619</v>
      </c>
      <c r="G1928" s="26">
        <f t="shared" si="30"/>
        <v>7576391.0399999991</v>
      </c>
      <c r="H1928" t="s">
        <v>68</v>
      </c>
    </row>
    <row r="1929" spans="1:8" hidden="1">
      <c r="A1929" s="19" t="s">
        <v>1334</v>
      </c>
      <c r="B1929" s="20" t="s">
        <v>1335</v>
      </c>
      <c r="C1929" s="19" t="s">
        <v>74</v>
      </c>
      <c r="D1929" s="20"/>
      <c r="E1929" s="3">
        <v>13536338.75</v>
      </c>
      <c r="F1929" s="24">
        <v>7.8179269856112316E-2</v>
      </c>
      <c r="G1929" s="26">
        <f t="shared" si="30"/>
        <v>1058261.08</v>
      </c>
      <c r="H1929" t="s">
        <v>68</v>
      </c>
    </row>
    <row r="1930" spans="1:8" hidden="1">
      <c r="A1930" s="13" t="s">
        <v>1336</v>
      </c>
      <c r="B1930" s="14" t="s">
        <v>846</v>
      </c>
      <c r="C1930" s="15" t="s">
        <v>72</v>
      </c>
      <c r="D1930" s="16"/>
      <c r="E1930" s="2">
        <v>7915974.1299999999</v>
      </c>
      <c r="F1930" s="23">
        <v>0.15895181178415499</v>
      </c>
      <c r="G1930" s="26">
        <f t="shared" si="30"/>
        <v>1258258.43</v>
      </c>
      <c r="H1930" t="s">
        <v>68</v>
      </c>
    </row>
    <row r="1931" spans="1:8" hidden="1">
      <c r="A1931" s="17" t="s">
        <v>1336</v>
      </c>
      <c r="B1931" s="18" t="s">
        <v>846</v>
      </c>
      <c r="C1931" s="19" t="s">
        <v>73</v>
      </c>
      <c r="D1931" s="20"/>
      <c r="E1931" s="3">
        <v>7915974.1299999999</v>
      </c>
      <c r="F1931" s="24">
        <v>0.73594928234056778</v>
      </c>
      <c r="G1931" s="26">
        <f t="shared" si="30"/>
        <v>5825755.4800000004</v>
      </c>
      <c r="H1931" t="s">
        <v>68</v>
      </c>
    </row>
    <row r="1932" spans="1:8" hidden="1">
      <c r="A1932" s="15" t="s">
        <v>1336</v>
      </c>
      <c r="B1932" s="16" t="s">
        <v>846</v>
      </c>
      <c r="C1932" s="15" t="s">
        <v>74</v>
      </c>
      <c r="D1932" s="16"/>
      <c r="E1932" s="2">
        <v>7915974.1299999999</v>
      </c>
      <c r="F1932" s="23">
        <v>0.10509890587527729</v>
      </c>
      <c r="G1932" s="26">
        <f t="shared" si="30"/>
        <v>831960.22</v>
      </c>
      <c r="H1932" t="s">
        <v>68</v>
      </c>
    </row>
    <row r="1933" spans="1:8" hidden="1">
      <c r="A1933" s="17" t="s">
        <v>1337</v>
      </c>
      <c r="B1933" s="21" t="s">
        <v>1338</v>
      </c>
      <c r="C1933" s="19" t="s">
        <v>72</v>
      </c>
      <c r="D1933" s="20"/>
      <c r="E1933" s="3">
        <v>15605255.689999999</v>
      </c>
      <c r="F1933" s="24">
        <v>0.18330197382366634</v>
      </c>
      <c r="G1933" s="26">
        <f t="shared" si="30"/>
        <v>2860474.17</v>
      </c>
      <c r="H1933" t="s">
        <v>68</v>
      </c>
    </row>
    <row r="1934" spans="1:8" hidden="1">
      <c r="A1934" s="13" t="s">
        <v>1337</v>
      </c>
      <c r="B1934" s="22" t="s">
        <v>1338</v>
      </c>
      <c r="C1934" s="15" t="s">
        <v>73</v>
      </c>
      <c r="D1934" s="16"/>
      <c r="E1934" s="2">
        <v>15605255.689999999</v>
      </c>
      <c r="F1934" s="23">
        <v>0.67348831949833943</v>
      </c>
      <c r="G1934" s="26">
        <f t="shared" si="30"/>
        <v>10509957.43</v>
      </c>
      <c r="H1934" t="s">
        <v>68</v>
      </c>
    </row>
    <row r="1935" spans="1:8" hidden="1">
      <c r="A1935" s="19" t="s">
        <v>1337</v>
      </c>
      <c r="B1935" s="20" t="s">
        <v>1338</v>
      </c>
      <c r="C1935" s="19" t="s">
        <v>74</v>
      </c>
      <c r="D1935" s="20"/>
      <c r="E1935" s="3">
        <v>15605255.689999999</v>
      </c>
      <c r="F1935" s="24">
        <v>0.14320970667799421</v>
      </c>
      <c r="G1935" s="26">
        <f t="shared" si="30"/>
        <v>2234824.09</v>
      </c>
      <c r="H1935" t="s">
        <v>68</v>
      </c>
    </row>
    <row r="1936" spans="1:8" hidden="1">
      <c r="A1936" s="13" t="s">
        <v>1339</v>
      </c>
      <c r="B1936" s="14" t="s">
        <v>1340</v>
      </c>
      <c r="C1936" s="15" t="s">
        <v>72</v>
      </c>
      <c r="D1936" s="16"/>
      <c r="E1936" s="2">
        <v>16844500.23</v>
      </c>
      <c r="F1936" s="23">
        <v>0.25526001432456863</v>
      </c>
      <c r="G1936" s="26">
        <f t="shared" si="30"/>
        <v>4299727.37</v>
      </c>
      <c r="H1936" t="s">
        <v>68</v>
      </c>
    </row>
    <row r="1937" spans="1:9" hidden="1">
      <c r="A1937" s="17" t="s">
        <v>1339</v>
      </c>
      <c r="B1937" s="18" t="s">
        <v>1340</v>
      </c>
      <c r="C1937" s="19" t="s">
        <v>73</v>
      </c>
      <c r="D1937" s="20"/>
      <c r="E1937" s="3">
        <v>16844500.23</v>
      </c>
      <c r="F1937" s="24">
        <v>0.65365916231757504</v>
      </c>
      <c r="G1937" s="26">
        <f t="shared" si="30"/>
        <v>11010561.91</v>
      </c>
      <c r="H1937" t="s">
        <v>68</v>
      </c>
    </row>
    <row r="1938" spans="1:9" hidden="1">
      <c r="A1938" s="15" t="s">
        <v>1339</v>
      </c>
      <c r="B1938" s="16" t="s">
        <v>1340</v>
      </c>
      <c r="C1938" s="15" t="s">
        <v>74</v>
      </c>
      <c r="D1938" s="16"/>
      <c r="E1938" s="2">
        <v>16844500.23</v>
      </c>
      <c r="F1938" s="23">
        <v>9.1080823357856305E-2</v>
      </c>
      <c r="G1938" s="26">
        <f t="shared" si="30"/>
        <v>1534210.95</v>
      </c>
      <c r="H1938" t="s">
        <v>68</v>
      </c>
    </row>
    <row r="1939" spans="1:9" hidden="1">
      <c r="A1939" s="17" t="s">
        <v>1565</v>
      </c>
      <c r="B1939" s="21" t="s">
        <v>1566</v>
      </c>
      <c r="C1939" s="19" t="s">
        <v>72</v>
      </c>
      <c r="D1939" s="20"/>
      <c r="E1939" s="3">
        <v>8660255.2400000002</v>
      </c>
      <c r="F1939" s="24">
        <v>0.151347733256878</v>
      </c>
      <c r="G1939" s="26">
        <f t="shared" si="30"/>
        <v>1310710</v>
      </c>
      <c r="H1939" t="s">
        <v>68</v>
      </c>
    </row>
    <row r="1940" spans="1:9" hidden="1">
      <c r="A1940" s="13" t="s">
        <v>1565</v>
      </c>
      <c r="B1940" s="22" t="s">
        <v>1566</v>
      </c>
      <c r="C1940" s="15" t="s">
        <v>73</v>
      </c>
      <c r="D1940" s="16"/>
      <c r="E1940" s="2">
        <v>8660255.2400000002</v>
      </c>
      <c r="F1940" s="23">
        <v>0.6869841136460545</v>
      </c>
      <c r="G1940" s="26">
        <f t="shared" si="30"/>
        <v>5949457.7699999996</v>
      </c>
      <c r="H1940" t="s">
        <v>68</v>
      </c>
    </row>
    <row r="1941" spans="1:9" hidden="1">
      <c r="A1941" s="19" t="s">
        <v>1565</v>
      </c>
      <c r="B1941" s="20" t="s">
        <v>1566</v>
      </c>
      <c r="C1941" s="19" t="s">
        <v>74</v>
      </c>
      <c r="D1941" s="20"/>
      <c r="E1941" s="3">
        <v>8660255.2400000002</v>
      </c>
      <c r="F1941" s="24">
        <v>0.16166815309706736</v>
      </c>
      <c r="G1941" s="26">
        <f t="shared" si="30"/>
        <v>1400087.47</v>
      </c>
      <c r="H1941" t="s">
        <v>68</v>
      </c>
    </row>
    <row r="1942" spans="1:9" hidden="1">
      <c r="A1942" s="13" t="s">
        <v>1567</v>
      </c>
      <c r="B1942" s="14" t="s">
        <v>1568</v>
      </c>
      <c r="C1942" s="15" t="s">
        <v>72</v>
      </c>
      <c r="D1942" s="16"/>
      <c r="E1942" s="2">
        <v>7505912.8799999999</v>
      </c>
      <c r="F1942" s="23">
        <v>0.78638284967677374</v>
      </c>
      <c r="G1942" s="26">
        <f t="shared" si="30"/>
        <v>5902521.1600000001</v>
      </c>
      <c r="H1942" t="s">
        <v>68</v>
      </c>
      <c r="I1942" t="s">
        <v>1883</v>
      </c>
    </row>
    <row r="1943" spans="1:9" hidden="1">
      <c r="A1943" s="17" t="s">
        <v>1567</v>
      </c>
      <c r="B1943" s="18" t="s">
        <v>1568</v>
      </c>
      <c r="C1943" s="19" t="s">
        <v>73</v>
      </c>
      <c r="D1943" s="20"/>
      <c r="E1943" s="3">
        <v>7505912.8799999999</v>
      </c>
      <c r="F1943" s="24">
        <v>0.20503014684604226</v>
      </c>
      <c r="G1943" s="26">
        <f t="shared" si="30"/>
        <v>1538938.42</v>
      </c>
      <c r="H1943" t="s">
        <v>68</v>
      </c>
      <c r="I1943" t="s">
        <v>1883</v>
      </c>
    </row>
    <row r="1944" spans="1:9" hidden="1">
      <c r="A1944" s="15" t="s">
        <v>1567</v>
      </c>
      <c r="B1944" s="16" t="s">
        <v>1568</v>
      </c>
      <c r="C1944" s="15" t="s">
        <v>74</v>
      </c>
      <c r="D1944" s="16"/>
      <c r="E1944" s="2">
        <v>7505912.8799999999</v>
      </c>
      <c r="F1944" s="23">
        <v>8.5870034771839774E-3</v>
      </c>
      <c r="G1944" s="26">
        <f t="shared" si="30"/>
        <v>64453.3</v>
      </c>
      <c r="H1944" t="s">
        <v>68</v>
      </c>
      <c r="I1944" t="s">
        <v>1883</v>
      </c>
    </row>
    <row r="1945" spans="1:9" hidden="1">
      <c r="A1945" s="17" t="s">
        <v>1569</v>
      </c>
      <c r="B1945" s="21" t="s">
        <v>1570</v>
      </c>
      <c r="C1945" s="19" t="s">
        <v>72</v>
      </c>
      <c r="D1945" s="20"/>
      <c r="E1945" s="3">
        <v>27059686.879999999</v>
      </c>
      <c r="F1945" s="24">
        <v>0.72784212608745469</v>
      </c>
      <c r="G1945" s="26">
        <f t="shared" si="30"/>
        <v>19695180.030000001</v>
      </c>
      <c r="H1945" t="s">
        <v>68</v>
      </c>
    </row>
    <row r="1946" spans="1:9" hidden="1">
      <c r="A1946" s="13" t="s">
        <v>1569</v>
      </c>
      <c r="B1946" s="22" t="s">
        <v>1570</v>
      </c>
      <c r="C1946" s="15" t="s">
        <v>73</v>
      </c>
      <c r="D1946" s="16"/>
      <c r="E1946" s="2">
        <v>27059686.879999999</v>
      </c>
      <c r="F1946" s="23">
        <v>0.24449328661263506</v>
      </c>
      <c r="G1946" s="26">
        <f t="shared" si="30"/>
        <v>6615911.7800000003</v>
      </c>
      <c r="H1946" t="s">
        <v>68</v>
      </c>
    </row>
    <row r="1947" spans="1:9" hidden="1">
      <c r="A1947" s="19" t="s">
        <v>1569</v>
      </c>
      <c r="B1947" s="20" t="s">
        <v>1570</v>
      </c>
      <c r="C1947" s="19" t="s">
        <v>74</v>
      </c>
      <c r="D1947" s="20"/>
      <c r="E1947" s="3">
        <v>27059686.879999999</v>
      </c>
      <c r="F1947" s="24">
        <v>2.7664587299910396E-2</v>
      </c>
      <c r="G1947" s="26">
        <f t="shared" si="30"/>
        <v>748595.07</v>
      </c>
      <c r="H1947" t="s">
        <v>68</v>
      </c>
    </row>
    <row r="1948" spans="1:9" hidden="1">
      <c r="A1948" s="13" t="s">
        <v>1571</v>
      </c>
      <c r="B1948" s="14" t="s">
        <v>1572</v>
      </c>
      <c r="C1948" s="15" t="s">
        <v>72</v>
      </c>
      <c r="D1948" s="16"/>
      <c r="E1948" s="2">
        <v>21366883.82</v>
      </c>
      <c r="F1948" s="23">
        <v>0.37037345345569439</v>
      </c>
      <c r="G1948" s="26">
        <f t="shared" si="30"/>
        <v>7913726.5499999998</v>
      </c>
      <c r="H1948" t="s">
        <v>68</v>
      </c>
    </row>
    <row r="1949" spans="1:9" hidden="1">
      <c r="A1949" s="17" t="s">
        <v>1571</v>
      </c>
      <c r="B1949" s="18" t="s">
        <v>1572</v>
      </c>
      <c r="C1949" s="19" t="s">
        <v>73</v>
      </c>
      <c r="D1949" s="20"/>
      <c r="E1949" s="3">
        <v>21366883.82</v>
      </c>
      <c r="F1949" s="24">
        <v>0.58842499664043191</v>
      </c>
      <c r="G1949" s="26">
        <f t="shared" si="30"/>
        <v>12572808.539999999</v>
      </c>
      <c r="H1949" t="s">
        <v>68</v>
      </c>
    </row>
    <row r="1950" spans="1:9" hidden="1">
      <c r="A1950" s="15" t="s">
        <v>1571</v>
      </c>
      <c r="B1950" s="16" t="s">
        <v>1572</v>
      </c>
      <c r="C1950" s="15" t="s">
        <v>74</v>
      </c>
      <c r="D1950" s="16"/>
      <c r="E1950" s="2">
        <v>21366883.82</v>
      </c>
      <c r="F1950" s="23">
        <v>4.1201549903873626E-2</v>
      </c>
      <c r="G1950" s="26">
        <f t="shared" si="30"/>
        <v>880348.73</v>
      </c>
      <c r="H1950" t="s">
        <v>68</v>
      </c>
    </row>
    <row r="1951" spans="1:9" hidden="1">
      <c r="A1951" s="17" t="s">
        <v>1573</v>
      </c>
      <c r="B1951" s="21" t="s">
        <v>1574</v>
      </c>
      <c r="C1951" s="19" t="s">
        <v>72</v>
      </c>
      <c r="D1951" s="20"/>
      <c r="E1951" s="3">
        <v>18768443.84</v>
      </c>
      <c r="F1951" s="24">
        <v>0.53685813144112005</v>
      </c>
      <c r="G1951" s="26">
        <f t="shared" si="30"/>
        <v>10075991.689999999</v>
      </c>
      <c r="H1951" t="s">
        <v>68</v>
      </c>
    </row>
    <row r="1952" spans="1:9" hidden="1">
      <c r="A1952" s="13" t="s">
        <v>1573</v>
      </c>
      <c r="B1952" s="22" t="s">
        <v>1574</v>
      </c>
      <c r="C1952" s="15" t="s">
        <v>73</v>
      </c>
      <c r="D1952" s="16"/>
      <c r="E1952" s="2">
        <v>18768443.84</v>
      </c>
      <c r="F1952" s="23">
        <v>0.40892473427354753</v>
      </c>
      <c r="G1952" s="26">
        <f t="shared" si="30"/>
        <v>7674880.9100000001</v>
      </c>
      <c r="H1952" t="s">
        <v>68</v>
      </c>
    </row>
    <row r="1953" spans="1:8" hidden="1">
      <c r="A1953" s="19" t="s">
        <v>1573</v>
      </c>
      <c r="B1953" s="20" t="s">
        <v>1574</v>
      </c>
      <c r="C1953" s="19" t="s">
        <v>74</v>
      </c>
      <c r="D1953" s="20"/>
      <c r="E1953" s="3">
        <v>18768443.84</v>
      </c>
      <c r="F1953" s="24">
        <v>5.4217134285332418E-2</v>
      </c>
      <c r="G1953" s="26">
        <f t="shared" si="30"/>
        <v>1017571.24</v>
      </c>
      <c r="H1953" t="s">
        <v>68</v>
      </c>
    </row>
    <row r="1954" spans="1:8" hidden="1">
      <c r="A1954" s="13" t="s">
        <v>1575</v>
      </c>
      <c r="B1954" s="14" t="s">
        <v>1576</v>
      </c>
      <c r="C1954" s="15" t="s">
        <v>72</v>
      </c>
      <c r="D1954" s="16"/>
      <c r="E1954" s="2">
        <v>12466894.550000001</v>
      </c>
      <c r="F1954" s="23">
        <v>0.4268652629294919</v>
      </c>
      <c r="G1954" s="26">
        <f t="shared" si="30"/>
        <v>5321684.22</v>
      </c>
      <c r="H1954" t="s">
        <v>68</v>
      </c>
    </row>
    <row r="1955" spans="1:8" hidden="1">
      <c r="A1955" s="17" t="s">
        <v>1575</v>
      </c>
      <c r="B1955" s="18" t="s">
        <v>1576</v>
      </c>
      <c r="C1955" s="19" t="s">
        <v>73</v>
      </c>
      <c r="D1955" s="20"/>
      <c r="E1955" s="3">
        <v>12466894.550000001</v>
      </c>
      <c r="F1955" s="24">
        <v>0.51668187728434745</v>
      </c>
      <c r="G1955" s="26">
        <f t="shared" si="30"/>
        <v>6441418.4800000004</v>
      </c>
      <c r="H1955" t="s">
        <v>68</v>
      </c>
    </row>
    <row r="1956" spans="1:8" hidden="1">
      <c r="A1956" s="15" t="s">
        <v>1575</v>
      </c>
      <c r="B1956" s="16" t="s">
        <v>1576</v>
      </c>
      <c r="C1956" s="15" t="s">
        <v>74</v>
      </c>
      <c r="D1956" s="16"/>
      <c r="E1956" s="2">
        <v>12466894.550000001</v>
      </c>
      <c r="F1956" s="23">
        <v>5.6452859786160617E-2</v>
      </c>
      <c r="G1956" s="26">
        <f t="shared" si="30"/>
        <v>703791.85</v>
      </c>
      <c r="H1956" t="s">
        <v>68</v>
      </c>
    </row>
    <row r="1957" spans="1:8" hidden="1">
      <c r="A1957" s="17" t="s">
        <v>1577</v>
      </c>
      <c r="B1957" s="21" t="s">
        <v>1578</v>
      </c>
      <c r="C1957" s="19" t="s">
        <v>72</v>
      </c>
      <c r="D1957" s="20"/>
      <c r="E1957" s="3">
        <v>10295153.74</v>
      </c>
      <c r="F1957" s="24">
        <v>0.45716401802854473</v>
      </c>
      <c r="G1957" s="26">
        <f t="shared" si="30"/>
        <v>4706573.8499999996</v>
      </c>
      <c r="H1957" t="s">
        <v>68</v>
      </c>
    </row>
    <row r="1958" spans="1:8" hidden="1">
      <c r="A1958" s="13" t="s">
        <v>1577</v>
      </c>
      <c r="B1958" s="22" t="s">
        <v>1578</v>
      </c>
      <c r="C1958" s="15" t="s">
        <v>73</v>
      </c>
      <c r="D1958" s="16"/>
      <c r="E1958" s="2">
        <v>10295153.74</v>
      </c>
      <c r="F1958" s="23">
        <v>0.50333115083718993</v>
      </c>
      <c r="G1958" s="26">
        <f t="shared" si="30"/>
        <v>5181871.58</v>
      </c>
      <c r="H1958" t="s">
        <v>68</v>
      </c>
    </row>
    <row r="1959" spans="1:8" hidden="1">
      <c r="A1959" s="19" t="s">
        <v>1577</v>
      </c>
      <c r="B1959" s="20" t="s">
        <v>1578</v>
      </c>
      <c r="C1959" s="19" t="s">
        <v>74</v>
      </c>
      <c r="D1959" s="20"/>
      <c r="E1959" s="3">
        <v>10295153.74</v>
      </c>
      <c r="F1959" s="24">
        <v>3.9504831134265311E-2</v>
      </c>
      <c r="G1959" s="26">
        <f t="shared" si="30"/>
        <v>406708.31</v>
      </c>
      <c r="H1959" t="s">
        <v>68</v>
      </c>
    </row>
    <row r="1960" spans="1:8" hidden="1">
      <c r="A1960" s="13" t="s">
        <v>1579</v>
      </c>
      <c r="B1960" s="14" t="s">
        <v>1580</v>
      </c>
      <c r="C1960" s="15" t="s">
        <v>72</v>
      </c>
      <c r="D1960" s="16"/>
      <c r="E1960" s="2">
        <v>18507947.789999999</v>
      </c>
      <c r="F1960" s="23">
        <v>0.29217022499499928</v>
      </c>
      <c r="G1960" s="26">
        <f t="shared" si="30"/>
        <v>5407471.2699999996</v>
      </c>
      <c r="H1960" t="s">
        <v>68</v>
      </c>
    </row>
    <row r="1961" spans="1:8" hidden="1">
      <c r="A1961" s="17" t="s">
        <v>1579</v>
      </c>
      <c r="B1961" s="18" t="s">
        <v>1580</v>
      </c>
      <c r="C1961" s="19" t="s">
        <v>73</v>
      </c>
      <c r="D1961" s="20"/>
      <c r="E1961" s="3">
        <v>18507947.789999999</v>
      </c>
      <c r="F1961" s="24">
        <v>0.62857391386665462</v>
      </c>
      <c r="G1961" s="26">
        <f t="shared" si="30"/>
        <v>11633613.18</v>
      </c>
      <c r="H1961" t="s">
        <v>68</v>
      </c>
    </row>
    <row r="1962" spans="1:8" hidden="1">
      <c r="A1962" s="15" t="s">
        <v>1579</v>
      </c>
      <c r="B1962" s="16" t="s">
        <v>1580</v>
      </c>
      <c r="C1962" s="15" t="s">
        <v>74</v>
      </c>
      <c r="D1962" s="16"/>
      <c r="E1962" s="2">
        <v>18507947.789999999</v>
      </c>
      <c r="F1962" s="23">
        <v>7.9255861138346137E-2</v>
      </c>
      <c r="G1962" s="26">
        <f t="shared" si="30"/>
        <v>1466863.34</v>
      </c>
      <c r="H1962" t="s">
        <v>68</v>
      </c>
    </row>
    <row r="1963" spans="1:8" hidden="1">
      <c r="A1963" s="17" t="s">
        <v>1581</v>
      </c>
      <c r="B1963" s="21" t="s">
        <v>1582</v>
      </c>
      <c r="C1963" s="19" t="s">
        <v>72</v>
      </c>
      <c r="D1963" s="20"/>
      <c r="E1963" s="3">
        <v>19522441.969999999</v>
      </c>
      <c r="F1963" s="24">
        <v>0.64195462787179192</v>
      </c>
      <c r="G1963" s="26">
        <f t="shared" si="30"/>
        <v>12532521.970000001</v>
      </c>
      <c r="H1963" t="s">
        <v>68</v>
      </c>
    </row>
    <row r="1964" spans="1:8" hidden="1">
      <c r="A1964" s="13" t="s">
        <v>1581</v>
      </c>
      <c r="B1964" s="22" t="s">
        <v>1582</v>
      </c>
      <c r="C1964" s="15" t="s">
        <v>73</v>
      </c>
      <c r="D1964" s="16"/>
      <c r="E1964" s="2">
        <v>19522441.969999999</v>
      </c>
      <c r="F1964" s="23">
        <v>0.3153829162079973</v>
      </c>
      <c r="G1964" s="26">
        <f t="shared" si="30"/>
        <v>6157044.6799999997</v>
      </c>
      <c r="H1964" t="s">
        <v>68</v>
      </c>
    </row>
    <row r="1965" spans="1:8" hidden="1">
      <c r="A1965" s="19" t="s">
        <v>1581</v>
      </c>
      <c r="B1965" s="20" t="s">
        <v>1582</v>
      </c>
      <c r="C1965" s="19" t="s">
        <v>74</v>
      </c>
      <c r="D1965" s="20"/>
      <c r="E1965" s="3">
        <v>19522441.969999999</v>
      </c>
      <c r="F1965" s="24">
        <v>4.2662455920210889E-2</v>
      </c>
      <c r="G1965" s="26">
        <f t="shared" si="30"/>
        <v>832875.32</v>
      </c>
      <c r="H1965" t="s">
        <v>68</v>
      </c>
    </row>
    <row r="1966" spans="1:8" hidden="1">
      <c r="A1966" s="13" t="s">
        <v>1583</v>
      </c>
      <c r="B1966" s="14" t="s">
        <v>1584</v>
      </c>
      <c r="C1966" s="15" t="s">
        <v>72</v>
      </c>
      <c r="D1966" s="16"/>
      <c r="E1966" s="2">
        <v>10920158.369999999</v>
      </c>
      <c r="F1966" s="23">
        <v>0.34414828454543744</v>
      </c>
      <c r="G1966" s="26">
        <f t="shared" si="30"/>
        <v>3758153.77</v>
      </c>
      <c r="H1966" t="s">
        <v>68</v>
      </c>
    </row>
    <row r="1967" spans="1:8" hidden="1">
      <c r="A1967" s="17" t="s">
        <v>1583</v>
      </c>
      <c r="B1967" s="18" t="s">
        <v>1584</v>
      </c>
      <c r="C1967" s="19" t="s">
        <v>73</v>
      </c>
      <c r="D1967" s="20"/>
      <c r="E1967" s="3">
        <v>10920158.369999999</v>
      </c>
      <c r="F1967" s="24">
        <v>0.58921045666117022</v>
      </c>
      <c r="G1967" s="26">
        <f t="shared" si="30"/>
        <v>6434271.5</v>
      </c>
      <c r="H1967" t="s">
        <v>68</v>
      </c>
    </row>
    <row r="1968" spans="1:8" hidden="1">
      <c r="A1968" s="15" t="s">
        <v>1583</v>
      </c>
      <c r="B1968" s="16" t="s">
        <v>1584</v>
      </c>
      <c r="C1968" s="15" t="s">
        <v>74</v>
      </c>
      <c r="D1968" s="16"/>
      <c r="E1968" s="2">
        <v>10920158.369999999</v>
      </c>
      <c r="F1968" s="23">
        <v>6.6641258793392388E-2</v>
      </c>
      <c r="G1968" s="26">
        <f t="shared" si="30"/>
        <v>727733.1</v>
      </c>
      <c r="H1968" t="s">
        <v>68</v>
      </c>
    </row>
    <row r="1969" spans="1:9" hidden="1">
      <c r="A1969" s="17" t="s">
        <v>1585</v>
      </c>
      <c r="B1969" s="21" t="s">
        <v>1586</v>
      </c>
      <c r="C1969" s="19" t="s">
        <v>72</v>
      </c>
      <c r="D1969" s="20"/>
      <c r="E1969" s="3">
        <v>5142823</v>
      </c>
      <c r="F1969" s="24">
        <v>0.75891889143375146</v>
      </c>
      <c r="G1969" s="26">
        <f t="shared" si="30"/>
        <v>3902985.53</v>
      </c>
      <c r="H1969" t="s">
        <v>68</v>
      </c>
      <c r="I1969" t="s">
        <v>1883</v>
      </c>
    </row>
    <row r="1970" spans="1:9" hidden="1">
      <c r="A1970" s="13" t="s">
        <v>1585</v>
      </c>
      <c r="B1970" s="22" t="s">
        <v>1586</v>
      </c>
      <c r="C1970" s="15" t="s">
        <v>73</v>
      </c>
      <c r="D1970" s="16"/>
      <c r="E1970" s="2">
        <v>5142823</v>
      </c>
      <c r="F1970" s="23">
        <v>0.19425626159018111</v>
      </c>
      <c r="G1970" s="26">
        <f t="shared" si="30"/>
        <v>999025.57</v>
      </c>
      <c r="H1970" t="s">
        <v>68</v>
      </c>
      <c r="I1970" t="s">
        <v>1883</v>
      </c>
    </row>
    <row r="1971" spans="1:9" hidden="1">
      <c r="A1971" s="19" t="s">
        <v>1585</v>
      </c>
      <c r="B1971" s="20" t="s">
        <v>1586</v>
      </c>
      <c r="C1971" s="19" t="s">
        <v>74</v>
      </c>
      <c r="D1971" s="20"/>
      <c r="E1971" s="3">
        <v>5142823</v>
      </c>
      <c r="F1971" s="24">
        <v>4.6824846976067425E-2</v>
      </c>
      <c r="G1971" s="26">
        <f t="shared" si="30"/>
        <v>240811.9</v>
      </c>
      <c r="H1971" t="s">
        <v>68</v>
      </c>
      <c r="I1971" t="s">
        <v>1883</v>
      </c>
    </row>
    <row r="1972" spans="1:9" hidden="1">
      <c r="A1972" s="13" t="s">
        <v>1587</v>
      </c>
      <c r="B1972" s="14" t="s">
        <v>1588</v>
      </c>
      <c r="C1972" s="15" t="s">
        <v>72</v>
      </c>
      <c r="D1972" s="16"/>
      <c r="E1972" s="2">
        <v>9821853.0999999996</v>
      </c>
      <c r="F1972" s="23">
        <v>0.39535523495052072</v>
      </c>
      <c r="G1972" s="26">
        <f t="shared" si="30"/>
        <v>3883121.04</v>
      </c>
      <c r="H1972" t="s">
        <v>68</v>
      </c>
    </row>
    <row r="1973" spans="1:9" hidden="1">
      <c r="A1973" s="17" t="s">
        <v>1587</v>
      </c>
      <c r="B1973" s="18" t="s">
        <v>1588</v>
      </c>
      <c r="C1973" s="19" t="s">
        <v>73</v>
      </c>
      <c r="D1973" s="20"/>
      <c r="E1973" s="3">
        <v>9821853.0999999996</v>
      </c>
      <c r="F1973" s="24">
        <v>0.53599037436224739</v>
      </c>
      <c r="G1973" s="26">
        <f t="shared" si="30"/>
        <v>5264418.72</v>
      </c>
      <c r="H1973" t="s">
        <v>68</v>
      </c>
    </row>
    <row r="1974" spans="1:9" hidden="1">
      <c r="A1974" s="15" t="s">
        <v>1587</v>
      </c>
      <c r="B1974" s="16" t="s">
        <v>1588</v>
      </c>
      <c r="C1974" s="15" t="s">
        <v>74</v>
      </c>
      <c r="D1974" s="16"/>
      <c r="E1974" s="2">
        <v>9821853.0999999996</v>
      </c>
      <c r="F1974" s="23">
        <v>6.865439068723192E-2</v>
      </c>
      <c r="G1974" s="26">
        <f t="shared" si="30"/>
        <v>674313.34</v>
      </c>
      <c r="H1974" t="s">
        <v>68</v>
      </c>
    </row>
    <row r="1975" spans="1:9" hidden="1">
      <c r="A1975" s="17" t="s">
        <v>1589</v>
      </c>
      <c r="B1975" s="21" t="s">
        <v>1590</v>
      </c>
      <c r="C1975" s="19" t="s">
        <v>72</v>
      </c>
      <c r="D1975" s="20"/>
      <c r="E1975" s="3">
        <v>13128621.92</v>
      </c>
      <c r="F1975" s="24">
        <v>0.38453976135219525</v>
      </c>
      <c r="G1975" s="26">
        <f t="shared" si="30"/>
        <v>5048477.1399999997</v>
      </c>
      <c r="H1975" t="s">
        <v>68</v>
      </c>
    </row>
    <row r="1976" spans="1:9" hidden="1">
      <c r="A1976" s="13" t="s">
        <v>1589</v>
      </c>
      <c r="B1976" s="22" t="s">
        <v>1590</v>
      </c>
      <c r="C1976" s="15" t="s">
        <v>73</v>
      </c>
      <c r="D1976" s="16"/>
      <c r="E1976" s="2">
        <v>13128621.92</v>
      </c>
      <c r="F1976" s="23">
        <v>0.55458485470651742</v>
      </c>
      <c r="G1976" s="26">
        <f t="shared" si="30"/>
        <v>7280934.8799999999</v>
      </c>
      <c r="H1976" t="s">
        <v>68</v>
      </c>
    </row>
    <row r="1977" spans="1:9" hidden="1">
      <c r="A1977" s="19" t="s">
        <v>1589</v>
      </c>
      <c r="B1977" s="20" t="s">
        <v>1590</v>
      </c>
      <c r="C1977" s="19" t="s">
        <v>74</v>
      </c>
      <c r="D1977" s="20"/>
      <c r="E1977" s="3">
        <v>13128621.92</v>
      </c>
      <c r="F1977" s="24">
        <v>6.0875383941287269E-2</v>
      </c>
      <c r="G1977" s="26">
        <f t="shared" si="30"/>
        <v>799209.9</v>
      </c>
      <c r="H1977" t="s">
        <v>68</v>
      </c>
    </row>
    <row r="1978" spans="1:9" hidden="1">
      <c r="A1978" s="13" t="s">
        <v>1591</v>
      </c>
      <c r="B1978" s="14" t="s">
        <v>1366</v>
      </c>
      <c r="C1978" s="15" t="s">
        <v>72</v>
      </c>
      <c r="D1978" s="16"/>
      <c r="E1978" s="2">
        <v>8681437.5299999993</v>
      </c>
      <c r="F1978" s="23">
        <v>0.39651439500711361</v>
      </c>
      <c r="G1978" s="26">
        <f t="shared" si="30"/>
        <v>3442314.95</v>
      </c>
      <c r="H1978" t="s">
        <v>68</v>
      </c>
    </row>
    <row r="1979" spans="1:9" hidden="1">
      <c r="A1979" s="17" t="s">
        <v>1591</v>
      </c>
      <c r="B1979" s="18" t="s">
        <v>1366</v>
      </c>
      <c r="C1979" s="19" t="s">
        <v>73</v>
      </c>
      <c r="D1979" s="20"/>
      <c r="E1979" s="3">
        <v>8681437.5299999993</v>
      </c>
      <c r="F1979" s="24">
        <v>0.5381966147719317</v>
      </c>
      <c r="G1979" s="26">
        <f t="shared" si="30"/>
        <v>4672320.29</v>
      </c>
      <c r="H1979" t="s">
        <v>68</v>
      </c>
    </row>
    <row r="1980" spans="1:9" hidden="1">
      <c r="A1980" s="15" t="s">
        <v>1591</v>
      </c>
      <c r="B1980" s="16" t="s">
        <v>1366</v>
      </c>
      <c r="C1980" s="15" t="s">
        <v>74</v>
      </c>
      <c r="D1980" s="16"/>
      <c r="E1980" s="2">
        <v>8681437.5299999993</v>
      </c>
      <c r="F1980" s="23">
        <v>6.5288990220954815E-2</v>
      </c>
      <c r="G1980" s="26">
        <f t="shared" si="30"/>
        <v>566802.29</v>
      </c>
      <c r="H1980" t="s">
        <v>68</v>
      </c>
    </row>
    <row r="1981" spans="1:9" hidden="1">
      <c r="A1981" s="17" t="s">
        <v>1367</v>
      </c>
      <c r="B1981" s="21" t="s">
        <v>1368</v>
      </c>
      <c r="C1981" s="19" t="s">
        <v>72</v>
      </c>
      <c r="D1981" s="20"/>
      <c r="E1981" s="3">
        <v>5826967.4299999997</v>
      </c>
      <c r="F1981" s="24">
        <v>0.38059076812104303</v>
      </c>
      <c r="G1981" s="26">
        <f t="shared" si="30"/>
        <v>2217690.0099999998</v>
      </c>
      <c r="H1981" t="s">
        <v>68</v>
      </c>
      <c r="I1981" t="s">
        <v>1883</v>
      </c>
    </row>
    <row r="1982" spans="1:9" hidden="1">
      <c r="A1982" s="13" t="s">
        <v>1367</v>
      </c>
      <c r="B1982" s="22" t="s">
        <v>1368</v>
      </c>
      <c r="C1982" s="15" t="s">
        <v>73</v>
      </c>
      <c r="D1982" s="16"/>
      <c r="E1982" s="2">
        <v>5826967.4299999997</v>
      </c>
      <c r="F1982" s="23">
        <v>0.20422738659447082</v>
      </c>
      <c r="G1982" s="26">
        <f t="shared" si="30"/>
        <v>1190026.33</v>
      </c>
      <c r="H1982" t="s">
        <v>68</v>
      </c>
      <c r="I1982" t="s">
        <v>1883</v>
      </c>
    </row>
    <row r="1983" spans="1:9" hidden="1">
      <c r="A1983" s="19" t="s">
        <v>1367</v>
      </c>
      <c r="B1983" s="20" t="s">
        <v>1368</v>
      </c>
      <c r="C1983" s="19" t="s">
        <v>74</v>
      </c>
      <c r="D1983" s="20"/>
      <c r="E1983" s="3">
        <v>5826967.4299999997</v>
      </c>
      <c r="F1983" s="24">
        <v>0.41518184528448615</v>
      </c>
      <c r="G1983" s="26">
        <f t="shared" si="30"/>
        <v>2419251.09</v>
      </c>
      <c r="H1983" t="s">
        <v>68</v>
      </c>
      <c r="I1983" t="s">
        <v>1883</v>
      </c>
    </row>
    <row r="1984" spans="1:9" hidden="1">
      <c r="A1984" s="13" t="s">
        <v>1369</v>
      </c>
      <c r="B1984" s="14" t="s">
        <v>1370</v>
      </c>
      <c r="C1984" s="15" t="s">
        <v>72</v>
      </c>
      <c r="D1984" s="16"/>
      <c r="E1984" s="2">
        <v>7134497.7699999996</v>
      </c>
      <c r="F1984" s="23">
        <v>0.36456951054593995</v>
      </c>
      <c r="G1984" s="26">
        <f t="shared" si="30"/>
        <v>2601020.36</v>
      </c>
      <c r="H1984" t="s">
        <v>68</v>
      </c>
    </row>
    <row r="1985" spans="1:8" hidden="1">
      <c r="A1985" s="17" t="s">
        <v>1369</v>
      </c>
      <c r="B1985" s="18" t="s">
        <v>1370</v>
      </c>
      <c r="C1985" s="19" t="s">
        <v>73</v>
      </c>
      <c r="D1985" s="20"/>
      <c r="E1985" s="3">
        <v>7134497.7699999996</v>
      </c>
      <c r="F1985" s="24">
        <v>0.61141504568723137</v>
      </c>
      <c r="G1985" s="26">
        <f t="shared" si="30"/>
        <v>4362139.28</v>
      </c>
      <c r="H1985" t="s">
        <v>68</v>
      </c>
    </row>
    <row r="1986" spans="1:8" hidden="1">
      <c r="A1986" s="15" t="s">
        <v>1369</v>
      </c>
      <c r="B1986" s="16" t="s">
        <v>1370</v>
      </c>
      <c r="C1986" s="15" t="s">
        <v>74</v>
      </c>
      <c r="D1986" s="16"/>
      <c r="E1986" s="2">
        <v>7134497.7699999996</v>
      </c>
      <c r="F1986" s="23">
        <v>2.4015443766828737E-2</v>
      </c>
      <c r="G1986" s="26">
        <f t="shared" si="30"/>
        <v>171338.13</v>
      </c>
      <c r="H1986" t="s">
        <v>68</v>
      </c>
    </row>
    <row r="1987" spans="1:8" hidden="1">
      <c r="A1987" s="17" t="s">
        <v>1371</v>
      </c>
      <c r="B1987" s="21" t="s">
        <v>1372</v>
      </c>
      <c r="C1987" s="19" t="s">
        <v>72</v>
      </c>
      <c r="D1987" s="20"/>
      <c r="E1987" s="3">
        <v>6006446.7300000004</v>
      </c>
      <c r="F1987" s="24">
        <v>0.34360964190220994</v>
      </c>
      <c r="G1987" s="26">
        <f t="shared" si="30"/>
        <v>2063873.01</v>
      </c>
      <c r="H1987" t="s">
        <v>68</v>
      </c>
    </row>
    <row r="1988" spans="1:8" hidden="1">
      <c r="A1988" s="13" t="s">
        <v>1371</v>
      </c>
      <c r="B1988" s="22" t="s">
        <v>1372</v>
      </c>
      <c r="C1988" s="15" t="s">
        <v>73</v>
      </c>
      <c r="D1988" s="16"/>
      <c r="E1988" s="2">
        <v>6006446.7300000004</v>
      </c>
      <c r="F1988" s="23">
        <v>0.62178151374365054</v>
      </c>
      <c r="G1988" s="26">
        <f t="shared" si="30"/>
        <v>3734697.54</v>
      </c>
      <c r="H1988" t="s">
        <v>68</v>
      </c>
    </row>
    <row r="1989" spans="1:8" hidden="1">
      <c r="A1989" s="19" t="s">
        <v>1371</v>
      </c>
      <c r="B1989" s="20" t="s">
        <v>1372</v>
      </c>
      <c r="C1989" s="19" t="s">
        <v>74</v>
      </c>
      <c r="D1989" s="20"/>
      <c r="E1989" s="3">
        <v>6006446.7300000004</v>
      </c>
      <c r="F1989" s="24">
        <v>3.4608844354139467E-2</v>
      </c>
      <c r="G1989" s="26">
        <f t="shared" ref="G1989:G2052" si="31">F1989*E1989</f>
        <v>207876.18</v>
      </c>
      <c r="H1989" t="s">
        <v>68</v>
      </c>
    </row>
    <row r="1990" spans="1:8" hidden="1">
      <c r="A1990" s="13" t="s">
        <v>1373</v>
      </c>
      <c r="B1990" s="14" t="s">
        <v>1374</v>
      </c>
      <c r="C1990" s="15" t="s">
        <v>72</v>
      </c>
      <c r="D1990" s="16"/>
      <c r="E1990" s="2">
        <v>3391382.06</v>
      </c>
      <c r="F1990" s="23">
        <v>0.36811718288089312</v>
      </c>
      <c r="G1990" s="26">
        <f t="shared" si="31"/>
        <v>1248426.01</v>
      </c>
      <c r="H1990" t="s">
        <v>68</v>
      </c>
    </row>
    <row r="1991" spans="1:8" hidden="1">
      <c r="A1991" s="17" t="s">
        <v>1373</v>
      </c>
      <c r="B1991" s="18" t="s">
        <v>1374</v>
      </c>
      <c r="C1991" s="19" t="s">
        <v>73</v>
      </c>
      <c r="D1991" s="20"/>
      <c r="E1991" s="3">
        <v>3391382.06</v>
      </c>
      <c r="F1991" s="24">
        <v>0.60768828564246158</v>
      </c>
      <c r="G1991" s="26">
        <f t="shared" si="31"/>
        <v>2060903.15</v>
      </c>
      <c r="H1991" t="s">
        <v>68</v>
      </c>
    </row>
    <row r="1992" spans="1:8" hidden="1">
      <c r="A1992" s="15" t="s">
        <v>1373</v>
      </c>
      <c r="B1992" s="16" t="s">
        <v>1374</v>
      </c>
      <c r="C1992" s="15" t="s">
        <v>74</v>
      </c>
      <c r="D1992" s="16"/>
      <c r="E1992" s="2">
        <v>3391382.06</v>
      </c>
      <c r="F1992" s="23">
        <v>2.4194531476645246E-2</v>
      </c>
      <c r="G1992" s="26">
        <f t="shared" si="31"/>
        <v>82052.899999999994</v>
      </c>
      <c r="H1992" t="s">
        <v>68</v>
      </c>
    </row>
    <row r="1993" spans="1:8" hidden="1">
      <c r="A1993" s="17" t="s">
        <v>1375</v>
      </c>
      <c r="B1993" s="21" t="s">
        <v>1376</v>
      </c>
      <c r="C1993" s="19" t="s">
        <v>72</v>
      </c>
      <c r="D1993" s="20"/>
      <c r="E1993" s="3">
        <v>5571077.4000000004</v>
      </c>
      <c r="F1993" s="24">
        <v>0.45806653844012291</v>
      </c>
      <c r="G1993" s="26">
        <f t="shared" si="31"/>
        <v>2551924.14</v>
      </c>
      <c r="H1993" t="s">
        <v>68</v>
      </c>
    </row>
    <row r="1994" spans="1:8" hidden="1">
      <c r="A1994" s="13" t="s">
        <v>1375</v>
      </c>
      <c r="B1994" s="22" t="s">
        <v>1376</v>
      </c>
      <c r="C1994" s="15" t="s">
        <v>73</v>
      </c>
      <c r="D1994" s="16"/>
      <c r="E1994" s="2">
        <v>5571077.4000000004</v>
      </c>
      <c r="F1994" s="23">
        <v>0.52612498078019887</v>
      </c>
      <c r="G1994" s="26">
        <f t="shared" si="31"/>
        <v>2931082.9900000007</v>
      </c>
      <c r="H1994" t="s">
        <v>68</v>
      </c>
    </row>
    <row r="1995" spans="1:8" hidden="1">
      <c r="A1995" s="19" t="s">
        <v>1375</v>
      </c>
      <c r="B1995" s="20" t="s">
        <v>1376</v>
      </c>
      <c r="C1995" s="19" t="s">
        <v>74</v>
      </c>
      <c r="D1995" s="20"/>
      <c r="E1995" s="3">
        <v>5571077.4000000004</v>
      </c>
      <c r="F1995" s="24">
        <v>1.5808480779678273E-2</v>
      </c>
      <c r="G1995" s="26">
        <f t="shared" si="31"/>
        <v>88070.270000000019</v>
      </c>
      <c r="H1995" t="s">
        <v>68</v>
      </c>
    </row>
    <row r="1996" spans="1:8" hidden="1">
      <c r="A1996" s="13" t="s">
        <v>1377</v>
      </c>
      <c r="B1996" s="14" t="s">
        <v>1378</v>
      </c>
      <c r="C1996" s="15" t="s">
        <v>72</v>
      </c>
      <c r="D1996" s="16"/>
      <c r="E1996" s="2">
        <v>5605557.6100000003</v>
      </c>
      <c r="F1996" s="23">
        <v>0.40976009164590493</v>
      </c>
      <c r="G1996" s="26">
        <f t="shared" si="31"/>
        <v>2296933.7999999998</v>
      </c>
      <c r="H1996" t="s">
        <v>68</v>
      </c>
    </row>
    <row r="1997" spans="1:8" hidden="1">
      <c r="A1997" s="17" t="s">
        <v>1377</v>
      </c>
      <c r="B1997" s="18" t="s">
        <v>1378</v>
      </c>
      <c r="C1997" s="19" t="s">
        <v>73</v>
      </c>
      <c r="D1997" s="20"/>
      <c r="E1997" s="3">
        <v>5605557.6100000003</v>
      </c>
      <c r="F1997" s="24">
        <v>0.56730859465736538</v>
      </c>
      <c r="G1997" s="26">
        <f t="shared" si="31"/>
        <v>3180081.0100000002</v>
      </c>
      <c r="H1997" t="s">
        <v>68</v>
      </c>
    </row>
    <row r="1998" spans="1:8" hidden="1">
      <c r="A1998" s="15" t="s">
        <v>1377</v>
      </c>
      <c r="B1998" s="16" t="s">
        <v>1378</v>
      </c>
      <c r="C1998" s="15" t="s">
        <v>74</v>
      </c>
      <c r="D1998" s="16"/>
      <c r="E1998" s="2">
        <v>5605557.6100000003</v>
      </c>
      <c r="F1998" s="23">
        <v>2.2931313696729627E-2</v>
      </c>
      <c r="G1998" s="26">
        <f t="shared" si="31"/>
        <v>128542.8</v>
      </c>
      <c r="H1998" t="s">
        <v>68</v>
      </c>
    </row>
    <row r="1999" spans="1:8" hidden="1">
      <c r="A1999" s="17" t="s">
        <v>1379</v>
      </c>
      <c r="B1999" s="21" t="s">
        <v>1380</v>
      </c>
      <c r="C1999" s="19" t="s">
        <v>72</v>
      </c>
      <c r="D1999" s="20"/>
      <c r="E1999" s="3">
        <v>4096035.06</v>
      </c>
      <c r="F1999" s="24">
        <v>0.4346757788738263</v>
      </c>
      <c r="G1999" s="26">
        <f t="shared" si="31"/>
        <v>1780447.23</v>
      </c>
      <c r="H1999" t="s">
        <v>68</v>
      </c>
    </row>
    <row r="2000" spans="1:8" hidden="1">
      <c r="A2000" s="13" t="s">
        <v>1379</v>
      </c>
      <c r="B2000" s="22" t="s">
        <v>1380</v>
      </c>
      <c r="C2000" s="15" t="s">
        <v>73</v>
      </c>
      <c r="D2000" s="16"/>
      <c r="E2000" s="2">
        <v>4096035.06</v>
      </c>
      <c r="F2000" s="23">
        <v>0.53879827386047818</v>
      </c>
      <c r="G2000" s="26">
        <f t="shared" si="31"/>
        <v>2206936.62</v>
      </c>
      <c r="H2000" t="s">
        <v>68</v>
      </c>
    </row>
    <row r="2001" spans="1:8" hidden="1">
      <c r="A2001" s="19" t="s">
        <v>1379</v>
      </c>
      <c r="B2001" s="20" t="s">
        <v>1380</v>
      </c>
      <c r="C2001" s="19" t="s">
        <v>74</v>
      </c>
      <c r="D2001" s="20"/>
      <c r="E2001" s="3">
        <v>4096035.06</v>
      </c>
      <c r="F2001" s="24">
        <v>2.6525947265695526E-2</v>
      </c>
      <c r="G2001" s="26">
        <f t="shared" si="31"/>
        <v>108651.21</v>
      </c>
      <c r="H2001" t="s">
        <v>68</v>
      </c>
    </row>
    <row r="2002" spans="1:8" hidden="1">
      <c r="A2002" s="13" t="s">
        <v>1381</v>
      </c>
      <c r="B2002" s="14" t="s">
        <v>1382</v>
      </c>
      <c r="C2002" s="15" t="s">
        <v>72</v>
      </c>
      <c r="D2002" s="16"/>
      <c r="E2002" s="2">
        <v>11848561.560000001</v>
      </c>
      <c r="F2002" s="23">
        <v>0.43519878542961288</v>
      </c>
      <c r="G2002" s="26">
        <f t="shared" si="31"/>
        <v>5156479.5999999996</v>
      </c>
      <c r="H2002" t="s">
        <v>68</v>
      </c>
    </row>
    <row r="2003" spans="1:8" hidden="1">
      <c r="A2003" s="17" t="s">
        <v>1381</v>
      </c>
      <c r="B2003" s="18" t="s">
        <v>1382</v>
      </c>
      <c r="C2003" s="19" t="s">
        <v>73</v>
      </c>
      <c r="D2003" s="20"/>
      <c r="E2003" s="3">
        <v>11848561.560000001</v>
      </c>
      <c r="F2003" s="24">
        <v>0.50970895997944243</v>
      </c>
      <c r="G2003" s="26">
        <f t="shared" si="31"/>
        <v>6039317.9900000002</v>
      </c>
      <c r="H2003" t="s">
        <v>68</v>
      </c>
    </row>
    <row r="2004" spans="1:8" hidden="1">
      <c r="A2004" s="15" t="s">
        <v>1381</v>
      </c>
      <c r="B2004" s="16" t="s">
        <v>1382</v>
      </c>
      <c r="C2004" s="15" t="s">
        <v>74</v>
      </c>
      <c r="D2004" s="16"/>
      <c r="E2004" s="2">
        <v>11848561.560000001</v>
      </c>
      <c r="F2004" s="23">
        <v>5.509225459094462E-2</v>
      </c>
      <c r="G2004" s="26">
        <f t="shared" si="31"/>
        <v>652763.97</v>
      </c>
      <c r="H2004" t="s">
        <v>68</v>
      </c>
    </row>
    <row r="2005" spans="1:8" hidden="1">
      <c r="A2005" s="17" t="s">
        <v>1383</v>
      </c>
      <c r="B2005" s="21" t="s">
        <v>1384</v>
      </c>
      <c r="C2005" s="19" t="s">
        <v>72</v>
      </c>
      <c r="D2005" s="20"/>
      <c r="E2005" s="3">
        <v>4376408.2699999996</v>
      </c>
      <c r="F2005" s="24">
        <v>0.32397958840343755</v>
      </c>
      <c r="G2005" s="26">
        <f t="shared" si="31"/>
        <v>1417866.95</v>
      </c>
      <c r="H2005" t="s">
        <v>68</v>
      </c>
    </row>
    <row r="2006" spans="1:8" hidden="1">
      <c r="A2006" s="13" t="s">
        <v>1383</v>
      </c>
      <c r="B2006" s="22" t="s">
        <v>1384</v>
      </c>
      <c r="C2006" s="15" t="s">
        <v>73</v>
      </c>
      <c r="D2006" s="16"/>
      <c r="E2006" s="2">
        <v>4376408.2699999996</v>
      </c>
      <c r="F2006" s="23">
        <v>0.64815158801443373</v>
      </c>
      <c r="G2006" s="26">
        <f t="shared" si="31"/>
        <v>2836575.97</v>
      </c>
      <c r="H2006" t="s">
        <v>68</v>
      </c>
    </row>
    <row r="2007" spans="1:8" hidden="1">
      <c r="A2007" s="19" t="s">
        <v>1383</v>
      </c>
      <c r="B2007" s="20" t="s">
        <v>1384</v>
      </c>
      <c r="C2007" s="19" t="s">
        <v>74</v>
      </c>
      <c r="D2007" s="20"/>
      <c r="E2007" s="3">
        <v>4376408.2699999996</v>
      </c>
      <c r="F2007" s="24">
        <v>2.7868823582128919E-2</v>
      </c>
      <c r="G2007" s="26">
        <f t="shared" si="31"/>
        <v>121965.35</v>
      </c>
      <c r="H2007" t="s">
        <v>68</v>
      </c>
    </row>
    <row r="2008" spans="1:8" hidden="1">
      <c r="A2008" s="13" t="s">
        <v>1385</v>
      </c>
      <c r="B2008" s="14" t="s">
        <v>1386</v>
      </c>
      <c r="C2008" s="15" t="s">
        <v>72</v>
      </c>
      <c r="D2008" s="16"/>
      <c r="E2008" s="2">
        <v>5335062.71</v>
      </c>
      <c r="F2008" s="23">
        <v>0.3996000545605583</v>
      </c>
      <c r="G2008" s="26">
        <f t="shared" si="31"/>
        <v>2131891.35</v>
      </c>
      <c r="H2008" t="s">
        <v>68</v>
      </c>
    </row>
    <row r="2009" spans="1:8" hidden="1">
      <c r="A2009" s="17" t="s">
        <v>1385</v>
      </c>
      <c r="B2009" s="18" t="s">
        <v>1386</v>
      </c>
      <c r="C2009" s="19" t="s">
        <v>73</v>
      </c>
      <c r="D2009" s="20"/>
      <c r="E2009" s="3">
        <v>5335062.71</v>
      </c>
      <c r="F2009" s="24">
        <v>0.55605185754227049</v>
      </c>
      <c r="G2009" s="26">
        <f t="shared" si="31"/>
        <v>2966571.5299999993</v>
      </c>
      <c r="H2009" t="s">
        <v>68</v>
      </c>
    </row>
    <row r="2010" spans="1:8" hidden="1">
      <c r="A2010" s="15" t="s">
        <v>1385</v>
      </c>
      <c r="B2010" s="16" t="s">
        <v>1386</v>
      </c>
      <c r="C2010" s="15" t="s">
        <v>74</v>
      </c>
      <c r="D2010" s="16"/>
      <c r="E2010" s="2">
        <v>5335062.71</v>
      </c>
      <c r="F2010" s="23">
        <v>4.4348087897171123E-2</v>
      </c>
      <c r="G2010" s="26">
        <f t="shared" si="31"/>
        <v>236599.83</v>
      </c>
      <c r="H2010" t="s">
        <v>68</v>
      </c>
    </row>
    <row r="2011" spans="1:8" hidden="1">
      <c r="A2011" s="17" t="s">
        <v>1387</v>
      </c>
      <c r="B2011" s="21" t="s">
        <v>1388</v>
      </c>
      <c r="C2011" s="19" t="s">
        <v>72</v>
      </c>
      <c r="D2011" s="20"/>
      <c r="E2011" s="3">
        <v>13930307.73</v>
      </c>
      <c r="F2011" s="24">
        <v>0.31736152751881813</v>
      </c>
      <c r="G2011" s="26">
        <f t="shared" si="31"/>
        <v>4420943.74</v>
      </c>
      <c r="H2011" t="s">
        <v>68</v>
      </c>
    </row>
    <row r="2012" spans="1:8" hidden="1">
      <c r="A2012" s="13" t="s">
        <v>1387</v>
      </c>
      <c r="B2012" s="22" t="s">
        <v>1388</v>
      </c>
      <c r="C2012" s="15" t="s">
        <v>73</v>
      </c>
      <c r="D2012" s="16"/>
      <c r="E2012" s="2">
        <v>13930307.73</v>
      </c>
      <c r="F2012" s="23">
        <v>0.61954606511768706</v>
      </c>
      <c r="G2012" s="26">
        <f t="shared" si="31"/>
        <v>8630467.3399999999</v>
      </c>
      <c r="H2012" t="s">
        <v>68</v>
      </c>
    </row>
    <row r="2013" spans="1:8" hidden="1">
      <c r="A2013" s="19" t="s">
        <v>1387</v>
      </c>
      <c r="B2013" s="20" t="s">
        <v>1388</v>
      </c>
      <c r="C2013" s="19" t="s">
        <v>74</v>
      </c>
      <c r="D2013" s="20"/>
      <c r="E2013" s="3">
        <v>13930307.73</v>
      </c>
      <c r="F2013" s="24">
        <v>6.3092407363494765E-2</v>
      </c>
      <c r="G2013" s="26">
        <f t="shared" si="31"/>
        <v>878896.65</v>
      </c>
      <c r="H2013" t="s">
        <v>68</v>
      </c>
    </row>
    <row r="2014" spans="1:8" hidden="1">
      <c r="A2014" s="13" t="s">
        <v>1389</v>
      </c>
      <c r="B2014" s="14" t="s">
        <v>1135</v>
      </c>
      <c r="C2014" s="15" t="s">
        <v>72</v>
      </c>
      <c r="D2014" s="16"/>
      <c r="E2014" s="2">
        <v>9948314.6999999993</v>
      </c>
      <c r="F2014" s="23">
        <v>0.25837895337187117</v>
      </c>
      <c r="G2014" s="26">
        <f t="shared" si="31"/>
        <v>2570435.14</v>
      </c>
      <c r="H2014" t="s">
        <v>68</v>
      </c>
    </row>
    <row r="2015" spans="1:8" hidden="1">
      <c r="A2015" s="17" t="s">
        <v>1389</v>
      </c>
      <c r="B2015" s="18" t="s">
        <v>1135</v>
      </c>
      <c r="C2015" s="19" t="s">
        <v>73</v>
      </c>
      <c r="D2015" s="20"/>
      <c r="E2015" s="3">
        <v>9948314.6999999993</v>
      </c>
      <c r="F2015" s="24">
        <v>0.65948880567680479</v>
      </c>
      <c r="G2015" s="26">
        <f t="shared" si="31"/>
        <v>6560802.1799999997</v>
      </c>
      <c r="H2015" t="s">
        <v>68</v>
      </c>
    </row>
    <row r="2016" spans="1:8" hidden="1">
      <c r="A2016" s="15" t="s">
        <v>1389</v>
      </c>
      <c r="B2016" s="16" t="s">
        <v>1135</v>
      </c>
      <c r="C2016" s="15" t="s">
        <v>74</v>
      </c>
      <c r="D2016" s="16"/>
      <c r="E2016" s="2">
        <v>9948314.6999999993</v>
      </c>
      <c r="F2016" s="23">
        <v>8.2132240951324154E-2</v>
      </c>
      <c r="G2016" s="26">
        <f t="shared" si="31"/>
        <v>817077.38</v>
      </c>
      <c r="H2016" t="s">
        <v>68</v>
      </c>
    </row>
    <row r="2017" spans="1:8" hidden="1">
      <c r="A2017" s="17" t="s">
        <v>1390</v>
      </c>
      <c r="B2017" s="21" t="s">
        <v>1391</v>
      </c>
      <c r="C2017" s="19" t="s">
        <v>72</v>
      </c>
      <c r="D2017" s="20"/>
      <c r="E2017" s="3">
        <v>19920929.609999999</v>
      </c>
      <c r="F2017" s="24">
        <v>0.44363274922489926</v>
      </c>
      <c r="G2017" s="26">
        <f t="shared" si="31"/>
        <v>8837576.7699999996</v>
      </c>
      <c r="H2017" t="s">
        <v>68</v>
      </c>
    </row>
    <row r="2018" spans="1:8" hidden="1">
      <c r="A2018" s="13" t="s">
        <v>1390</v>
      </c>
      <c r="B2018" s="22" t="s">
        <v>1391</v>
      </c>
      <c r="C2018" s="15" t="s">
        <v>73</v>
      </c>
      <c r="D2018" s="16"/>
      <c r="E2018" s="2">
        <v>19920929.609999999</v>
      </c>
      <c r="F2018" s="23">
        <v>0.51771585573109202</v>
      </c>
      <c r="G2018" s="26">
        <f t="shared" si="31"/>
        <v>10313381.119999999</v>
      </c>
      <c r="H2018" t="s">
        <v>68</v>
      </c>
    </row>
    <row r="2019" spans="1:8" hidden="1">
      <c r="A2019" s="19" t="s">
        <v>1390</v>
      </c>
      <c r="B2019" s="20" t="s">
        <v>1391</v>
      </c>
      <c r="C2019" s="19" t="s">
        <v>74</v>
      </c>
      <c r="D2019" s="20"/>
      <c r="E2019" s="3">
        <v>19920929.609999999</v>
      </c>
      <c r="F2019" s="24">
        <v>3.8651395044008691E-2</v>
      </c>
      <c r="G2019" s="26">
        <f t="shared" si="31"/>
        <v>769971.72</v>
      </c>
      <c r="H2019" t="s">
        <v>68</v>
      </c>
    </row>
    <row r="2020" spans="1:8" hidden="1">
      <c r="A2020" s="13" t="s">
        <v>1392</v>
      </c>
      <c r="B2020" s="14" t="s">
        <v>1393</v>
      </c>
      <c r="C2020" s="15" t="s">
        <v>72</v>
      </c>
      <c r="D2020" s="16"/>
      <c r="E2020" s="2">
        <v>4700693.6500000004</v>
      </c>
      <c r="F2020" s="23">
        <v>0.43399044521865399</v>
      </c>
      <c r="G2020" s="26">
        <f t="shared" si="31"/>
        <v>2040056.13</v>
      </c>
      <c r="H2020" t="s">
        <v>68</v>
      </c>
    </row>
    <row r="2021" spans="1:8" hidden="1">
      <c r="A2021" s="17" t="s">
        <v>1392</v>
      </c>
      <c r="B2021" s="18" t="s">
        <v>1393</v>
      </c>
      <c r="C2021" s="19" t="s">
        <v>73</v>
      </c>
      <c r="D2021" s="20"/>
      <c r="E2021" s="3">
        <v>4700693.6500000004</v>
      </c>
      <c r="F2021" s="24">
        <v>0.51874158189398267</v>
      </c>
      <c r="G2021" s="26">
        <f t="shared" si="31"/>
        <v>2438445.2599999993</v>
      </c>
      <c r="H2021" t="s">
        <v>68</v>
      </c>
    </row>
    <row r="2022" spans="1:8" hidden="1">
      <c r="A2022" s="15" t="s">
        <v>1392</v>
      </c>
      <c r="B2022" s="16" t="s">
        <v>1393</v>
      </c>
      <c r="C2022" s="15" t="s">
        <v>74</v>
      </c>
      <c r="D2022" s="16"/>
      <c r="E2022" s="2">
        <v>4700693.6500000004</v>
      </c>
      <c r="F2022" s="23">
        <v>4.7267972887363119E-2</v>
      </c>
      <c r="G2022" s="26">
        <f t="shared" si="31"/>
        <v>222192.26</v>
      </c>
      <c r="H2022" t="s">
        <v>68</v>
      </c>
    </row>
    <row r="2023" spans="1:8" hidden="1">
      <c r="A2023" s="17" t="s">
        <v>1394</v>
      </c>
      <c r="B2023" s="21" t="s">
        <v>862</v>
      </c>
      <c r="C2023" s="19" t="s">
        <v>72</v>
      </c>
      <c r="D2023" s="20"/>
      <c r="E2023" s="3">
        <v>31670840.050000001</v>
      </c>
      <c r="F2023" s="24">
        <v>0.48026771680153141</v>
      </c>
      <c r="G2023" s="26">
        <f t="shared" si="31"/>
        <v>15210482.039999999</v>
      </c>
      <c r="H2023" t="s">
        <v>68</v>
      </c>
    </row>
    <row r="2024" spans="1:8" hidden="1">
      <c r="A2024" s="13" t="s">
        <v>1394</v>
      </c>
      <c r="B2024" s="22" t="s">
        <v>862</v>
      </c>
      <c r="C2024" s="15" t="s">
        <v>73</v>
      </c>
      <c r="D2024" s="16"/>
      <c r="E2024" s="2">
        <v>31670840.050000001</v>
      </c>
      <c r="F2024" s="23">
        <v>0.44166968062471712</v>
      </c>
      <c r="G2024" s="26">
        <f t="shared" si="31"/>
        <v>13988049.810000001</v>
      </c>
      <c r="H2024" t="s">
        <v>68</v>
      </c>
    </row>
    <row r="2025" spans="1:8" hidden="1">
      <c r="A2025" s="19" t="s">
        <v>1394</v>
      </c>
      <c r="B2025" s="20" t="s">
        <v>862</v>
      </c>
      <c r="C2025" s="19" t="s">
        <v>74</v>
      </c>
      <c r="D2025" s="20"/>
      <c r="E2025" s="3">
        <v>31670840.050000001</v>
      </c>
      <c r="F2025" s="24">
        <v>7.8062602573751444E-2</v>
      </c>
      <c r="G2025" s="26">
        <f t="shared" si="31"/>
        <v>2472308.2000000002</v>
      </c>
      <c r="H2025" t="s">
        <v>68</v>
      </c>
    </row>
    <row r="2026" spans="1:8" hidden="1">
      <c r="A2026" s="13" t="s">
        <v>1395</v>
      </c>
      <c r="B2026" s="14" t="s">
        <v>1396</v>
      </c>
      <c r="C2026" s="15" t="s">
        <v>72</v>
      </c>
      <c r="D2026" s="16"/>
      <c r="E2026" s="2">
        <v>8754378.9100000001</v>
      </c>
      <c r="F2026" s="23">
        <v>0.32042085553274274</v>
      </c>
      <c r="G2026" s="26">
        <f t="shared" si="31"/>
        <v>2805085.58</v>
      </c>
      <c r="H2026" t="s">
        <v>68</v>
      </c>
    </row>
    <row r="2027" spans="1:8" hidden="1">
      <c r="A2027" s="17" t="s">
        <v>1395</v>
      </c>
      <c r="B2027" s="18" t="s">
        <v>1396</v>
      </c>
      <c r="C2027" s="19" t="s">
        <v>73</v>
      </c>
      <c r="D2027" s="20"/>
      <c r="E2027" s="3">
        <v>8754378.9100000001</v>
      </c>
      <c r="F2027" s="24">
        <v>0.59098908251390736</v>
      </c>
      <c r="G2027" s="26">
        <f t="shared" si="31"/>
        <v>5173742.3600000003</v>
      </c>
      <c r="H2027" t="s">
        <v>68</v>
      </c>
    </row>
    <row r="2028" spans="1:8" hidden="1">
      <c r="A2028" s="15" t="s">
        <v>1395</v>
      </c>
      <c r="B2028" s="16" t="s">
        <v>1396</v>
      </c>
      <c r="C2028" s="15" t="s">
        <v>74</v>
      </c>
      <c r="D2028" s="16"/>
      <c r="E2028" s="2">
        <v>8754378.9100000001</v>
      </c>
      <c r="F2028" s="23">
        <v>8.8590061953349925E-2</v>
      </c>
      <c r="G2028" s="26">
        <f t="shared" si="31"/>
        <v>775550.97</v>
      </c>
      <c r="H2028" t="s">
        <v>68</v>
      </c>
    </row>
    <row r="2029" spans="1:8" hidden="1">
      <c r="A2029" s="17" t="s">
        <v>1397</v>
      </c>
      <c r="B2029" s="21" t="s">
        <v>1398</v>
      </c>
      <c r="C2029" s="19" t="s">
        <v>72</v>
      </c>
      <c r="D2029" s="20"/>
      <c r="E2029" s="3">
        <v>14261154.1</v>
      </c>
      <c r="F2029" s="24">
        <v>0.72424728164181329</v>
      </c>
      <c r="G2029" s="26">
        <f t="shared" si="31"/>
        <v>10328602.09</v>
      </c>
      <c r="H2029" t="s">
        <v>68</v>
      </c>
    </row>
    <row r="2030" spans="1:8" hidden="1">
      <c r="A2030" s="13" t="s">
        <v>1397</v>
      </c>
      <c r="B2030" s="22" t="s">
        <v>1398</v>
      </c>
      <c r="C2030" s="15" t="s">
        <v>73</v>
      </c>
      <c r="D2030" s="16"/>
      <c r="E2030" s="2">
        <v>14261154.1</v>
      </c>
      <c r="F2030" s="23">
        <v>0.23346784114758284</v>
      </c>
      <c r="G2030" s="26">
        <f t="shared" si="31"/>
        <v>3329520.86</v>
      </c>
      <c r="H2030" t="s">
        <v>68</v>
      </c>
    </row>
    <row r="2031" spans="1:8" hidden="1">
      <c r="A2031" s="19" t="s">
        <v>1397</v>
      </c>
      <c r="B2031" s="20" t="s">
        <v>1398</v>
      </c>
      <c r="C2031" s="19" t="s">
        <v>74</v>
      </c>
      <c r="D2031" s="20"/>
      <c r="E2031" s="3">
        <v>14261154.1</v>
      </c>
      <c r="F2031" s="24">
        <v>4.228487721060388E-2</v>
      </c>
      <c r="G2031" s="26">
        <f t="shared" si="31"/>
        <v>603031.15</v>
      </c>
      <c r="H2031" t="s">
        <v>68</v>
      </c>
    </row>
    <row r="2032" spans="1:8" hidden="1">
      <c r="A2032" s="13" t="s">
        <v>1399</v>
      </c>
      <c r="B2032" s="14" t="s">
        <v>1400</v>
      </c>
      <c r="C2032" s="15" t="s">
        <v>72</v>
      </c>
      <c r="D2032" s="16"/>
      <c r="E2032" s="2">
        <v>10182998.789999999</v>
      </c>
      <c r="F2032" s="23">
        <v>0.21102821617835035</v>
      </c>
      <c r="G2032" s="26">
        <f t="shared" si="31"/>
        <v>2148900.0699999998</v>
      </c>
      <c r="H2032" t="s">
        <v>68</v>
      </c>
    </row>
    <row r="2033" spans="1:8" hidden="1">
      <c r="A2033" s="17" t="s">
        <v>1399</v>
      </c>
      <c r="B2033" s="18" t="s">
        <v>1400</v>
      </c>
      <c r="C2033" s="19" t="s">
        <v>73</v>
      </c>
      <c r="D2033" s="20"/>
      <c r="E2033" s="3">
        <v>10182998.789999999</v>
      </c>
      <c r="F2033" s="24">
        <v>0.69244605105172563</v>
      </c>
      <c r="G2033" s="26">
        <f t="shared" si="31"/>
        <v>7051177.2999999998</v>
      </c>
      <c r="H2033" t="s">
        <v>68</v>
      </c>
    </row>
    <row r="2034" spans="1:8" hidden="1">
      <c r="A2034" s="15" t="s">
        <v>1399</v>
      </c>
      <c r="B2034" s="16" t="s">
        <v>1400</v>
      </c>
      <c r="C2034" s="15" t="s">
        <v>74</v>
      </c>
      <c r="D2034" s="16"/>
      <c r="E2034" s="2">
        <v>10182998.789999999</v>
      </c>
      <c r="F2034" s="23">
        <v>9.6525732769924072E-2</v>
      </c>
      <c r="G2034" s="26">
        <f t="shared" si="31"/>
        <v>982921.42</v>
      </c>
      <c r="H2034" t="s">
        <v>68</v>
      </c>
    </row>
    <row r="2035" spans="1:8" hidden="1">
      <c r="A2035" s="17" t="s">
        <v>1401</v>
      </c>
      <c r="B2035" s="21" t="s">
        <v>1402</v>
      </c>
      <c r="C2035" s="19" t="s">
        <v>72</v>
      </c>
      <c r="D2035" s="20"/>
      <c r="E2035" s="3">
        <v>11727558.039999999</v>
      </c>
      <c r="F2035" s="24">
        <v>0.13909648320955997</v>
      </c>
      <c r="G2035" s="26">
        <f t="shared" si="31"/>
        <v>1631262.0799999998</v>
      </c>
      <c r="H2035" t="s">
        <v>68</v>
      </c>
    </row>
    <row r="2036" spans="1:8" hidden="1">
      <c r="A2036" s="13" t="s">
        <v>1401</v>
      </c>
      <c r="B2036" s="22" t="s">
        <v>1402</v>
      </c>
      <c r="C2036" s="15" t="s">
        <v>73</v>
      </c>
      <c r="D2036" s="16"/>
      <c r="E2036" s="2">
        <v>11727558.039999999</v>
      </c>
      <c r="F2036" s="23">
        <v>0.75408764977640652</v>
      </c>
      <c r="G2036" s="26">
        <f t="shared" si="31"/>
        <v>8843606.6799999997</v>
      </c>
      <c r="H2036" t="s">
        <v>68</v>
      </c>
    </row>
    <row r="2037" spans="1:8" hidden="1">
      <c r="A2037" s="19" t="s">
        <v>1401</v>
      </c>
      <c r="B2037" s="20" t="s">
        <v>1402</v>
      </c>
      <c r="C2037" s="19" t="s">
        <v>74</v>
      </c>
      <c r="D2037" s="20"/>
      <c r="E2037" s="3">
        <v>11727558.039999999</v>
      </c>
      <c r="F2037" s="24">
        <v>0.10681586701403356</v>
      </c>
      <c r="G2037" s="26">
        <f t="shared" si="31"/>
        <v>1252689.28</v>
      </c>
      <c r="H2037" t="s">
        <v>68</v>
      </c>
    </row>
    <row r="2038" spans="1:8" hidden="1">
      <c r="A2038" s="13" t="s">
        <v>1403</v>
      </c>
      <c r="B2038" s="14" t="s">
        <v>1404</v>
      </c>
      <c r="C2038" s="15" t="s">
        <v>72</v>
      </c>
      <c r="D2038" s="16"/>
      <c r="E2038" s="2">
        <v>10134896.15</v>
      </c>
      <c r="F2038" s="23">
        <v>0.20575303280241308</v>
      </c>
      <c r="G2038" s="26">
        <f t="shared" si="31"/>
        <v>2085285.62</v>
      </c>
      <c r="H2038" t="s">
        <v>68</v>
      </c>
    </row>
    <row r="2039" spans="1:8" hidden="1">
      <c r="A2039" s="17" t="s">
        <v>1403</v>
      </c>
      <c r="B2039" s="18" t="s">
        <v>1404</v>
      </c>
      <c r="C2039" s="19" t="s">
        <v>73</v>
      </c>
      <c r="D2039" s="20"/>
      <c r="E2039" s="3">
        <v>10134896.15</v>
      </c>
      <c r="F2039" s="24">
        <v>0.70092790343983935</v>
      </c>
      <c r="G2039" s="26">
        <f t="shared" si="31"/>
        <v>7103831.5099999998</v>
      </c>
      <c r="H2039" t="s">
        <v>68</v>
      </c>
    </row>
    <row r="2040" spans="1:8" hidden="1">
      <c r="A2040" s="15" t="s">
        <v>1403</v>
      </c>
      <c r="B2040" s="16" t="s">
        <v>1404</v>
      </c>
      <c r="C2040" s="15" t="s">
        <v>74</v>
      </c>
      <c r="D2040" s="16"/>
      <c r="E2040" s="2">
        <v>10134896.15</v>
      </c>
      <c r="F2040" s="23">
        <v>9.3319063757747525E-2</v>
      </c>
      <c r="G2040" s="26">
        <f t="shared" si="31"/>
        <v>945779.0199999999</v>
      </c>
      <c r="H2040" t="s">
        <v>68</v>
      </c>
    </row>
    <row r="2041" spans="1:8" hidden="1">
      <c r="A2041" s="17" t="s">
        <v>1405</v>
      </c>
      <c r="B2041" s="21" t="s">
        <v>888</v>
      </c>
      <c r="C2041" s="19" t="s">
        <v>72</v>
      </c>
      <c r="D2041" s="20"/>
      <c r="E2041" s="3">
        <v>10531077.49</v>
      </c>
      <c r="F2041" s="24">
        <v>0.24738362835843117</v>
      </c>
      <c r="G2041" s="26">
        <f t="shared" si="31"/>
        <v>2605216.16</v>
      </c>
      <c r="H2041" t="s">
        <v>68</v>
      </c>
    </row>
    <row r="2042" spans="1:8" hidden="1">
      <c r="A2042" s="13" t="s">
        <v>1405</v>
      </c>
      <c r="B2042" s="22" t="s">
        <v>888</v>
      </c>
      <c r="C2042" s="15" t="s">
        <v>73</v>
      </c>
      <c r="D2042" s="16"/>
      <c r="E2042" s="2">
        <v>10531077.49</v>
      </c>
      <c r="F2042" s="23">
        <v>0.67443325782611829</v>
      </c>
      <c r="G2042" s="26">
        <f t="shared" si="31"/>
        <v>7102508.9000000013</v>
      </c>
      <c r="H2042" t="s">
        <v>68</v>
      </c>
    </row>
    <row r="2043" spans="1:8" hidden="1">
      <c r="A2043" s="19" t="s">
        <v>1405</v>
      </c>
      <c r="B2043" s="20" t="s">
        <v>888</v>
      </c>
      <c r="C2043" s="19" t="s">
        <v>74</v>
      </c>
      <c r="D2043" s="20"/>
      <c r="E2043" s="3">
        <v>10531077.49</v>
      </c>
      <c r="F2043" s="24">
        <v>7.8183113815450622E-2</v>
      </c>
      <c r="G2043" s="26">
        <f t="shared" si="31"/>
        <v>823352.43</v>
      </c>
      <c r="H2043" t="s">
        <v>68</v>
      </c>
    </row>
    <row r="2044" spans="1:8" hidden="1">
      <c r="A2044" s="13" t="s">
        <v>1406</v>
      </c>
      <c r="B2044" s="14" t="s">
        <v>1407</v>
      </c>
      <c r="C2044" s="15" t="s">
        <v>72</v>
      </c>
      <c r="D2044" s="16"/>
      <c r="E2044" s="2">
        <v>16419663.02</v>
      </c>
      <c r="F2044" s="23">
        <v>0.33076281306045952</v>
      </c>
      <c r="G2044" s="26">
        <f t="shared" si="31"/>
        <v>5431013.9299999997</v>
      </c>
      <c r="H2044" t="s">
        <v>68</v>
      </c>
    </row>
    <row r="2045" spans="1:8" hidden="1">
      <c r="A2045" s="17" t="s">
        <v>1406</v>
      </c>
      <c r="B2045" s="18" t="s">
        <v>1407</v>
      </c>
      <c r="C2045" s="19" t="s">
        <v>73</v>
      </c>
      <c r="D2045" s="20"/>
      <c r="E2045" s="3">
        <v>16419663.02</v>
      </c>
      <c r="F2045" s="24">
        <v>0.59307796927004175</v>
      </c>
      <c r="G2045" s="26">
        <f t="shared" si="31"/>
        <v>9738140.4000000004</v>
      </c>
      <c r="H2045" t="s">
        <v>68</v>
      </c>
    </row>
    <row r="2046" spans="1:8" hidden="1">
      <c r="A2046" s="15" t="s">
        <v>1406</v>
      </c>
      <c r="B2046" s="16" t="s">
        <v>1407</v>
      </c>
      <c r="C2046" s="15" t="s">
        <v>74</v>
      </c>
      <c r="D2046" s="16"/>
      <c r="E2046" s="2">
        <v>16419663.02</v>
      </c>
      <c r="F2046" s="23">
        <v>7.6159217669498791E-2</v>
      </c>
      <c r="G2046" s="26">
        <f t="shared" si="31"/>
        <v>1250508.69</v>
      </c>
      <c r="H2046" t="s">
        <v>68</v>
      </c>
    </row>
    <row r="2047" spans="1:8" hidden="1">
      <c r="A2047" s="17" t="s">
        <v>1408</v>
      </c>
      <c r="B2047" s="21" t="s">
        <v>1409</v>
      </c>
      <c r="C2047" s="19" t="s">
        <v>72</v>
      </c>
      <c r="D2047" s="20"/>
      <c r="E2047" s="3">
        <v>11788744.710000001</v>
      </c>
      <c r="F2047" s="24">
        <v>0.3514310541041481</v>
      </c>
      <c r="G2047" s="26">
        <f t="shared" si="31"/>
        <v>4142930.98</v>
      </c>
      <c r="H2047" t="s">
        <v>68</v>
      </c>
    </row>
    <row r="2048" spans="1:8" hidden="1">
      <c r="A2048" s="13" t="s">
        <v>1408</v>
      </c>
      <c r="B2048" s="22" t="s">
        <v>1409</v>
      </c>
      <c r="C2048" s="15" t="s">
        <v>73</v>
      </c>
      <c r="D2048" s="16"/>
      <c r="E2048" s="2">
        <v>11788744.710000001</v>
      </c>
      <c r="F2048" s="23">
        <v>0.59347252079055324</v>
      </c>
      <c r="G2048" s="26">
        <f t="shared" si="31"/>
        <v>6996296.04</v>
      </c>
      <c r="H2048" t="s">
        <v>68</v>
      </c>
    </row>
    <row r="2049" spans="1:9" hidden="1">
      <c r="A2049" s="19" t="s">
        <v>1408</v>
      </c>
      <c r="B2049" s="20" t="s">
        <v>1409</v>
      </c>
      <c r="C2049" s="19" t="s">
        <v>74</v>
      </c>
      <c r="D2049" s="20"/>
      <c r="E2049" s="3">
        <v>11788744.710000001</v>
      </c>
      <c r="F2049" s="24">
        <v>5.5096425105298587E-2</v>
      </c>
      <c r="G2049" s="26">
        <f t="shared" si="31"/>
        <v>649517.68999999994</v>
      </c>
      <c r="H2049" t="s">
        <v>68</v>
      </c>
    </row>
    <row r="2050" spans="1:9" hidden="1">
      <c r="A2050" s="13" t="s">
        <v>1410</v>
      </c>
      <c r="B2050" s="14" t="s">
        <v>1411</v>
      </c>
      <c r="C2050" s="15" t="s">
        <v>72</v>
      </c>
      <c r="D2050" s="16"/>
      <c r="E2050" s="2">
        <v>4880414.7199999997</v>
      </c>
      <c r="F2050" s="23">
        <v>0.7012904817236516</v>
      </c>
      <c r="G2050" s="26">
        <f t="shared" si="31"/>
        <v>3422588.39</v>
      </c>
      <c r="H2050" t="s">
        <v>68</v>
      </c>
      <c r="I2050" t="s">
        <v>1883</v>
      </c>
    </row>
    <row r="2051" spans="1:9" hidden="1">
      <c r="A2051" s="17" t="s">
        <v>1410</v>
      </c>
      <c r="B2051" s="18" t="s">
        <v>1411</v>
      </c>
      <c r="C2051" s="19" t="s">
        <v>73</v>
      </c>
      <c r="D2051" s="20"/>
      <c r="E2051" s="3">
        <v>4880414.7199999997</v>
      </c>
      <c r="F2051" s="24">
        <v>0.28719258719062302</v>
      </c>
      <c r="G2051" s="26">
        <f t="shared" si="31"/>
        <v>1401618.93</v>
      </c>
      <c r="H2051" t="s">
        <v>68</v>
      </c>
      <c r="I2051" t="s">
        <v>1883</v>
      </c>
    </row>
    <row r="2052" spans="1:9" hidden="1">
      <c r="A2052" s="15" t="s">
        <v>1410</v>
      </c>
      <c r="B2052" s="16" t="s">
        <v>1411</v>
      </c>
      <c r="C2052" s="15" t="s">
        <v>74</v>
      </c>
      <c r="D2052" s="16"/>
      <c r="E2052" s="2">
        <v>4880414.7199999997</v>
      </c>
      <c r="F2052" s="23">
        <v>1.1516931085725437E-2</v>
      </c>
      <c r="G2052" s="26">
        <f t="shared" si="31"/>
        <v>56207.4</v>
      </c>
      <c r="H2052" t="s">
        <v>68</v>
      </c>
      <c r="I2052" t="s">
        <v>1883</v>
      </c>
    </row>
    <row r="2053" spans="1:9" hidden="1">
      <c r="A2053" s="17" t="s">
        <v>1412</v>
      </c>
      <c r="B2053" s="21" t="s">
        <v>860</v>
      </c>
      <c r="C2053" s="19" t="s">
        <v>72</v>
      </c>
      <c r="D2053" s="20"/>
      <c r="E2053" s="3">
        <v>11080461.720000001</v>
      </c>
      <c r="F2053" s="24">
        <v>0.4061604781213034</v>
      </c>
      <c r="G2053" s="26">
        <f t="shared" ref="G2053:G2116" si="32">F2053*E2053</f>
        <v>4500445.63</v>
      </c>
      <c r="H2053" t="s">
        <v>68</v>
      </c>
    </row>
    <row r="2054" spans="1:9" hidden="1">
      <c r="A2054" s="13" t="s">
        <v>1412</v>
      </c>
      <c r="B2054" s="22" t="s">
        <v>860</v>
      </c>
      <c r="C2054" s="15" t="s">
        <v>73</v>
      </c>
      <c r="D2054" s="16"/>
      <c r="E2054" s="2">
        <v>11080461.720000001</v>
      </c>
      <c r="F2054" s="23">
        <v>0.50286311534678541</v>
      </c>
      <c r="G2054" s="26">
        <f t="shared" si="32"/>
        <v>5571955.5000000009</v>
      </c>
      <c r="H2054" t="s">
        <v>68</v>
      </c>
    </row>
    <row r="2055" spans="1:9" hidden="1">
      <c r="A2055" s="19" t="s">
        <v>1412</v>
      </c>
      <c r="B2055" s="20" t="s">
        <v>860</v>
      </c>
      <c r="C2055" s="19" t="s">
        <v>74</v>
      </c>
      <c r="D2055" s="20"/>
      <c r="E2055" s="3">
        <v>11080461.720000001</v>
      </c>
      <c r="F2055" s="24">
        <v>9.0976406531911191E-2</v>
      </c>
      <c r="G2055" s="26">
        <f t="shared" si="32"/>
        <v>1008060.59</v>
      </c>
      <c r="H2055" t="s">
        <v>68</v>
      </c>
    </row>
    <row r="2056" spans="1:9" hidden="1">
      <c r="A2056" s="13" t="s">
        <v>1413</v>
      </c>
      <c r="B2056" s="14" t="s">
        <v>1414</v>
      </c>
      <c r="C2056" s="15" t="s">
        <v>72</v>
      </c>
      <c r="D2056" s="16"/>
      <c r="E2056" s="2">
        <v>8850114.5</v>
      </c>
      <c r="F2056" s="23">
        <v>0.49616682021458591</v>
      </c>
      <c r="G2056" s="26">
        <f t="shared" si="32"/>
        <v>4391133.17</v>
      </c>
      <c r="H2056" t="s">
        <v>68</v>
      </c>
    </row>
    <row r="2057" spans="1:9" hidden="1">
      <c r="A2057" s="17" t="s">
        <v>1413</v>
      </c>
      <c r="B2057" s="18" t="s">
        <v>1414</v>
      </c>
      <c r="C2057" s="19" t="s">
        <v>73</v>
      </c>
      <c r="D2057" s="20"/>
      <c r="E2057" s="3">
        <v>8850114.5</v>
      </c>
      <c r="F2057" s="24">
        <v>0.44998796343256348</v>
      </c>
      <c r="G2057" s="26">
        <f t="shared" si="32"/>
        <v>3982445</v>
      </c>
      <c r="H2057" t="s">
        <v>68</v>
      </c>
    </row>
    <row r="2058" spans="1:9" hidden="1">
      <c r="A2058" s="15" t="s">
        <v>1413</v>
      </c>
      <c r="B2058" s="16" t="s">
        <v>1414</v>
      </c>
      <c r="C2058" s="15" t="s">
        <v>74</v>
      </c>
      <c r="D2058" s="16"/>
      <c r="E2058" s="2">
        <v>8850114.5</v>
      </c>
      <c r="F2058" s="23">
        <v>5.3845216352850576E-2</v>
      </c>
      <c r="G2058" s="26">
        <f t="shared" si="32"/>
        <v>476536.33</v>
      </c>
      <c r="H2058" t="s">
        <v>68</v>
      </c>
    </row>
    <row r="2059" spans="1:9" hidden="1">
      <c r="A2059" s="17" t="s">
        <v>1415</v>
      </c>
      <c r="B2059" s="21" t="s">
        <v>1416</v>
      </c>
      <c r="C2059" s="19" t="s">
        <v>72</v>
      </c>
      <c r="D2059" s="20"/>
      <c r="E2059" s="3">
        <v>8878218.1199999992</v>
      </c>
      <c r="F2059" s="24">
        <v>0.21018399917392433</v>
      </c>
      <c r="G2059" s="26">
        <f t="shared" si="32"/>
        <v>1866059.39</v>
      </c>
      <c r="H2059" t="s">
        <v>68</v>
      </c>
    </row>
    <row r="2060" spans="1:9" hidden="1">
      <c r="A2060" s="13" t="s">
        <v>1415</v>
      </c>
      <c r="B2060" s="22" t="s">
        <v>1416</v>
      </c>
      <c r="C2060" s="15" t="s">
        <v>73</v>
      </c>
      <c r="D2060" s="16"/>
      <c r="E2060" s="2">
        <v>8878218.1199999992</v>
      </c>
      <c r="F2060" s="23">
        <v>0.67797690016653933</v>
      </c>
      <c r="G2060" s="26">
        <f t="shared" si="32"/>
        <v>6019226.7999999998</v>
      </c>
      <c r="H2060" t="s">
        <v>68</v>
      </c>
    </row>
    <row r="2061" spans="1:9" hidden="1">
      <c r="A2061" s="19" t="s">
        <v>1415</v>
      </c>
      <c r="B2061" s="20" t="s">
        <v>1416</v>
      </c>
      <c r="C2061" s="19" t="s">
        <v>74</v>
      </c>
      <c r="D2061" s="20"/>
      <c r="E2061" s="3">
        <v>8878218.1199999992</v>
      </c>
      <c r="F2061" s="24">
        <v>0.11183910065953641</v>
      </c>
      <c r="G2061" s="26">
        <f t="shared" si="32"/>
        <v>992931.93</v>
      </c>
      <c r="H2061" t="s">
        <v>68</v>
      </c>
    </row>
    <row r="2062" spans="1:9" hidden="1">
      <c r="A2062" s="13" t="s">
        <v>1417</v>
      </c>
      <c r="B2062" s="14" t="s">
        <v>1418</v>
      </c>
      <c r="C2062" s="15" t="s">
        <v>72</v>
      </c>
      <c r="D2062" s="16"/>
      <c r="E2062" s="2">
        <v>5311041.4800000004</v>
      </c>
      <c r="F2062" s="23">
        <v>0.42518324861586282</v>
      </c>
      <c r="G2062" s="26">
        <f t="shared" si="32"/>
        <v>2258165.87</v>
      </c>
      <c r="H2062" t="s">
        <v>68</v>
      </c>
    </row>
    <row r="2063" spans="1:9" hidden="1">
      <c r="A2063" s="17" t="s">
        <v>1417</v>
      </c>
      <c r="B2063" s="18" t="s">
        <v>1418</v>
      </c>
      <c r="C2063" s="19" t="s">
        <v>73</v>
      </c>
      <c r="D2063" s="20"/>
      <c r="E2063" s="3">
        <v>5311041.4800000004</v>
      </c>
      <c r="F2063" s="24">
        <v>0.49610119219027443</v>
      </c>
      <c r="G2063" s="26">
        <f t="shared" si="32"/>
        <v>2634814.0099999998</v>
      </c>
      <c r="H2063" t="s">
        <v>68</v>
      </c>
    </row>
    <row r="2064" spans="1:9" hidden="1">
      <c r="A2064" s="15" t="s">
        <v>1417</v>
      </c>
      <c r="B2064" s="16" t="s">
        <v>1418</v>
      </c>
      <c r="C2064" s="15" t="s">
        <v>74</v>
      </c>
      <c r="D2064" s="16"/>
      <c r="E2064" s="2">
        <v>5311041.4800000004</v>
      </c>
      <c r="F2064" s="23">
        <v>7.8715559193862653E-2</v>
      </c>
      <c r="G2064" s="26">
        <f t="shared" si="32"/>
        <v>418061.59999999992</v>
      </c>
      <c r="H2064" t="s">
        <v>68</v>
      </c>
    </row>
    <row r="2065" spans="1:8" hidden="1">
      <c r="A2065" s="17" t="s">
        <v>1419</v>
      </c>
      <c r="B2065" s="21" t="s">
        <v>1420</v>
      </c>
      <c r="C2065" s="19" t="s">
        <v>72</v>
      </c>
      <c r="D2065" s="20"/>
      <c r="E2065" s="3">
        <v>6339652.1299999999</v>
      </c>
      <c r="F2065" s="24">
        <v>0.40623248045630539</v>
      </c>
      <c r="G2065" s="26">
        <f t="shared" si="32"/>
        <v>2575372.61</v>
      </c>
      <c r="H2065" t="s">
        <v>68</v>
      </c>
    </row>
    <row r="2066" spans="1:8" hidden="1">
      <c r="A2066" s="13" t="s">
        <v>1419</v>
      </c>
      <c r="B2066" s="22" t="s">
        <v>1420</v>
      </c>
      <c r="C2066" s="15" t="s">
        <v>73</v>
      </c>
      <c r="D2066" s="16"/>
      <c r="E2066" s="2">
        <v>6339652.1299999999</v>
      </c>
      <c r="F2066" s="23">
        <v>0.50944868011235822</v>
      </c>
      <c r="G2066" s="26">
        <f t="shared" si="32"/>
        <v>3229727.41</v>
      </c>
      <c r="H2066" t="s">
        <v>68</v>
      </c>
    </row>
    <row r="2067" spans="1:8" hidden="1">
      <c r="A2067" s="19" t="s">
        <v>1419</v>
      </c>
      <c r="B2067" s="20" t="s">
        <v>1420</v>
      </c>
      <c r="C2067" s="19" t="s">
        <v>74</v>
      </c>
      <c r="D2067" s="20"/>
      <c r="E2067" s="3">
        <v>6339652.1299999999</v>
      </c>
      <c r="F2067" s="24">
        <v>8.4318839431336431E-2</v>
      </c>
      <c r="G2067" s="26">
        <f t="shared" si="32"/>
        <v>534552.11</v>
      </c>
      <c r="H2067" t="s">
        <v>68</v>
      </c>
    </row>
    <row r="2068" spans="1:8" hidden="1">
      <c r="A2068" s="13" t="s">
        <v>1421</v>
      </c>
      <c r="B2068" s="14" t="s">
        <v>1422</v>
      </c>
      <c r="C2068" s="15" t="s">
        <v>72</v>
      </c>
      <c r="D2068" s="16"/>
      <c r="E2068" s="2">
        <v>13872311.93</v>
      </c>
      <c r="F2068" s="23">
        <v>0.21901045588729059</v>
      </c>
      <c r="G2068" s="26">
        <f t="shared" si="32"/>
        <v>3038181.36</v>
      </c>
      <c r="H2068" t="s">
        <v>68</v>
      </c>
    </row>
    <row r="2069" spans="1:8" hidden="1">
      <c r="A2069" s="17" t="s">
        <v>1421</v>
      </c>
      <c r="B2069" s="18" t="s">
        <v>1422</v>
      </c>
      <c r="C2069" s="19" t="s">
        <v>73</v>
      </c>
      <c r="D2069" s="20"/>
      <c r="E2069" s="3">
        <v>13872311.93</v>
      </c>
      <c r="F2069" s="24">
        <v>0.69185092999851538</v>
      </c>
      <c r="G2069" s="26">
        <f t="shared" si="32"/>
        <v>9597571.9100000001</v>
      </c>
      <c r="H2069" t="s">
        <v>68</v>
      </c>
    </row>
    <row r="2070" spans="1:8" hidden="1">
      <c r="A2070" s="15" t="s">
        <v>1421</v>
      </c>
      <c r="B2070" s="16" t="s">
        <v>1422</v>
      </c>
      <c r="C2070" s="15" t="s">
        <v>74</v>
      </c>
      <c r="D2070" s="16"/>
      <c r="E2070" s="2">
        <v>13872311.93</v>
      </c>
      <c r="F2070" s="23">
        <v>8.9138614114194006E-2</v>
      </c>
      <c r="G2070" s="26">
        <f t="shared" si="32"/>
        <v>1236558.6599999999</v>
      </c>
      <c r="H2070" t="s">
        <v>68</v>
      </c>
    </row>
    <row r="2071" spans="1:8" hidden="1">
      <c r="A2071" s="17" t="s">
        <v>1423</v>
      </c>
      <c r="B2071" s="21" t="s">
        <v>1065</v>
      </c>
      <c r="C2071" s="19" t="s">
        <v>72</v>
      </c>
      <c r="D2071" s="20"/>
      <c r="E2071" s="3">
        <v>15614454.08</v>
      </c>
      <c r="F2071" s="24">
        <v>0.12157348251012308</v>
      </c>
      <c r="G2071" s="26">
        <f t="shared" si="32"/>
        <v>1898303.56</v>
      </c>
      <c r="H2071" t="s">
        <v>68</v>
      </c>
    </row>
    <row r="2072" spans="1:8" hidden="1">
      <c r="A2072" s="13" t="s">
        <v>1423</v>
      </c>
      <c r="B2072" s="22" t="s">
        <v>1065</v>
      </c>
      <c r="C2072" s="15" t="s">
        <v>73</v>
      </c>
      <c r="D2072" s="16"/>
      <c r="E2072" s="2">
        <v>15614454.08</v>
      </c>
      <c r="F2072" s="23">
        <v>0.76556752857029753</v>
      </c>
      <c r="G2072" s="26">
        <f t="shared" si="32"/>
        <v>11953919.02</v>
      </c>
      <c r="H2072" t="s">
        <v>68</v>
      </c>
    </row>
    <row r="2073" spans="1:8" hidden="1">
      <c r="A2073" s="19" t="s">
        <v>1423</v>
      </c>
      <c r="B2073" s="20" t="s">
        <v>1065</v>
      </c>
      <c r="C2073" s="19" t="s">
        <v>74</v>
      </c>
      <c r="D2073" s="20"/>
      <c r="E2073" s="3">
        <v>15614454.08</v>
      </c>
      <c r="F2073" s="24">
        <v>0.11285898891957931</v>
      </c>
      <c r="G2073" s="26">
        <f t="shared" si="32"/>
        <v>1762231.5</v>
      </c>
      <c r="H2073" t="s">
        <v>68</v>
      </c>
    </row>
    <row r="2074" spans="1:8" hidden="1">
      <c r="A2074" s="13" t="s">
        <v>1424</v>
      </c>
      <c r="B2074" s="14" t="s">
        <v>1425</v>
      </c>
      <c r="C2074" s="15" t="s">
        <v>72</v>
      </c>
      <c r="D2074" s="16"/>
      <c r="E2074" s="2">
        <v>11003643.66</v>
      </c>
      <c r="F2074" s="23">
        <v>0.25476466856070473</v>
      </c>
      <c r="G2074" s="26">
        <f t="shared" si="32"/>
        <v>2803339.63</v>
      </c>
      <c r="H2074" t="s">
        <v>68</v>
      </c>
    </row>
    <row r="2075" spans="1:8" hidden="1">
      <c r="A2075" s="17" t="s">
        <v>1424</v>
      </c>
      <c r="B2075" s="18" t="s">
        <v>1425</v>
      </c>
      <c r="C2075" s="19" t="s">
        <v>73</v>
      </c>
      <c r="D2075" s="20"/>
      <c r="E2075" s="3">
        <v>11003643.66</v>
      </c>
      <c r="F2075" s="24">
        <v>0.6715500190961291</v>
      </c>
      <c r="G2075" s="26">
        <f t="shared" si="32"/>
        <v>7389497.1100000003</v>
      </c>
      <c r="H2075" t="s">
        <v>68</v>
      </c>
    </row>
    <row r="2076" spans="1:8" hidden="1">
      <c r="A2076" s="15" t="s">
        <v>1424</v>
      </c>
      <c r="B2076" s="16" t="s">
        <v>1425</v>
      </c>
      <c r="C2076" s="15" t="s">
        <v>74</v>
      </c>
      <c r="D2076" s="16"/>
      <c r="E2076" s="2">
        <v>11003643.66</v>
      </c>
      <c r="F2076" s="23">
        <v>7.3685312343166151E-2</v>
      </c>
      <c r="G2076" s="26">
        <f t="shared" si="32"/>
        <v>810806.91999999993</v>
      </c>
      <c r="H2076" t="s">
        <v>68</v>
      </c>
    </row>
    <row r="2077" spans="1:8" hidden="1">
      <c r="A2077" s="17" t="s">
        <v>1426</v>
      </c>
      <c r="B2077" s="21" t="s">
        <v>1427</v>
      </c>
      <c r="C2077" s="19" t="s">
        <v>72</v>
      </c>
      <c r="D2077" s="20"/>
      <c r="E2077" s="3">
        <v>13771929.08</v>
      </c>
      <c r="F2077" s="24">
        <v>0.19634377248768115</v>
      </c>
      <c r="G2077" s="26">
        <f t="shared" si="32"/>
        <v>2704032.51</v>
      </c>
      <c r="H2077" t="s">
        <v>68</v>
      </c>
    </row>
    <row r="2078" spans="1:8" hidden="1">
      <c r="A2078" s="13" t="s">
        <v>1426</v>
      </c>
      <c r="B2078" s="22" t="s">
        <v>1427</v>
      </c>
      <c r="C2078" s="15" t="s">
        <v>73</v>
      </c>
      <c r="D2078" s="16"/>
      <c r="E2078" s="2">
        <v>13771929.08</v>
      </c>
      <c r="F2078" s="23">
        <v>0.69323534448523316</v>
      </c>
      <c r="G2078" s="26">
        <f t="shared" si="32"/>
        <v>9547188</v>
      </c>
      <c r="H2078" t="s">
        <v>68</v>
      </c>
    </row>
    <row r="2079" spans="1:8" hidden="1">
      <c r="A2079" s="19" t="s">
        <v>1426</v>
      </c>
      <c r="B2079" s="20" t="s">
        <v>1427</v>
      </c>
      <c r="C2079" s="19" t="s">
        <v>74</v>
      </c>
      <c r="D2079" s="20"/>
      <c r="E2079" s="3">
        <v>13771929.08</v>
      </c>
      <c r="F2079" s="24">
        <v>0.11042088302708571</v>
      </c>
      <c r="G2079" s="26">
        <f t="shared" si="32"/>
        <v>1520708.57</v>
      </c>
      <c r="H2079" t="s">
        <v>68</v>
      </c>
    </row>
    <row r="2080" spans="1:8" hidden="1">
      <c r="A2080" s="13" t="s">
        <v>1428</v>
      </c>
      <c r="B2080" s="14" t="s">
        <v>1429</v>
      </c>
      <c r="C2080" s="15" t="s">
        <v>72</v>
      </c>
      <c r="D2080" s="16"/>
      <c r="E2080" s="2">
        <v>11847947.57</v>
      </c>
      <c r="F2080" s="23">
        <v>0.32904389194558192</v>
      </c>
      <c r="G2080" s="26">
        <f t="shared" si="32"/>
        <v>3898494.78</v>
      </c>
      <c r="H2080" t="s">
        <v>68</v>
      </c>
    </row>
    <row r="2081" spans="1:8" hidden="1">
      <c r="A2081" s="17" t="s">
        <v>1428</v>
      </c>
      <c r="B2081" s="18" t="s">
        <v>1429</v>
      </c>
      <c r="C2081" s="19" t="s">
        <v>73</v>
      </c>
      <c r="D2081" s="20"/>
      <c r="E2081" s="3">
        <v>11847947.57</v>
      </c>
      <c r="F2081" s="24">
        <v>0.57176761459959768</v>
      </c>
      <c r="G2081" s="26">
        <f t="shared" si="32"/>
        <v>6774272.7199999997</v>
      </c>
      <c r="H2081" t="s">
        <v>68</v>
      </c>
    </row>
    <row r="2082" spans="1:8" hidden="1">
      <c r="A2082" s="15" t="s">
        <v>1428</v>
      </c>
      <c r="B2082" s="16" t="s">
        <v>1429</v>
      </c>
      <c r="C2082" s="15" t="s">
        <v>74</v>
      </c>
      <c r="D2082" s="16"/>
      <c r="E2082" s="2">
        <v>11847947.57</v>
      </c>
      <c r="F2082" s="23">
        <v>9.9188493454820378E-2</v>
      </c>
      <c r="G2082" s="26">
        <f t="shared" si="32"/>
        <v>1175180.07</v>
      </c>
      <c r="H2082" t="s">
        <v>68</v>
      </c>
    </row>
    <row r="2083" spans="1:8" hidden="1">
      <c r="A2083" s="17" t="s">
        <v>1430</v>
      </c>
      <c r="B2083" s="21" t="s">
        <v>1431</v>
      </c>
      <c r="C2083" s="19" t="s">
        <v>72</v>
      </c>
      <c r="D2083" s="20"/>
      <c r="E2083" s="3">
        <v>9016858.1999999993</v>
      </c>
      <c r="F2083" s="24">
        <v>0.37385565074096433</v>
      </c>
      <c r="G2083" s="26">
        <f t="shared" si="32"/>
        <v>3371003.39</v>
      </c>
      <c r="H2083" t="s">
        <v>68</v>
      </c>
    </row>
    <row r="2084" spans="1:8" hidden="1">
      <c r="A2084" s="13" t="s">
        <v>1430</v>
      </c>
      <c r="B2084" s="22" t="s">
        <v>1431</v>
      </c>
      <c r="C2084" s="15" t="s">
        <v>73</v>
      </c>
      <c r="D2084" s="16"/>
      <c r="E2084" s="2">
        <v>9016858.1999999993</v>
      </c>
      <c r="F2084" s="23">
        <v>0.54640689480954696</v>
      </c>
      <c r="G2084" s="26">
        <f t="shared" si="32"/>
        <v>4926873.49</v>
      </c>
      <c r="H2084" t="s">
        <v>68</v>
      </c>
    </row>
    <row r="2085" spans="1:8" hidden="1">
      <c r="A2085" s="19" t="s">
        <v>1430</v>
      </c>
      <c r="B2085" s="20" t="s">
        <v>1431</v>
      </c>
      <c r="C2085" s="19" t="s">
        <v>74</v>
      </c>
      <c r="D2085" s="20"/>
      <c r="E2085" s="3">
        <v>9016858.1999999993</v>
      </c>
      <c r="F2085" s="24">
        <v>7.9737454449488848E-2</v>
      </c>
      <c r="G2085" s="26">
        <f t="shared" si="32"/>
        <v>718981.32</v>
      </c>
      <c r="H2085" t="s">
        <v>68</v>
      </c>
    </row>
    <row r="2086" spans="1:8" hidden="1">
      <c r="A2086" s="13" t="s">
        <v>1432</v>
      </c>
      <c r="B2086" s="14" t="s">
        <v>1433</v>
      </c>
      <c r="C2086" s="15" t="s">
        <v>72</v>
      </c>
      <c r="D2086" s="16"/>
      <c r="E2086" s="2">
        <v>2382345.71</v>
      </c>
      <c r="F2086" s="23">
        <v>0.4220601467618233</v>
      </c>
      <c r="G2086" s="26">
        <f t="shared" si="32"/>
        <v>1005493.18</v>
      </c>
      <c r="H2086" t="s">
        <v>68</v>
      </c>
    </row>
    <row r="2087" spans="1:8" hidden="1">
      <c r="A2087" s="17" t="s">
        <v>1432</v>
      </c>
      <c r="B2087" s="18" t="s">
        <v>1433</v>
      </c>
      <c r="C2087" s="19" t="s">
        <v>73</v>
      </c>
      <c r="D2087" s="20"/>
      <c r="E2087" s="3">
        <v>2382345.71</v>
      </c>
      <c r="F2087" s="24">
        <v>0.497841373324445</v>
      </c>
      <c r="G2087" s="26">
        <f t="shared" si="32"/>
        <v>1186030.26</v>
      </c>
      <c r="H2087" t="s">
        <v>68</v>
      </c>
    </row>
    <row r="2088" spans="1:8" hidden="1">
      <c r="A2088" s="15" t="s">
        <v>1432</v>
      </c>
      <c r="B2088" s="16" t="s">
        <v>1433</v>
      </c>
      <c r="C2088" s="15" t="s">
        <v>74</v>
      </c>
      <c r="D2088" s="16"/>
      <c r="E2088" s="2">
        <v>2382345.71</v>
      </c>
      <c r="F2088" s="23">
        <v>8.0098479913731743E-2</v>
      </c>
      <c r="G2088" s="26">
        <f t="shared" si="32"/>
        <v>190822.27</v>
      </c>
      <c r="H2088" t="s">
        <v>68</v>
      </c>
    </row>
    <row r="2089" spans="1:8" hidden="1">
      <c r="A2089" s="17" t="s">
        <v>1434</v>
      </c>
      <c r="B2089" s="21" t="s">
        <v>1435</v>
      </c>
      <c r="C2089" s="19" t="s">
        <v>72</v>
      </c>
      <c r="D2089" s="20"/>
      <c r="E2089" s="3">
        <v>6829855.2300000004</v>
      </c>
      <c r="F2089" s="24">
        <v>0.59221968164616567</v>
      </c>
      <c r="G2089" s="26">
        <f t="shared" si="32"/>
        <v>4044774.69</v>
      </c>
      <c r="H2089" t="s">
        <v>68</v>
      </c>
    </row>
    <row r="2090" spans="1:8" hidden="1">
      <c r="A2090" s="13" t="s">
        <v>1434</v>
      </c>
      <c r="B2090" s="22" t="s">
        <v>1435</v>
      </c>
      <c r="C2090" s="15" t="s">
        <v>73</v>
      </c>
      <c r="D2090" s="16"/>
      <c r="E2090" s="2">
        <v>6829855.2300000004</v>
      </c>
      <c r="F2090" s="23">
        <v>0.35520782920020982</v>
      </c>
      <c r="G2090" s="26">
        <f t="shared" si="32"/>
        <v>2426018.0499999998</v>
      </c>
      <c r="H2090" t="s">
        <v>68</v>
      </c>
    </row>
    <row r="2091" spans="1:8" hidden="1">
      <c r="A2091" s="19" t="s">
        <v>1434</v>
      </c>
      <c r="B2091" s="20" t="s">
        <v>1435</v>
      </c>
      <c r="C2091" s="19" t="s">
        <v>74</v>
      </c>
      <c r="D2091" s="20"/>
      <c r="E2091" s="3">
        <v>6829855.2300000004</v>
      </c>
      <c r="F2091" s="24">
        <v>5.2572489153624412E-2</v>
      </c>
      <c r="G2091" s="26">
        <f t="shared" si="32"/>
        <v>359062.49</v>
      </c>
      <c r="H2091" t="s">
        <v>68</v>
      </c>
    </row>
    <row r="2092" spans="1:8" hidden="1">
      <c r="A2092" s="13" t="s">
        <v>1436</v>
      </c>
      <c r="B2092" s="14" t="s">
        <v>1437</v>
      </c>
      <c r="C2092" s="15" t="s">
        <v>72</v>
      </c>
      <c r="D2092" s="16"/>
      <c r="E2092" s="2">
        <v>3573575.75</v>
      </c>
      <c r="F2092" s="23">
        <v>0.30343424789582257</v>
      </c>
      <c r="G2092" s="26">
        <f t="shared" si="32"/>
        <v>1084345.27</v>
      </c>
      <c r="H2092" t="s">
        <v>68</v>
      </c>
    </row>
    <row r="2093" spans="1:8" hidden="1">
      <c r="A2093" s="17" t="s">
        <v>1436</v>
      </c>
      <c r="B2093" s="18" t="s">
        <v>1437</v>
      </c>
      <c r="C2093" s="19" t="s">
        <v>73</v>
      </c>
      <c r="D2093" s="20"/>
      <c r="E2093" s="3">
        <v>3573575.75</v>
      </c>
      <c r="F2093" s="24">
        <v>0.63911002306303433</v>
      </c>
      <c r="G2093" s="26">
        <f t="shared" si="32"/>
        <v>2283908.08</v>
      </c>
      <c r="H2093" t="s">
        <v>68</v>
      </c>
    </row>
    <row r="2094" spans="1:8" hidden="1">
      <c r="A2094" s="15" t="s">
        <v>1436</v>
      </c>
      <c r="B2094" s="16" t="s">
        <v>1437</v>
      </c>
      <c r="C2094" s="15" t="s">
        <v>74</v>
      </c>
      <c r="D2094" s="16"/>
      <c r="E2094" s="2">
        <v>3573575.75</v>
      </c>
      <c r="F2094" s="23">
        <v>5.7455729041143169E-2</v>
      </c>
      <c r="G2094" s="26">
        <f t="shared" si="32"/>
        <v>205322.4</v>
      </c>
      <c r="H2094" t="s">
        <v>68</v>
      </c>
    </row>
    <row r="2095" spans="1:8" hidden="1">
      <c r="A2095" s="17" t="s">
        <v>1438</v>
      </c>
      <c r="B2095" s="21" t="s">
        <v>1439</v>
      </c>
      <c r="C2095" s="19" t="s">
        <v>72</v>
      </c>
      <c r="D2095" s="20"/>
      <c r="E2095" s="3">
        <v>4601090.83</v>
      </c>
      <c r="F2095" s="24">
        <v>0.54452572065394322</v>
      </c>
      <c r="G2095" s="26">
        <f t="shared" si="32"/>
        <v>2505412.2999999998</v>
      </c>
      <c r="H2095" t="s">
        <v>68</v>
      </c>
    </row>
    <row r="2096" spans="1:8" hidden="1">
      <c r="A2096" s="13" t="s">
        <v>1438</v>
      </c>
      <c r="B2096" s="22" t="s">
        <v>1439</v>
      </c>
      <c r="C2096" s="15" t="s">
        <v>73</v>
      </c>
      <c r="D2096" s="16"/>
      <c r="E2096" s="2">
        <v>4601090.83</v>
      </c>
      <c r="F2096" s="23">
        <v>0.39815343745343967</v>
      </c>
      <c r="G2096" s="26">
        <f t="shared" si="32"/>
        <v>1831940.13</v>
      </c>
      <c r="H2096" t="s">
        <v>68</v>
      </c>
    </row>
    <row r="2097" spans="1:9" hidden="1">
      <c r="A2097" s="19" t="s">
        <v>1438</v>
      </c>
      <c r="B2097" s="20" t="s">
        <v>1439</v>
      </c>
      <c r="C2097" s="19" t="s">
        <v>74</v>
      </c>
      <c r="D2097" s="20"/>
      <c r="E2097" s="3">
        <v>4601090.83</v>
      </c>
      <c r="F2097" s="24">
        <v>5.7320841892617019E-2</v>
      </c>
      <c r="G2097" s="26">
        <f t="shared" si="32"/>
        <v>263738.40000000002</v>
      </c>
      <c r="H2097" t="s">
        <v>68</v>
      </c>
    </row>
    <row r="2098" spans="1:9" hidden="1">
      <c r="A2098" s="13" t="s">
        <v>1440</v>
      </c>
      <c r="B2098" s="14" t="s">
        <v>1441</v>
      </c>
      <c r="C2098" s="15" t="s">
        <v>72</v>
      </c>
      <c r="D2098" s="16"/>
      <c r="E2098" s="2">
        <v>3320338.65</v>
      </c>
      <c r="F2098" s="23">
        <v>0.76486269856841271</v>
      </c>
      <c r="G2098" s="26">
        <f t="shared" si="32"/>
        <v>2539603.1800000002</v>
      </c>
      <c r="H2098" t="s">
        <v>68</v>
      </c>
      <c r="I2098" t="s">
        <v>1883</v>
      </c>
    </row>
    <row r="2099" spans="1:9" hidden="1">
      <c r="A2099" s="17" t="s">
        <v>1440</v>
      </c>
      <c r="B2099" s="18" t="s">
        <v>1441</v>
      </c>
      <c r="C2099" s="19" t="s">
        <v>73</v>
      </c>
      <c r="D2099" s="20"/>
      <c r="E2099" s="3">
        <v>3320338.65</v>
      </c>
      <c r="F2099" s="24">
        <v>0.21642521915648574</v>
      </c>
      <c r="G2099" s="26">
        <f t="shared" si="32"/>
        <v>718605.02</v>
      </c>
      <c r="H2099" t="s">
        <v>68</v>
      </c>
      <c r="I2099" t="s">
        <v>1883</v>
      </c>
    </row>
    <row r="2100" spans="1:9" hidden="1">
      <c r="A2100" s="15" t="s">
        <v>1440</v>
      </c>
      <c r="B2100" s="16" t="s">
        <v>1441</v>
      </c>
      <c r="C2100" s="15" t="s">
        <v>74</v>
      </c>
      <c r="D2100" s="16"/>
      <c r="E2100" s="2">
        <v>3320338.65</v>
      </c>
      <c r="F2100" s="23">
        <v>1.8712082275101669E-2</v>
      </c>
      <c r="G2100" s="26">
        <f t="shared" si="32"/>
        <v>62130.450000000004</v>
      </c>
      <c r="H2100" t="s">
        <v>68</v>
      </c>
      <c r="I2100" t="s">
        <v>1883</v>
      </c>
    </row>
    <row r="2101" spans="1:9" hidden="1">
      <c r="A2101" s="17" t="s">
        <v>1442</v>
      </c>
      <c r="B2101" s="21" t="s">
        <v>1443</v>
      </c>
      <c r="C2101" s="19" t="s">
        <v>72</v>
      </c>
      <c r="D2101" s="20"/>
      <c r="E2101" s="3">
        <v>9195929.7599999998</v>
      </c>
      <c r="F2101" s="24">
        <v>0.59455103319536451</v>
      </c>
      <c r="G2101" s="26">
        <f t="shared" si="32"/>
        <v>5467449.54</v>
      </c>
      <c r="H2101" t="s">
        <v>68</v>
      </c>
    </row>
    <row r="2102" spans="1:9" hidden="1">
      <c r="A2102" s="13" t="s">
        <v>1442</v>
      </c>
      <c r="B2102" s="22" t="s">
        <v>1443</v>
      </c>
      <c r="C2102" s="15" t="s">
        <v>73</v>
      </c>
      <c r="D2102" s="16"/>
      <c r="E2102" s="2">
        <v>9195929.7599999998</v>
      </c>
      <c r="F2102" s="23">
        <v>0.36916482602624839</v>
      </c>
      <c r="G2102" s="26">
        <f t="shared" si="32"/>
        <v>3394813.81</v>
      </c>
      <c r="H2102" t="s">
        <v>68</v>
      </c>
    </row>
    <row r="2103" spans="1:9" hidden="1">
      <c r="A2103" s="19" t="s">
        <v>1442</v>
      </c>
      <c r="B2103" s="20" t="s">
        <v>1443</v>
      </c>
      <c r="C2103" s="19" t="s">
        <v>74</v>
      </c>
      <c r="D2103" s="20"/>
      <c r="E2103" s="3">
        <v>9195929.7599999998</v>
      </c>
      <c r="F2103" s="24">
        <v>3.6284140778387153E-2</v>
      </c>
      <c r="G2103" s="26">
        <f t="shared" si="32"/>
        <v>333666.40999999997</v>
      </c>
      <c r="H2103" t="s">
        <v>68</v>
      </c>
    </row>
    <row r="2104" spans="1:9" hidden="1">
      <c r="A2104" s="13" t="s">
        <v>1444</v>
      </c>
      <c r="B2104" s="14" t="s">
        <v>1445</v>
      </c>
      <c r="C2104" s="15" t="s">
        <v>72</v>
      </c>
      <c r="D2104" s="16"/>
      <c r="E2104" s="2">
        <v>4272199.41</v>
      </c>
      <c r="F2104" s="23">
        <v>0.3740250481425913</v>
      </c>
      <c r="G2104" s="26">
        <f t="shared" si="32"/>
        <v>1597909.59</v>
      </c>
      <c r="H2104" t="s">
        <v>68</v>
      </c>
    </row>
    <row r="2105" spans="1:9" hidden="1">
      <c r="A2105" s="17" t="s">
        <v>1444</v>
      </c>
      <c r="B2105" s="18" t="s">
        <v>1445</v>
      </c>
      <c r="C2105" s="19" t="s">
        <v>73</v>
      </c>
      <c r="D2105" s="20"/>
      <c r="E2105" s="3">
        <v>4272199.41</v>
      </c>
      <c r="F2105" s="24">
        <v>0.57625911708086675</v>
      </c>
      <c r="G2105" s="26">
        <f t="shared" si="32"/>
        <v>2461893.86</v>
      </c>
      <c r="H2105" t="s">
        <v>68</v>
      </c>
    </row>
    <row r="2106" spans="1:9" hidden="1">
      <c r="A2106" s="15" t="s">
        <v>1444</v>
      </c>
      <c r="B2106" s="16" t="s">
        <v>1445</v>
      </c>
      <c r="C2106" s="15" t="s">
        <v>74</v>
      </c>
      <c r="D2106" s="16"/>
      <c r="E2106" s="2">
        <v>4272199.41</v>
      </c>
      <c r="F2106" s="23">
        <v>4.9715834776541949E-2</v>
      </c>
      <c r="G2106" s="26">
        <f t="shared" si="32"/>
        <v>212395.96</v>
      </c>
      <c r="H2106" t="s">
        <v>68</v>
      </c>
    </row>
    <row r="2107" spans="1:9" hidden="1">
      <c r="A2107" s="17" t="s">
        <v>1446</v>
      </c>
      <c r="B2107" s="21" t="s">
        <v>1447</v>
      </c>
      <c r="C2107" s="19" t="s">
        <v>72</v>
      </c>
      <c r="D2107" s="20"/>
      <c r="E2107" s="3">
        <v>4393710.62</v>
      </c>
      <c r="F2107" s="24">
        <v>0.46379225584956707</v>
      </c>
      <c r="G2107" s="26">
        <f t="shared" si="32"/>
        <v>2037768.96</v>
      </c>
      <c r="H2107" t="s">
        <v>68</v>
      </c>
    </row>
    <row r="2108" spans="1:9" hidden="1">
      <c r="A2108" s="13" t="s">
        <v>1446</v>
      </c>
      <c r="B2108" s="22" t="s">
        <v>1447</v>
      </c>
      <c r="C2108" s="15" t="s">
        <v>73</v>
      </c>
      <c r="D2108" s="16"/>
      <c r="E2108" s="2">
        <v>4393710.62</v>
      </c>
      <c r="F2108" s="23">
        <v>0.46958237545466752</v>
      </c>
      <c r="G2108" s="26">
        <f t="shared" si="32"/>
        <v>2063209.07</v>
      </c>
      <c r="H2108" t="s">
        <v>68</v>
      </c>
    </row>
    <row r="2109" spans="1:9" hidden="1">
      <c r="A2109" s="19" t="s">
        <v>1446</v>
      </c>
      <c r="B2109" s="20" t="s">
        <v>1447</v>
      </c>
      <c r="C2109" s="19" t="s">
        <v>74</v>
      </c>
      <c r="D2109" s="20"/>
      <c r="E2109" s="3">
        <v>4393710.62</v>
      </c>
      <c r="F2109" s="24">
        <v>6.6625368695765408E-2</v>
      </c>
      <c r="G2109" s="26">
        <f t="shared" si="32"/>
        <v>292732.59000000003</v>
      </c>
      <c r="H2109" t="s">
        <v>68</v>
      </c>
    </row>
    <row r="2110" spans="1:9" hidden="1">
      <c r="A2110" s="13" t="s">
        <v>1448</v>
      </c>
      <c r="B2110" s="14" t="s">
        <v>1449</v>
      </c>
      <c r="C2110" s="15" t="s">
        <v>72</v>
      </c>
      <c r="D2110" s="16"/>
      <c r="E2110" s="2">
        <v>6986178.9900000002</v>
      </c>
      <c r="F2110" s="23">
        <v>0.44802293134490678</v>
      </c>
      <c r="G2110" s="26">
        <f t="shared" si="32"/>
        <v>3129968.39</v>
      </c>
      <c r="H2110" t="s">
        <v>68</v>
      </c>
    </row>
    <row r="2111" spans="1:9" hidden="1">
      <c r="A2111" s="17" t="s">
        <v>1448</v>
      </c>
      <c r="B2111" s="18" t="s">
        <v>1449</v>
      </c>
      <c r="C2111" s="19" t="s">
        <v>73</v>
      </c>
      <c r="D2111" s="20"/>
      <c r="E2111" s="3">
        <v>6986178.9900000002</v>
      </c>
      <c r="F2111" s="24">
        <v>0.51796640984716591</v>
      </c>
      <c r="G2111" s="26">
        <f t="shared" si="32"/>
        <v>3618606.05</v>
      </c>
      <c r="H2111" t="s">
        <v>68</v>
      </c>
    </row>
    <row r="2112" spans="1:9" hidden="1">
      <c r="A2112" s="15" t="s">
        <v>1448</v>
      </c>
      <c r="B2112" s="16" t="s">
        <v>1449</v>
      </c>
      <c r="C2112" s="15" t="s">
        <v>74</v>
      </c>
      <c r="D2112" s="16"/>
      <c r="E2112" s="2">
        <v>6986178.9900000002</v>
      </c>
      <c r="F2112" s="23">
        <v>3.4010658807927273E-2</v>
      </c>
      <c r="G2112" s="26">
        <f t="shared" si="32"/>
        <v>237604.54999999996</v>
      </c>
      <c r="H2112" t="s">
        <v>68</v>
      </c>
    </row>
    <row r="2113" spans="1:9" hidden="1">
      <c r="A2113" s="17" t="s">
        <v>1450</v>
      </c>
      <c r="B2113" s="21" t="s">
        <v>1451</v>
      </c>
      <c r="C2113" s="19" t="s">
        <v>72</v>
      </c>
      <c r="D2113" s="20"/>
      <c r="E2113" s="3">
        <v>7807906.5899999999</v>
      </c>
      <c r="F2113" s="24">
        <v>0.39830293487156077</v>
      </c>
      <c r="G2113" s="26">
        <f t="shared" si="32"/>
        <v>3109912.11</v>
      </c>
      <c r="H2113" t="s">
        <v>68</v>
      </c>
    </row>
    <row r="2114" spans="1:9" hidden="1">
      <c r="A2114" s="13" t="s">
        <v>1450</v>
      </c>
      <c r="B2114" s="22" t="s">
        <v>1451</v>
      </c>
      <c r="C2114" s="15" t="s">
        <v>73</v>
      </c>
      <c r="D2114" s="16"/>
      <c r="E2114" s="2">
        <v>7807906.5899999999</v>
      </c>
      <c r="F2114" s="23">
        <v>0.55321343950658108</v>
      </c>
      <c r="G2114" s="26">
        <f t="shared" si="32"/>
        <v>4319438.8600000003</v>
      </c>
      <c r="H2114" t="s">
        <v>68</v>
      </c>
    </row>
    <row r="2115" spans="1:9" hidden="1">
      <c r="A2115" s="19" t="s">
        <v>1450</v>
      </c>
      <c r="B2115" s="20" t="s">
        <v>1451</v>
      </c>
      <c r="C2115" s="19" t="s">
        <v>74</v>
      </c>
      <c r="D2115" s="20"/>
      <c r="E2115" s="3">
        <v>7807906.5899999999</v>
      </c>
      <c r="F2115" s="24">
        <v>4.8483625621858269E-2</v>
      </c>
      <c r="G2115" s="26">
        <f t="shared" si="32"/>
        <v>378555.62</v>
      </c>
      <c r="H2115" t="s">
        <v>68</v>
      </c>
    </row>
    <row r="2116" spans="1:9" hidden="1">
      <c r="A2116" s="13" t="s">
        <v>1666</v>
      </c>
      <c r="B2116" s="14" t="s">
        <v>1667</v>
      </c>
      <c r="C2116" s="15" t="s">
        <v>72</v>
      </c>
      <c r="D2116" s="16"/>
      <c r="E2116" s="2">
        <v>4813558.74</v>
      </c>
      <c r="F2116" s="23">
        <v>0.51014928094551515</v>
      </c>
      <c r="G2116" s="26">
        <f t="shared" si="32"/>
        <v>2455633.5299999998</v>
      </c>
      <c r="H2116" t="s">
        <v>68</v>
      </c>
    </row>
    <row r="2117" spans="1:9" hidden="1">
      <c r="A2117" s="17" t="s">
        <v>1666</v>
      </c>
      <c r="B2117" s="18" t="s">
        <v>1667</v>
      </c>
      <c r="C2117" s="19" t="s">
        <v>73</v>
      </c>
      <c r="D2117" s="20"/>
      <c r="E2117" s="3">
        <v>4813558.74</v>
      </c>
      <c r="F2117" s="24">
        <v>0.43084440889153874</v>
      </c>
      <c r="G2117" s="26">
        <f t="shared" ref="G2117:G2180" si="33">F2117*E2117</f>
        <v>2073894.87</v>
      </c>
      <c r="H2117" t="s">
        <v>68</v>
      </c>
    </row>
    <row r="2118" spans="1:9" hidden="1">
      <c r="A2118" s="15" t="s">
        <v>1666</v>
      </c>
      <c r="B2118" s="16" t="s">
        <v>1667</v>
      </c>
      <c r="C2118" s="15" t="s">
        <v>74</v>
      </c>
      <c r="D2118" s="16"/>
      <c r="E2118" s="2">
        <v>4813558.74</v>
      </c>
      <c r="F2118" s="23">
        <v>5.90063101629461E-2</v>
      </c>
      <c r="G2118" s="26">
        <f t="shared" si="33"/>
        <v>284030.34000000003</v>
      </c>
      <c r="H2118" t="s">
        <v>68</v>
      </c>
    </row>
    <row r="2119" spans="1:9" hidden="1">
      <c r="A2119" s="17" t="s">
        <v>1668</v>
      </c>
      <c r="B2119" s="21" t="s">
        <v>1669</v>
      </c>
      <c r="C2119" s="19" t="s">
        <v>72</v>
      </c>
      <c r="D2119" s="20"/>
      <c r="E2119" s="3">
        <v>3963933.19</v>
      </c>
      <c r="F2119" s="24">
        <v>0.46302819498327624</v>
      </c>
      <c r="G2119" s="26">
        <f t="shared" si="33"/>
        <v>1835412.83</v>
      </c>
      <c r="H2119" t="s">
        <v>68</v>
      </c>
    </row>
    <row r="2120" spans="1:9" hidden="1">
      <c r="A2120" s="13" t="s">
        <v>1668</v>
      </c>
      <c r="B2120" s="22" t="s">
        <v>1669</v>
      </c>
      <c r="C2120" s="15" t="s">
        <v>73</v>
      </c>
      <c r="D2120" s="16"/>
      <c r="E2120" s="2">
        <v>3963933.19</v>
      </c>
      <c r="F2120" s="23">
        <v>0.49191690841792418</v>
      </c>
      <c r="G2120" s="26">
        <f t="shared" si="33"/>
        <v>1949925.76</v>
      </c>
      <c r="H2120" t="s">
        <v>68</v>
      </c>
    </row>
    <row r="2121" spans="1:9" hidden="1">
      <c r="A2121" s="19" t="s">
        <v>1668</v>
      </c>
      <c r="B2121" s="20" t="s">
        <v>1669</v>
      </c>
      <c r="C2121" s="19" t="s">
        <v>74</v>
      </c>
      <c r="D2121" s="20"/>
      <c r="E2121" s="3">
        <v>3963933.19</v>
      </c>
      <c r="F2121" s="24">
        <v>4.5054896598799639E-2</v>
      </c>
      <c r="G2121" s="26">
        <f t="shared" si="33"/>
        <v>178594.6</v>
      </c>
      <c r="H2121" t="s">
        <v>68</v>
      </c>
    </row>
    <row r="2122" spans="1:9" hidden="1">
      <c r="A2122" s="13" t="s">
        <v>1670</v>
      </c>
      <c r="B2122" s="14" t="s">
        <v>1671</v>
      </c>
      <c r="C2122" s="15" t="s">
        <v>72</v>
      </c>
      <c r="D2122" s="16"/>
      <c r="E2122" s="2">
        <v>21062851.239999998</v>
      </c>
      <c r="F2122" s="23">
        <v>0.50395594684929279</v>
      </c>
      <c r="G2122" s="26">
        <f t="shared" si="33"/>
        <v>10614749.140000001</v>
      </c>
      <c r="H2122" t="s">
        <v>68</v>
      </c>
      <c r="I2122" t="s">
        <v>1883</v>
      </c>
    </row>
    <row r="2123" spans="1:9" hidden="1">
      <c r="A2123" s="17" t="s">
        <v>1670</v>
      </c>
      <c r="B2123" s="18" t="s">
        <v>1671</v>
      </c>
      <c r="C2123" s="19" t="s">
        <v>73</v>
      </c>
      <c r="D2123" s="20"/>
      <c r="E2123" s="3">
        <v>21062851.239999998</v>
      </c>
      <c r="F2123" s="24">
        <v>0.36172535205162476</v>
      </c>
      <c r="G2123" s="26">
        <f t="shared" si="33"/>
        <v>7618967.2800000003</v>
      </c>
      <c r="H2123" t="s">
        <v>68</v>
      </c>
      <c r="I2123" t="s">
        <v>1883</v>
      </c>
    </row>
    <row r="2124" spans="1:9" hidden="1">
      <c r="A2124" s="15" t="s">
        <v>1670</v>
      </c>
      <c r="B2124" s="16" t="s">
        <v>1671</v>
      </c>
      <c r="C2124" s="15" t="s">
        <v>74</v>
      </c>
      <c r="D2124" s="16"/>
      <c r="E2124" s="2">
        <v>21062851.239999998</v>
      </c>
      <c r="F2124" s="23">
        <v>0.13431870109908253</v>
      </c>
      <c r="G2124" s="26">
        <f t="shared" si="33"/>
        <v>2829134.82</v>
      </c>
      <c r="H2124" t="s">
        <v>68</v>
      </c>
      <c r="I2124" t="s">
        <v>1883</v>
      </c>
    </row>
    <row r="2125" spans="1:9" hidden="1">
      <c r="A2125" s="17" t="s">
        <v>1672</v>
      </c>
      <c r="B2125" s="21" t="s">
        <v>1673</v>
      </c>
      <c r="C2125" s="19" t="s">
        <v>72</v>
      </c>
      <c r="D2125" s="20"/>
      <c r="E2125" s="3">
        <v>21134521.239999998</v>
      </c>
      <c r="F2125" s="24">
        <v>0.46032104628834264</v>
      </c>
      <c r="G2125" s="26">
        <f t="shared" si="33"/>
        <v>9728664.9299999997</v>
      </c>
      <c r="H2125" t="s">
        <v>68</v>
      </c>
    </row>
    <row r="2126" spans="1:9" hidden="1">
      <c r="A2126" s="13" t="s">
        <v>1672</v>
      </c>
      <c r="B2126" s="22" t="s">
        <v>1673</v>
      </c>
      <c r="C2126" s="15" t="s">
        <v>73</v>
      </c>
      <c r="D2126" s="16"/>
      <c r="E2126" s="2">
        <v>21134521.239999998</v>
      </c>
      <c r="F2126" s="23">
        <v>0.47302136379030657</v>
      </c>
      <c r="G2126" s="26">
        <f t="shared" si="33"/>
        <v>9997080.0600000005</v>
      </c>
      <c r="H2126" t="s">
        <v>68</v>
      </c>
    </row>
    <row r="2127" spans="1:9" hidden="1">
      <c r="A2127" s="19" t="s">
        <v>1672</v>
      </c>
      <c r="B2127" s="20" t="s">
        <v>1673</v>
      </c>
      <c r="C2127" s="19" t="s">
        <v>74</v>
      </c>
      <c r="D2127" s="20"/>
      <c r="E2127" s="3">
        <v>21134521.239999998</v>
      </c>
      <c r="F2127" s="24">
        <v>6.6657589921350874E-2</v>
      </c>
      <c r="G2127" s="26">
        <f t="shared" si="33"/>
        <v>1408776.2499999998</v>
      </c>
      <c r="H2127" t="s">
        <v>68</v>
      </c>
    </row>
    <row r="2128" spans="1:9" hidden="1">
      <c r="A2128" s="13" t="s">
        <v>1674</v>
      </c>
      <c r="B2128" s="14" t="s">
        <v>1675</v>
      </c>
      <c r="C2128" s="15" t="s">
        <v>72</v>
      </c>
      <c r="D2128" s="16"/>
      <c r="E2128" s="2">
        <v>16247452.609999999</v>
      </c>
      <c r="F2128" s="23">
        <v>0.40535929219737543</v>
      </c>
      <c r="G2128" s="26">
        <f t="shared" si="33"/>
        <v>6586055.8899999997</v>
      </c>
      <c r="H2128" t="s">
        <v>68</v>
      </c>
    </row>
    <row r="2129" spans="1:8" hidden="1">
      <c r="A2129" s="17" t="s">
        <v>1674</v>
      </c>
      <c r="B2129" s="18" t="s">
        <v>1675</v>
      </c>
      <c r="C2129" s="19" t="s">
        <v>73</v>
      </c>
      <c r="D2129" s="20"/>
      <c r="E2129" s="3">
        <v>16247452.609999999</v>
      </c>
      <c r="F2129" s="24">
        <v>0.53055104864220315</v>
      </c>
      <c r="G2129" s="26">
        <f t="shared" si="33"/>
        <v>8620103.0199999996</v>
      </c>
      <c r="H2129" t="s">
        <v>68</v>
      </c>
    </row>
    <row r="2130" spans="1:8" hidden="1">
      <c r="A2130" s="15" t="s">
        <v>1674</v>
      </c>
      <c r="B2130" s="16" t="s">
        <v>1675</v>
      </c>
      <c r="C2130" s="15" t="s">
        <v>74</v>
      </c>
      <c r="D2130" s="16"/>
      <c r="E2130" s="2">
        <v>16247452.609999999</v>
      </c>
      <c r="F2130" s="23">
        <v>6.4089659160421461E-2</v>
      </c>
      <c r="G2130" s="26">
        <f t="shared" si="33"/>
        <v>1041293.7000000001</v>
      </c>
      <c r="H2130" t="s">
        <v>68</v>
      </c>
    </row>
    <row r="2131" spans="1:8" hidden="1">
      <c r="A2131" s="17" t="s">
        <v>1676</v>
      </c>
      <c r="B2131" s="21" t="s">
        <v>1677</v>
      </c>
      <c r="C2131" s="19" t="s">
        <v>72</v>
      </c>
      <c r="D2131" s="20"/>
      <c r="E2131" s="3">
        <v>46253684.880000003</v>
      </c>
      <c r="F2131" s="24">
        <v>0.7499559144313519</v>
      </c>
      <c r="G2131" s="26">
        <f t="shared" si="33"/>
        <v>34688224.539999999</v>
      </c>
      <c r="H2131" t="s">
        <v>68</v>
      </c>
    </row>
    <row r="2132" spans="1:8" hidden="1">
      <c r="A2132" s="13" t="s">
        <v>1676</v>
      </c>
      <c r="B2132" s="22" t="s">
        <v>1677</v>
      </c>
      <c r="C2132" s="15" t="s">
        <v>73</v>
      </c>
      <c r="D2132" s="16"/>
      <c r="E2132" s="2">
        <v>46253684.880000003</v>
      </c>
      <c r="F2132" s="23">
        <v>0.21641878903205777</v>
      </c>
      <c r="G2132" s="26">
        <f t="shared" si="33"/>
        <v>10010166.470000001</v>
      </c>
      <c r="H2132" t="s">
        <v>68</v>
      </c>
    </row>
    <row r="2133" spans="1:8" hidden="1">
      <c r="A2133" s="19" t="s">
        <v>1676</v>
      </c>
      <c r="B2133" s="20" t="s">
        <v>1677</v>
      </c>
      <c r="C2133" s="19" t="s">
        <v>74</v>
      </c>
      <c r="D2133" s="20"/>
      <c r="E2133" s="3">
        <v>46253684.880000003</v>
      </c>
      <c r="F2133" s="24">
        <v>3.362529653659023E-2</v>
      </c>
      <c r="G2133" s="26">
        <f t="shared" si="33"/>
        <v>1555293.8699999999</v>
      </c>
      <c r="H2133" t="s">
        <v>68</v>
      </c>
    </row>
    <row r="2134" spans="1:8" hidden="1">
      <c r="A2134" s="13" t="s">
        <v>1678</v>
      </c>
      <c r="B2134" s="14" t="s">
        <v>1679</v>
      </c>
      <c r="C2134" s="15" t="s">
        <v>72</v>
      </c>
      <c r="D2134" s="16"/>
      <c r="E2134" s="2">
        <v>28053930.199999999</v>
      </c>
      <c r="F2134" s="23">
        <v>0.42501645527014253</v>
      </c>
      <c r="G2134" s="26">
        <f t="shared" si="33"/>
        <v>11923381.970000001</v>
      </c>
      <c r="H2134" t="s">
        <v>68</v>
      </c>
    </row>
    <row r="2135" spans="1:8" hidden="1">
      <c r="A2135" s="17" t="s">
        <v>1678</v>
      </c>
      <c r="B2135" s="18" t="s">
        <v>1679</v>
      </c>
      <c r="C2135" s="19" t="s">
        <v>73</v>
      </c>
      <c r="D2135" s="20"/>
      <c r="E2135" s="3">
        <v>28053930.199999999</v>
      </c>
      <c r="F2135" s="24">
        <v>0.52843262973542293</v>
      </c>
      <c r="G2135" s="26">
        <f t="shared" si="33"/>
        <v>14824612.109999999</v>
      </c>
      <c r="H2135" t="s">
        <v>68</v>
      </c>
    </row>
    <row r="2136" spans="1:8" hidden="1">
      <c r="A2136" s="15" t="s">
        <v>1678</v>
      </c>
      <c r="B2136" s="16" t="s">
        <v>1679</v>
      </c>
      <c r="C2136" s="15" t="s">
        <v>74</v>
      </c>
      <c r="D2136" s="16"/>
      <c r="E2136" s="2">
        <v>28053930.199999999</v>
      </c>
      <c r="F2136" s="23">
        <v>4.6550914994434547E-2</v>
      </c>
      <c r="G2136" s="26">
        <f t="shared" si="33"/>
        <v>1305936.1200000001</v>
      </c>
      <c r="H2136" t="s">
        <v>68</v>
      </c>
    </row>
    <row r="2137" spans="1:8" hidden="1">
      <c r="A2137" s="17" t="s">
        <v>1680</v>
      </c>
      <c r="B2137" s="21" t="s">
        <v>1681</v>
      </c>
      <c r="C2137" s="19" t="s">
        <v>72</v>
      </c>
      <c r="D2137" s="20"/>
      <c r="E2137" s="3">
        <v>23555146.899999999</v>
      </c>
      <c r="F2137" s="24">
        <v>0.32423536233603367</v>
      </c>
      <c r="G2137" s="26">
        <f t="shared" si="33"/>
        <v>7637411.5899999999</v>
      </c>
      <c r="H2137" t="s">
        <v>68</v>
      </c>
    </row>
    <row r="2138" spans="1:8" hidden="1">
      <c r="A2138" s="13" t="s">
        <v>1680</v>
      </c>
      <c r="B2138" s="22" t="s">
        <v>1681</v>
      </c>
      <c r="C2138" s="15" t="s">
        <v>73</v>
      </c>
      <c r="D2138" s="16"/>
      <c r="E2138" s="2">
        <v>23555146.899999999</v>
      </c>
      <c r="F2138" s="23">
        <v>0.65035742867729684</v>
      </c>
      <c r="G2138" s="26">
        <f t="shared" si="33"/>
        <v>15319264.77</v>
      </c>
      <c r="H2138" t="s">
        <v>68</v>
      </c>
    </row>
    <row r="2139" spans="1:8" hidden="1">
      <c r="A2139" s="19" t="s">
        <v>1680</v>
      </c>
      <c r="B2139" s="20" t="s">
        <v>1681</v>
      </c>
      <c r="C2139" s="19" t="s">
        <v>74</v>
      </c>
      <c r="D2139" s="20"/>
      <c r="E2139" s="3">
        <v>23555146.899999999</v>
      </c>
      <c r="F2139" s="24">
        <v>2.5407208986669493E-2</v>
      </c>
      <c r="G2139" s="26">
        <f t="shared" si="33"/>
        <v>598470.54</v>
      </c>
      <c r="H2139" t="s">
        <v>68</v>
      </c>
    </row>
    <row r="2140" spans="1:8" hidden="1">
      <c r="A2140" s="13" t="s">
        <v>1682</v>
      </c>
      <c r="B2140" s="14" t="s">
        <v>1683</v>
      </c>
      <c r="C2140" s="15" t="s">
        <v>72</v>
      </c>
      <c r="D2140" s="16"/>
      <c r="E2140" s="2">
        <v>22323626.77</v>
      </c>
      <c r="F2140" s="23">
        <v>0.43590631039743011</v>
      </c>
      <c r="G2140" s="26">
        <f t="shared" si="33"/>
        <v>9731009.7799999993</v>
      </c>
      <c r="H2140" t="s">
        <v>68</v>
      </c>
    </row>
    <row r="2141" spans="1:8" hidden="1">
      <c r="A2141" s="17" t="s">
        <v>1682</v>
      </c>
      <c r="B2141" s="18" t="s">
        <v>1683</v>
      </c>
      <c r="C2141" s="19" t="s">
        <v>73</v>
      </c>
      <c r="D2141" s="20"/>
      <c r="E2141" s="3">
        <v>22323626.77</v>
      </c>
      <c r="F2141" s="24">
        <v>0.50718194165544184</v>
      </c>
      <c r="G2141" s="26">
        <f t="shared" si="33"/>
        <v>11322140.369999999</v>
      </c>
      <c r="H2141" t="s">
        <v>68</v>
      </c>
    </row>
    <row r="2142" spans="1:8" hidden="1">
      <c r="A2142" s="15" t="s">
        <v>1682</v>
      </c>
      <c r="B2142" s="16" t="s">
        <v>1683</v>
      </c>
      <c r="C2142" s="15" t="s">
        <v>74</v>
      </c>
      <c r="D2142" s="16"/>
      <c r="E2142" s="2">
        <v>22323626.77</v>
      </c>
      <c r="F2142" s="23">
        <v>5.6911747947128041E-2</v>
      </c>
      <c r="G2142" s="26">
        <f t="shared" si="33"/>
        <v>1270476.6200000001</v>
      </c>
      <c r="H2142" t="s">
        <v>68</v>
      </c>
    </row>
    <row r="2143" spans="1:8" hidden="1">
      <c r="A2143" s="17" t="s">
        <v>1684</v>
      </c>
      <c r="B2143" s="21" t="s">
        <v>1685</v>
      </c>
      <c r="C2143" s="19" t="s">
        <v>72</v>
      </c>
      <c r="D2143" s="20"/>
      <c r="E2143" s="3">
        <v>17161665.010000002</v>
      </c>
      <c r="F2143" s="24">
        <v>0.36271439142838735</v>
      </c>
      <c r="G2143" s="26">
        <f t="shared" si="33"/>
        <v>6224782.8799999999</v>
      </c>
      <c r="H2143" t="s">
        <v>68</v>
      </c>
    </row>
    <row r="2144" spans="1:8" hidden="1">
      <c r="A2144" s="13" t="s">
        <v>1684</v>
      </c>
      <c r="B2144" s="22" t="s">
        <v>1685</v>
      </c>
      <c r="C2144" s="15" t="s">
        <v>73</v>
      </c>
      <c r="D2144" s="16"/>
      <c r="E2144" s="2">
        <v>17161665.010000002</v>
      </c>
      <c r="F2144" s="23">
        <v>0.56830897027280913</v>
      </c>
      <c r="G2144" s="26">
        <f t="shared" si="33"/>
        <v>9753128.1699999999</v>
      </c>
      <c r="H2144" t="s">
        <v>68</v>
      </c>
    </row>
    <row r="2145" spans="1:8" hidden="1">
      <c r="A2145" s="19" t="s">
        <v>1684</v>
      </c>
      <c r="B2145" s="20" t="s">
        <v>1685</v>
      </c>
      <c r="C2145" s="19" t="s">
        <v>74</v>
      </c>
      <c r="D2145" s="20"/>
      <c r="E2145" s="3">
        <v>17161665.010000002</v>
      </c>
      <c r="F2145" s="24">
        <v>6.8976638298803378E-2</v>
      </c>
      <c r="G2145" s="26">
        <f t="shared" si="33"/>
        <v>1183753.96</v>
      </c>
      <c r="H2145" t="s">
        <v>68</v>
      </c>
    </row>
    <row r="2146" spans="1:8" hidden="1">
      <c r="A2146" s="13" t="s">
        <v>1686</v>
      </c>
      <c r="B2146" s="14" t="s">
        <v>1065</v>
      </c>
      <c r="C2146" s="15" t="s">
        <v>72</v>
      </c>
      <c r="D2146" s="16"/>
      <c r="E2146" s="2">
        <v>18094493.609999999</v>
      </c>
      <c r="F2146" s="23">
        <v>0.40028159318021395</v>
      </c>
      <c r="G2146" s="26">
        <f t="shared" si="33"/>
        <v>7242892.7300000004</v>
      </c>
      <c r="H2146" t="s">
        <v>68</v>
      </c>
    </row>
    <row r="2147" spans="1:8" hidden="1">
      <c r="A2147" s="17" t="s">
        <v>1686</v>
      </c>
      <c r="B2147" s="18" t="s">
        <v>1065</v>
      </c>
      <c r="C2147" s="19" t="s">
        <v>73</v>
      </c>
      <c r="D2147" s="20"/>
      <c r="E2147" s="3">
        <v>18094493.609999999</v>
      </c>
      <c r="F2147" s="24">
        <v>0.5510483473541099</v>
      </c>
      <c r="G2147" s="26">
        <f t="shared" si="33"/>
        <v>9970940.8000000026</v>
      </c>
      <c r="H2147" t="s">
        <v>68</v>
      </c>
    </row>
    <row r="2148" spans="1:8" hidden="1">
      <c r="A2148" s="15" t="s">
        <v>1686</v>
      </c>
      <c r="B2148" s="16" t="s">
        <v>1065</v>
      </c>
      <c r="C2148" s="15" t="s">
        <v>74</v>
      </c>
      <c r="D2148" s="16"/>
      <c r="E2148" s="2">
        <v>18094493.609999999</v>
      </c>
      <c r="F2148" s="23">
        <v>4.8670059465676312E-2</v>
      </c>
      <c r="G2148" s="26">
        <f t="shared" si="33"/>
        <v>880660.08</v>
      </c>
      <c r="H2148" t="s">
        <v>68</v>
      </c>
    </row>
    <row r="2149" spans="1:8" hidden="1">
      <c r="A2149" s="17" t="s">
        <v>1687</v>
      </c>
      <c r="B2149" s="21" t="s">
        <v>1688</v>
      </c>
      <c r="C2149" s="19" t="s">
        <v>72</v>
      </c>
      <c r="D2149" s="20"/>
      <c r="E2149" s="3">
        <v>7531718.3899999997</v>
      </c>
      <c r="F2149" s="24">
        <v>0.39916324460452907</v>
      </c>
      <c r="G2149" s="26">
        <f t="shared" si="33"/>
        <v>3006385.15</v>
      </c>
      <c r="H2149" t="s">
        <v>68</v>
      </c>
    </row>
    <row r="2150" spans="1:8" hidden="1">
      <c r="A2150" s="13" t="s">
        <v>1687</v>
      </c>
      <c r="B2150" s="22" t="s">
        <v>1688</v>
      </c>
      <c r="C2150" s="15" t="s">
        <v>73</v>
      </c>
      <c r="D2150" s="16"/>
      <c r="E2150" s="2">
        <v>7531718.3899999997</v>
      </c>
      <c r="F2150" s="23">
        <v>0.54819769356777559</v>
      </c>
      <c r="G2150" s="26">
        <f t="shared" si="33"/>
        <v>4128870.65</v>
      </c>
      <c r="H2150" t="s">
        <v>68</v>
      </c>
    </row>
    <row r="2151" spans="1:8" hidden="1">
      <c r="A2151" s="19" t="s">
        <v>1687</v>
      </c>
      <c r="B2151" s="20" t="s">
        <v>1688</v>
      </c>
      <c r="C2151" s="19" t="s">
        <v>74</v>
      </c>
      <c r="D2151" s="20"/>
      <c r="E2151" s="3">
        <v>7531718.3899999997</v>
      </c>
      <c r="F2151" s="24">
        <v>5.2639061827695344E-2</v>
      </c>
      <c r="G2151" s="26">
        <f t="shared" si="33"/>
        <v>396462.59</v>
      </c>
      <c r="H2151" t="s">
        <v>68</v>
      </c>
    </row>
    <row r="2152" spans="1:8" hidden="1">
      <c r="A2152" s="13" t="s">
        <v>1689</v>
      </c>
      <c r="B2152" s="14" t="s">
        <v>1013</v>
      </c>
      <c r="C2152" s="15" t="s">
        <v>72</v>
      </c>
      <c r="D2152" s="16"/>
      <c r="E2152" s="2">
        <v>44348397.340000004</v>
      </c>
      <c r="F2152" s="23">
        <v>0.53966734189993615</v>
      </c>
      <c r="G2152" s="26">
        <f t="shared" si="33"/>
        <v>23933381.710000001</v>
      </c>
      <c r="H2152" t="s">
        <v>68</v>
      </c>
    </row>
    <row r="2153" spans="1:8" hidden="1">
      <c r="A2153" s="17" t="s">
        <v>1689</v>
      </c>
      <c r="B2153" s="18" t="s">
        <v>1013</v>
      </c>
      <c r="C2153" s="19" t="s">
        <v>73</v>
      </c>
      <c r="D2153" s="20"/>
      <c r="E2153" s="3">
        <v>44348397.340000004</v>
      </c>
      <c r="F2153" s="24">
        <v>0.40684135915158187</v>
      </c>
      <c r="G2153" s="26">
        <f t="shared" si="33"/>
        <v>18042762.25</v>
      </c>
      <c r="H2153" t="s">
        <v>68</v>
      </c>
    </row>
    <row r="2154" spans="1:8" hidden="1">
      <c r="A2154" s="15" t="s">
        <v>1689</v>
      </c>
      <c r="B2154" s="16" t="s">
        <v>1013</v>
      </c>
      <c r="C2154" s="15" t="s">
        <v>74</v>
      </c>
      <c r="D2154" s="16"/>
      <c r="E2154" s="2">
        <v>44348397.340000004</v>
      </c>
      <c r="F2154" s="23">
        <v>5.3491298948481904E-2</v>
      </c>
      <c r="G2154" s="26">
        <f t="shared" si="33"/>
        <v>2372253.38</v>
      </c>
      <c r="H2154" t="s">
        <v>68</v>
      </c>
    </row>
    <row r="2155" spans="1:8" hidden="1">
      <c r="A2155" s="17" t="s">
        <v>1690</v>
      </c>
      <c r="B2155" s="21" t="s">
        <v>1691</v>
      </c>
      <c r="C2155" s="19" t="s">
        <v>72</v>
      </c>
      <c r="D2155" s="20"/>
      <c r="E2155" s="3">
        <v>46459046.810000002</v>
      </c>
      <c r="F2155" s="24">
        <v>0.5187396680470121</v>
      </c>
      <c r="G2155" s="26">
        <f t="shared" si="33"/>
        <v>24100150.52</v>
      </c>
      <c r="H2155" t="s">
        <v>68</v>
      </c>
    </row>
    <row r="2156" spans="1:8" hidden="1">
      <c r="A2156" s="13" t="s">
        <v>1690</v>
      </c>
      <c r="B2156" s="22" t="s">
        <v>1691</v>
      </c>
      <c r="C2156" s="15" t="s">
        <v>73</v>
      </c>
      <c r="D2156" s="16"/>
      <c r="E2156" s="2">
        <v>46459046.810000002</v>
      </c>
      <c r="F2156" s="23">
        <v>0.41798838941784128</v>
      </c>
      <c r="G2156" s="26">
        <f t="shared" si="33"/>
        <v>19419342.149999999</v>
      </c>
      <c r="H2156" t="s">
        <v>68</v>
      </c>
    </row>
    <row r="2157" spans="1:8" hidden="1">
      <c r="A2157" s="19" t="s">
        <v>1690</v>
      </c>
      <c r="B2157" s="20" t="s">
        <v>1691</v>
      </c>
      <c r="C2157" s="19" t="s">
        <v>74</v>
      </c>
      <c r="D2157" s="20"/>
      <c r="E2157" s="3">
        <v>46459046.810000002</v>
      </c>
      <c r="F2157" s="24">
        <v>6.3271942535146466E-2</v>
      </c>
      <c r="G2157" s="26">
        <f t="shared" si="33"/>
        <v>2939554.14</v>
      </c>
      <c r="H2157" t="s">
        <v>68</v>
      </c>
    </row>
    <row r="2158" spans="1:8" hidden="1">
      <c r="A2158" s="13" t="s">
        <v>1692</v>
      </c>
      <c r="B2158" s="14" t="s">
        <v>1693</v>
      </c>
      <c r="C2158" s="15" t="s">
        <v>72</v>
      </c>
      <c r="D2158" s="16"/>
      <c r="E2158" s="2">
        <v>13099282.08</v>
      </c>
      <c r="F2158" s="23">
        <v>0.3476074888830854</v>
      </c>
      <c r="G2158" s="26">
        <f t="shared" si="33"/>
        <v>4553408.55</v>
      </c>
      <c r="H2158" t="s">
        <v>68</v>
      </c>
    </row>
    <row r="2159" spans="1:8" hidden="1">
      <c r="A2159" s="17" t="s">
        <v>1692</v>
      </c>
      <c r="B2159" s="18" t="s">
        <v>1693</v>
      </c>
      <c r="C2159" s="19" t="s">
        <v>73</v>
      </c>
      <c r="D2159" s="20"/>
      <c r="E2159" s="3">
        <v>13099282.08</v>
      </c>
      <c r="F2159" s="24">
        <v>0.58681934117110024</v>
      </c>
      <c r="G2159" s="26">
        <f t="shared" si="33"/>
        <v>7686912.0800000001</v>
      </c>
      <c r="H2159" t="s">
        <v>68</v>
      </c>
    </row>
    <row r="2160" spans="1:8" hidden="1">
      <c r="A2160" s="15" t="s">
        <v>1692</v>
      </c>
      <c r="B2160" s="16" t="s">
        <v>1693</v>
      </c>
      <c r="C2160" s="15" t="s">
        <v>74</v>
      </c>
      <c r="D2160" s="16"/>
      <c r="E2160" s="2">
        <v>13099282.08</v>
      </c>
      <c r="F2160" s="23">
        <v>6.5573169945814302E-2</v>
      </c>
      <c r="G2160" s="26">
        <f t="shared" si="33"/>
        <v>858961.44999999984</v>
      </c>
      <c r="H2160" t="s">
        <v>68</v>
      </c>
    </row>
    <row r="2161" spans="1:9" hidden="1">
      <c r="A2161" s="17" t="s">
        <v>1694</v>
      </c>
      <c r="B2161" s="21" t="s">
        <v>1695</v>
      </c>
      <c r="C2161" s="19" t="s">
        <v>72</v>
      </c>
      <c r="D2161" s="20"/>
      <c r="E2161" s="3">
        <v>11130198.470000001</v>
      </c>
      <c r="F2161" s="24">
        <v>0.42749304271840177</v>
      </c>
      <c r="G2161" s="26">
        <f t="shared" si="33"/>
        <v>4758082.41</v>
      </c>
      <c r="H2161" t="s">
        <v>68</v>
      </c>
    </row>
    <row r="2162" spans="1:9" hidden="1">
      <c r="A2162" s="13" t="s">
        <v>1694</v>
      </c>
      <c r="B2162" s="22" t="s">
        <v>1695</v>
      </c>
      <c r="C2162" s="15" t="s">
        <v>73</v>
      </c>
      <c r="D2162" s="16"/>
      <c r="E2162" s="2">
        <v>11130198.470000001</v>
      </c>
      <c r="F2162" s="23">
        <v>0.52379086012830101</v>
      </c>
      <c r="G2162" s="26">
        <f t="shared" si="33"/>
        <v>5829896.2300000004</v>
      </c>
      <c r="H2162" t="s">
        <v>68</v>
      </c>
    </row>
    <row r="2163" spans="1:9" hidden="1">
      <c r="A2163" s="19" t="s">
        <v>1694</v>
      </c>
      <c r="B2163" s="20" t="s">
        <v>1695</v>
      </c>
      <c r="C2163" s="19" t="s">
        <v>74</v>
      </c>
      <c r="D2163" s="20"/>
      <c r="E2163" s="3">
        <v>11130198.470000001</v>
      </c>
      <c r="F2163" s="24">
        <v>4.8716097153297208E-2</v>
      </c>
      <c r="G2163" s="26">
        <f t="shared" si="33"/>
        <v>542219.82999999996</v>
      </c>
      <c r="H2163" t="s">
        <v>68</v>
      </c>
    </row>
    <row r="2164" spans="1:9" hidden="1">
      <c r="A2164" s="13" t="s">
        <v>1480</v>
      </c>
      <c r="B2164" s="14" t="s">
        <v>1481</v>
      </c>
      <c r="C2164" s="15" t="s">
        <v>72</v>
      </c>
      <c r="D2164" s="16"/>
      <c r="E2164" s="2">
        <v>12445798.43</v>
      </c>
      <c r="F2164" s="23">
        <v>0.63371536782955917</v>
      </c>
      <c r="G2164" s="26">
        <f t="shared" si="33"/>
        <v>7887093.7299999995</v>
      </c>
      <c r="H2164" t="s">
        <v>68</v>
      </c>
      <c r="I2164" t="s">
        <v>1883</v>
      </c>
    </row>
    <row r="2165" spans="1:9" hidden="1">
      <c r="A2165" s="17" t="s">
        <v>1480</v>
      </c>
      <c r="B2165" s="18" t="s">
        <v>1481</v>
      </c>
      <c r="C2165" s="19" t="s">
        <v>73</v>
      </c>
      <c r="D2165" s="20"/>
      <c r="E2165" s="3">
        <v>12445798.43</v>
      </c>
      <c r="F2165" s="24">
        <v>0.25608007376349579</v>
      </c>
      <c r="G2165" s="26">
        <f t="shared" si="33"/>
        <v>3187120.98</v>
      </c>
      <c r="H2165" t="s">
        <v>68</v>
      </c>
      <c r="I2165" t="s">
        <v>1883</v>
      </c>
    </row>
    <row r="2166" spans="1:9" hidden="1">
      <c r="A2166" s="15" t="s">
        <v>1480</v>
      </c>
      <c r="B2166" s="16" t="s">
        <v>1481</v>
      </c>
      <c r="C2166" s="15" t="s">
        <v>74</v>
      </c>
      <c r="D2166" s="16"/>
      <c r="E2166" s="2">
        <v>12445798.43</v>
      </c>
      <c r="F2166" s="23">
        <v>0.11020455840694506</v>
      </c>
      <c r="G2166" s="26">
        <f t="shared" si="33"/>
        <v>1371583.72</v>
      </c>
      <c r="H2166" t="s">
        <v>68</v>
      </c>
      <c r="I2166" t="s">
        <v>1883</v>
      </c>
    </row>
    <row r="2167" spans="1:9" hidden="1">
      <c r="A2167" s="17" t="s">
        <v>1482</v>
      </c>
      <c r="B2167" s="21" t="s">
        <v>1483</v>
      </c>
      <c r="C2167" s="19" t="s">
        <v>72</v>
      </c>
      <c r="D2167" s="20"/>
      <c r="E2167" s="3">
        <v>21742459.59</v>
      </c>
      <c r="F2167" s="24">
        <v>0.77939758332557629</v>
      </c>
      <c r="G2167" s="26">
        <f t="shared" si="33"/>
        <v>16946020.460000001</v>
      </c>
      <c r="H2167" t="s">
        <v>68</v>
      </c>
    </row>
    <row r="2168" spans="1:9" hidden="1">
      <c r="A2168" s="13" t="s">
        <v>1482</v>
      </c>
      <c r="B2168" s="22" t="s">
        <v>1483</v>
      </c>
      <c r="C2168" s="15" t="s">
        <v>73</v>
      </c>
      <c r="D2168" s="16"/>
      <c r="E2168" s="2">
        <v>21742459.59</v>
      </c>
      <c r="F2168" s="23">
        <v>0.16910444721217485</v>
      </c>
      <c r="G2168" s="26">
        <f t="shared" si="33"/>
        <v>3676746.61</v>
      </c>
      <c r="H2168" t="s">
        <v>68</v>
      </c>
    </row>
    <row r="2169" spans="1:9" hidden="1">
      <c r="A2169" s="19" t="s">
        <v>1482</v>
      </c>
      <c r="B2169" s="20" t="s">
        <v>1483</v>
      </c>
      <c r="C2169" s="19" t="s">
        <v>74</v>
      </c>
      <c r="D2169" s="20"/>
      <c r="E2169" s="3">
        <v>21742459.59</v>
      </c>
      <c r="F2169" s="24">
        <v>5.1497969462248869E-2</v>
      </c>
      <c r="G2169" s="26">
        <f t="shared" si="33"/>
        <v>1119692.52</v>
      </c>
      <c r="H2169" t="s">
        <v>68</v>
      </c>
    </row>
    <row r="2170" spans="1:9" hidden="1">
      <c r="A2170" s="13" t="s">
        <v>1484</v>
      </c>
      <c r="B2170" s="14" t="s">
        <v>1485</v>
      </c>
      <c r="C2170" s="15" t="s">
        <v>72</v>
      </c>
      <c r="D2170" s="16"/>
      <c r="E2170" s="2">
        <v>30176126.75</v>
      </c>
      <c r="F2170" s="23">
        <v>0.81156930983529885</v>
      </c>
      <c r="G2170" s="26">
        <f t="shared" si="33"/>
        <v>24490018.359999999</v>
      </c>
      <c r="H2170" t="s">
        <v>68</v>
      </c>
    </row>
    <row r="2171" spans="1:9" hidden="1">
      <c r="A2171" s="17" t="s">
        <v>1484</v>
      </c>
      <c r="B2171" s="18" t="s">
        <v>1485</v>
      </c>
      <c r="C2171" s="19" t="s">
        <v>73</v>
      </c>
      <c r="D2171" s="20"/>
      <c r="E2171" s="3">
        <v>30176126.75</v>
      </c>
      <c r="F2171" s="24">
        <v>0.15078157868620432</v>
      </c>
      <c r="G2171" s="26">
        <f t="shared" si="33"/>
        <v>4550004.03</v>
      </c>
      <c r="H2171" t="s">
        <v>68</v>
      </c>
    </row>
    <row r="2172" spans="1:9" hidden="1">
      <c r="A2172" s="15" t="s">
        <v>1484</v>
      </c>
      <c r="B2172" s="16" t="s">
        <v>1485</v>
      </c>
      <c r="C2172" s="15" t="s">
        <v>74</v>
      </c>
      <c r="D2172" s="16"/>
      <c r="E2172" s="2">
        <v>30176126.75</v>
      </c>
      <c r="F2172" s="23">
        <v>3.7649111478496824E-2</v>
      </c>
      <c r="G2172" s="26">
        <f t="shared" si="33"/>
        <v>1136104.3600000001</v>
      </c>
      <c r="H2172" t="s">
        <v>68</v>
      </c>
    </row>
    <row r="2173" spans="1:9" hidden="1">
      <c r="A2173" s="17" t="s">
        <v>1486</v>
      </c>
      <c r="B2173" s="21" t="s">
        <v>1487</v>
      </c>
      <c r="C2173" s="19" t="s">
        <v>72</v>
      </c>
      <c r="D2173" s="20"/>
      <c r="E2173" s="3">
        <v>19729348.149999999</v>
      </c>
      <c r="F2173" s="24">
        <v>0.71988573428869218</v>
      </c>
      <c r="G2173" s="26">
        <f t="shared" si="33"/>
        <v>14202876.279999999</v>
      </c>
      <c r="H2173" t="s">
        <v>68</v>
      </c>
    </row>
    <row r="2174" spans="1:9" hidden="1">
      <c r="A2174" s="13" t="s">
        <v>1486</v>
      </c>
      <c r="B2174" s="22" t="s">
        <v>1487</v>
      </c>
      <c r="C2174" s="15" t="s">
        <v>73</v>
      </c>
      <c r="D2174" s="16"/>
      <c r="E2174" s="2">
        <v>19729348.149999999</v>
      </c>
      <c r="F2174" s="23">
        <v>0.23378740619973298</v>
      </c>
      <c r="G2174" s="26">
        <f t="shared" si="33"/>
        <v>4612473.13</v>
      </c>
      <c r="H2174" t="s">
        <v>68</v>
      </c>
    </row>
    <row r="2175" spans="1:9" hidden="1">
      <c r="A2175" s="19" t="s">
        <v>1486</v>
      </c>
      <c r="B2175" s="20" t="s">
        <v>1487</v>
      </c>
      <c r="C2175" s="19" t="s">
        <v>74</v>
      </c>
      <c r="D2175" s="20"/>
      <c r="E2175" s="3">
        <v>19729348.149999999</v>
      </c>
      <c r="F2175" s="24">
        <v>4.6326859511574899E-2</v>
      </c>
      <c r="G2175" s="26">
        <f t="shared" si="33"/>
        <v>913998.74000000011</v>
      </c>
      <c r="H2175" t="s">
        <v>68</v>
      </c>
    </row>
    <row r="2176" spans="1:9" hidden="1">
      <c r="A2176" s="13" t="s">
        <v>1488</v>
      </c>
      <c r="B2176" s="14" t="s">
        <v>153</v>
      </c>
      <c r="C2176" s="15" t="s">
        <v>72</v>
      </c>
      <c r="D2176" s="16"/>
      <c r="E2176" s="2">
        <v>12653350.99</v>
      </c>
      <c r="F2176" s="23">
        <v>0.4826218260148018</v>
      </c>
      <c r="G2176" s="26">
        <f t="shared" si="33"/>
        <v>6106783.3600000003</v>
      </c>
      <c r="H2176" t="s">
        <v>68</v>
      </c>
    </row>
    <row r="2177" spans="1:8" hidden="1">
      <c r="A2177" s="17" t="s">
        <v>1488</v>
      </c>
      <c r="B2177" s="18" t="s">
        <v>153</v>
      </c>
      <c r="C2177" s="19" t="s">
        <v>73</v>
      </c>
      <c r="D2177" s="20"/>
      <c r="E2177" s="3">
        <v>12653350.99</v>
      </c>
      <c r="F2177" s="24">
        <v>0.48257559399290795</v>
      </c>
      <c r="G2177" s="26">
        <f t="shared" si="33"/>
        <v>6106198.3700000001</v>
      </c>
      <c r="H2177" t="s">
        <v>68</v>
      </c>
    </row>
    <row r="2178" spans="1:8" hidden="1">
      <c r="A2178" s="15" t="s">
        <v>1488</v>
      </c>
      <c r="B2178" s="16" t="s">
        <v>153</v>
      </c>
      <c r="C2178" s="15" t="s">
        <v>74</v>
      </c>
      <c r="D2178" s="16"/>
      <c r="E2178" s="2">
        <v>12653350.99</v>
      </c>
      <c r="F2178" s="23">
        <v>3.480257999229025E-2</v>
      </c>
      <c r="G2178" s="26">
        <f t="shared" si="33"/>
        <v>440369.26</v>
      </c>
      <c r="H2178" t="s">
        <v>68</v>
      </c>
    </row>
    <row r="2179" spans="1:8" hidden="1">
      <c r="A2179" s="17" t="s">
        <v>1489</v>
      </c>
      <c r="B2179" s="21" t="s">
        <v>1420</v>
      </c>
      <c r="C2179" s="19" t="s">
        <v>72</v>
      </c>
      <c r="D2179" s="20"/>
      <c r="E2179" s="3">
        <v>32554996.710000001</v>
      </c>
      <c r="F2179" s="24">
        <v>0.54302032887534579</v>
      </c>
      <c r="G2179" s="26">
        <f t="shared" si="33"/>
        <v>17678025.02</v>
      </c>
      <c r="H2179" t="s">
        <v>68</v>
      </c>
    </row>
    <row r="2180" spans="1:8" hidden="1">
      <c r="A2180" s="13" t="s">
        <v>1489</v>
      </c>
      <c r="B2180" s="22" t="s">
        <v>1420</v>
      </c>
      <c r="C2180" s="15" t="s">
        <v>73</v>
      </c>
      <c r="D2180" s="16"/>
      <c r="E2180" s="2">
        <v>32554996.710000001</v>
      </c>
      <c r="F2180" s="23">
        <v>0.4066469988594264</v>
      </c>
      <c r="G2180" s="26">
        <f t="shared" si="33"/>
        <v>13238391.710000001</v>
      </c>
      <c r="H2180" t="s">
        <v>68</v>
      </c>
    </row>
    <row r="2181" spans="1:8" hidden="1">
      <c r="A2181" s="19" t="s">
        <v>1489</v>
      </c>
      <c r="B2181" s="20" t="s">
        <v>1420</v>
      </c>
      <c r="C2181" s="19" t="s">
        <v>74</v>
      </c>
      <c r="D2181" s="20"/>
      <c r="E2181" s="3">
        <v>32554996.710000001</v>
      </c>
      <c r="F2181" s="24">
        <v>5.0332672265227821E-2</v>
      </c>
      <c r="G2181" s="26">
        <f t="shared" ref="G2181:G2244" si="34">F2181*E2181</f>
        <v>1638579.98</v>
      </c>
      <c r="H2181" t="s">
        <v>68</v>
      </c>
    </row>
    <row r="2182" spans="1:8" hidden="1">
      <c r="A2182" s="13" t="s">
        <v>1490</v>
      </c>
      <c r="B2182" s="14" t="s">
        <v>1491</v>
      </c>
      <c r="C2182" s="15" t="s">
        <v>72</v>
      </c>
      <c r="D2182" s="16"/>
      <c r="E2182" s="2">
        <v>57716374.939999998</v>
      </c>
      <c r="F2182" s="23">
        <v>0.66728638484376723</v>
      </c>
      <c r="G2182" s="26">
        <f t="shared" si="34"/>
        <v>38513351.18</v>
      </c>
      <c r="H2182" t="s">
        <v>68</v>
      </c>
    </row>
    <row r="2183" spans="1:8" hidden="1">
      <c r="A2183" s="17" t="s">
        <v>1490</v>
      </c>
      <c r="B2183" s="18" t="s">
        <v>1491</v>
      </c>
      <c r="C2183" s="19" t="s">
        <v>73</v>
      </c>
      <c r="D2183" s="20"/>
      <c r="E2183" s="3">
        <v>57716374.939999998</v>
      </c>
      <c r="F2183" s="24">
        <v>0.29581937236614675</v>
      </c>
      <c r="G2183" s="26">
        <f t="shared" si="34"/>
        <v>17073621.809999999</v>
      </c>
      <c r="H2183" t="s">
        <v>68</v>
      </c>
    </row>
    <row r="2184" spans="1:8" hidden="1">
      <c r="A2184" s="15" t="s">
        <v>1490</v>
      </c>
      <c r="B2184" s="16" t="s">
        <v>1491</v>
      </c>
      <c r="C2184" s="15" t="s">
        <v>74</v>
      </c>
      <c r="D2184" s="16"/>
      <c r="E2184" s="2">
        <v>57716374.939999998</v>
      </c>
      <c r="F2184" s="23">
        <v>3.6894242790086088E-2</v>
      </c>
      <c r="G2184" s="26">
        <f t="shared" si="34"/>
        <v>2129401.9500000002</v>
      </c>
      <c r="H2184" t="s">
        <v>68</v>
      </c>
    </row>
    <row r="2185" spans="1:8" hidden="1">
      <c r="A2185" s="17" t="s">
        <v>1492</v>
      </c>
      <c r="B2185" s="21" t="s">
        <v>1493</v>
      </c>
      <c r="C2185" s="19" t="s">
        <v>72</v>
      </c>
      <c r="D2185" s="20"/>
      <c r="E2185" s="3">
        <v>8589061.1899999995</v>
      </c>
      <c r="F2185" s="24">
        <v>0.62709473024490126</v>
      </c>
      <c r="G2185" s="26">
        <f t="shared" si="34"/>
        <v>5386155.0099999998</v>
      </c>
      <c r="H2185" t="s">
        <v>68</v>
      </c>
    </row>
    <row r="2186" spans="1:8" hidden="1">
      <c r="A2186" s="13" t="s">
        <v>1492</v>
      </c>
      <c r="B2186" s="22" t="s">
        <v>1493</v>
      </c>
      <c r="C2186" s="15" t="s">
        <v>73</v>
      </c>
      <c r="D2186" s="16"/>
      <c r="E2186" s="2">
        <v>8589061.1899999995</v>
      </c>
      <c r="F2186" s="23">
        <v>0.33719976909373961</v>
      </c>
      <c r="G2186" s="26">
        <f t="shared" si="34"/>
        <v>2896229.45</v>
      </c>
      <c r="H2186" t="s">
        <v>68</v>
      </c>
    </row>
    <row r="2187" spans="1:8" hidden="1">
      <c r="A2187" s="19" t="s">
        <v>1492</v>
      </c>
      <c r="B2187" s="20" t="s">
        <v>1493</v>
      </c>
      <c r="C2187" s="19" t="s">
        <v>74</v>
      </c>
      <c r="D2187" s="20"/>
      <c r="E2187" s="3">
        <v>8589061.1899999995</v>
      </c>
      <c r="F2187" s="24">
        <v>3.5705500661359239E-2</v>
      </c>
      <c r="G2187" s="26">
        <f t="shared" si="34"/>
        <v>306676.73</v>
      </c>
      <c r="H2187" t="s">
        <v>68</v>
      </c>
    </row>
    <row r="2188" spans="1:8" hidden="1">
      <c r="A2188" s="13" t="s">
        <v>1494</v>
      </c>
      <c r="B2188" s="14" t="s">
        <v>1495</v>
      </c>
      <c r="C2188" s="15" t="s">
        <v>72</v>
      </c>
      <c r="D2188" s="16"/>
      <c r="E2188" s="2">
        <v>37910328.469999999</v>
      </c>
      <c r="F2188" s="23">
        <v>0.7257699070524567</v>
      </c>
      <c r="G2188" s="26">
        <f t="shared" si="34"/>
        <v>27514175.57</v>
      </c>
      <c r="H2188" t="s">
        <v>68</v>
      </c>
    </row>
    <row r="2189" spans="1:8" hidden="1">
      <c r="A2189" s="17" t="s">
        <v>1494</v>
      </c>
      <c r="B2189" s="18" t="s">
        <v>1495</v>
      </c>
      <c r="C2189" s="19" t="s">
        <v>73</v>
      </c>
      <c r="D2189" s="20"/>
      <c r="E2189" s="3">
        <v>37910328.469999999</v>
      </c>
      <c r="F2189" s="24">
        <v>0.24477678285861607</v>
      </c>
      <c r="G2189" s="26">
        <f t="shared" si="34"/>
        <v>9279568.2400000002</v>
      </c>
      <c r="H2189" t="s">
        <v>68</v>
      </c>
    </row>
    <row r="2190" spans="1:8" hidden="1">
      <c r="A2190" s="15" t="s">
        <v>1494</v>
      </c>
      <c r="B2190" s="16" t="s">
        <v>1495</v>
      </c>
      <c r="C2190" s="15" t="s">
        <v>74</v>
      </c>
      <c r="D2190" s="16"/>
      <c r="E2190" s="2">
        <v>37910328.469999999</v>
      </c>
      <c r="F2190" s="23">
        <v>2.9453310088927331E-2</v>
      </c>
      <c r="G2190" s="26">
        <f t="shared" si="34"/>
        <v>1116584.6599999999</v>
      </c>
      <c r="H2190" t="s">
        <v>68</v>
      </c>
    </row>
    <row r="2191" spans="1:8" hidden="1">
      <c r="A2191" s="17" t="s">
        <v>1496</v>
      </c>
      <c r="B2191" s="21" t="s">
        <v>1497</v>
      </c>
      <c r="C2191" s="19" t="s">
        <v>72</v>
      </c>
      <c r="D2191" s="20"/>
      <c r="E2191" s="3">
        <v>29195068.460000001</v>
      </c>
      <c r="F2191" s="24">
        <v>0.78890772020474298</v>
      </c>
      <c r="G2191" s="26">
        <f t="shared" si="34"/>
        <v>23032214.899999999</v>
      </c>
      <c r="H2191" t="s">
        <v>68</v>
      </c>
    </row>
    <row r="2192" spans="1:8" hidden="1">
      <c r="A2192" s="13" t="s">
        <v>1496</v>
      </c>
      <c r="B2192" s="22" t="s">
        <v>1497</v>
      </c>
      <c r="C2192" s="15" t="s">
        <v>73</v>
      </c>
      <c r="D2192" s="16"/>
      <c r="E2192" s="2">
        <v>29195068.460000001</v>
      </c>
      <c r="F2192" s="23">
        <v>0.18381882396860116</v>
      </c>
      <c r="G2192" s="26">
        <f t="shared" si="34"/>
        <v>5366603.1500000004</v>
      </c>
      <c r="H2192" t="s">
        <v>68</v>
      </c>
    </row>
    <row r="2193" spans="1:9" hidden="1">
      <c r="A2193" s="19" t="s">
        <v>1496</v>
      </c>
      <c r="B2193" s="20" t="s">
        <v>1497</v>
      </c>
      <c r="C2193" s="19" t="s">
        <v>74</v>
      </c>
      <c r="D2193" s="20"/>
      <c r="E2193" s="3">
        <v>29195068.460000001</v>
      </c>
      <c r="F2193" s="24">
        <v>2.7273455826655732E-2</v>
      </c>
      <c r="G2193" s="26">
        <f t="shared" si="34"/>
        <v>796250.41</v>
      </c>
      <c r="H2193" t="s">
        <v>68</v>
      </c>
    </row>
    <row r="2194" spans="1:9" hidden="1">
      <c r="A2194" s="13" t="s">
        <v>1498</v>
      </c>
      <c r="B2194" s="14" t="s">
        <v>1207</v>
      </c>
      <c r="C2194" s="15" t="s">
        <v>72</v>
      </c>
      <c r="D2194" s="16"/>
      <c r="E2194" s="2">
        <v>26204737.5</v>
      </c>
      <c r="F2194" s="23">
        <v>0.52129240714584524</v>
      </c>
      <c r="G2194" s="26">
        <f t="shared" si="34"/>
        <v>13660330.689999999</v>
      </c>
      <c r="H2194" t="s">
        <v>68</v>
      </c>
    </row>
    <row r="2195" spans="1:9" hidden="1">
      <c r="A2195" s="17" t="s">
        <v>1498</v>
      </c>
      <c r="B2195" s="18" t="s">
        <v>1207</v>
      </c>
      <c r="C2195" s="19" t="s">
        <v>73</v>
      </c>
      <c r="D2195" s="20"/>
      <c r="E2195" s="3">
        <v>26204737.5</v>
      </c>
      <c r="F2195" s="24">
        <v>0.41056955636361553</v>
      </c>
      <c r="G2195" s="26">
        <f t="shared" si="34"/>
        <v>10758867.449999999</v>
      </c>
      <c r="H2195" t="s">
        <v>68</v>
      </c>
    </row>
    <row r="2196" spans="1:9" hidden="1">
      <c r="A2196" s="15" t="s">
        <v>1498</v>
      </c>
      <c r="B2196" s="16" t="s">
        <v>1207</v>
      </c>
      <c r="C2196" s="15" t="s">
        <v>74</v>
      </c>
      <c r="D2196" s="16"/>
      <c r="E2196" s="2">
        <v>26204737.5</v>
      </c>
      <c r="F2196" s="23">
        <v>6.8138036490539164E-2</v>
      </c>
      <c r="G2196" s="26">
        <f t="shared" si="34"/>
        <v>1785539.36</v>
      </c>
      <c r="H2196" t="s">
        <v>68</v>
      </c>
    </row>
    <row r="2197" spans="1:9" hidden="1">
      <c r="A2197" s="17" t="s">
        <v>1499</v>
      </c>
      <c r="B2197" s="21" t="s">
        <v>1500</v>
      </c>
      <c r="C2197" s="19" t="s">
        <v>72</v>
      </c>
      <c r="D2197" s="20"/>
      <c r="E2197" s="3">
        <v>42975084.380000003</v>
      </c>
      <c r="F2197" s="24">
        <v>0.7599690362725473</v>
      </c>
      <c r="G2197" s="26">
        <f t="shared" si="34"/>
        <v>32659733.460000005</v>
      </c>
      <c r="H2197" t="s">
        <v>68</v>
      </c>
    </row>
    <row r="2198" spans="1:9" hidden="1">
      <c r="A2198" s="13" t="s">
        <v>1499</v>
      </c>
      <c r="B2198" s="22" t="s">
        <v>1500</v>
      </c>
      <c r="C2198" s="15" t="s">
        <v>73</v>
      </c>
      <c r="D2198" s="16"/>
      <c r="E2198" s="2">
        <v>42975084.380000003</v>
      </c>
      <c r="F2198" s="23">
        <v>0.21306958722951086</v>
      </c>
      <c r="G2198" s="26">
        <f t="shared" si="34"/>
        <v>9156683.4900000002</v>
      </c>
      <c r="H2198" t="s">
        <v>68</v>
      </c>
    </row>
    <row r="2199" spans="1:9" hidden="1">
      <c r="A2199" s="19" t="s">
        <v>1499</v>
      </c>
      <c r="B2199" s="20" t="s">
        <v>1500</v>
      </c>
      <c r="C2199" s="19" t="s">
        <v>74</v>
      </c>
      <c r="D2199" s="20"/>
      <c r="E2199" s="3">
        <v>42975084.380000003</v>
      </c>
      <c r="F2199" s="24">
        <v>2.696137649794185E-2</v>
      </c>
      <c r="G2199" s="26">
        <f t="shared" si="34"/>
        <v>1158667.43</v>
      </c>
      <c r="H2199" t="s">
        <v>68</v>
      </c>
    </row>
    <row r="2200" spans="1:9" hidden="1">
      <c r="A2200" s="13" t="s">
        <v>1501</v>
      </c>
      <c r="B2200" s="14" t="s">
        <v>1502</v>
      </c>
      <c r="C2200" s="15" t="s">
        <v>72</v>
      </c>
      <c r="D2200" s="16"/>
      <c r="E2200" s="2">
        <v>16123602.050000001</v>
      </c>
      <c r="F2200" s="23">
        <v>0.82092728466961884</v>
      </c>
      <c r="G2200" s="26">
        <f t="shared" si="34"/>
        <v>13236304.85</v>
      </c>
      <c r="H2200" t="s">
        <v>68</v>
      </c>
      <c r="I2200" t="s">
        <v>1883</v>
      </c>
    </row>
    <row r="2201" spans="1:9" hidden="1">
      <c r="A2201" s="17" t="s">
        <v>1501</v>
      </c>
      <c r="B2201" s="18" t="s">
        <v>1502</v>
      </c>
      <c r="C2201" s="19" t="s">
        <v>73</v>
      </c>
      <c r="D2201" s="20"/>
      <c r="E2201" s="3">
        <v>16123602.050000001</v>
      </c>
      <c r="F2201" s="24">
        <v>0.15004194177565924</v>
      </c>
      <c r="G2201" s="26">
        <f t="shared" si="34"/>
        <v>2419216.56</v>
      </c>
      <c r="H2201" t="s">
        <v>68</v>
      </c>
      <c r="I2201" t="s">
        <v>1883</v>
      </c>
    </row>
    <row r="2202" spans="1:9" hidden="1">
      <c r="A2202" s="15" t="s">
        <v>1501</v>
      </c>
      <c r="B2202" s="16" t="s">
        <v>1502</v>
      </c>
      <c r="C2202" s="15" t="s">
        <v>74</v>
      </c>
      <c r="D2202" s="16"/>
      <c r="E2202" s="2">
        <v>16123602.050000001</v>
      </c>
      <c r="F2202" s="23">
        <v>2.903077355472191E-2</v>
      </c>
      <c r="G2202" s="26">
        <f t="shared" si="34"/>
        <v>468080.64000000001</v>
      </c>
      <c r="H2202" t="s">
        <v>68</v>
      </c>
      <c r="I2202" t="s">
        <v>1883</v>
      </c>
    </row>
    <row r="2203" spans="1:9" hidden="1">
      <c r="A2203" s="17" t="s">
        <v>1503</v>
      </c>
      <c r="B2203" s="21" t="s">
        <v>1504</v>
      </c>
      <c r="C2203" s="19" t="s">
        <v>72</v>
      </c>
      <c r="D2203" s="20"/>
      <c r="E2203" s="3">
        <v>3735580.48</v>
      </c>
      <c r="F2203" s="24">
        <v>0.36899966615094848</v>
      </c>
      <c r="G2203" s="26">
        <f t="shared" si="34"/>
        <v>1378427.95</v>
      </c>
      <c r="H2203" t="s">
        <v>68</v>
      </c>
    </row>
    <row r="2204" spans="1:9" hidden="1">
      <c r="A2204" s="13" t="s">
        <v>1503</v>
      </c>
      <c r="B2204" s="22" t="s">
        <v>1504</v>
      </c>
      <c r="C2204" s="15" t="s">
        <v>73</v>
      </c>
      <c r="D2204" s="16"/>
      <c r="E2204" s="2">
        <v>3735580.48</v>
      </c>
      <c r="F2204" s="23">
        <v>0.45339418038719381</v>
      </c>
      <c r="G2204" s="26">
        <f t="shared" si="34"/>
        <v>1693690.45</v>
      </c>
      <c r="H2204" t="s">
        <v>68</v>
      </c>
    </row>
    <row r="2205" spans="1:9" hidden="1">
      <c r="A2205" s="19" t="s">
        <v>1503</v>
      </c>
      <c r="B2205" s="20" t="s">
        <v>1504</v>
      </c>
      <c r="C2205" s="19" t="s">
        <v>74</v>
      </c>
      <c r="D2205" s="20"/>
      <c r="E2205" s="3">
        <v>3735580.48</v>
      </c>
      <c r="F2205" s="24">
        <v>0.17760615346185768</v>
      </c>
      <c r="G2205" s="26">
        <f t="shared" si="34"/>
        <v>663462.07999999996</v>
      </c>
      <c r="H2205" t="s">
        <v>68</v>
      </c>
    </row>
    <row r="2206" spans="1:9" hidden="1">
      <c r="A2206" s="13" t="s">
        <v>1505</v>
      </c>
      <c r="B2206" s="14" t="s">
        <v>1506</v>
      </c>
      <c r="C2206" s="15" t="s">
        <v>72</v>
      </c>
      <c r="D2206" s="16"/>
      <c r="E2206" s="2">
        <v>6415258.5800000001</v>
      </c>
      <c r="F2206" s="23">
        <v>0.39312392455426165</v>
      </c>
      <c r="G2206" s="26">
        <f t="shared" si="34"/>
        <v>2521991.63</v>
      </c>
      <c r="H2206" t="s">
        <v>68</v>
      </c>
    </row>
    <row r="2207" spans="1:9" hidden="1">
      <c r="A2207" s="17" t="s">
        <v>1505</v>
      </c>
      <c r="B2207" s="18" t="s">
        <v>1506</v>
      </c>
      <c r="C2207" s="19" t="s">
        <v>73</v>
      </c>
      <c r="D2207" s="20"/>
      <c r="E2207" s="3">
        <v>6415258.5800000001</v>
      </c>
      <c r="F2207" s="24">
        <v>0.55117152269176339</v>
      </c>
      <c r="G2207" s="26">
        <f t="shared" si="34"/>
        <v>3535907.84</v>
      </c>
      <c r="H2207" t="s">
        <v>68</v>
      </c>
    </row>
    <row r="2208" spans="1:9" hidden="1">
      <c r="A2208" s="15" t="s">
        <v>1505</v>
      </c>
      <c r="B2208" s="16" t="s">
        <v>1506</v>
      </c>
      <c r="C2208" s="15" t="s">
        <v>74</v>
      </c>
      <c r="D2208" s="16"/>
      <c r="E2208" s="2">
        <v>6415258.5800000001</v>
      </c>
      <c r="F2208" s="23">
        <v>5.570455275397488E-2</v>
      </c>
      <c r="G2208" s="26">
        <f t="shared" si="34"/>
        <v>357359.11</v>
      </c>
      <c r="H2208" t="s">
        <v>68</v>
      </c>
    </row>
    <row r="2209" spans="1:8" hidden="1">
      <c r="A2209" s="17" t="s">
        <v>1507</v>
      </c>
      <c r="B2209" s="21" t="s">
        <v>1508</v>
      </c>
      <c r="C2209" s="19" t="s">
        <v>72</v>
      </c>
      <c r="D2209" s="20"/>
      <c r="E2209" s="3">
        <v>10675381.220000001</v>
      </c>
      <c r="F2209" s="24">
        <v>0.32555347189746536</v>
      </c>
      <c r="G2209" s="26">
        <f t="shared" si="34"/>
        <v>3475407.42</v>
      </c>
      <c r="H2209" t="s">
        <v>68</v>
      </c>
    </row>
    <row r="2210" spans="1:8" hidden="1">
      <c r="A2210" s="13" t="s">
        <v>1507</v>
      </c>
      <c r="B2210" s="22" t="s">
        <v>1508</v>
      </c>
      <c r="C2210" s="15" t="s">
        <v>73</v>
      </c>
      <c r="D2210" s="16"/>
      <c r="E2210" s="2">
        <v>10675381.220000001</v>
      </c>
      <c r="F2210" s="23">
        <v>0.59336276892226991</v>
      </c>
      <c r="G2210" s="26">
        <f t="shared" si="34"/>
        <v>6334373.7600000007</v>
      </c>
      <c r="H2210" t="s">
        <v>68</v>
      </c>
    </row>
    <row r="2211" spans="1:8" hidden="1">
      <c r="A2211" s="19" t="s">
        <v>1507</v>
      </c>
      <c r="B2211" s="20" t="s">
        <v>1508</v>
      </c>
      <c r="C2211" s="19" t="s">
        <v>74</v>
      </c>
      <c r="D2211" s="20"/>
      <c r="E2211" s="3">
        <v>10675381.220000001</v>
      </c>
      <c r="F2211" s="24">
        <v>8.108375918026467E-2</v>
      </c>
      <c r="G2211" s="26">
        <f t="shared" si="34"/>
        <v>865600.04000000015</v>
      </c>
      <c r="H2211" t="s">
        <v>68</v>
      </c>
    </row>
    <row r="2212" spans="1:8" hidden="1">
      <c r="A2212" s="13" t="s">
        <v>1509</v>
      </c>
      <c r="B2212" s="14" t="s">
        <v>1510</v>
      </c>
      <c r="C2212" s="15" t="s">
        <v>72</v>
      </c>
      <c r="D2212" s="16"/>
      <c r="E2212" s="2">
        <v>12306488.529999999</v>
      </c>
      <c r="F2212" s="23">
        <v>0.33477071221062604</v>
      </c>
      <c r="G2212" s="26">
        <f t="shared" si="34"/>
        <v>4119851.93</v>
      </c>
      <c r="H2212" t="s">
        <v>68</v>
      </c>
    </row>
    <row r="2213" spans="1:8" hidden="1">
      <c r="A2213" s="17" t="s">
        <v>1509</v>
      </c>
      <c r="B2213" s="18" t="s">
        <v>1510</v>
      </c>
      <c r="C2213" s="19" t="s">
        <v>73</v>
      </c>
      <c r="D2213" s="20"/>
      <c r="E2213" s="3">
        <v>12306488.529999999</v>
      </c>
      <c r="F2213" s="24">
        <v>0.61955376315619093</v>
      </c>
      <c r="G2213" s="26">
        <f t="shared" si="34"/>
        <v>7624531.2800000003</v>
      </c>
      <c r="H2213" t="s">
        <v>68</v>
      </c>
    </row>
    <row r="2214" spans="1:8" hidden="1">
      <c r="A2214" s="15" t="s">
        <v>1509</v>
      </c>
      <c r="B2214" s="16" t="s">
        <v>1510</v>
      </c>
      <c r="C2214" s="15" t="s">
        <v>74</v>
      </c>
      <c r="D2214" s="16"/>
      <c r="E2214" s="2">
        <v>12306488.529999999</v>
      </c>
      <c r="F2214" s="23">
        <v>4.5675524633183077E-2</v>
      </c>
      <c r="G2214" s="26">
        <f t="shared" si="34"/>
        <v>562105.31999999995</v>
      </c>
      <c r="H2214" t="s">
        <v>68</v>
      </c>
    </row>
    <row r="2215" spans="1:8" hidden="1">
      <c r="A2215" s="17" t="s">
        <v>1511</v>
      </c>
      <c r="B2215" s="21" t="s">
        <v>1512</v>
      </c>
      <c r="C2215" s="19" t="s">
        <v>72</v>
      </c>
      <c r="D2215" s="20"/>
      <c r="E2215" s="3">
        <v>9120709.1999999993</v>
      </c>
      <c r="F2215" s="24">
        <v>0.6023403530944722</v>
      </c>
      <c r="G2215" s="26">
        <f t="shared" si="34"/>
        <v>5493771.2000000002</v>
      </c>
      <c r="H2215" t="s">
        <v>68</v>
      </c>
    </row>
    <row r="2216" spans="1:8" hidden="1">
      <c r="A2216" s="13" t="s">
        <v>1511</v>
      </c>
      <c r="B2216" s="22" t="s">
        <v>1512</v>
      </c>
      <c r="C2216" s="15" t="s">
        <v>73</v>
      </c>
      <c r="D2216" s="16"/>
      <c r="E2216" s="2">
        <v>9120709.1999999993</v>
      </c>
      <c r="F2216" s="23">
        <v>0.36340875992406385</v>
      </c>
      <c r="G2216" s="26">
        <f t="shared" si="34"/>
        <v>3314545.62</v>
      </c>
      <c r="H2216" t="s">
        <v>68</v>
      </c>
    </row>
    <row r="2217" spans="1:8" hidden="1">
      <c r="A2217" s="19" t="s">
        <v>1511</v>
      </c>
      <c r="B2217" s="20" t="s">
        <v>1512</v>
      </c>
      <c r="C2217" s="19" t="s">
        <v>74</v>
      </c>
      <c r="D2217" s="20"/>
      <c r="E2217" s="3">
        <v>9120709.1999999993</v>
      </c>
      <c r="F2217" s="24">
        <v>3.425088698146412E-2</v>
      </c>
      <c r="G2217" s="26">
        <f t="shared" si="34"/>
        <v>312392.38</v>
      </c>
      <c r="H2217" t="s">
        <v>68</v>
      </c>
    </row>
    <row r="2218" spans="1:8" hidden="1">
      <c r="A2218" s="13" t="s">
        <v>1513</v>
      </c>
      <c r="B2218" s="14" t="s">
        <v>1514</v>
      </c>
      <c r="C2218" s="15" t="s">
        <v>72</v>
      </c>
      <c r="D2218" s="16"/>
      <c r="E2218" s="2">
        <v>30403040.420000002</v>
      </c>
      <c r="F2218" s="23">
        <v>0.67292978061961872</v>
      </c>
      <c r="G2218" s="26">
        <f t="shared" si="34"/>
        <v>20459111.32</v>
      </c>
      <c r="H2218" t="s">
        <v>68</v>
      </c>
    </row>
    <row r="2219" spans="1:8" hidden="1">
      <c r="A2219" s="17" t="s">
        <v>1513</v>
      </c>
      <c r="B2219" s="18" t="s">
        <v>1514</v>
      </c>
      <c r="C2219" s="19" t="s">
        <v>73</v>
      </c>
      <c r="D2219" s="20"/>
      <c r="E2219" s="3">
        <v>30403040.420000002</v>
      </c>
      <c r="F2219" s="24">
        <v>0.28475640397809926</v>
      </c>
      <c r="G2219" s="26">
        <f t="shared" si="34"/>
        <v>8657460.4600000009</v>
      </c>
      <c r="H2219" t="s">
        <v>68</v>
      </c>
    </row>
    <row r="2220" spans="1:8" hidden="1">
      <c r="A2220" s="15" t="s">
        <v>1513</v>
      </c>
      <c r="B2220" s="16" t="s">
        <v>1514</v>
      </c>
      <c r="C2220" s="15" t="s">
        <v>74</v>
      </c>
      <c r="D2220" s="16"/>
      <c r="E2220" s="2">
        <v>30403040.420000002</v>
      </c>
      <c r="F2220" s="23">
        <v>4.2313815402282053E-2</v>
      </c>
      <c r="G2220" s="26">
        <f t="shared" si="34"/>
        <v>1286468.6399999999</v>
      </c>
      <c r="H2220" t="s">
        <v>68</v>
      </c>
    </row>
    <row r="2221" spans="1:8" hidden="1">
      <c r="A2221" s="17" t="s">
        <v>1515</v>
      </c>
      <c r="B2221" s="21" t="s">
        <v>1516</v>
      </c>
      <c r="C2221" s="19" t="s">
        <v>72</v>
      </c>
      <c r="D2221" s="20"/>
      <c r="E2221" s="3">
        <v>8405285.9600000009</v>
      </c>
      <c r="F2221" s="24">
        <v>0.38588819647963529</v>
      </c>
      <c r="G2221" s="26">
        <f t="shared" si="34"/>
        <v>3243500.64</v>
      </c>
      <c r="H2221" t="s">
        <v>68</v>
      </c>
    </row>
    <row r="2222" spans="1:8" hidden="1">
      <c r="A2222" s="13" t="s">
        <v>1515</v>
      </c>
      <c r="B2222" s="22" t="s">
        <v>1516</v>
      </c>
      <c r="C2222" s="15" t="s">
        <v>73</v>
      </c>
      <c r="D2222" s="16"/>
      <c r="E2222" s="2">
        <v>8405285.9600000009</v>
      </c>
      <c r="F2222" s="23">
        <v>0.55375949874286012</v>
      </c>
      <c r="G2222" s="26">
        <f t="shared" si="34"/>
        <v>4654506.9400000004</v>
      </c>
      <c r="H2222" t="s">
        <v>68</v>
      </c>
    </row>
    <row r="2223" spans="1:8" hidden="1">
      <c r="A2223" s="19" t="s">
        <v>1515</v>
      </c>
      <c r="B2223" s="20" t="s">
        <v>1516</v>
      </c>
      <c r="C2223" s="19" t="s">
        <v>74</v>
      </c>
      <c r="D2223" s="20"/>
      <c r="E2223" s="3">
        <v>8405285.9600000009</v>
      </c>
      <c r="F2223" s="24">
        <v>6.0352304777504556E-2</v>
      </c>
      <c r="G2223" s="26">
        <f t="shared" si="34"/>
        <v>507278.38</v>
      </c>
      <c r="H2223" t="s">
        <v>68</v>
      </c>
    </row>
    <row r="2224" spans="1:8" hidden="1">
      <c r="A2224" s="13" t="s">
        <v>1517</v>
      </c>
      <c r="B2224" s="14" t="s">
        <v>1518</v>
      </c>
      <c r="C2224" s="15" t="s">
        <v>72</v>
      </c>
      <c r="D2224" s="16"/>
      <c r="E2224" s="2">
        <v>16482861.16</v>
      </c>
      <c r="F2224" s="23">
        <v>0.47694665651118057</v>
      </c>
      <c r="G2224" s="26">
        <f t="shared" si="34"/>
        <v>7861445.5199999996</v>
      </c>
      <c r="H2224" t="s">
        <v>68</v>
      </c>
    </row>
    <row r="2225" spans="1:8" hidden="1">
      <c r="A2225" s="17" t="s">
        <v>1517</v>
      </c>
      <c r="B2225" s="18" t="s">
        <v>1518</v>
      </c>
      <c r="C2225" s="19" t="s">
        <v>73</v>
      </c>
      <c r="D2225" s="20"/>
      <c r="E2225" s="3">
        <v>16482861.16</v>
      </c>
      <c r="F2225" s="24">
        <v>0.47295705850621872</v>
      </c>
      <c r="G2225" s="26">
        <f t="shared" si="34"/>
        <v>7795685.5300000003</v>
      </c>
      <c r="H2225" t="s">
        <v>68</v>
      </c>
    </row>
    <row r="2226" spans="1:8" hidden="1">
      <c r="A2226" s="15" t="s">
        <v>1517</v>
      </c>
      <c r="B2226" s="16" t="s">
        <v>1518</v>
      </c>
      <c r="C2226" s="15" t="s">
        <v>74</v>
      </c>
      <c r="D2226" s="16"/>
      <c r="E2226" s="2">
        <v>16482861.16</v>
      </c>
      <c r="F2226" s="23">
        <v>5.0096284982600679E-2</v>
      </c>
      <c r="G2226" s="26">
        <f t="shared" si="34"/>
        <v>825730.11</v>
      </c>
      <c r="H2226" t="s">
        <v>68</v>
      </c>
    </row>
    <row r="2227" spans="1:8" hidden="1">
      <c r="A2227" s="17" t="s">
        <v>1519</v>
      </c>
      <c r="B2227" s="21" t="s">
        <v>1520</v>
      </c>
      <c r="C2227" s="19" t="s">
        <v>72</v>
      </c>
      <c r="D2227" s="20"/>
      <c r="E2227" s="3">
        <v>16035309.67</v>
      </c>
      <c r="F2227" s="24">
        <v>0.56096128513369703</v>
      </c>
      <c r="G2227" s="26">
        <f t="shared" si="34"/>
        <v>8995187.9199999999</v>
      </c>
      <c r="H2227" t="s">
        <v>68</v>
      </c>
    </row>
    <row r="2228" spans="1:8" hidden="1">
      <c r="A2228" s="13" t="s">
        <v>1519</v>
      </c>
      <c r="B2228" s="22" t="s">
        <v>1520</v>
      </c>
      <c r="C2228" s="15" t="s">
        <v>73</v>
      </c>
      <c r="D2228" s="16"/>
      <c r="E2228" s="2">
        <v>16035309.67</v>
      </c>
      <c r="F2228" s="23">
        <v>0.38373581157039172</v>
      </c>
      <c r="G2228" s="26">
        <f t="shared" si="34"/>
        <v>6153322.5700000003</v>
      </c>
      <c r="H2228" t="s">
        <v>68</v>
      </c>
    </row>
    <row r="2229" spans="1:8" hidden="1">
      <c r="A2229" s="19" t="s">
        <v>1519</v>
      </c>
      <c r="B2229" s="20" t="s">
        <v>1520</v>
      </c>
      <c r="C2229" s="19" t="s">
        <v>74</v>
      </c>
      <c r="D2229" s="20"/>
      <c r="E2229" s="3">
        <v>16035309.67</v>
      </c>
      <c r="F2229" s="24">
        <v>5.530290329591122E-2</v>
      </c>
      <c r="G2229" s="26">
        <f t="shared" si="34"/>
        <v>886799.18</v>
      </c>
      <c r="H2229" t="s">
        <v>68</v>
      </c>
    </row>
    <row r="2230" spans="1:8" hidden="1">
      <c r="A2230" s="13" t="s">
        <v>1521</v>
      </c>
      <c r="B2230" s="14" t="s">
        <v>1522</v>
      </c>
      <c r="C2230" s="15" t="s">
        <v>72</v>
      </c>
      <c r="D2230" s="16"/>
      <c r="E2230" s="2">
        <v>8046763.1699999999</v>
      </c>
      <c r="F2230" s="23">
        <v>0.7722762145117289</v>
      </c>
      <c r="G2230" s="26">
        <f t="shared" si="34"/>
        <v>6214323.7999999998</v>
      </c>
      <c r="H2230" t="s">
        <v>68</v>
      </c>
    </row>
    <row r="2231" spans="1:8" hidden="1">
      <c r="A2231" s="17" t="s">
        <v>1521</v>
      </c>
      <c r="B2231" s="18" t="s">
        <v>1522</v>
      </c>
      <c r="C2231" s="19" t="s">
        <v>73</v>
      </c>
      <c r="D2231" s="20"/>
      <c r="E2231" s="3">
        <v>8046763.1699999999</v>
      </c>
      <c r="F2231" s="24">
        <v>0.2030844297856973</v>
      </c>
      <c r="G2231" s="26">
        <f t="shared" si="34"/>
        <v>1634172.31</v>
      </c>
      <c r="H2231" t="s">
        <v>68</v>
      </c>
    </row>
    <row r="2232" spans="1:8" hidden="1">
      <c r="A2232" s="15" t="s">
        <v>1521</v>
      </c>
      <c r="B2232" s="16" t="s">
        <v>1522</v>
      </c>
      <c r="C2232" s="15" t="s">
        <v>74</v>
      </c>
      <c r="D2232" s="16"/>
      <c r="E2232" s="2">
        <v>8046763.1699999999</v>
      </c>
      <c r="F2232" s="23">
        <v>2.4639355702573758E-2</v>
      </c>
      <c r="G2232" s="26">
        <f t="shared" si="34"/>
        <v>198267.06</v>
      </c>
      <c r="H2232" t="s">
        <v>68</v>
      </c>
    </row>
    <row r="2233" spans="1:8" hidden="1">
      <c r="A2233" s="17" t="s">
        <v>1523</v>
      </c>
      <c r="B2233" s="21" t="s">
        <v>1524</v>
      </c>
      <c r="C2233" s="19" t="s">
        <v>72</v>
      </c>
      <c r="D2233" s="20"/>
      <c r="E2233" s="3">
        <v>8666347.9499999993</v>
      </c>
      <c r="F2233" s="24">
        <v>0.28843092089326977</v>
      </c>
      <c r="G2233" s="26">
        <f t="shared" si="34"/>
        <v>2499642.7200000002</v>
      </c>
      <c r="H2233" t="s">
        <v>68</v>
      </c>
    </row>
    <row r="2234" spans="1:8" hidden="1">
      <c r="A2234" s="13" t="s">
        <v>1523</v>
      </c>
      <c r="B2234" s="22" t="s">
        <v>1524</v>
      </c>
      <c r="C2234" s="15" t="s">
        <v>73</v>
      </c>
      <c r="D2234" s="16"/>
      <c r="E2234" s="2">
        <v>8666347.9499999993</v>
      </c>
      <c r="F2234" s="23">
        <v>0.66409379743401609</v>
      </c>
      <c r="G2234" s="26">
        <f t="shared" si="34"/>
        <v>5755267.9199999999</v>
      </c>
      <c r="H2234" t="s">
        <v>68</v>
      </c>
    </row>
    <row r="2235" spans="1:8" hidden="1">
      <c r="A2235" s="19" t="s">
        <v>1523</v>
      </c>
      <c r="B2235" s="20" t="s">
        <v>1524</v>
      </c>
      <c r="C2235" s="19" t="s">
        <v>74</v>
      </c>
      <c r="D2235" s="20"/>
      <c r="E2235" s="3">
        <v>8666347.9499999993</v>
      </c>
      <c r="F2235" s="24">
        <v>4.7475281672714288E-2</v>
      </c>
      <c r="G2235" s="26">
        <f t="shared" si="34"/>
        <v>411437.31</v>
      </c>
      <c r="H2235" t="s">
        <v>68</v>
      </c>
    </row>
    <row r="2236" spans="1:8" hidden="1">
      <c r="A2236" s="13" t="s">
        <v>1525</v>
      </c>
      <c r="B2236" s="14" t="s">
        <v>1526</v>
      </c>
      <c r="C2236" s="15" t="s">
        <v>72</v>
      </c>
      <c r="D2236" s="16"/>
      <c r="E2236" s="2">
        <v>6430449.0499999998</v>
      </c>
      <c r="F2236" s="23">
        <v>0.34318342511398947</v>
      </c>
      <c r="G2236" s="26">
        <f t="shared" si="34"/>
        <v>2206823.5299999998</v>
      </c>
      <c r="H2236" t="s">
        <v>68</v>
      </c>
    </row>
    <row r="2237" spans="1:8" hidden="1">
      <c r="A2237" s="17" t="s">
        <v>1525</v>
      </c>
      <c r="B2237" s="18" t="s">
        <v>1526</v>
      </c>
      <c r="C2237" s="19" t="s">
        <v>73</v>
      </c>
      <c r="D2237" s="20"/>
      <c r="E2237" s="3">
        <v>6430449.0499999998</v>
      </c>
      <c r="F2237" s="24">
        <v>0.61697660756677641</v>
      </c>
      <c r="G2237" s="26">
        <f t="shared" si="34"/>
        <v>3967436.64</v>
      </c>
      <c r="H2237" t="s">
        <v>68</v>
      </c>
    </row>
    <row r="2238" spans="1:8" hidden="1">
      <c r="A2238" s="15" t="s">
        <v>1525</v>
      </c>
      <c r="B2238" s="16" t="s">
        <v>1526</v>
      </c>
      <c r="C2238" s="15" t="s">
        <v>74</v>
      </c>
      <c r="D2238" s="16"/>
      <c r="E2238" s="2">
        <v>6430449.0499999998</v>
      </c>
      <c r="F2238" s="23">
        <v>3.9839967319234108E-2</v>
      </c>
      <c r="G2238" s="26">
        <f t="shared" si="34"/>
        <v>256188.88</v>
      </c>
      <c r="H2238" t="s">
        <v>68</v>
      </c>
    </row>
    <row r="2239" spans="1:8" hidden="1">
      <c r="A2239" s="17" t="s">
        <v>1527</v>
      </c>
      <c r="B2239" s="21" t="s">
        <v>1528</v>
      </c>
      <c r="C2239" s="19" t="s">
        <v>72</v>
      </c>
      <c r="D2239" s="20"/>
      <c r="E2239" s="3">
        <v>5273255.3099999996</v>
      </c>
      <c r="F2239" s="24">
        <v>0.40695715906840857</v>
      </c>
      <c r="G2239" s="26">
        <f t="shared" si="34"/>
        <v>2145989</v>
      </c>
      <c r="H2239" t="s">
        <v>68</v>
      </c>
    </row>
    <row r="2240" spans="1:8" hidden="1">
      <c r="A2240" s="13" t="s">
        <v>1527</v>
      </c>
      <c r="B2240" s="22" t="s">
        <v>1528</v>
      </c>
      <c r="C2240" s="15" t="s">
        <v>73</v>
      </c>
      <c r="D2240" s="16"/>
      <c r="E2240" s="2">
        <v>5273255.3099999996</v>
      </c>
      <c r="F2240" s="23">
        <v>0.51274059969609176</v>
      </c>
      <c r="G2240" s="26">
        <f t="shared" si="34"/>
        <v>2703812.09</v>
      </c>
      <c r="H2240" t="s">
        <v>68</v>
      </c>
    </row>
    <row r="2241" spans="1:9" hidden="1">
      <c r="A2241" s="19" t="s">
        <v>1527</v>
      </c>
      <c r="B2241" s="20" t="s">
        <v>1528</v>
      </c>
      <c r="C2241" s="19" t="s">
        <v>74</v>
      </c>
      <c r="D2241" s="20"/>
      <c r="E2241" s="3">
        <v>5273255.3099999996</v>
      </c>
      <c r="F2241" s="24">
        <v>8.0302241235499741E-2</v>
      </c>
      <c r="G2241" s="26">
        <f t="shared" si="34"/>
        <v>423454.21999999991</v>
      </c>
      <c r="H2241" t="s">
        <v>68</v>
      </c>
    </row>
    <row r="2242" spans="1:9" hidden="1">
      <c r="A2242" s="13" t="s">
        <v>1529</v>
      </c>
      <c r="B2242" s="14" t="s">
        <v>1530</v>
      </c>
      <c r="C2242" s="15" t="s">
        <v>72</v>
      </c>
      <c r="D2242" s="16"/>
      <c r="E2242" s="2">
        <v>13175201.68</v>
      </c>
      <c r="F2242" s="23">
        <v>0.32957688280336067</v>
      </c>
      <c r="G2242" s="26">
        <f t="shared" si="34"/>
        <v>4342241.9000000004</v>
      </c>
      <c r="H2242" t="s">
        <v>68</v>
      </c>
    </row>
    <row r="2243" spans="1:9" hidden="1">
      <c r="A2243" s="17" t="s">
        <v>1529</v>
      </c>
      <c r="B2243" s="18" t="s">
        <v>1530</v>
      </c>
      <c r="C2243" s="19" t="s">
        <v>73</v>
      </c>
      <c r="D2243" s="20"/>
      <c r="E2243" s="3">
        <v>13175201.68</v>
      </c>
      <c r="F2243" s="24">
        <v>0.59837744738037291</v>
      </c>
      <c r="G2243" s="26">
        <f t="shared" si="34"/>
        <v>7883743.5500000007</v>
      </c>
      <c r="H2243" t="s">
        <v>68</v>
      </c>
    </row>
    <row r="2244" spans="1:9" hidden="1">
      <c r="A2244" s="15" t="s">
        <v>1529</v>
      </c>
      <c r="B2244" s="16" t="s">
        <v>1530</v>
      </c>
      <c r="C2244" s="15" t="s">
        <v>74</v>
      </c>
      <c r="D2244" s="16"/>
      <c r="E2244" s="2">
        <v>13175201.68</v>
      </c>
      <c r="F2244" s="23">
        <v>7.2045669816266519E-2</v>
      </c>
      <c r="G2244" s="26">
        <f t="shared" si="34"/>
        <v>949216.22999999986</v>
      </c>
      <c r="H2244" t="s">
        <v>68</v>
      </c>
    </row>
    <row r="2245" spans="1:9" hidden="1">
      <c r="A2245" s="17" t="s">
        <v>1531</v>
      </c>
      <c r="B2245" s="21" t="s">
        <v>1532</v>
      </c>
      <c r="C2245" s="19" t="s">
        <v>72</v>
      </c>
      <c r="D2245" s="20"/>
      <c r="E2245" s="3">
        <v>9528323.7799999993</v>
      </c>
      <c r="F2245" s="24">
        <v>0.54376795537483302</v>
      </c>
      <c r="G2245" s="26">
        <f t="shared" ref="G2245:G2308" si="35">F2245*E2245</f>
        <v>5181197.1399999997</v>
      </c>
      <c r="H2245" t="s">
        <v>68</v>
      </c>
    </row>
    <row r="2246" spans="1:9" hidden="1">
      <c r="A2246" s="13" t="s">
        <v>1531</v>
      </c>
      <c r="B2246" s="22" t="s">
        <v>1532</v>
      </c>
      <c r="C2246" s="15" t="s">
        <v>73</v>
      </c>
      <c r="D2246" s="16"/>
      <c r="E2246" s="2">
        <v>9528323.7799999993</v>
      </c>
      <c r="F2246" s="23">
        <v>0.39626815977070001</v>
      </c>
      <c r="G2246" s="26">
        <f t="shared" si="35"/>
        <v>3775771.33</v>
      </c>
      <c r="H2246" t="s">
        <v>68</v>
      </c>
    </row>
    <row r="2247" spans="1:9" hidden="1">
      <c r="A2247" s="19" t="s">
        <v>1531</v>
      </c>
      <c r="B2247" s="20" t="s">
        <v>1532</v>
      </c>
      <c r="C2247" s="19" t="s">
        <v>74</v>
      </c>
      <c r="D2247" s="20"/>
      <c r="E2247" s="3">
        <v>9528323.7799999993</v>
      </c>
      <c r="F2247" s="24">
        <v>5.9963884854467034E-2</v>
      </c>
      <c r="G2247" s="26">
        <f t="shared" si="35"/>
        <v>571355.31000000006</v>
      </c>
      <c r="H2247" t="s">
        <v>68</v>
      </c>
    </row>
    <row r="2248" spans="1:9" hidden="1">
      <c r="A2248" s="13" t="s">
        <v>1533</v>
      </c>
      <c r="B2248" s="14" t="s">
        <v>1534</v>
      </c>
      <c r="C2248" s="15" t="s">
        <v>72</v>
      </c>
      <c r="D2248" s="16"/>
      <c r="E2248" s="2">
        <v>7929429.2800000003</v>
      </c>
      <c r="F2248" s="23">
        <v>0.54924881932990766</v>
      </c>
      <c r="G2248" s="26">
        <f t="shared" si="35"/>
        <v>4355229.67</v>
      </c>
      <c r="H2248" t="s">
        <v>68</v>
      </c>
      <c r="I2248" t="s">
        <v>1883</v>
      </c>
    </row>
    <row r="2249" spans="1:9" hidden="1">
      <c r="A2249" s="17" t="s">
        <v>1533</v>
      </c>
      <c r="B2249" s="18" t="s">
        <v>1534</v>
      </c>
      <c r="C2249" s="19" t="s">
        <v>73</v>
      </c>
      <c r="D2249" s="20"/>
      <c r="E2249" s="3">
        <v>7929429.2800000003</v>
      </c>
      <c r="F2249" s="24">
        <v>0.22638219304479376</v>
      </c>
      <c r="G2249" s="26">
        <f t="shared" si="35"/>
        <v>1795081.59</v>
      </c>
      <c r="H2249" t="s">
        <v>68</v>
      </c>
      <c r="I2249" t="s">
        <v>1883</v>
      </c>
    </row>
    <row r="2250" spans="1:9" hidden="1">
      <c r="A2250" s="15" t="s">
        <v>1533</v>
      </c>
      <c r="B2250" s="16" t="s">
        <v>1534</v>
      </c>
      <c r="C2250" s="15" t="s">
        <v>74</v>
      </c>
      <c r="D2250" s="16"/>
      <c r="E2250" s="2">
        <v>7929429.2800000003</v>
      </c>
      <c r="F2250" s="23">
        <v>0.22436898762529855</v>
      </c>
      <c r="G2250" s="26">
        <f t="shared" si="35"/>
        <v>1779118.02</v>
      </c>
      <c r="H2250" t="s">
        <v>68</v>
      </c>
      <c r="I2250" t="s">
        <v>1883</v>
      </c>
    </row>
    <row r="2251" spans="1:9" hidden="1">
      <c r="A2251" s="17" t="s">
        <v>1535</v>
      </c>
      <c r="B2251" s="21" t="s">
        <v>1536</v>
      </c>
      <c r="C2251" s="19" t="s">
        <v>72</v>
      </c>
      <c r="D2251" s="20"/>
      <c r="E2251" s="3">
        <v>10953662.74</v>
      </c>
      <c r="F2251" s="24">
        <v>0.56977085639209668</v>
      </c>
      <c r="G2251" s="26">
        <f t="shared" si="35"/>
        <v>6241077.8000000007</v>
      </c>
      <c r="H2251" t="s">
        <v>68</v>
      </c>
    </row>
    <row r="2252" spans="1:9" hidden="1">
      <c r="A2252" s="13" t="s">
        <v>1535</v>
      </c>
      <c r="B2252" s="22" t="s">
        <v>1536</v>
      </c>
      <c r="C2252" s="15" t="s">
        <v>73</v>
      </c>
      <c r="D2252" s="16"/>
      <c r="E2252" s="2">
        <v>10953662.74</v>
      </c>
      <c r="F2252" s="23">
        <v>0.36431035761468039</v>
      </c>
      <c r="G2252" s="26">
        <f t="shared" si="35"/>
        <v>3990532.79</v>
      </c>
      <c r="H2252" t="s">
        <v>68</v>
      </c>
    </row>
    <row r="2253" spans="1:9" hidden="1">
      <c r="A2253" s="19" t="s">
        <v>1535</v>
      </c>
      <c r="B2253" s="20" t="s">
        <v>1536</v>
      </c>
      <c r="C2253" s="19" t="s">
        <v>74</v>
      </c>
      <c r="D2253" s="20"/>
      <c r="E2253" s="3">
        <v>10953662.74</v>
      </c>
      <c r="F2253" s="24">
        <v>6.5918785993222942E-2</v>
      </c>
      <c r="G2253" s="26">
        <f t="shared" si="35"/>
        <v>722052.15</v>
      </c>
      <c r="H2253" t="s">
        <v>68</v>
      </c>
    </row>
    <row r="2254" spans="1:9" hidden="1">
      <c r="A2254" s="13" t="s">
        <v>1537</v>
      </c>
      <c r="B2254" s="14" t="s">
        <v>1538</v>
      </c>
      <c r="C2254" s="15" t="s">
        <v>72</v>
      </c>
      <c r="D2254" s="16"/>
      <c r="E2254" s="2">
        <v>15139271.220000001</v>
      </c>
      <c r="F2254" s="23">
        <v>0.35882431994635999</v>
      </c>
      <c r="G2254" s="26">
        <f t="shared" si="35"/>
        <v>5432338.7000000002</v>
      </c>
      <c r="H2254" t="s">
        <v>68</v>
      </c>
    </row>
    <row r="2255" spans="1:9" hidden="1">
      <c r="A2255" s="17" t="s">
        <v>1537</v>
      </c>
      <c r="B2255" s="18" t="s">
        <v>1538</v>
      </c>
      <c r="C2255" s="19" t="s">
        <v>73</v>
      </c>
      <c r="D2255" s="20"/>
      <c r="E2255" s="3">
        <v>15139271.220000001</v>
      </c>
      <c r="F2255" s="24">
        <v>0.54531933340976235</v>
      </c>
      <c r="G2255" s="26">
        <f t="shared" si="35"/>
        <v>8255737.29</v>
      </c>
      <c r="H2255" t="s">
        <v>68</v>
      </c>
    </row>
    <row r="2256" spans="1:9" hidden="1">
      <c r="A2256" s="15" t="s">
        <v>1537</v>
      </c>
      <c r="B2256" s="16" t="s">
        <v>1538</v>
      </c>
      <c r="C2256" s="15" t="s">
        <v>74</v>
      </c>
      <c r="D2256" s="16"/>
      <c r="E2256" s="2">
        <v>15139271.220000001</v>
      </c>
      <c r="F2256" s="23">
        <v>9.5856346643877613E-2</v>
      </c>
      <c r="G2256" s="26">
        <f t="shared" si="35"/>
        <v>1451195.23</v>
      </c>
      <c r="H2256" t="s">
        <v>68</v>
      </c>
    </row>
    <row r="2257" spans="1:8" hidden="1">
      <c r="A2257" s="17" t="s">
        <v>1539</v>
      </c>
      <c r="B2257" s="21" t="s">
        <v>1540</v>
      </c>
      <c r="C2257" s="19" t="s">
        <v>72</v>
      </c>
      <c r="D2257" s="20"/>
      <c r="E2257" s="3">
        <v>4983756.6500000004</v>
      </c>
      <c r="F2257" s="24">
        <v>0.41210002498817833</v>
      </c>
      <c r="G2257" s="26">
        <f t="shared" si="35"/>
        <v>2053806.24</v>
      </c>
      <c r="H2257" t="s">
        <v>68</v>
      </c>
    </row>
    <row r="2258" spans="1:8" hidden="1">
      <c r="A2258" s="13" t="s">
        <v>1539</v>
      </c>
      <c r="B2258" s="22" t="s">
        <v>1540</v>
      </c>
      <c r="C2258" s="15" t="s">
        <v>73</v>
      </c>
      <c r="D2258" s="16"/>
      <c r="E2258" s="2">
        <v>4983756.6500000004</v>
      </c>
      <c r="F2258" s="23">
        <v>0.53545739637989742</v>
      </c>
      <c r="G2258" s="26">
        <f t="shared" si="35"/>
        <v>2668589.36</v>
      </c>
      <c r="H2258" t="s">
        <v>68</v>
      </c>
    </row>
    <row r="2259" spans="1:8" hidden="1">
      <c r="A2259" s="19" t="s">
        <v>1539</v>
      </c>
      <c r="B2259" s="20" t="s">
        <v>1540</v>
      </c>
      <c r="C2259" s="19" t="s">
        <v>74</v>
      </c>
      <c r="D2259" s="20"/>
      <c r="E2259" s="3">
        <v>4983756.6500000004</v>
      </c>
      <c r="F2259" s="24">
        <v>5.2442578631924169E-2</v>
      </c>
      <c r="G2259" s="26">
        <f t="shared" si="35"/>
        <v>261361.05</v>
      </c>
      <c r="H2259" t="s">
        <v>68</v>
      </c>
    </row>
    <row r="2260" spans="1:8" hidden="1">
      <c r="A2260" s="13" t="s">
        <v>1541</v>
      </c>
      <c r="B2260" s="14" t="s">
        <v>1542</v>
      </c>
      <c r="C2260" s="15" t="s">
        <v>72</v>
      </c>
      <c r="D2260" s="16"/>
      <c r="E2260" s="2">
        <v>12576546.560000001</v>
      </c>
      <c r="F2260" s="23">
        <v>0.45672081541596099</v>
      </c>
      <c r="G2260" s="26">
        <f t="shared" si="35"/>
        <v>5743970.5999999996</v>
      </c>
      <c r="H2260" t="s">
        <v>68</v>
      </c>
    </row>
    <row r="2261" spans="1:8" hidden="1">
      <c r="A2261" s="17" t="s">
        <v>1541</v>
      </c>
      <c r="B2261" s="18" t="s">
        <v>1542</v>
      </c>
      <c r="C2261" s="19" t="s">
        <v>73</v>
      </c>
      <c r="D2261" s="20"/>
      <c r="E2261" s="3">
        <v>12576546.560000001</v>
      </c>
      <c r="F2261" s="24">
        <v>0.48870135618533422</v>
      </c>
      <c r="G2261" s="26">
        <f t="shared" si="35"/>
        <v>6146175.3600000003</v>
      </c>
      <c r="H2261" t="s">
        <v>68</v>
      </c>
    </row>
    <row r="2262" spans="1:8" hidden="1">
      <c r="A2262" s="15" t="s">
        <v>1541</v>
      </c>
      <c r="B2262" s="16" t="s">
        <v>1542</v>
      </c>
      <c r="C2262" s="15" t="s">
        <v>74</v>
      </c>
      <c r="D2262" s="16"/>
      <c r="E2262" s="2">
        <v>12576546.560000001</v>
      </c>
      <c r="F2262" s="23">
        <v>5.4577828398704703E-2</v>
      </c>
      <c r="G2262" s="26">
        <f t="shared" si="35"/>
        <v>686400.6</v>
      </c>
      <c r="H2262" t="s">
        <v>68</v>
      </c>
    </row>
    <row r="2263" spans="1:8" hidden="1">
      <c r="A2263" s="17" t="s">
        <v>1543</v>
      </c>
      <c r="B2263" s="21" t="s">
        <v>1544</v>
      </c>
      <c r="C2263" s="19" t="s">
        <v>72</v>
      </c>
      <c r="D2263" s="20"/>
      <c r="E2263" s="3">
        <v>8926734.9100000001</v>
      </c>
      <c r="F2263" s="24">
        <v>0.6656903783871857</v>
      </c>
      <c r="G2263" s="26">
        <f t="shared" si="35"/>
        <v>5942441.54</v>
      </c>
      <c r="H2263" t="s">
        <v>68</v>
      </c>
    </row>
    <row r="2264" spans="1:8" hidden="1">
      <c r="A2264" s="13" t="s">
        <v>1543</v>
      </c>
      <c r="B2264" s="22" t="s">
        <v>1544</v>
      </c>
      <c r="C2264" s="15" t="s">
        <v>73</v>
      </c>
      <c r="D2264" s="16"/>
      <c r="E2264" s="2">
        <v>8926734.9100000001</v>
      </c>
      <c r="F2264" s="23">
        <v>0.29768073733467681</v>
      </c>
      <c r="G2264" s="26">
        <f t="shared" si="35"/>
        <v>2657317.0299999998</v>
      </c>
      <c r="H2264" t="s">
        <v>68</v>
      </c>
    </row>
    <row r="2265" spans="1:8" hidden="1">
      <c r="A2265" s="19" t="s">
        <v>1543</v>
      </c>
      <c r="B2265" s="20" t="s">
        <v>1544</v>
      </c>
      <c r="C2265" s="19" t="s">
        <v>74</v>
      </c>
      <c r="D2265" s="20"/>
      <c r="E2265" s="3">
        <v>8926734.9100000001</v>
      </c>
      <c r="F2265" s="24">
        <v>3.6628884278137486E-2</v>
      </c>
      <c r="G2265" s="26">
        <f t="shared" si="35"/>
        <v>326976.34000000003</v>
      </c>
      <c r="H2265" t="s">
        <v>68</v>
      </c>
    </row>
    <row r="2266" spans="1:8" hidden="1">
      <c r="A2266" s="13" t="s">
        <v>1545</v>
      </c>
      <c r="B2266" s="14" t="s">
        <v>1546</v>
      </c>
      <c r="C2266" s="15" t="s">
        <v>72</v>
      </c>
      <c r="D2266" s="16"/>
      <c r="E2266" s="2">
        <v>13803479.48</v>
      </c>
      <c r="F2266" s="23">
        <v>0.38869929554892196</v>
      </c>
      <c r="G2266" s="26">
        <f t="shared" si="35"/>
        <v>5365402.75</v>
      </c>
      <c r="H2266" t="s">
        <v>68</v>
      </c>
    </row>
    <row r="2267" spans="1:8" hidden="1">
      <c r="A2267" s="17" t="s">
        <v>1545</v>
      </c>
      <c r="B2267" s="18" t="s">
        <v>1546</v>
      </c>
      <c r="C2267" s="19" t="s">
        <v>73</v>
      </c>
      <c r="D2267" s="20"/>
      <c r="E2267" s="3">
        <v>13803479.48</v>
      </c>
      <c r="F2267" s="24">
        <v>0.5544734058604186</v>
      </c>
      <c r="G2267" s="26">
        <f t="shared" si="35"/>
        <v>7653662.2800000003</v>
      </c>
      <c r="H2267" t="s">
        <v>68</v>
      </c>
    </row>
    <row r="2268" spans="1:8" hidden="1">
      <c r="A2268" s="15" t="s">
        <v>1545</v>
      </c>
      <c r="B2268" s="16" t="s">
        <v>1546</v>
      </c>
      <c r="C2268" s="15" t="s">
        <v>74</v>
      </c>
      <c r="D2268" s="16"/>
      <c r="E2268" s="2">
        <v>13803479.48</v>
      </c>
      <c r="F2268" s="23">
        <v>5.6827298590659402E-2</v>
      </c>
      <c r="G2268" s="26">
        <f t="shared" si="35"/>
        <v>784414.45</v>
      </c>
      <c r="H2268" t="s">
        <v>68</v>
      </c>
    </row>
    <row r="2269" spans="1:8" hidden="1">
      <c r="A2269" s="17" t="s">
        <v>1547</v>
      </c>
      <c r="B2269" s="21" t="s">
        <v>1135</v>
      </c>
      <c r="C2269" s="19" t="s">
        <v>72</v>
      </c>
      <c r="D2269" s="20"/>
      <c r="E2269" s="3">
        <v>8513628.5299999993</v>
      </c>
      <c r="F2269" s="24">
        <v>0.41059006247245794</v>
      </c>
      <c r="G2269" s="26">
        <f t="shared" si="35"/>
        <v>3495611.27</v>
      </c>
      <c r="H2269" t="s">
        <v>68</v>
      </c>
    </row>
    <row r="2270" spans="1:8" hidden="1">
      <c r="A2270" s="13" t="s">
        <v>1547</v>
      </c>
      <c r="B2270" s="22" t="s">
        <v>1135</v>
      </c>
      <c r="C2270" s="15" t="s">
        <v>73</v>
      </c>
      <c r="D2270" s="16"/>
      <c r="E2270" s="2">
        <v>8513628.5299999993</v>
      </c>
      <c r="F2270" s="23">
        <v>0.5350085165155779</v>
      </c>
      <c r="G2270" s="26">
        <f t="shared" si="35"/>
        <v>4554863.7699999996</v>
      </c>
      <c r="H2270" t="s">
        <v>68</v>
      </c>
    </row>
    <row r="2271" spans="1:8" hidden="1">
      <c r="A2271" s="19" t="s">
        <v>1547</v>
      </c>
      <c r="B2271" s="20" t="s">
        <v>1135</v>
      </c>
      <c r="C2271" s="19" t="s">
        <v>74</v>
      </c>
      <c r="D2271" s="20"/>
      <c r="E2271" s="3">
        <v>8513628.5299999993</v>
      </c>
      <c r="F2271" s="24">
        <v>5.440142101196422E-2</v>
      </c>
      <c r="G2271" s="26">
        <f t="shared" si="35"/>
        <v>463153.49</v>
      </c>
      <c r="H2271" t="s">
        <v>68</v>
      </c>
    </row>
    <row r="2272" spans="1:8" hidden="1">
      <c r="A2272" s="13" t="s">
        <v>1548</v>
      </c>
      <c r="B2272" s="14" t="s">
        <v>1549</v>
      </c>
      <c r="C2272" s="15" t="s">
        <v>72</v>
      </c>
      <c r="D2272" s="16"/>
      <c r="E2272" s="2">
        <v>8905939.7400000002</v>
      </c>
      <c r="F2272" s="23">
        <v>0.46382295306210997</v>
      </c>
      <c r="G2272" s="26">
        <f t="shared" si="35"/>
        <v>4130779.27</v>
      </c>
      <c r="H2272" t="s">
        <v>68</v>
      </c>
    </row>
    <row r="2273" spans="1:9" hidden="1">
      <c r="A2273" s="17" t="s">
        <v>1548</v>
      </c>
      <c r="B2273" s="18" t="s">
        <v>1549</v>
      </c>
      <c r="C2273" s="19" t="s">
        <v>73</v>
      </c>
      <c r="D2273" s="20"/>
      <c r="E2273" s="3">
        <v>8905939.7400000002</v>
      </c>
      <c r="F2273" s="24">
        <v>0.48551629768831106</v>
      </c>
      <c r="G2273" s="26">
        <f t="shared" si="35"/>
        <v>4323978.8899999997</v>
      </c>
      <c r="H2273" t="s">
        <v>68</v>
      </c>
    </row>
    <row r="2274" spans="1:9" hidden="1">
      <c r="A2274" s="15" t="s">
        <v>1548</v>
      </c>
      <c r="B2274" s="16" t="s">
        <v>1549</v>
      </c>
      <c r="C2274" s="15" t="s">
        <v>74</v>
      </c>
      <c r="D2274" s="16"/>
      <c r="E2274" s="2">
        <v>8905939.7400000002</v>
      </c>
      <c r="F2274" s="23">
        <v>5.0660749249578911E-2</v>
      </c>
      <c r="G2274" s="26">
        <f t="shared" si="35"/>
        <v>451181.58</v>
      </c>
      <c r="H2274" t="s">
        <v>68</v>
      </c>
    </row>
    <row r="2275" spans="1:9" hidden="1">
      <c r="A2275" s="17" t="s">
        <v>1550</v>
      </c>
      <c r="B2275" s="21" t="s">
        <v>1551</v>
      </c>
      <c r="C2275" s="19" t="s">
        <v>72</v>
      </c>
      <c r="D2275" s="20"/>
      <c r="E2275" s="3">
        <v>25255078.09</v>
      </c>
      <c r="F2275" s="24">
        <v>0.1980686922516659</v>
      </c>
      <c r="G2275" s="26">
        <f t="shared" si="35"/>
        <v>5002240.29</v>
      </c>
      <c r="H2275" t="s">
        <v>68</v>
      </c>
    </row>
    <row r="2276" spans="1:9" hidden="1">
      <c r="A2276" s="13" t="s">
        <v>1550</v>
      </c>
      <c r="B2276" s="22" t="s">
        <v>1551</v>
      </c>
      <c r="C2276" s="15" t="s">
        <v>73</v>
      </c>
      <c r="D2276" s="16"/>
      <c r="E2276" s="2">
        <v>25255078.09</v>
      </c>
      <c r="F2276" s="23">
        <v>0.67872157309967751</v>
      </c>
      <c r="G2276" s="26">
        <f t="shared" si="35"/>
        <v>17141166.329999998</v>
      </c>
      <c r="H2276" t="s">
        <v>68</v>
      </c>
    </row>
    <row r="2277" spans="1:9" hidden="1">
      <c r="A2277" s="19" t="s">
        <v>1550</v>
      </c>
      <c r="B2277" s="20" t="s">
        <v>1551</v>
      </c>
      <c r="C2277" s="19" t="s">
        <v>74</v>
      </c>
      <c r="D2277" s="20"/>
      <c r="E2277" s="3">
        <v>25255078.09</v>
      </c>
      <c r="F2277" s="24">
        <v>0.12320973464865656</v>
      </c>
      <c r="G2277" s="26">
        <f t="shared" si="35"/>
        <v>3111671.47</v>
      </c>
      <c r="H2277" t="s">
        <v>68</v>
      </c>
    </row>
    <row r="2278" spans="1:9" hidden="1">
      <c r="A2278" s="13" t="s">
        <v>1552</v>
      </c>
      <c r="B2278" s="14" t="s">
        <v>1553</v>
      </c>
      <c r="C2278" s="15" t="s">
        <v>72</v>
      </c>
      <c r="D2278" s="16"/>
      <c r="E2278" s="2">
        <v>11955309.32</v>
      </c>
      <c r="F2278" s="23">
        <v>0.82588261296446319</v>
      </c>
      <c r="G2278" s="26">
        <f t="shared" si="35"/>
        <v>9873682.0999999996</v>
      </c>
      <c r="H2278" t="s">
        <v>68</v>
      </c>
      <c r="I2278" t="s">
        <v>1883</v>
      </c>
    </row>
    <row r="2279" spans="1:9" hidden="1">
      <c r="A2279" s="17" t="s">
        <v>1552</v>
      </c>
      <c r="B2279" s="18" t="s">
        <v>1553</v>
      </c>
      <c r="C2279" s="19" t="s">
        <v>73</v>
      </c>
      <c r="D2279" s="20"/>
      <c r="E2279" s="3">
        <v>11955309.32</v>
      </c>
      <c r="F2279" s="24">
        <v>0.17176930893495276</v>
      </c>
      <c r="G2279" s="26">
        <f t="shared" si="35"/>
        <v>2053555.2200000002</v>
      </c>
      <c r="H2279" t="s">
        <v>68</v>
      </c>
      <c r="I2279" t="s">
        <v>1883</v>
      </c>
    </row>
    <row r="2280" spans="1:9" hidden="1">
      <c r="A2280" s="15" t="s">
        <v>1552</v>
      </c>
      <c r="B2280" s="16" t="s">
        <v>1553</v>
      </c>
      <c r="C2280" s="15" t="s">
        <v>74</v>
      </c>
      <c r="D2280" s="16"/>
      <c r="E2280" s="2">
        <v>11955309.32</v>
      </c>
      <c r="F2280" s="23">
        <v>2.3480781005840172E-3</v>
      </c>
      <c r="G2280" s="26">
        <f t="shared" si="35"/>
        <v>28072</v>
      </c>
      <c r="H2280" t="s">
        <v>68</v>
      </c>
      <c r="I2280" t="s">
        <v>1883</v>
      </c>
    </row>
    <row r="2281" spans="1:9" hidden="1">
      <c r="A2281" s="17" t="s">
        <v>1554</v>
      </c>
      <c r="B2281" s="21" t="s">
        <v>1555</v>
      </c>
      <c r="C2281" s="19" t="s">
        <v>72</v>
      </c>
      <c r="D2281" s="20"/>
      <c r="E2281" s="3">
        <v>15252385.539999999</v>
      </c>
      <c r="F2281" s="24">
        <v>0.3987577368831709</v>
      </c>
      <c r="G2281" s="26">
        <f t="shared" si="35"/>
        <v>6082006.7400000002</v>
      </c>
      <c r="H2281" t="s">
        <v>68</v>
      </c>
    </row>
    <row r="2282" spans="1:9" hidden="1">
      <c r="A2282" s="13" t="s">
        <v>1554</v>
      </c>
      <c r="B2282" s="22" t="s">
        <v>1555</v>
      </c>
      <c r="C2282" s="15" t="s">
        <v>73</v>
      </c>
      <c r="D2282" s="16"/>
      <c r="E2282" s="2">
        <v>15252385.539999999</v>
      </c>
      <c r="F2282" s="23">
        <v>0.55068519661875792</v>
      </c>
      <c r="G2282" s="26">
        <f t="shared" si="35"/>
        <v>8399262.9299999997</v>
      </c>
      <c r="H2282" t="s">
        <v>68</v>
      </c>
    </row>
    <row r="2283" spans="1:9" hidden="1">
      <c r="A2283" s="19" t="s">
        <v>1554</v>
      </c>
      <c r="B2283" s="20" t="s">
        <v>1555</v>
      </c>
      <c r="C2283" s="19" t="s">
        <v>74</v>
      </c>
      <c r="D2283" s="20"/>
      <c r="E2283" s="3">
        <v>15252385.539999999</v>
      </c>
      <c r="F2283" s="24">
        <v>5.0557066498071228E-2</v>
      </c>
      <c r="G2283" s="26">
        <f t="shared" si="35"/>
        <v>771115.87</v>
      </c>
      <c r="H2283" t="s">
        <v>68</v>
      </c>
    </row>
    <row r="2284" spans="1:9" hidden="1">
      <c r="A2284" s="13" t="s">
        <v>1556</v>
      </c>
      <c r="B2284" s="14" t="s">
        <v>1557</v>
      </c>
      <c r="C2284" s="15" t="s">
        <v>72</v>
      </c>
      <c r="D2284" s="16"/>
      <c r="E2284" s="2">
        <v>39387060.969999999</v>
      </c>
      <c r="F2284" s="23">
        <v>0.60588887650633971</v>
      </c>
      <c r="G2284" s="26">
        <f t="shared" si="35"/>
        <v>23864182.120000001</v>
      </c>
      <c r="H2284" t="s">
        <v>68</v>
      </c>
    </row>
    <row r="2285" spans="1:9" hidden="1">
      <c r="A2285" s="17" t="s">
        <v>1556</v>
      </c>
      <c r="B2285" s="18" t="s">
        <v>1557</v>
      </c>
      <c r="C2285" s="19" t="s">
        <v>73</v>
      </c>
      <c r="D2285" s="20"/>
      <c r="E2285" s="3">
        <v>39387060.969999999</v>
      </c>
      <c r="F2285" s="24">
        <v>0.37127512309532956</v>
      </c>
      <c r="G2285" s="26">
        <f t="shared" si="35"/>
        <v>14623435.91</v>
      </c>
      <c r="H2285" t="s">
        <v>68</v>
      </c>
    </row>
    <row r="2286" spans="1:9" hidden="1">
      <c r="A2286" s="15" t="s">
        <v>1556</v>
      </c>
      <c r="B2286" s="16" t="s">
        <v>1557</v>
      </c>
      <c r="C2286" s="15" t="s">
        <v>74</v>
      </c>
      <c r="D2286" s="16"/>
      <c r="E2286" s="2">
        <v>39387060.969999999</v>
      </c>
      <c r="F2286" s="23">
        <v>2.2836000398330811E-2</v>
      </c>
      <c r="G2286" s="26">
        <f t="shared" si="35"/>
        <v>899442.94</v>
      </c>
      <c r="H2286" t="s">
        <v>68</v>
      </c>
    </row>
    <row r="2287" spans="1:9" hidden="1">
      <c r="A2287" s="17" t="s">
        <v>1558</v>
      </c>
      <c r="B2287" s="21" t="s">
        <v>1559</v>
      </c>
      <c r="C2287" s="19" t="s">
        <v>72</v>
      </c>
      <c r="D2287" s="20"/>
      <c r="E2287" s="3">
        <v>35231344.310000002</v>
      </c>
      <c r="F2287" s="24">
        <v>0.68922309794201542</v>
      </c>
      <c r="G2287" s="26">
        <f t="shared" si="35"/>
        <v>24282256.27</v>
      </c>
      <c r="H2287" t="s">
        <v>68</v>
      </c>
    </row>
    <row r="2288" spans="1:9" hidden="1">
      <c r="A2288" s="13" t="s">
        <v>1558</v>
      </c>
      <c r="B2288" s="22" t="s">
        <v>1559</v>
      </c>
      <c r="C2288" s="15" t="s">
        <v>73</v>
      </c>
      <c r="D2288" s="16"/>
      <c r="E2288" s="2">
        <v>35231344.310000002</v>
      </c>
      <c r="F2288" s="23">
        <v>0.27857030670312222</v>
      </c>
      <c r="G2288" s="26">
        <f t="shared" si="35"/>
        <v>9814406.3900000006</v>
      </c>
      <c r="H2288" t="s">
        <v>68</v>
      </c>
    </row>
    <row r="2289" spans="1:9" hidden="1">
      <c r="A2289" s="19" t="s">
        <v>1558</v>
      </c>
      <c r="B2289" s="20" t="s">
        <v>1559</v>
      </c>
      <c r="C2289" s="19" t="s">
        <v>74</v>
      </c>
      <c r="D2289" s="20"/>
      <c r="E2289" s="3">
        <v>35231344.310000002</v>
      </c>
      <c r="F2289" s="24">
        <v>3.2206595354862283E-2</v>
      </c>
      <c r="G2289" s="26">
        <f t="shared" si="35"/>
        <v>1134681.6499999999</v>
      </c>
      <c r="H2289" t="s">
        <v>68</v>
      </c>
    </row>
    <row r="2290" spans="1:9" hidden="1">
      <c r="A2290" s="13" t="s">
        <v>1560</v>
      </c>
      <c r="B2290" s="14" t="s">
        <v>1561</v>
      </c>
      <c r="C2290" s="15" t="s">
        <v>72</v>
      </c>
      <c r="D2290" s="16"/>
      <c r="E2290" s="2">
        <v>27386198.149999999</v>
      </c>
      <c r="F2290" s="23">
        <v>0.60076655766108966</v>
      </c>
      <c r="G2290" s="26">
        <f t="shared" si="35"/>
        <v>16452711.99</v>
      </c>
      <c r="H2290" t="s">
        <v>68</v>
      </c>
    </row>
    <row r="2291" spans="1:9" hidden="1">
      <c r="A2291" s="17" t="s">
        <v>1560</v>
      </c>
      <c r="B2291" s="18" t="s">
        <v>1561</v>
      </c>
      <c r="C2291" s="19" t="s">
        <v>73</v>
      </c>
      <c r="D2291" s="20"/>
      <c r="E2291" s="3">
        <v>27386198.149999999</v>
      </c>
      <c r="F2291" s="24">
        <v>0.35643140995823114</v>
      </c>
      <c r="G2291" s="26">
        <f t="shared" si="35"/>
        <v>9761301.2200000007</v>
      </c>
      <c r="H2291" t="s">
        <v>68</v>
      </c>
    </row>
    <row r="2292" spans="1:9" hidden="1">
      <c r="A2292" s="15" t="s">
        <v>1560</v>
      </c>
      <c r="B2292" s="16" t="s">
        <v>1561</v>
      </c>
      <c r="C2292" s="15" t="s">
        <v>74</v>
      </c>
      <c r="D2292" s="16"/>
      <c r="E2292" s="2">
        <v>27386198.149999999</v>
      </c>
      <c r="F2292" s="23">
        <v>4.2802032380679318E-2</v>
      </c>
      <c r="G2292" s="26">
        <f t="shared" si="35"/>
        <v>1172184.94</v>
      </c>
      <c r="H2292" t="s">
        <v>68</v>
      </c>
    </row>
    <row r="2293" spans="1:9" hidden="1">
      <c r="A2293" s="17" t="s">
        <v>1562</v>
      </c>
      <c r="B2293" s="21" t="s">
        <v>1563</v>
      </c>
      <c r="C2293" s="19" t="s">
        <v>72</v>
      </c>
      <c r="D2293" s="20"/>
      <c r="E2293" s="3">
        <v>95376203.079999998</v>
      </c>
      <c r="F2293" s="24">
        <v>0.58034566141799904</v>
      </c>
      <c r="G2293" s="26">
        <f t="shared" si="35"/>
        <v>55351165.659999996</v>
      </c>
      <c r="H2293" t="s">
        <v>68</v>
      </c>
    </row>
    <row r="2294" spans="1:9" hidden="1">
      <c r="A2294" s="13" t="s">
        <v>1562</v>
      </c>
      <c r="B2294" s="22" t="s">
        <v>1563</v>
      </c>
      <c r="C2294" s="15" t="s">
        <v>73</v>
      </c>
      <c r="D2294" s="16"/>
      <c r="E2294" s="2">
        <v>95376203.079999998</v>
      </c>
      <c r="F2294" s="23">
        <v>0.39200195869235688</v>
      </c>
      <c r="G2294" s="26">
        <f t="shared" si="35"/>
        <v>37387658.420000002</v>
      </c>
      <c r="H2294" t="s">
        <v>68</v>
      </c>
    </row>
    <row r="2295" spans="1:9" hidden="1">
      <c r="A2295" s="19" t="s">
        <v>1562</v>
      </c>
      <c r="B2295" s="20" t="s">
        <v>1563</v>
      </c>
      <c r="C2295" s="19" t="s">
        <v>74</v>
      </c>
      <c r="D2295" s="20"/>
      <c r="E2295" s="3">
        <v>95376203.079999998</v>
      </c>
      <c r="F2295" s="24">
        <v>2.7652379889644061E-2</v>
      </c>
      <c r="G2295" s="26">
        <f t="shared" si="35"/>
        <v>2637379</v>
      </c>
      <c r="H2295" t="s">
        <v>68</v>
      </c>
    </row>
    <row r="2296" spans="1:9" hidden="1">
      <c r="A2296" s="13" t="s">
        <v>1564</v>
      </c>
      <c r="B2296" s="14" t="s">
        <v>1760</v>
      </c>
      <c r="C2296" s="15" t="s">
        <v>72</v>
      </c>
      <c r="D2296" s="16"/>
      <c r="E2296" s="2">
        <v>11078644.51</v>
      </c>
      <c r="F2296" s="23">
        <v>0.50828950463363143</v>
      </c>
      <c r="G2296" s="26">
        <f t="shared" si="35"/>
        <v>5631158.7300000004</v>
      </c>
      <c r="H2296" t="s">
        <v>68</v>
      </c>
    </row>
    <row r="2297" spans="1:9" hidden="1">
      <c r="A2297" s="17" t="s">
        <v>1564</v>
      </c>
      <c r="B2297" s="18" t="s">
        <v>1760</v>
      </c>
      <c r="C2297" s="19" t="s">
        <v>73</v>
      </c>
      <c r="D2297" s="20"/>
      <c r="E2297" s="3">
        <v>11078644.51</v>
      </c>
      <c r="F2297" s="24">
        <v>0.44752554028832181</v>
      </c>
      <c r="G2297" s="26">
        <f t="shared" si="35"/>
        <v>4957976.37</v>
      </c>
      <c r="H2297" t="s">
        <v>68</v>
      </c>
    </row>
    <row r="2298" spans="1:9" hidden="1">
      <c r="A2298" s="15" t="s">
        <v>1564</v>
      </c>
      <c r="B2298" s="16" t="s">
        <v>1760</v>
      </c>
      <c r="C2298" s="15" t="s">
        <v>74</v>
      </c>
      <c r="D2298" s="16"/>
      <c r="E2298" s="2">
        <v>11078644.51</v>
      </c>
      <c r="F2298" s="23">
        <v>4.4184955078046817E-2</v>
      </c>
      <c r="G2298" s="26">
        <f t="shared" si="35"/>
        <v>489509.41</v>
      </c>
      <c r="H2298" t="s">
        <v>68</v>
      </c>
    </row>
    <row r="2299" spans="1:9" hidden="1">
      <c r="A2299" s="17" t="s">
        <v>1761</v>
      </c>
      <c r="B2299" s="21" t="s">
        <v>1762</v>
      </c>
      <c r="C2299" s="19" t="s">
        <v>72</v>
      </c>
      <c r="D2299" s="20"/>
      <c r="E2299" s="3">
        <v>2373973.4</v>
      </c>
      <c r="F2299" s="24">
        <v>7.9390375646163525E-2</v>
      </c>
      <c r="G2299" s="26">
        <f t="shared" si="35"/>
        <v>188470.64</v>
      </c>
      <c r="H2299" t="s">
        <v>68</v>
      </c>
      <c r="I2299" t="s">
        <v>1883</v>
      </c>
    </row>
    <row r="2300" spans="1:9" hidden="1">
      <c r="A2300" s="13" t="s">
        <v>1761</v>
      </c>
      <c r="B2300" s="22" t="s">
        <v>1762</v>
      </c>
      <c r="C2300" s="15" t="s">
        <v>73</v>
      </c>
      <c r="D2300" s="16"/>
      <c r="E2300" s="2">
        <v>2373973.4</v>
      </c>
      <c r="F2300" s="23">
        <v>0.89420813645173958</v>
      </c>
      <c r="G2300" s="26">
        <f t="shared" si="35"/>
        <v>2122826.33</v>
      </c>
      <c r="H2300" t="s">
        <v>68</v>
      </c>
      <c r="I2300" t="s">
        <v>1883</v>
      </c>
    </row>
    <row r="2301" spans="1:9" hidden="1">
      <c r="A2301" s="19" t="s">
        <v>1761</v>
      </c>
      <c r="B2301" s="20" t="s">
        <v>1762</v>
      </c>
      <c r="C2301" s="19" t="s">
        <v>74</v>
      </c>
      <c r="D2301" s="20"/>
      <c r="E2301" s="3">
        <v>2373973.4</v>
      </c>
      <c r="F2301" s="24">
        <v>2.6401487902096968E-2</v>
      </c>
      <c r="G2301" s="26">
        <f t="shared" si="35"/>
        <v>62676.43</v>
      </c>
      <c r="H2301" t="s">
        <v>68</v>
      </c>
      <c r="I2301" t="s">
        <v>1883</v>
      </c>
    </row>
    <row r="2302" spans="1:9" hidden="1">
      <c r="A2302" s="13" t="s">
        <v>1763</v>
      </c>
      <c r="B2302" s="14" t="s">
        <v>1764</v>
      </c>
      <c r="C2302" s="15" t="s">
        <v>72</v>
      </c>
      <c r="D2302" s="16"/>
      <c r="E2302" s="2">
        <v>10099317.99</v>
      </c>
      <c r="F2302" s="23">
        <v>0.42358162840657315</v>
      </c>
      <c r="G2302" s="26">
        <f t="shared" si="35"/>
        <v>4277885.5599999996</v>
      </c>
      <c r="H2302" t="s">
        <v>68</v>
      </c>
    </row>
    <row r="2303" spans="1:9" hidden="1">
      <c r="A2303" s="17" t="s">
        <v>1763</v>
      </c>
      <c r="B2303" s="18" t="s">
        <v>1764</v>
      </c>
      <c r="C2303" s="19" t="s">
        <v>73</v>
      </c>
      <c r="D2303" s="20"/>
      <c r="E2303" s="3">
        <v>10099317.99</v>
      </c>
      <c r="F2303" s="24">
        <v>0.4873166420616884</v>
      </c>
      <c r="G2303" s="26">
        <f t="shared" si="35"/>
        <v>4921565.7300000004</v>
      </c>
      <c r="H2303" t="s">
        <v>68</v>
      </c>
    </row>
    <row r="2304" spans="1:9" hidden="1">
      <c r="A2304" s="15" t="s">
        <v>1763</v>
      </c>
      <c r="B2304" s="16" t="s">
        <v>1764</v>
      </c>
      <c r="C2304" s="15" t="s">
        <v>74</v>
      </c>
      <c r="D2304" s="16"/>
      <c r="E2304" s="2">
        <v>10099317.99</v>
      </c>
      <c r="F2304" s="23">
        <v>8.9101729531738408E-2</v>
      </c>
      <c r="G2304" s="26">
        <f t="shared" si="35"/>
        <v>899866.7</v>
      </c>
      <c r="H2304" t="s">
        <v>68</v>
      </c>
    </row>
    <row r="2305" spans="1:9" hidden="1">
      <c r="A2305" s="17" t="s">
        <v>1765</v>
      </c>
      <c r="B2305" s="21" t="s">
        <v>1766</v>
      </c>
      <c r="C2305" s="19" t="s">
        <v>72</v>
      </c>
      <c r="D2305" s="20"/>
      <c r="E2305" s="3">
        <v>8392570.4000000004</v>
      </c>
      <c r="F2305" s="24">
        <v>0.15807548066561347</v>
      </c>
      <c r="G2305" s="26">
        <f t="shared" si="35"/>
        <v>1326659.6000000001</v>
      </c>
      <c r="H2305" t="s">
        <v>68</v>
      </c>
    </row>
    <row r="2306" spans="1:9" hidden="1">
      <c r="A2306" s="13" t="s">
        <v>1765</v>
      </c>
      <c r="B2306" s="22" t="s">
        <v>1766</v>
      </c>
      <c r="C2306" s="15" t="s">
        <v>73</v>
      </c>
      <c r="D2306" s="16"/>
      <c r="E2306" s="2">
        <v>8392570.4000000004</v>
      </c>
      <c r="F2306" s="23">
        <v>0.65702645759158596</v>
      </c>
      <c r="G2306" s="26">
        <f t="shared" si="35"/>
        <v>5514140.7999999998</v>
      </c>
      <c r="H2306" t="s">
        <v>68</v>
      </c>
    </row>
    <row r="2307" spans="1:9" hidden="1">
      <c r="A2307" s="19" t="s">
        <v>1765</v>
      </c>
      <c r="B2307" s="20" t="s">
        <v>1766</v>
      </c>
      <c r="C2307" s="19" t="s">
        <v>74</v>
      </c>
      <c r="D2307" s="20"/>
      <c r="E2307" s="3">
        <v>8392570.4000000004</v>
      </c>
      <c r="F2307" s="24">
        <v>0.18489806174280052</v>
      </c>
      <c r="G2307" s="26">
        <f t="shared" si="35"/>
        <v>1551770</v>
      </c>
      <c r="H2307" t="s">
        <v>68</v>
      </c>
    </row>
    <row r="2308" spans="1:9" hidden="1">
      <c r="A2308" s="13" t="s">
        <v>1767</v>
      </c>
      <c r="B2308" s="14" t="s">
        <v>1768</v>
      </c>
      <c r="C2308" s="15" t="s">
        <v>72</v>
      </c>
      <c r="D2308" s="16"/>
      <c r="E2308" s="2">
        <v>21559248.309999999</v>
      </c>
      <c r="F2308" s="23">
        <v>0.38026894361605879</v>
      </c>
      <c r="G2308" s="26">
        <f t="shared" si="35"/>
        <v>8198312.5800000001</v>
      </c>
      <c r="H2308" t="s">
        <v>68</v>
      </c>
    </row>
    <row r="2309" spans="1:9" hidden="1">
      <c r="A2309" s="17" t="s">
        <v>1767</v>
      </c>
      <c r="B2309" s="18" t="s">
        <v>1768</v>
      </c>
      <c r="C2309" s="19" t="s">
        <v>73</v>
      </c>
      <c r="D2309" s="20"/>
      <c r="E2309" s="3">
        <v>21559248.309999999</v>
      </c>
      <c r="F2309" s="24">
        <v>0.53897152270426263</v>
      </c>
      <c r="G2309" s="26">
        <f t="shared" ref="G2309:G2372" si="36">F2309*E2309</f>
        <v>11619820.890000001</v>
      </c>
      <c r="H2309" t="s">
        <v>68</v>
      </c>
    </row>
    <row r="2310" spans="1:9" hidden="1">
      <c r="A2310" s="15" t="s">
        <v>1767</v>
      </c>
      <c r="B2310" s="16" t="s">
        <v>1768</v>
      </c>
      <c r="C2310" s="15" t="s">
        <v>74</v>
      </c>
      <c r="D2310" s="16"/>
      <c r="E2310" s="2">
        <v>21559248.309999999</v>
      </c>
      <c r="F2310" s="23">
        <v>8.0759533679678655E-2</v>
      </c>
      <c r="G2310" s="26">
        <f t="shared" si="36"/>
        <v>1741114.84</v>
      </c>
      <c r="H2310" t="s">
        <v>68</v>
      </c>
    </row>
    <row r="2311" spans="1:9" hidden="1">
      <c r="A2311" s="17" t="s">
        <v>1769</v>
      </c>
      <c r="B2311" s="21" t="s">
        <v>1770</v>
      </c>
      <c r="C2311" s="19" t="s">
        <v>72</v>
      </c>
      <c r="D2311" s="20"/>
      <c r="E2311" s="3">
        <v>6928959.9900000002</v>
      </c>
      <c r="F2311" s="24">
        <v>0.59428494260940301</v>
      </c>
      <c r="G2311" s="26">
        <f t="shared" si="36"/>
        <v>4117776.59</v>
      </c>
      <c r="H2311" t="s">
        <v>68</v>
      </c>
    </row>
    <row r="2312" spans="1:9" hidden="1">
      <c r="A2312" s="13" t="s">
        <v>1769</v>
      </c>
      <c r="B2312" s="22" t="s">
        <v>1770</v>
      </c>
      <c r="C2312" s="15" t="s">
        <v>73</v>
      </c>
      <c r="D2312" s="16"/>
      <c r="E2312" s="2">
        <v>6928959.9900000002</v>
      </c>
      <c r="F2312" s="23">
        <v>0.34405952746741147</v>
      </c>
      <c r="G2312" s="26">
        <f t="shared" si="36"/>
        <v>2383974.7000000002</v>
      </c>
      <c r="H2312" t="s">
        <v>68</v>
      </c>
    </row>
    <row r="2313" spans="1:9" hidden="1">
      <c r="A2313" s="19" t="s">
        <v>1769</v>
      </c>
      <c r="B2313" s="20" t="s">
        <v>1770</v>
      </c>
      <c r="C2313" s="19" t="s">
        <v>74</v>
      </c>
      <c r="D2313" s="20"/>
      <c r="E2313" s="3">
        <v>6928959.9900000002</v>
      </c>
      <c r="F2313" s="24">
        <v>6.1655529923185487E-2</v>
      </c>
      <c r="G2313" s="26">
        <f t="shared" si="36"/>
        <v>427208.7</v>
      </c>
      <c r="H2313" t="s">
        <v>68</v>
      </c>
    </row>
    <row r="2314" spans="1:9" hidden="1">
      <c r="A2314" s="13" t="s">
        <v>1771</v>
      </c>
      <c r="B2314" s="14" t="s">
        <v>1772</v>
      </c>
      <c r="C2314" s="15" t="s">
        <v>72</v>
      </c>
      <c r="D2314" s="16"/>
      <c r="E2314" s="2">
        <v>12480426.359999999</v>
      </c>
      <c r="F2314" s="23">
        <v>0.52534019438739754</v>
      </c>
      <c r="G2314" s="26">
        <f t="shared" si="36"/>
        <v>6556469.6100000003</v>
      </c>
      <c r="H2314" t="s">
        <v>68</v>
      </c>
      <c r="I2314" t="s">
        <v>1883</v>
      </c>
    </row>
    <row r="2315" spans="1:9" hidden="1">
      <c r="A2315" s="17" t="s">
        <v>1771</v>
      </c>
      <c r="B2315" s="18" t="s">
        <v>1772</v>
      </c>
      <c r="C2315" s="19" t="s">
        <v>73</v>
      </c>
      <c r="D2315" s="20"/>
      <c r="E2315" s="3">
        <v>12480426.359999999</v>
      </c>
      <c r="F2315" s="24">
        <v>0.35346351580892627</v>
      </c>
      <c r="G2315" s="26">
        <f t="shared" si="36"/>
        <v>4411375.38</v>
      </c>
      <c r="H2315" t="s">
        <v>68</v>
      </c>
      <c r="I2315" t="s">
        <v>1883</v>
      </c>
    </row>
    <row r="2316" spans="1:9" hidden="1">
      <c r="A2316" s="15" t="s">
        <v>1771</v>
      </c>
      <c r="B2316" s="16" t="s">
        <v>1772</v>
      </c>
      <c r="C2316" s="15" t="s">
        <v>74</v>
      </c>
      <c r="D2316" s="16"/>
      <c r="E2316" s="2">
        <v>12480426.359999999</v>
      </c>
      <c r="F2316" s="23">
        <v>0.12119628980367624</v>
      </c>
      <c r="G2316" s="26">
        <f t="shared" si="36"/>
        <v>1512581.37</v>
      </c>
      <c r="H2316" t="s">
        <v>68</v>
      </c>
      <c r="I2316" t="s">
        <v>1883</v>
      </c>
    </row>
    <row r="2317" spans="1:9" hidden="1">
      <c r="A2317" s="17" t="s">
        <v>1773</v>
      </c>
      <c r="B2317" s="21" t="s">
        <v>1774</v>
      </c>
      <c r="C2317" s="19" t="s">
        <v>72</v>
      </c>
      <c r="D2317" s="20"/>
      <c r="E2317" s="3">
        <v>9427561.6099999994</v>
      </c>
      <c r="F2317" s="24">
        <v>0.40361228145821687</v>
      </c>
      <c r="G2317" s="26">
        <f t="shared" si="36"/>
        <v>3805079.65</v>
      </c>
      <c r="H2317" t="s">
        <v>68</v>
      </c>
    </row>
    <row r="2318" spans="1:9" hidden="1">
      <c r="A2318" s="13" t="s">
        <v>1773</v>
      </c>
      <c r="B2318" s="22" t="s">
        <v>1774</v>
      </c>
      <c r="C2318" s="15" t="s">
        <v>73</v>
      </c>
      <c r="D2318" s="16"/>
      <c r="E2318" s="2">
        <v>9427561.6099999994</v>
      </c>
      <c r="F2318" s="23">
        <v>0.58544492821405181</v>
      </c>
      <c r="G2318" s="26">
        <f t="shared" si="36"/>
        <v>5519318.1299999999</v>
      </c>
      <c r="H2318" t="s">
        <v>68</v>
      </c>
    </row>
    <row r="2319" spans="1:9" hidden="1">
      <c r="A2319" s="19" t="s">
        <v>1773</v>
      </c>
      <c r="B2319" s="20" t="s">
        <v>1774</v>
      </c>
      <c r="C2319" s="19" t="s">
        <v>74</v>
      </c>
      <c r="D2319" s="20"/>
      <c r="E2319" s="3">
        <v>9427561.6099999994</v>
      </c>
      <c r="F2319" s="24">
        <v>1.0942790327731416E-2</v>
      </c>
      <c r="G2319" s="26">
        <f t="shared" si="36"/>
        <v>103163.83</v>
      </c>
      <c r="H2319" t="s">
        <v>68</v>
      </c>
    </row>
    <row r="2320" spans="1:9" hidden="1">
      <c r="A2320" s="13" t="s">
        <v>1775</v>
      </c>
      <c r="B2320" s="14" t="s">
        <v>1776</v>
      </c>
      <c r="C2320" s="15" t="s">
        <v>72</v>
      </c>
      <c r="D2320" s="16"/>
      <c r="E2320" s="2">
        <v>8061681.9900000002</v>
      </c>
      <c r="F2320" s="23">
        <v>0.48922182925253294</v>
      </c>
      <c r="G2320" s="26">
        <f t="shared" si="36"/>
        <v>3943950.81</v>
      </c>
      <c r="H2320" t="s">
        <v>68</v>
      </c>
    </row>
    <row r="2321" spans="1:8" hidden="1">
      <c r="A2321" s="17" t="s">
        <v>1775</v>
      </c>
      <c r="B2321" s="18" t="s">
        <v>1776</v>
      </c>
      <c r="C2321" s="19" t="s">
        <v>73</v>
      </c>
      <c r="D2321" s="20"/>
      <c r="E2321" s="3">
        <v>8061681.9900000002</v>
      </c>
      <c r="F2321" s="24">
        <v>0.4357626279922262</v>
      </c>
      <c r="G2321" s="26">
        <f t="shared" si="36"/>
        <v>3512979.73</v>
      </c>
      <c r="H2321" t="s">
        <v>68</v>
      </c>
    </row>
    <row r="2322" spans="1:8" hidden="1">
      <c r="A2322" s="15" t="s">
        <v>1775</v>
      </c>
      <c r="B2322" s="16" t="s">
        <v>1776</v>
      </c>
      <c r="C2322" s="15" t="s">
        <v>74</v>
      </c>
      <c r="D2322" s="16"/>
      <c r="E2322" s="2">
        <v>8061681.9900000002</v>
      </c>
      <c r="F2322" s="23">
        <v>7.5015542755240819E-2</v>
      </c>
      <c r="G2322" s="26">
        <f t="shared" si="36"/>
        <v>604751.44999999995</v>
      </c>
      <c r="H2322" t="s">
        <v>68</v>
      </c>
    </row>
    <row r="2323" spans="1:8" hidden="1">
      <c r="A2323" s="17" t="s">
        <v>1777</v>
      </c>
      <c r="B2323" s="21" t="s">
        <v>1420</v>
      </c>
      <c r="C2323" s="19" t="s">
        <v>72</v>
      </c>
      <c r="D2323" s="20"/>
      <c r="E2323" s="3">
        <v>10510759.880000001</v>
      </c>
      <c r="F2323" s="24">
        <v>0.39676644767951824</v>
      </c>
      <c r="G2323" s="26">
        <f t="shared" si="36"/>
        <v>4170316.86</v>
      </c>
      <c r="H2323" t="s">
        <v>68</v>
      </c>
    </row>
    <row r="2324" spans="1:8" hidden="1">
      <c r="A2324" s="13" t="s">
        <v>1777</v>
      </c>
      <c r="B2324" s="22" t="s">
        <v>1420</v>
      </c>
      <c r="C2324" s="15" t="s">
        <v>73</v>
      </c>
      <c r="D2324" s="16"/>
      <c r="E2324" s="2">
        <v>10510759.880000001</v>
      </c>
      <c r="F2324" s="23">
        <v>0.55740469070633925</v>
      </c>
      <c r="G2324" s="26">
        <f t="shared" si="36"/>
        <v>5858746.8599999994</v>
      </c>
      <c r="H2324" t="s">
        <v>68</v>
      </c>
    </row>
    <row r="2325" spans="1:8" hidden="1">
      <c r="A2325" s="19" t="s">
        <v>1777</v>
      </c>
      <c r="B2325" s="20" t="s">
        <v>1420</v>
      </c>
      <c r="C2325" s="19" t="s">
        <v>74</v>
      </c>
      <c r="D2325" s="20"/>
      <c r="E2325" s="3">
        <v>10510759.880000001</v>
      </c>
      <c r="F2325" s="24">
        <v>4.5828861614142395E-2</v>
      </c>
      <c r="G2325" s="26">
        <f t="shared" si="36"/>
        <v>481696.16</v>
      </c>
      <c r="H2325" t="s">
        <v>68</v>
      </c>
    </row>
    <row r="2326" spans="1:8" hidden="1">
      <c r="A2326" s="13" t="s">
        <v>1778</v>
      </c>
      <c r="B2326" s="14" t="s">
        <v>1779</v>
      </c>
      <c r="C2326" s="15" t="s">
        <v>72</v>
      </c>
      <c r="D2326" s="16"/>
      <c r="E2326" s="2">
        <v>10856080.48</v>
      </c>
      <c r="F2326" s="23">
        <v>0.36747082129221648</v>
      </c>
      <c r="G2326" s="26">
        <f t="shared" si="36"/>
        <v>3989292.81</v>
      </c>
      <c r="H2326" t="s">
        <v>68</v>
      </c>
    </row>
    <row r="2327" spans="1:8" hidden="1">
      <c r="A2327" s="17" t="s">
        <v>1778</v>
      </c>
      <c r="B2327" s="18" t="s">
        <v>1779</v>
      </c>
      <c r="C2327" s="19" t="s">
        <v>73</v>
      </c>
      <c r="D2327" s="20"/>
      <c r="E2327" s="3">
        <v>10856080.48</v>
      </c>
      <c r="F2327" s="24">
        <v>0.57640192899527953</v>
      </c>
      <c r="G2327" s="26">
        <f t="shared" si="36"/>
        <v>6257465.7300000004</v>
      </c>
      <c r="H2327" t="s">
        <v>68</v>
      </c>
    </row>
    <row r="2328" spans="1:8" hidden="1">
      <c r="A2328" s="15" t="s">
        <v>1778</v>
      </c>
      <c r="B2328" s="16" t="s">
        <v>1779</v>
      </c>
      <c r="C2328" s="15" t="s">
        <v>74</v>
      </c>
      <c r="D2328" s="16"/>
      <c r="E2328" s="2">
        <v>10856080.48</v>
      </c>
      <c r="F2328" s="23">
        <v>5.612724971250397E-2</v>
      </c>
      <c r="G2328" s="26">
        <f t="shared" si="36"/>
        <v>609321.93999999994</v>
      </c>
      <c r="H2328" t="s">
        <v>68</v>
      </c>
    </row>
    <row r="2329" spans="1:8" hidden="1">
      <c r="A2329" s="17" t="s">
        <v>1780</v>
      </c>
      <c r="B2329" s="21" t="s">
        <v>886</v>
      </c>
      <c r="C2329" s="19" t="s">
        <v>72</v>
      </c>
      <c r="D2329" s="20"/>
      <c r="E2329" s="3">
        <v>11862217.27</v>
      </c>
      <c r="F2329" s="24">
        <v>0.39160832197436224</v>
      </c>
      <c r="G2329" s="26">
        <f t="shared" si="36"/>
        <v>4645343</v>
      </c>
      <c r="H2329" t="s">
        <v>68</v>
      </c>
    </row>
    <row r="2330" spans="1:8" hidden="1">
      <c r="A2330" s="13" t="s">
        <v>1780</v>
      </c>
      <c r="B2330" s="22" t="s">
        <v>886</v>
      </c>
      <c r="C2330" s="15" t="s">
        <v>73</v>
      </c>
      <c r="D2330" s="16"/>
      <c r="E2330" s="2">
        <v>11862217.27</v>
      </c>
      <c r="F2330" s="23">
        <v>0.54207910659859293</v>
      </c>
      <c r="G2330" s="26">
        <f t="shared" si="36"/>
        <v>6430260.1399999997</v>
      </c>
      <c r="H2330" t="s">
        <v>68</v>
      </c>
    </row>
    <row r="2331" spans="1:8" hidden="1">
      <c r="A2331" s="19" t="s">
        <v>1780</v>
      </c>
      <c r="B2331" s="20" t="s">
        <v>886</v>
      </c>
      <c r="C2331" s="19" t="s">
        <v>74</v>
      </c>
      <c r="D2331" s="20"/>
      <c r="E2331" s="3">
        <v>11862217.27</v>
      </c>
      <c r="F2331" s="24">
        <v>6.6312571427044859E-2</v>
      </c>
      <c r="G2331" s="26">
        <f t="shared" si="36"/>
        <v>786614.13</v>
      </c>
      <c r="H2331" t="s">
        <v>68</v>
      </c>
    </row>
    <row r="2332" spans="1:8" hidden="1">
      <c r="A2332" s="13" t="s">
        <v>1781</v>
      </c>
      <c r="B2332" s="14" t="s">
        <v>1580</v>
      </c>
      <c r="C2332" s="15" t="s">
        <v>72</v>
      </c>
      <c r="D2332" s="16"/>
      <c r="E2332" s="2">
        <v>15088727.02</v>
      </c>
      <c r="F2332" s="23">
        <v>0.49871654182792685</v>
      </c>
      <c r="G2332" s="26">
        <f t="shared" si="36"/>
        <v>7524997.7599999998</v>
      </c>
      <c r="H2332" t="s">
        <v>68</v>
      </c>
    </row>
    <row r="2333" spans="1:8" hidden="1">
      <c r="A2333" s="17" t="s">
        <v>1781</v>
      </c>
      <c r="B2333" s="18" t="s">
        <v>1580</v>
      </c>
      <c r="C2333" s="19" t="s">
        <v>73</v>
      </c>
      <c r="D2333" s="20"/>
      <c r="E2333" s="3">
        <v>15088727.02</v>
      </c>
      <c r="F2333" s="24">
        <v>0.3664915776307815</v>
      </c>
      <c r="G2333" s="26">
        <f t="shared" si="36"/>
        <v>5529891.3700000001</v>
      </c>
      <c r="H2333" t="s">
        <v>68</v>
      </c>
    </row>
    <row r="2334" spans="1:8" hidden="1">
      <c r="A2334" s="15" t="s">
        <v>1781</v>
      </c>
      <c r="B2334" s="16" t="s">
        <v>1580</v>
      </c>
      <c r="C2334" s="15" t="s">
        <v>74</v>
      </c>
      <c r="D2334" s="16"/>
      <c r="E2334" s="2">
        <v>15088727.02</v>
      </c>
      <c r="F2334" s="23">
        <v>0.13479188054129168</v>
      </c>
      <c r="G2334" s="26">
        <f t="shared" si="36"/>
        <v>2033837.89</v>
      </c>
      <c r="H2334" t="s">
        <v>68</v>
      </c>
    </row>
    <row r="2335" spans="1:8" hidden="1">
      <c r="A2335" s="17" t="s">
        <v>1782</v>
      </c>
      <c r="B2335" s="21" t="s">
        <v>1783</v>
      </c>
      <c r="C2335" s="19" t="s">
        <v>72</v>
      </c>
      <c r="D2335" s="20"/>
      <c r="E2335" s="3">
        <v>17383859.309999999</v>
      </c>
      <c r="F2335" s="24">
        <v>0.43195731144006827</v>
      </c>
      <c r="G2335" s="26">
        <f t="shared" si="36"/>
        <v>7509085.1299999999</v>
      </c>
      <c r="H2335" t="s">
        <v>68</v>
      </c>
    </row>
    <row r="2336" spans="1:8" hidden="1">
      <c r="A2336" s="13" t="s">
        <v>1782</v>
      </c>
      <c r="B2336" s="22" t="s">
        <v>1783</v>
      </c>
      <c r="C2336" s="15" t="s">
        <v>73</v>
      </c>
      <c r="D2336" s="16"/>
      <c r="E2336" s="2">
        <v>17383859.309999999</v>
      </c>
      <c r="F2336" s="23">
        <v>0.51056890082481921</v>
      </c>
      <c r="G2336" s="26">
        <f t="shared" si="36"/>
        <v>8875657.9399999995</v>
      </c>
      <c r="H2336" t="s">
        <v>68</v>
      </c>
    </row>
    <row r="2337" spans="1:8" hidden="1">
      <c r="A2337" s="19" t="s">
        <v>1782</v>
      </c>
      <c r="B2337" s="20" t="s">
        <v>1783</v>
      </c>
      <c r="C2337" s="19" t="s">
        <v>74</v>
      </c>
      <c r="D2337" s="20"/>
      <c r="E2337" s="3">
        <v>17383859.309999999</v>
      </c>
      <c r="F2337" s="24">
        <v>5.7473787735112546E-2</v>
      </c>
      <c r="G2337" s="26">
        <f t="shared" si="36"/>
        <v>999116.24</v>
      </c>
      <c r="H2337" t="s">
        <v>68</v>
      </c>
    </row>
    <row r="2338" spans="1:8" hidden="1">
      <c r="A2338" s="13" t="s">
        <v>1784</v>
      </c>
      <c r="B2338" s="14" t="s">
        <v>1785</v>
      </c>
      <c r="C2338" s="15" t="s">
        <v>72</v>
      </c>
      <c r="D2338" s="16"/>
      <c r="E2338" s="2">
        <v>5555998.04</v>
      </c>
      <c r="F2338" s="23">
        <v>0.45406719761909781</v>
      </c>
      <c r="G2338" s="26">
        <f t="shared" si="36"/>
        <v>2522796.46</v>
      </c>
      <c r="H2338" t="s">
        <v>68</v>
      </c>
    </row>
    <row r="2339" spans="1:8" hidden="1">
      <c r="A2339" s="17" t="s">
        <v>1784</v>
      </c>
      <c r="B2339" s="18" t="s">
        <v>1785</v>
      </c>
      <c r="C2339" s="19" t="s">
        <v>73</v>
      </c>
      <c r="D2339" s="20"/>
      <c r="E2339" s="3">
        <v>5555998.04</v>
      </c>
      <c r="F2339" s="24">
        <v>0.48637325473210574</v>
      </c>
      <c r="G2339" s="26">
        <f t="shared" si="36"/>
        <v>2702288.85</v>
      </c>
      <c r="H2339" t="s">
        <v>68</v>
      </c>
    </row>
    <row r="2340" spans="1:8" hidden="1">
      <c r="A2340" s="15" t="s">
        <v>1784</v>
      </c>
      <c r="B2340" s="16" t="s">
        <v>1785</v>
      </c>
      <c r="C2340" s="15" t="s">
        <v>74</v>
      </c>
      <c r="D2340" s="16"/>
      <c r="E2340" s="2">
        <v>5555998.04</v>
      </c>
      <c r="F2340" s="23">
        <v>5.95595476487965E-2</v>
      </c>
      <c r="G2340" s="26">
        <f t="shared" si="36"/>
        <v>330912.73</v>
      </c>
      <c r="H2340" t="s">
        <v>68</v>
      </c>
    </row>
    <row r="2341" spans="1:8" hidden="1">
      <c r="A2341" s="17" t="s">
        <v>1786</v>
      </c>
      <c r="B2341" s="21" t="s">
        <v>1787</v>
      </c>
      <c r="C2341" s="19" t="s">
        <v>72</v>
      </c>
      <c r="D2341" s="20"/>
      <c r="E2341" s="3">
        <v>5608250.7800000003</v>
      </c>
      <c r="F2341" s="24">
        <v>0.35734580328449572</v>
      </c>
      <c r="G2341" s="26">
        <f t="shared" si="36"/>
        <v>2004084.88</v>
      </c>
      <c r="H2341" t="s">
        <v>68</v>
      </c>
    </row>
    <row r="2342" spans="1:8" hidden="1">
      <c r="A2342" s="13" t="s">
        <v>1786</v>
      </c>
      <c r="B2342" s="22" t="s">
        <v>1787</v>
      </c>
      <c r="C2342" s="15" t="s">
        <v>73</v>
      </c>
      <c r="D2342" s="16"/>
      <c r="E2342" s="2">
        <v>5608250.7800000003</v>
      </c>
      <c r="F2342" s="23">
        <v>0.56664590344870414</v>
      </c>
      <c r="G2342" s="26">
        <f t="shared" si="36"/>
        <v>3177892.3299999996</v>
      </c>
      <c r="H2342" t="s">
        <v>68</v>
      </c>
    </row>
    <row r="2343" spans="1:8" hidden="1">
      <c r="A2343" s="19" t="s">
        <v>1786</v>
      </c>
      <c r="B2343" s="20" t="s">
        <v>1787</v>
      </c>
      <c r="C2343" s="19" t="s">
        <v>74</v>
      </c>
      <c r="D2343" s="20"/>
      <c r="E2343" s="3">
        <v>5608250.7800000003</v>
      </c>
      <c r="F2343" s="24">
        <v>7.6008293266800031E-2</v>
      </c>
      <c r="G2343" s="26">
        <f t="shared" si="36"/>
        <v>426273.57000000007</v>
      </c>
      <c r="H2343" t="s">
        <v>68</v>
      </c>
    </row>
    <row r="2344" spans="1:8" hidden="1">
      <c r="A2344" s="13" t="s">
        <v>1788</v>
      </c>
      <c r="B2344" s="14" t="s">
        <v>1592</v>
      </c>
      <c r="C2344" s="15" t="s">
        <v>72</v>
      </c>
      <c r="D2344" s="16"/>
      <c r="E2344" s="2">
        <v>6338480.1699999999</v>
      </c>
      <c r="F2344" s="23">
        <v>0.46057703924314719</v>
      </c>
      <c r="G2344" s="26">
        <f t="shared" si="36"/>
        <v>2919358.43</v>
      </c>
      <c r="H2344" t="s">
        <v>68</v>
      </c>
    </row>
    <row r="2345" spans="1:8" hidden="1">
      <c r="A2345" s="17" t="s">
        <v>1788</v>
      </c>
      <c r="B2345" s="18" t="s">
        <v>1592</v>
      </c>
      <c r="C2345" s="19" t="s">
        <v>73</v>
      </c>
      <c r="D2345" s="20"/>
      <c r="E2345" s="3">
        <v>6338480.1699999999</v>
      </c>
      <c r="F2345" s="24">
        <v>0.48301194417083737</v>
      </c>
      <c r="G2345" s="26">
        <f t="shared" si="36"/>
        <v>3061561.63</v>
      </c>
      <c r="H2345" t="s">
        <v>68</v>
      </c>
    </row>
    <row r="2346" spans="1:8" hidden="1">
      <c r="A2346" s="15" t="s">
        <v>1788</v>
      </c>
      <c r="B2346" s="16" t="s">
        <v>1592</v>
      </c>
      <c r="C2346" s="15" t="s">
        <v>74</v>
      </c>
      <c r="D2346" s="16"/>
      <c r="E2346" s="2">
        <v>6338480.1699999999</v>
      </c>
      <c r="F2346" s="23">
        <v>5.6411016586015446E-2</v>
      </c>
      <c r="G2346" s="26">
        <f t="shared" si="36"/>
        <v>357560.11</v>
      </c>
      <c r="H2346" t="s">
        <v>68</v>
      </c>
    </row>
    <row r="2347" spans="1:8" hidden="1">
      <c r="A2347" s="17" t="s">
        <v>1593</v>
      </c>
      <c r="B2347" s="21" t="s">
        <v>1779</v>
      </c>
      <c r="C2347" s="19" t="s">
        <v>72</v>
      </c>
      <c r="D2347" s="20"/>
      <c r="E2347" s="3">
        <v>6880778.9699999997</v>
      </c>
      <c r="F2347" s="24">
        <v>0.48559557639736251</v>
      </c>
      <c r="G2347" s="26">
        <f t="shared" si="36"/>
        <v>3341275.83</v>
      </c>
      <c r="H2347" t="s">
        <v>68</v>
      </c>
    </row>
    <row r="2348" spans="1:8" hidden="1">
      <c r="A2348" s="13" t="s">
        <v>1593</v>
      </c>
      <c r="B2348" s="22" t="s">
        <v>1779</v>
      </c>
      <c r="C2348" s="15" t="s">
        <v>73</v>
      </c>
      <c r="D2348" s="16"/>
      <c r="E2348" s="2">
        <v>6880778.9699999997</v>
      </c>
      <c r="F2348" s="23">
        <v>0.4882251275105266</v>
      </c>
      <c r="G2348" s="26">
        <f t="shared" si="36"/>
        <v>3359369.19</v>
      </c>
      <c r="H2348" t="s">
        <v>68</v>
      </c>
    </row>
    <row r="2349" spans="1:8" hidden="1">
      <c r="A2349" s="19" t="s">
        <v>1593</v>
      </c>
      <c r="B2349" s="20" t="s">
        <v>1779</v>
      </c>
      <c r="C2349" s="19" t="s">
        <v>74</v>
      </c>
      <c r="D2349" s="20"/>
      <c r="E2349" s="3">
        <v>6880778.9699999997</v>
      </c>
      <c r="F2349" s="24">
        <v>2.6179296092110921E-2</v>
      </c>
      <c r="G2349" s="26">
        <f t="shared" si="36"/>
        <v>180133.95</v>
      </c>
      <c r="H2349" t="s">
        <v>68</v>
      </c>
    </row>
    <row r="2350" spans="1:8" hidden="1">
      <c r="A2350" s="13" t="s">
        <v>1594</v>
      </c>
      <c r="B2350" s="14" t="s">
        <v>1595</v>
      </c>
      <c r="C2350" s="15" t="s">
        <v>72</v>
      </c>
      <c r="D2350" s="16"/>
      <c r="E2350" s="2">
        <v>4398320.1100000003</v>
      </c>
      <c r="F2350" s="23">
        <v>0.41991205137636062</v>
      </c>
      <c r="G2350" s="26">
        <f t="shared" si="36"/>
        <v>1846907.62</v>
      </c>
      <c r="H2350" t="s">
        <v>68</v>
      </c>
    </row>
    <row r="2351" spans="1:8" hidden="1">
      <c r="A2351" s="17" t="s">
        <v>1594</v>
      </c>
      <c r="B2351" s="18" t="s">
        <v>1595</v>
      </c>
      <c r="C2351" s="19" t="s">
        <v>73</v>
      </c>
      <c r="D2351" s="20"/>
      <c r="E2351" s="3">
        <v>4398320.1100000003</v>
      </c>
      <c r="F2351" s="24">
        <v>0.51904679125321773</v>
      </c>
      <c r="G2351" s="26">
        <f t="shared" si="36"/>
        <v>2282933.94</v>
      </c>
      <c r="H2351" t="s">
        <v>68</v>
      </c>
    </row>
    <row r="2352" spans="1:8" hidden="1">
      <c r="A2352" s="15" t="s">
        <v>1594</v>
      </c>
      <c r="B2352" s="16" t="s">
        <v>1595</v>
      </c>
      <c r="C2352" s="15" t="s">
        <v>74</v>
      </c>
      <c r="D2352" s="16"/>
      <c r="E2352" s="2">
        <v>4398320.1100000003</v>
      </c>
      <c r="F2352" s="23">
        <v>6.1041157370421581E-2</v>
      </c>
      <c r="G2352" s="26">
        <f t="shared" si="36"/>
        <v>268478.55</v>
      </c>
      <c r="H2352" t="s">
        <v>68</v>
      </c>
    </row>
    <row r="2353" spans="1:9" hidden="1">
      <c r="A2353" s="17" t="s">
        <v>1596</v>
      </c>
      <c r="B2353" s="21" t="s">
        <v>1597</v>
      </c>
      <c r="C2353" s="19" t="s">
        <v>72</v>
      </c>
      <c r="D2353" s="20"/>
      <c r="E2353" s="3">
        <v>12660415.949999999</v>
      </c>
      <c r="F2353" s="24">
        <v>0.80558905491568789</v>
      </c>
      <c r="G2353" s="26">
        <f t="shared" si="36"/>
        <v>10199092.52</v>
      </c>
      <c r="H2353" t="s">
        <v>68</v>
      </c>
      <c r="I2353" t="s">
        <v>1883</v>
      </c>
    </row>
    <row r="2354" spans="1:9" hidden="1">
      <c r="A2354" s="13" t="s">
        <v>1596</v>
      </c>
      <c r="B2354" s="22" t="s">
        <v>1597</v>
      </c>
      <c r="C2354" s="15" t="s">
        <v>73</v>
      </c>
      <c r="D2354" s="16"/>
      <c r="E2354" s="2">
        <v>12660415.949999999</v>
      </c>
      <c r="F2354" s="23">
        <v>0.15507726979538933</v>
      </c>
      <c r="G2354" s="26">
        <f t="shared" si="36"/>
        <v>1963342.7400000002</v>
      </c>
      <c r="H2354" t="s">
        <v>68</v>
      </c>
      <c r="I2354" t="s">
        <v>1883</v>
      </c>
    </row>
    <row r="2355" spans="1:9" hidden="1">
      <c r="A2355" s="19" t="s">
        <v>1596</v>
      </c>
      <c r="B2355" s="20" t="s">
        <v>1597</v>
      </c>
      <c r="C2355" s="19" t="s">
        <v>74</v>
      </c>
      <c r="D2355" s="20"/>
      <c r="E2355" s="3">
        <v>12660415.949999999</v>
      </c>
      <c r="F2355" s="24">
        <v>3.9333675288922877E-2</v>
      </c>
      <c r="G2355" s="26">
        <f t="shared" si="36"/>
        <v>497980.69</v>
      </c>
      <c r="H2355" t="s">
        <v>68</v>
      </c>
      <c r="I2355" t="s">
        <v>1883</v>
      </c>
    </row>
    <row r="2356" spans="1:9" hidden="1">
      <c r="A2356" s="13" t="s">
        <v>1598</v>
      </c>
      <c r="B2356" s="14" t="s">
        <v>1599</v>
      </c>
      <c r="C2356" s="15" t="s">
        <v>72</v>
      </c>
      <c r="D2356" s="16"/>
      <c r="E2356" s="2">
        <v>13983589.57</v>
      </c>
      <c r="F2356" s="23">
        <v>0.44272630850677919</v>
      </c>
      <c r="G2356" s="26">
        <f t="shared" si="36"/>
        <v>6190902.9900000002</v>
      </c>
      <c r="H2356" t="s">
        <v>68</v>
      </c>
    </row>
    <row r="2357" spans="1:9" hidden="1">
      <c r="A2357" s="17" t="s">
        <v>1598</v>
      </c>
      <c r="B2357" s="18" t="s">
        <v>1599</v>
      </c>
      <c r="C2357" s="19" t="s">
        <v>73</v>
      </c>
      <c r="D2357" s="20"/>
      <c r="E2357" s="3">
        <v>13983589.57</v>
      </c>
      <c r="F2357" s="24">
        <v>0.53595217039826204</v>
      </c>
      <c r="G2357" s="26">
        <f t="shared" si="36"/>
        <v>7494535.1799999997</v>
      </c>
      <c r="H2357" t="s">
        <v>68</v>
      </c>
    </row>
    <row r="2358" spans="1:9" hidden="1">
      <c r="A2358" s="15" t="s">
        <v>1598</v>
      </c>
      <c r="B2358" s="16" t="s">
        <v>1599</v>
      </c>
      <c r="C2358" s="15" t="s">
        <v>74</v>
      </c>
      <c r="D2358" s="16"/>
      <c r="E2358" s="2">
        <v>13983589.57</v>
      </c>
      <c r="F2358" s="23">
        <v>2.1321521094958738E-2</v>
      </c>
      <c r="G2358" s="26">
        <f t="shared" si="36"/>
        <v>298151.40000000002</v>
      </c>
      <c r="H2358" t="s">
        <v>68</v>
      </c>
    </row>
    <row r="2359" spans="1:9" hidden="1">
      <c r="A2359" s="17" t="s">
        <v>1600</v>
      </c>
      <c r="B2359" s="21" t="s">
        <v>1601</v>
      </c>
      <c r="C2359" s="19" t="s">
        <v>72</v>
      </c>
      <c r="D2359" s="20"/>
      <c r="E2359" s="3">
        <v>10643106.800000001</v>
      </c>
      <c r="F2359" s="24">
        <v>0.38336350434818522</v>
      </c>
      <c r="G2359" s="26">
        <f t="shared" si="36"/>
        <v>4080178.72</v>
      </c>
      <c r="H2359" t="s">
        <v>68</v>
      </c>
    </row>
    <row r="2360" spans="1:9" hidden="1">
      <c r="A2360" s="13" t="s">
        <v>1600</v>
      </c>
      <c r="B2360" s="22" t="s">
        <v>1601</v>
      </c>
      <c r="C2360" s="15" t="s">
        <v>73</v>
      </c>
      <c r="D2360" s="16"/>
      <c r="E2360" s="2">
        <v>10643106.800000001</v>
      </c>
      <c r="F2360" s="23">
        <v>0.56591663441731122</v>
      </c>
      <c r="G2360" s="26">
        <f t="shared" si="36"/>
        <v>6023111.1799999997</v>
      </c>
      <c r="H2360" t="s">
        <v>68</v>
      </c>
    </row>
    <row r="2361" spans="1:9" hidden="1">
      <c r="A2361" s="19" t="s">
        <v>1600</v>
      </c>
      <c r="B2361" s="20" t="s">
        <v>1601</v>
      </c>
      <c r="C2361" s="19" t="s">
        <v>74</v>
      </c>
      <c r="D2361" s="20"/>
      <c r="E2361" s="3">
        <v>10643106.800000001</v>
      </c>
      <c r="F2361" s="24">
        <v>5.0719861234503442E-2</v>
      </c>
      <c r="G2361" s="26">
        <f t="shared" si="36"/>
        <v>539816.9</v>
      </c>
      <c r="H2361" t="s">
        <v>68</v>
      </c>
    </row>
    <row r="2362" spans="1:9" hidden="1">
      <c r="A2362" s="13" t="s">
        <v>1602</v>
      </c>
      <c r="B2362" s="14" t="s">
        <v>1679</v>
      </c>
      <c r="C2362" s="15" t="s">
        <v>72</v>
      </c>
      <c r="D2362" s="16"/>
      <c r="E2362" s="2">
        <v>13261847.18</v>
      </c>
      <c r="F2362" s="23">
        <v>0.53725054008652806</v>
      </c>
      <c r="G2362" s="26">
        <f t="shared" si="36"/>
        <v>7124934.5599999987</v>
      </c>
      <c r="H2362" t="s">
        <v>68</v>
      </c>
    </row>
    <row r="2363" spans="1:9" hidden="1">
      <c r="A2363" s="17" t="s">
        <v>1602</v>
      </c>
      <c r="B2363" s="18" t="s">
        <v>1679</v>
      </c>
      <c r="C2363" s="19" t="s">
        <v>73</v>
      </c>
      <c r="D2363" s="20"/>
      <c r="E2363" s="3">
        <v>13261847.18</v>
      </c>
      <c r="F2363" s="24">
        <v>0.40783334527913029</v>
      </c>
      <c r="G2363" s="26">
        <f t="shared" si="36"/>
        <v>5408623.5</v>
      </c>
      <c r="H2363" t="s">
        <v>68</v>
      </c>
    </row>
    <row r="2364" spans="1:9" hidden="1">
      <c r="A2364" s="15" t="s">
        <v>1602</v>
      </c>
      <c r="B2364" s="16" t="s">
        <v>1679</v>
      </c>
      <c r="C2364" s="15" t="s">
        <v>74</v>
      </c>
      <c r="D2364" s="16"/>
      <c r="E2364" s="2">
        <v>13261847.18</v>
      </c>
      <c r="F2364" s="23">
        <v>5.4916114634341609E-2</v>
      </c>
      <c r="G2364" s="26">
        <f t="shared" si="36"/>
        <v>728289.12</v>
      </c>
      <c r="H2364" t="s">
        <v>68</v>
      </c>
    </row>
    <row r="2365" spans="1:9" hidden="1">
      <c r="A2365" s="17" t="s">
        <v>1603</v>
      </c>
      <c r="B2365" s="21" t="s">
        <v>1604</v>
      </c>
      <c r="C2365" s="19" t="s">
        <v>72</v>
      </c>
      <c r="D2365" s="20"/>
      <c r="E2365" s="3">
        <v>7158730.9100000001</v>
      </c>
      <c r="F2365" s="24">
        <v>0.39361576729526765</v>
      </c>
      <c r="G2365" s="26">
        <f t="shared" si="36"/>
        <v>2817789.36</v>
      </c>
      <c r="H2365" t="s">
        <v>68</v>
      </c>
    </row>
    <row r="2366" spans="1:9" hidden="1">
      <c r="A2366" s="13" t="s">
        <v>1603</v>
      </c>
      <c r="B2366" s="22" t="s">
        <v>1604</v>
      </c>
      <c r="C2366" s="15" t="s">
        <v>73</v>
      </c>
      <c r="D2366" s="16"/>
      <c r="E2366" s="2">
        <v>7158730.9100000001</v>
      </c>
      <c r="F2366" s="23">
        <v>0.5420388346459023</v>
      </c>
      <c r="G2366" s="26">
        <f t="shared" si="36"/>
        <v>3880310.1599999997</v>
      </c>
      <c r="H2366" t="s">
        <v>68</v>
      </c>
    </row>
    <row r="2367" spans="1:9" hidden="1">
      <c r="A2367" s="19" t="s">
        <v>1603</v>
      </c>
      <c r="B2367" s="20" t="s">
        <v>1604</v>
      </c>
      <c r="C2367" s="19" t="s">
        <v>74</v>
      </c>
      <c r="D2367" s="20"/>
      <c r="E2367" s="3">
        <v>7158730.9100000001</v>
      </c>
      <c r="F2367" s="24">
        <v>6.4345398058829953E-2</v>
      </c>
      <c r="G2367" s="26">
        <f t="shared" si="36"/>
        <v>460631.39</v>
      </c>
      <c r="H2367" t="s">
        <v>68</v>
      </c>
    </row>
    <row r="2368" spans="1:9" hidden="1">
      <c r="A2368" s="13" t="s">
        <v>1605</v>
      </c>
      <c r="B2368" s="14" t="s">
        <v>1606</v>
      </c>
      <c r="C2368" s="15" t="s">
        <v>72</v>
      </c>
      <c r="D2368" s="16"/>
      <c r="E2368" s="2">
        <v>9602713.2200000007</v>
      </c>
      <c r="F2368" s="23">
        <v>0.60164267198640753</v>
      </c>
      <c r="G2368" s="26">
        <f t="shared" si="36"/>
        <v>5777402.04</v>
      </c>
      <c r="H2368" t="s">
        <v>68</v>
      </c>
    </row>
    <row r="2369" spans="1:8" hidden="1">
      <c r="A2369" s="17" t="s">
        <v>1605</v>
      </c>
      <c r="B2369" s="18" t="s">
        <v>1606</v>
      </c>
      <c r="C2369" s="19" t="s">
        <v>73</v>
      </c>
      <c r="D2369" s="20"/>
      <c r="E2369" s="3">
        <v>9602713.2200000007</v>
      </c>
      <c r="F2369" s="24">
        <v>0.34602630151231356</v>
      </c>
      <c r="G2369" s="26">
        <f t="shared" si="36"/>
        <v>3322791.34</v>
      </c>
      <c r="H2369" t="s">
        <v>68</v>
      </c>
    </row>
    <row r="2370" spans="1:8" hidden="1">
      <c r="A2370" s="15" t="s">
        <v>1605</v>
      </c>
      <c r="B2370" s="16" t="s">
        <v>1606</v>
      </c>
      <c r="C2370" s="15" t="s">
        <v>74</v>
      </c>
      <c r="D2370" s="16"/>
      <c r="E2370" s="2">
        <v>9602713.2200000007</v>
      </c>
      <c r="F2370" s="23">
        <v>5.2331026501278771E-2</v>
      </c>
      <c r="G2370" s="26">
        <f t="shared" si="36"/>
        <v>502519.84</v>
      </c>
      <c r="H2370" t="s">
        <v>68</v>
      </c>
    </row>
    <row r="2371" spans="1:8" hidden="1">
      <c r="A2371" s="17" t="s">
        <v>1607</v>
      </c>
      <c r="B2371" s="21" t="s">
        <v>1608</v>
      </c>
      <c r="C2371" s="19" t="s">
        <v>72</v>
      </c>
      <c r="D2371" s="20"/>
      <c r="E2371" s="3">
        <v>14076521.779999999</v>
      </c>
      <c r="F2371" s="24">
        <v>0.50496564002758926</v>
      </c>
      <c r="G2371" s="26">
        <f t="shared" si="36"/>
        <v>7108159.8300000001</v>
      </c>
      <c r="H2371" t="s">
        <v>68</v>
      </c>
    </row>
    <row r="2372" spans="1:8" hidden="1">
      <c r="A2372" s="13" t="s">
        <v>1607</v>
      </c>
      <c r="B2372" s="22" t="s">
        <v>1608</v>
      </c>
      <c r="C2372" s="15" t="s">
        <v>73</v>
      </c>
      <c r="D2372" s="16"/>
      <c r="E2372" s="2">
        <v>14076521.779999999</v>
      </c>
      <c r="F2372" s="23">
        <v>0.44217702904729922</v>
      </c>
      <c r="G2372" s="26">
        <f t="shared" si="36"/>
        <v>6224314.5800000001</v>
      </c>
      <c r="H2372" t="s">
        <v>68</v>
      </c>
    </row>
    <row r="2373" spans="1:8" hidden="1">
      <c r="A2373" s="19" t="s">
        <v>1607</v>
      </c>
      <c r="B2373" s="20" t="s">
        <v>1608</v>
      </c>
      <c r="C2373" s="19" t="s">
        <v>74</v>
      </c>
      <c r="D2373" s="20"/>
      <c r="E2373" s="3">
        <v>14076521.779999999</v>
      </c>
      <c r="F2373" s="24">
        <v>5.285733092511153E-2</v>
      </c>
      <c r="G2373" s="26">
        <f t="shared" ref="G2373:G2436" si="37">F2373*E2373</f>
        <v>744047.37</v>
      </c>
      <c r="H2373" t="s">
        <v>68</v>
      </c>
    </row>
    <row r="2374" spans="1:8" hidden="1">
      <c r="A2374" s="13" t="s">
        <v>1609</v>
      </c>
      <c r="B2374" s="14" t="s">
        <v>1610</v>
      </c>
      <c r="C2374" s="15" t="s">
        <v>72</v>
      </c>
      <c r="D2374" s="16"/>
      <c r="E2374" s="2">
        <v>8730587.2699999996</v>
      </c>
      <c r="F2374" s="23">
        <v>0.41878682807095979</v>
      </c>
      <c r="G2374" s="26">
        <f t="shared" si="37"/>
        <v>3656254.95</v>
      </c>
      <c r="H2374" t="s">
        <v>68</v>
      </c>
    </row>
    <row r="2375" spans="1:8" hidden="1">
      <c r="A2375" s="17" t="s">
        <v>1609</v>
      </c>
      <c r="B2375" s="18" t="s">
        <v>1610</v>
      </c>
      <c r="C2375" s="19" t="s">
        <v>73</v>
      </c>
      <c r="D2375" s="20"/>
      <c r="E2375" s="3">
        <v>8730587.2699999996</v>
      </c>
      <c r="F2375" s="24">
        <v>0.52391886118790265</v>
      </c>
      <c r="G2375" s="26">
        <f t="shared" si="37"/>
        <v>4574119.34</v>
      </c>
      <c r="H2375" t="s">
        <v>68</v>
      </c>
    </row>
    <row r="2376" spans="1:8" hidden="1">
      <c r="A2376" s="15" t="s">
        <v>1609</v>
      </c>
      <c r="B2376" s="16" t="s">
        <v>1610</v>
      </c>
      <c r="C2376" s="15" t="s">
        <v>74</v>
      </c>
      <c r="D2376" s="16"/>
      <c r="E2376" s="2">
        <v>8730587.2699999996</v>
      </c>
      <c r="F2376" s="23">
        <v>5.7294310741137576E-2</v>
      </c>
      <c r="G2376" s="26">
        <f t="shared" si="37"/>
        <v>500212.98</v>
      </c>
      <c r="H2376" t="s">
        <v>68</v>
      </c>
    </row>
    <row r="2377" spans="1:8" hidden="1">
      <c r="A2377" s="17" t="s">
        <v>1611</v>
      </c>
      <c r="B2377" s="21" t="s">
        <v>1612</v>
      </c>
      <c r="C2377" s="19" t="s">
        <v>72</v>
      </c>
      <c r="D2377" s="20"/>
      <c r="E2377" s="3">
        <v>38036358.719999999</v>
      </c>
      <c r="F2377" s="24">
        <v>0.21428539676996716</v>
      </c>
      <c r="G2377" s="26">
        <f t="shared" si="37"/>
        <v>8150636.2199999997</v>
      </c>
      <c r="H2377" t="s">
        <v>68</v>
      </c>
    </row>
    <row r="2378" spans="1:8" hidden="1">
      <c r="A2378" s="13" t="s">
        <v>1611</v>
      </c>
      <c r="B2378" s="22" t="s">
        <v>1612</v>
      </c>
      <c r="C2378" s="15" t="s">
        <v>73</v>
      </c>
      <c r="D2378" s="16"/>
      <c r="E2378" s="2">
        <v>38036358.719999999</v>
      </c>
      <c r="F2378" s="23">
        <v>0.69334656069833178</v>
      </c>
      <c r="G2378" s="26">
        <f t="shared" si="37"/>
        <v>26372378.5</v>
      </c>
      <c r="H2378" t="s">
        <v>68</v>
      </c>
    </row>
    <row r="2379" spans="1:8" hidden="1">
      <c r="A2379" s="19" t="s">
        <v>1611</v>
      </c>
      <c r="B2379" s="20" t="s">
        <v>1612</v>
      </c>
      <c r="C2379" s="19" t="s">
        <v>74</v>
      </c>
      <c r="D2379" s="20"/>
      <c r="E2379" s="3">
        <v>38036358.719999999</v>
      </c>
      <c r="F2379" s="24">
        <v>9.2368042531701097E-2</v>
      </c>
      <c r="G2379" s="26">
        <f t="shared" si="37"/>
        <v>3513344</v>
      </c>
      <c r="H2379" t="s">
        <v>68</v>
      </c>
    </row>
    <row r="2380" spans="1:8" hidden="1">
      <c r="A2380" s="13" t="s">
        <v>1613</v>
      </c>
      <c r="B2380" s="14" t="s">
        <v>1614</v>
      </c>
      <c r="C2380" s="15" t="s">
        <v>72</v>
      </c>
      <c r="D2380" s="16"/>
      <c r="E2380" s="2">
        <v>1295633.67</v>
      </c>
      <c r="F2380" s="23">
        <v>0.36019239141878739</v>
      </c>
      <c r="G2380" s="26">
        <f t="shared" si="37"/>
        <v>466677.39</v>
      </c>
      <c r="H2380" t="s">
        <v>68</v>
      </c>
    </row>
    <row r="2381" spans="1:8" hidden="1">
      <c r="A2381" s="17" t="s">
        <v>1613</v>
      </c>
      <c r="B2381" s="18" t="s">
        <v>1614</v>
      </c>
      <c r="C2381" s="19" t="s">
        <v>73</v>
      </c>
      <c r="D2381" s="20"/>
      <c r="E2381" s="3">
        <v>1295633.67</v>
      </c>
      <c r="F2381" s="24">
        <v>0.55792029547981725</v>
      </c>
      <c r="G2381" s="26">
        <f t="shared" si="37"/>
        <v>722860.32</v>
      </c>
      <c r="H2381" t="s">
        <v>68</v>
      </c>
    </row>
    <row r="2382" spans="1:8" hidden="1">
      <c r="A2382" s="15" t="s">
        <v>1613</v>
      </c>
      <c r="B2382" s="16" t="s">
        <v>1614</v>
      </c>
      <c r="C2382" s="15" t="s">
        <v>74</v>
      </c>
      <c r="D2382" s="16"/>
      <c r="E2382" s="2">
        <v>1295633.67</v>
      </c>
      <c r="F2382" s="23">
        <v>8.1887313101395409E-2</v>
      </c>
      <c r="G2382" s="26">
        <f t="shared" si="37"/>
        <v>106095.96</v>
      </c>
      <c r="H2382" t="s">
        <v>68</v>
      </c>
    </row>
    <row r="2383" spans="1:8" hidden="1">
      <c r="A2383" s="17" t="s">
        <v>1615</v>
      </c>
      <c r="B2383" s="21" t="s">
        <v>1616</v>
      </c>
      <c r="C2383" s="19" t="s">
        <v>72</v>
      </c>
      <c r="D2383" s="20"/>
      <c r="E2383" s="3">
        <v>23334740.719999999</v>
      </c>
      <c r="F2383" s="24">
        <v>0.36978656259952652</v>
      </c>
      <c r="G2383" s="26">
        <f t="shared" si="37"/>
        <v>8628873.5600000005</v>
      </c>
      <c r="H2383" t="s">
        <v>68</v>
      </c>
    </row>
    <row r="2384" spans="1:8" hidden="1">
      <c r="A2384" s="13" t="s">
        <v>1615</v>
      </c>
      <c r="B2384" s="22" t="s">
        <v>1616</v>
      </c>
      <c r="C2384" s="15" t="s">
        <v>73</v>
      </c>
      <c r="D2384" s="16"/>
      <c r="E2384" s="2">
        <v>23334740.719999999</v>
      </c>
      <c r="F2384" s="23">
        <v>0.49015935326835725</v>
      </c>
      <c r="G2384" s="26">
        <f t="shared" si="37"/>
        <v>11437741.42</v>
      </c>
      <c r="H2384" t="s">
        <v>68</v>
      </c>
    </row>
    <row r="2385" spans="1:9" hidden="1">
      <c r="A2385" s="19" t="s">
        <v>1615</v>
      </c>
      <c r="B2385" s="20" t="s">
        <v>1616</v>
      </c>
      <c r="C2385" s="19" t="s">
        <v>74</v>
      </c>
      <c r="D2385" s="20"/>
      <c r="E2385" s="3">
        <v>23334740.719999999</v>
      </c>
      <c r="F2385" s="24">
        <v>0.14005408413211631</v>
      </c>
      <c r="G2385" s="26">
        <f t="shared" si="37"/>
        <v>3268125.74</v>
      </c>
      <c r="H2385" t="s">
        <v>68</v>
      </c>
    </row>
    <row r="2386" spans="1:9" hidden="1">
      <c r="A2386" s="13" t="s">
        <v>1617</v>
      </c>
      <c r="B2386" s="14" t="s">
        <v>1618</v>
      </c>
      <c r="C2386" s="15" t="s">
        <v>72</v>
      </c>
      <c r="D2386" s="16"/>
      <c r="E2386" s="2">
        <v>10656779.35</v>
      </c>
      <c r="F2386" s="23">
        <v>0.28012899882364556</v>
      </c>
      <c r="G2386" s="26">
        <f t="shared" si="37"/>
        <v>2985272.93</v>
      </c>
      <c r="H2386" t="s">
        <v>68</v>
      </c>
    </row>
    <row r="2387" spans="1:9" hidden="1">
      <c r="A2387" s="17" t="s">
        <v>1617</v>
      </c>
      <c r="B2387" s="18" t="s">
        <v>1618</v>
      </c>
      <c r="C2387" s="19" t="s">
        <v>73</v>
      </c>
      <c r="D2387" s="20"/>
      <c r="E2387" s="3">
        <v>10656779.35</v>
      </c>
      <c r="F2387" s="24">
        <v>0.61873661858261153</v>
      </c>
      <c r="G2387" s="26">
        <f t="shared" si="37"/>
        <v>6593739.620000001</v>
      </c>
      <c r="H2387" t="s">
        <v>68</v>
      </c>
    </row>
    <row r="2388" spans="1:9" hidden="1">
      <c r="A2388" s="15" t="s">
        <v>1617</v>
      </c>
      <c r="B2388" s="16" t="s">
        <v>1618</v>
      </c>
      <c r="C2388" s="15" t="s">
        <v>74</v>
      </c>
      <c r="D2388" s="16"/>
      <c r="E2388" s="2">
        <v>10656779.35</v>
      </c>
      <c r="F2388" s="23">
        <v>0.10113438259374302</v>
      </c>
      <c r="G2388" s="26">
        <f t="shared" si="37"/>
        <v>1077766.8</v>
      </c>
      <c r="H2388" t="s">
        <v>68</v>
      </c>
    </row>
    <row r="2389" spans="1:9" hidden="1">
      <c r="A2389" s="17" t="s">
        <v>1619</v>
      </c>
      <c r="B2389" s="21" t="s">
        <v>1620</v>
      </c>
      <c r="C2389" s="19" t="s">
        <v>72</v>
      </c>
      <c r="D2389" s="20"/>
      <c r="E2389" s="3">
        <v>9036139.3399999999</v>
      </c>
      <c r="F2389" s="24">
        <v>0.44866648990828867</v>
      </c>
      <c r="G2389" s="26">
        <f t="shared" si="37"/>
        <v>4054212.9200000004</v>
      </c>
      <c r="H2389" t="s">
        <v>68</v>
      </c>
    </row>
    <row r="2390" spans="1:9" hidden="1">
      <c r="A2390" s="13" t="s">
        <v>1619</v>
      </c>
      <c r="B2390" s="22" t="s">
        <v>1620</v>
      </c>
      <c r="C2390" s="15" t="s">
        <v>73</v>
      </c>
      <c r="D2390" s="16"/>
      <c r="E2390" s="2">
        <v>9036139.3399999999</v>
      </c>
      <c r="F2390" s="23">
        <v>0.49733557340208084</v>
      </c>
      <c r="G2390" s="26">
        <f t="shared" si="37"/>
        <v>4493993.54</v>
      </c>
      <c r="H2390" t="s">
        <v>68</v>
      </c>
    </row>
    <row r="2391" spans="1:9" hidden="1">
      <c r="A2391" s="19" t="s">
        <v>1619</v>
      </c>
      <c r="B2391" s="20" t="s">
        <v>1620</v>
      </c>
      <c r="C2391" s="19" t="s">
        <v>74</v>
      </c>
      <c r="D2391" s="20"/>
      <c r="E2391" s="3">
        <v>9036139.3399999999</v>
      </c>
      <c r="F2391" s="24">
        <v>5.399793668963055E-2</v>
      </c>
      <c r="G2391" s="26">
        <f t="shared" si="37"/>
        <v>487932.88</v>
      </c>
      <c r="H2391" t="s">
        <v>68</v>
      </c>
    </row>
    <row r="2392" spans="1:9" hidden="1">
      <c r="A2392" s="13" t="s">
        <v>1621</v>
      </c>
      <c r="B2392" s="14" t="s">
        <v>1622</v>
      </c>
      <c r="C2392" s="15" t="s">
        <v>72</v>
      </c>
      <c r="D2392" s="16"/>
      <c r="E2392" s="2">
        <v>9185200.4100000001</v>
      </c>
      <c r="F2392" s="23">
        <v>0.71030595401020757</v>
      </c>
      <c r="G2392" s="26">
        <f t="shared" si="37"/>
        <v>6524302.54</v>
      </c>
      <c r="H2392" t="s">
        <v>68</v>
      </c>
      <c r="I2392" t="s">
        <v>1883</v>
      </c>
    </row>
    <row r="2393" spans="1:9" hidden="1">
      <c r="A2393" s="17" t="s">
        <v>1621</v>
      </c>
      <c r="B2393" s="18" t="s">
        <v>1622</v>
      </c>
      <c r="C2393" s="19" t="s">
        <v>73</v>
      </c>
      <c r="D2393" s="20"/>
      <c r="E2393" s="3">
        <v>9185200.4100000001</v>
      </c>
      <c r="F2393" s="24">
        <v>0.27138305194584211</v>
      </c>
      <c r="G2393" s="26">
        <f t="shared" si="37"/>
        <v>2492707.7200000002</v>
      </c>
      <c r="H2393" t="s">
        <v>68</v>
      </c>
      <c r="I2393" t="s">
        <v>1883</v>
      </c>
    </row>
    <row r="2394" spans="1:9" hidden="1">
      <c r="A2394" s="15" t="s">
        <v>1621</v>
      </c>
      <c r="B2394" s="16" t="s">
        <v>1622</v>
      </c>
      <c r="C2394" s="15" t="s">
        <v>74</v>
      </c>
      <c r="D2394" s="16"/>
      <c r="E2394" s="2">
        <v>9185200.4100000001</v>
      </c>
      <c r="F2394" s="23">
        <v>1.8310994043950316E-2</v>
      </c>
      <c r="G2394" s="26">
        <f t="shared" si="37"/>
        <v>168190.15</v>
      </c>
      <c r="H2394" t="s">
        <v>68</v>
      </c>
      <c r="I2394" t="s">
        <v>1883</v>
      </c>
    </row>
    <row r="2395" spans="1:9" hidden="1">
      <c r="A2395" s="17" t="s">
        <v>1623</v>
      </c>
      <c r="B2395" s="21" t="s">
        <v>1624</v>
      </c>
      <c r="C2395" s="19" t="s">
        <v>72</v>
      </c>
      <c r="D2395" s="20"/>
      <c r="E2395" s="3">
        <v>6026105.79</v>
      </c>
      <c r="F2395" s="24">
        <v>0.64995413729701546</v>
      </c>
      <c r="G2395" s="26">
        <f t="shared" si="37"/>
        <v>3916692.3899999997</v>
      </c>
      <c r="H2395" t="s">
        <v>68</v>
      </c>
      <c r="I2395" t="s">
        <v>1883</v>
      </c>
    </row>
    <row r="2396" spans="1:9" hidden="1">
      <c r="A2396" s="13" t="s">
        <v>1623</v>
      </c>
      <c r="B2396" s="22" t="s">
        <v>1624</v>
      </c>
      <c r="C2396" s="15" t="s">
        <v>73</v>
      </c>
      <c r="D2396" s="16"/>
      <c r="E2396" s="2">
        <v>6026105.79</v>
      </c>
      <c r="F2396" s="23">
        <v>0.31449808484029285</v>
      </c>
      <c r="G2396" s="26">
        <f t="shared" si="37"/>
        <v>1895198.73</v>
      </c>
      <c r="H2396" t="s">
        <v>68</v>
      </c>
      <c r="I2396" t="s">
        <v>1883</v>
      </c>
    </row>
    <row r="2397" spans="1:9" hidden="1">
      <c r="A2397" s="19" t="s">
        <v>1623</v>
      </c>
      <c r="B2397" s="20" t="s">
        <v>1624</v>
      </c>
      <c r="C2397" s="19" t="s">
        <v>74</v>
      </c>
      <c r="D2397" s="20"/>
      <c r="E2397" s="3">
        <v>6026105.79</v>
      </c>
      <c r="F2397" s="24">
        <v>3.5547777862691657E-2</v>
      </c>
      <c r="G2397" s="26">
        <f t="shared" si="37"/>
        <v>214214.67</v>
      </c>
      <c r="H2397" t="s">
        <v>68</v>
      </c>
      <c r="I2397" t="s">
        <v>1883</v>
      </c>
    </row>
    <row r="2398" spans="1:9" hidden="1">
      <c r="A2398" s="13" t="s">
        <v>1625</v>
      </c>
      <c r="B2398" s="14" t="s">
        <v>1626</v>
      </c>
      <c r="C2398" s="15" t="s">
        <v>72</v>
      </c>
      <c r="D2398" s="16"/>
      <c r="E2398" s="2">
        <v>18353142.760000002</v>
      </c>
      <c r="F2398" s="23">
        <v>0.37955812969440439</v>
      </c>
      <c r="G2398" s="26">
        <f t="shared" si="37"/>
        <v>6966084.5399999991</v>
      </c>
      <c r="H2398" t="s">
        <v>68</v>
      </c>
      <c r="I2398" t="s">
        <v>1883</v>
      </c>
    </row>
    <row r="2399" spans="1:9" hidden="1">
      <c r="A2399" s="17" t="s">
        <v>1625</v>
      </c>
      <c r="B2399" s="18" t="s">
        <v>1626</v>
      </c>
      <c r="C2399" s="19" t="s">
        <v>73</v>
      </c>
      <c r="D2399" s="20"/>
      <c r="E2399" s="3">
        <v>18353142.760000002</v>
      </c>
      <c r="F2399" s="24">
        <v>0.51555935262610031</v>
      </c>
      <c r="G2399" s="26">
        <f t="shared" si="37"/>
        <v>9462134.4000000004</v>
      </c>
      <c r="H2399" t="s">
        <v>68</v>
      </c>
      <c r="I2399" t="s">
        <v>1883</v>
      </c>
    </row>
    <row r="2400" spans="1:9" hidden="1">
      <c r="A2400" s="15" t="s">
        <v>1625</v>
      </c>
      <c r="B2400" s="16" t="s">
        <v>1626</v>
      </c>
      <c r="C2400" s="15" t="s">
        <v>74</v>
      </c>
      <c r="D2400" s="16"/>
      <c r="E2400" s="2">
        <v>18353142.760000002</v>
      </c>
      <c r="F2400" s="23">
        <v>0.10488251767949523</v>
      </c>
      <c r="G2400" s="26">
        <f t="shared" si="37"/>
        <v>1924923.82</v>
      </c>
      <c r="H2400" t="s">
        <v>68</v>
      </c>
      <c r="I2400" t="s">
        <v>1883</v>
      </c>
    </row>
    <row r="2401" spans="1:13" hidden="1">
      <c r="A2401" s="17" t="s">
        <v>1627</v>
      </c>
      <c r="B2401" s="21" t="s">
        <v>1628</v>
      </c>
      <c r="C2401" s="19" t="s">
        <v>72</v>
      </c>
      <c r="D2401" s="20"/>
      <c r="E2401" s="3">
        <v>24532533.039999999</v>
      </c>
      <c r="F2401" s="24">
        <v>0.68948705184338355</v>
      </c>
      <c r="G2401" s="26">
        <f t="shared" si="37"/>
        <v>16914863.879999999</v>
      </c>
      <c r="H2401" t="s">
        <v>68</v>
      </c>
      <c r="I2401" t="s">
        <v>1883</v>
      </c>
    </row>
    <row r="2402" spans="1:13" hidden="1">
      <c r="A2402" s="13" t="s">
        <v>1627</v>
      </c>
      <c r="B2402" s="22" t="s">
        <v>1628</v>
      </c>
      <c r="C2402" s="15" t="s">
        <v>73</v>
      </c>
      <c r="D2402" s="16"/>
      <c r="E2402" s="2">
        <v>24532533.039999999</v>
      </c>
      <c r="F2402" s="23">
        <v>0.11620773139698581</v>
      </c>
      <c r="G2402" s="26">
        <f t="shared" si="37"/>
        <v>2850870.01</v>
      </c>
      <c r="H2402" t="s">
        <v>68</v>
      </c>
      <c r="I2402" t="s">
        <v>1883</v>
      </c>
    </row>
    <row r="2403" spans="1:13" hidden="1">
      <c r="A2403" s="19" t="s">
        <v>1627</v>
      </c>
      <c r="B2403" s="20" t="s">
        <v>1628</v>
      </c>
      <c r="C2403" s="19" t="s">
        <v>74</v>
      </c>
      <c r="D2403" s="20"/>
      <c r="E2403" s="3">
        <v>24532533.039999999</v>
      </c>
      <c r="F2403" s="24">
        <v>0.19430521675963064</v>
      </c>
      <c r="G2403" s="26">
        <f t="shared" si="37"/>
        <v>4766799.1500000004</v>
      </c>
      <c r="H2403" t="s">
        <v>68</v>
      </c>
      <c r="I2403" t="s">
        <v>1883</v>
      </c>
    </row>
    <row r="2404" spans="1:13" hidden="1">
      <c r="A2404" s="13" t="s">
        <v>1629</v>
      </c>
      <c r="B2404" s="14" t="s">
        <v>1630</v>
      </c>
      <c r="C2404" s="15" t="s">
        <v>72</v>
      </c>
      <c r="D2404" s="16"/>
      <c r="E2404" s="2">
        <v>8463733.5800000001</v>
      </c>
      <c r="F2404" s="23">
        <v>0.62985136637535799</v>
      </c>
      <c r="G2404" s="26">
        <f t="shared" si="37"/>
        <v>5330894.16</v>
      </c>
      <c r="H2404" t="s">
        <v>68</v>
      </c>
      <c r="I2404" t="s">
        <v>1883</v>
      </c>
    </row>
    <row r="2405" spans="1:13" hidden="1">
      <c r="A2405" s="17" t="s">
        <v>1629</v>
      </c>
      <c r="B2405" s="18" t="s">
        <v>1630</v>
      </c>
      <c r="C2405" s="19" t="s">
        <v>73</v>
      </c>
      <c r="D2405" s="20"/>
      <c r="E2405" s="3">
        <v>8463733.5800000001</v>
      </c>
      <c r="F2405" s="24">
        <v>0.31507393100150016</v>
      </c>
      <c r="G2405" s="26">
        <f t="shared" si="37"/>
        <v>2666701.81</v>
      </c>
      <c r="H2405" t="s">
        <v>68</v>
      </c>
      <c r="I2405" t="s">
        <v>1883</v>
      </c>
    </row>
    <row r="2406" spans="1:13" hidden="1">
      <c r="A2406" s="15" t="s">
        <v>1629</v>
      </c>
      <c r="B2406" s="16" t="s">
        <v>1630</v>
      </c>
      <c r="C2406" s="15" t="s">
        <v>74</v>
      </c>
      <c r="D2406" s="16"/>
      <c r="E2406" s="2">
        <v>8463733.5800000001</v>
      </c>
      <c r="F2406" s="23">
        <v>5.5074702623141875E-2</v>
      </c>
      <c r="G2406" s="26">
        <f t="shared" si="37"/>
        <v>466137.61</v>
      </c>
      <c r="H2406" t="s">
        <v>68</v>
      </c>
      <c r="I2406" t="s">
        <v>1883</v>
      </c>
    </row>
    <row r="2407" spans="1:13" hidden="1">
      <c r="A2407" s="17" t="s">
        <v>1631</v>
      </c>
      <c r="B2407" s="21" t="s">
        <v>1632</v>
      </c>
      <c r="C2407" s="19" t="s">
        <v>72</v>
      </c>
      <c r="D2407" s="20"/>
      <c r="E2407" s="3">
        <v>4044594.33</v>
      </c>
      <c r="F2407" s="24">
        <v>0.59030804209232035</v>
      </c>
      <c r="G2407" s="26">
        <f t="shared" si="37"/>
        <v>2387556.56</v>
      </c>
      <c r="H2407" t="s">
        <v>68</v>
      </c>
      <c r="I2407" t="s">
        <v>1883</v>
      </c>
    </row>
    <row r="2408" spans="1:13" hidden="1">
      <c r="A2408" s="13" t="s">
        <v>1631</v>
      </c>
      <c r="B2408" s="22" t="s">
        <v>1632</v>
      </c>
      <c r="C2408" s="15" t="s">
        <v>73</v>
      </c>
      <c r="D2408" s="16"/>
      <c r="E2408" s="2">
        <v>4044594.33</v>
      </c>
      <c r="F2408" s="23">
        <v>0.26148311393197254</v>
      </c>
      <c r="G2408" s="26">
        <f t="shared" si="37"/>
        <v>1057593.1200000001</v>
      </c>
      <c r="H2408" t="s">
        <v>68</v>
      </c>
      <c r="I2408" t="s">
        <v>1883</v>
      </c>
    </row>
    <row r="2409" spans="1:13" hidden="1">
      <c r="A2409" s="19" t="s">
        <v>1631</v>
      </c>
      <c r="B2409" s="20" t="s">
        <v>1632</v>
      </c>
      <c r="C2409" s="19" t="s">
        <v>74</v>
      </c>
      <c r="D2409" s="20"/>
      <c r="E2409" s="3">
        <v>4044594.33</v>
      </c>
      <c r="F2409" s="24">
        <v>0.14820884397570722</v>
      </c>
      <c r="G2409" s="26">
        <f t="shared" si="37"/>
        <v>599444.65</v>
      </c>
      <c r="H2409" t="s">
        <v>68</v>
      </c>
      <c r="I2409" t="s">
        <v>1883</v>
      </c>
    </row>
    <row r="2410" spans="1:13" hidden="1">
      <c r="A2410" s="13" t="s">
        <v>1633</v>
      </c>
      <c r="B2410" s="14" t="s">
        <v>1634</v>
      </c>
      <c r="C2410" s="15" t="s">
        <v>72</v>
      </c>
      <c r="D2410" s="16"/>
      <c r="E2410" s="2">
        <v>6812171.8499999996</v>
      </c>
      <c r="F2410" s="23">
        <v>0.589795413044373</v>
      </c>
      <c r="G2410" s="26">
        <f t="shared" si="37"/>
        <v>4017787.7100000004</v>
      </c>
      <c r="H2410" t="s">
        <v>68</v>
      </c>
      <c r="I2410" t="s">
        <v>1883</v>
      </c>
    </row>
    <row r="2411" spans="1:13" hidden="1">
      <c r="A2411" s="17" t="s">
        <v>1633</v>
      </c>
      <c r="B2411" s="18" t="s">
        <v>1634</v>
      </c>
      <c r="C2411" s="19" t="s">
        <v>73</v>
      </c>
      <c r="D2411" s="20"/>
      <c r="E2411" s="3">
        <v>6812171.8499999996</v>
      </c>
      <c r="F2411" s="24">
        <v>0.29955489599106344</v>
      </c>
      <c r="G2411" s="26">
        <f t="shared" si="37"/>
        <v>2040619.4300000002</v>
      </c>
      <c r="H2411" t="s">
        <v>68</v>
      </c>
      <c r="I2411" t="s">
        <v>1883</v>
      </c>
    </row>
    <row r="2412" spans="1:13" hidden="1">
      <c r="A2412" s="15" t="s">
        <v>1633</v>
      </c>
      <c r="B2412" s="16" t="s">
        <v>1634</v>
      </c>
      <c r="C2412" s="15" t="s">
        <v>74</v>
      </c>
      <c r="D2412" s="16"/>
      <c r="E2412" s="2">
        <v>6812171.8499999996</v>
      </c>
      <c r="F2412" s="23">
        <v>0.11064969096456367</v>
      </c>
      <c r="G2412" s="26">
        <f t="shared" si="37"/>
        <v>753764.71</v>
      </c>
      <c r="H2412" t="s">
        <v>68</v>
      </c>
      <c r="I2412" t="s">
        <v>1883</v>
      </c>
    </row>
    <row r="2413" spans="1:13" hidden="1">
      <c r="A2413" s="17" t="s">
        <v>1635</v>
      </c>
      <c r="B2413" s="21" t="s">
        <v>1636</v>
      </c>
      <c r="C2413" s="19" t="s">
        <v>72</v>
      </c>
      <c r="D2413" s="20"/>
      <c r="E2413" s="3">
        <v>18296567.52</v>
      </c>
      <c r="F2413" s="24">
        <v>0.85008727418398322</v>
      </c>
      <c r="G2413" s="26">
        <f t="shared" si="37"/>
        <v>15553679.210000001</v>
      </c>
      <c r="H2413" t="s">
        <v>68</v>
      </c>
      <c r="I2413" t="s">
        <v>1883</v>
      </c>
    </row>
    <row r="2414" spans="1:13" hidden="1">
      <c r="A2414" s="13" t="s">
        <v>1635</v>
      </c>
      <c r="B2414" s="22" t="s">
        <v>1636</v>
      </c>
      <c r="C2414" s="15" t="s">
        <v>73</v>
      </c>
      <c r="D2414" s="16"/>
      <c r="E2414" s="2">
        <v>18296567.52</v>
      </c>
      <c r="F2414" s="23">
        <v>0.13917303544594029</v>
      </c>
      <c r="G2414" s="26">
        <f t="shared" si="37"/>
        <v>2546388.84</v>
      </c>
      <c r="H2414" t="s">
        <v>68</v>
      </c>
      <c r="I2414" t="s">
        <v>1883</v>
      </c>
    </row>
    <row r="2415" spans="1:13" hidden="1">
      <c r="A2415" s="19" t="s">
        <v>1635</v>
      </c>
      <c r="B2415" s="20" t="s">
        <v>1636</v>
      </c>
      <c r="C2415" s="19" t="s">
        <v>74</v>
      </c>
      <c r="D2415" s="20"/>
      <c r="E2415" s="3">
        <v>18296567.52</v>
      </c>
      <c r="F2415" s="24">
        <v>1.0739690370076584E-2</v>
      </c>
      <c r="G2415" s="26">
        <f t="shared" si="37"/>
        <v>196499.47</v>
      </c>
      <c r="H2415" t="s">
        <v>68</v>
      </c>
      <c r="I2415" t="s">
        <v>1883</v>
      </c>
    </row>
    <row r="2416" spans="1:13">
      <c r="A2416" s="13" t="s">
        <v>1637</v>
      </c>
      <c r="B2416" s="14" t="s">
        <v>1638</v>
      </c>
      <c r="C2416" s="15" t="s">
        <v>72</v>
      </c>
      <c r="D2416" s="16"/>
      <c r="E2416" s="2">
        <v>2171897.73</v>
      </c>
      <c r="F2416" s="23">
        <v>0</v>
      </c>
      <c r="G2416" s="26">
        <f t="shared" si="37"/>
        <v>0</v>
      </c>
      <c r="H2416" t="s">
        <v>1806</v>
      </c>
      <c r="K2416" t="s">
        <v>1810</v>
      </c>
      <c r="L2416" t="s">
        <v>1812</v>
      </c>
      <c r="M2416">
        <v>219</v>
      </c>
    </row>
    <row r="2417" spans="1:13">
      <c r="A2417" s="17" t="s">
        <v>1637</v>
      </c>
      <c r="B2417" s="18" t="s">
        <v>1638</v>
      </c>
      <c r="C2417" s="19" t="s">
        <v>73</v>
      </c>
      <c r="D2417" s="20"/>
      <c r="E2417" s="3">
        <v>2171897.73</v>
      </c>
      <c r="F2417" s="24">
        <v>0.77656513780692615</v>
      </c>
      <c r="G2417" s="26">
        <f t="shared" si="37"/>
        <v>1686620.06</v>
      </c>
      <c r="H2417" t="s">
        <v>1806</v>
      </c>
      <c r="K2417" t="s">
        <v>1810</v>
      </c>
      <c r="L2417" t="s">
        <v>1812</v>
      </c>
    </row>
    <row r="2418" spans="1:13">
      <c r="A2418" s="15" t="s">
        <v>1637</v>
      </c>
      <c r="B2418" s="16" t="s">
        <v>1638</v>
      </c>
      <c r="C2418" s="15" t="s">
        <v>74</v>
      </c>
      <c r="D2418" s="16"/>
      <c r="E2418" s="2">
        <v>2171897.73</v>
      </c>
      <c r="F2418" s="23">
        <v>0.22343486219307387</v>
      </c>
      <c r="G2418" s="26">
        <f t="shared" si="37"/>
        <v>485277.67</v>
      </c>
      <c r="H2418" t="s">
        <v>1806</v>
      </c>
      <c r="K2418" t="s">
        <v>1810</v>
      </c>
      <c r="L2418" t="s">
        <v>1812</v>
      </c>
    </row>
    <row r="2419" spans="1:13">
      <c r="A2419" s="17" t="s">
        <v>1639</v>
      </c>
      <c r="B2419" s="21" t="s">
        <v>1640</v>
      </c>
      <c r="C2419" s="19" t="s">
        <v>72</v>
      </c>
      <c r="D2419" s="20"/>
      <c r="E2419" s="3">
        <v>867175.56</v>
      </c>
      <c r="F2419" s="24">
        <v>1.4363873446802396E-3</v>
      </c>
      <c r="G2419" s="26">
        <f t="shared" si="37"/>
        <v>1245.5999999999999</v>
      </c>
      <c r="H2419" t="s">
        <v>1806</v>
      </c>
      <c r="M2419">
        <v>54</v>
      </c>
    </row>
    <row r="2420" spans="1:13">
      <c r="A2420" s="13" t="s">
        <v>1639</v>
      </c>
      <c r="B2420" s="22" t="s">
        <v>1640</v>
      </c>
      <c r="C2420" s="15" t="s">
        <v>73</v>
      </c>
      <c r="D2420" s="16"/>
      <c r="E2420" s="2">
        <v>867175.56</v>
      </c>
      <c r="F2420" s="23">
        <v>0.85944335193210475</v>
      </c>
      <c r="G2420" s="26">
        <f t="shared" si="37"/>
        <v>745288.27</v>
      </c>
      <c r="H2420" t="s">
        <v>1806</v>
      </c>
    </row>
    <row r="2421" spans="1:13">
      <c r="A2421" s="19" t="s">
        <v>1639</v>
      </c>
      <c r="B2421" s="20" t="s">
        <v>1640</v>
      </c>
      <c r="C2421" s="19" t="s">
        <v>74</v>
      </c>
      <c r="D2421" s="20"/>
      <c r="E2421" s="3">
        <v>867175.56</v>
      </c>
      <c r="F2421" s="24">
        <v>0.13912026072321504</v>
      </c>
      <c r="G2421" s="26">
        <f t="shared" si="37"/>
        <v>120641.69000000002</v>
      </c>
      <c r="H2421" t="s">
        <v>1806</v>
      </c>
    </row>
    <row r="2422" spans="1:13">
      <c r="A2422" s="13" t="s">
        <v>1641</v>
      </c>
      <c r="B2422" s="14" t="s">
        <v>1642</v>
      </c>
      <c r="C2422" s="15" t="s">
        <v>72</v>
      </c>
      <c r="D2422" s="16"/>
      <c r="E2422" s="2">
        <v>805177</v>
      </c>
      <c r="F2422" s="23">
        <v>0</v>
      </c>
      <c r="G2422" s="26">
        <f t="shared" si="37"/>
        <v>0</v>
      </c>
      <c r="H2422" t="s">
        <v>1806</v>
      </c>
      <c r="M2422">
        <v>40</v>
      </c>
    </row>
    <row r="2423" spans="1:13">
      <c r="A2423" s="17" t="s">
        <v>1641</v>
      </c>
      <c r="B2423" s="18" t="s">
        <v>1642</v>
      </c>
      <c r="C2423" s="19" t="s">
        <v>73</v>
      </c>
      <c r="D2423" s="20"/>
      <c r="E2423" s="3">
        <v>805177</v>
      </c>
      <c r="F2423" s="24">
        <v>0.94991654008994286</v>
      </c>
      <c r="G2423" s="26">
        <f t="shared" si="37"/>
        <v>764850.95</v>
      </c>
      <c r="H2423" t="s">
        <v>1806</v>
      </c>
    </row>
    <row r="2424" spans="1:13">
      <c r="A2424" s="15" t="s">
        <v>1641</v>
      </c>
      <c r="B2424" s="16" t="s">
        <v>1642</v>
      </c>
      <c r="C2424" s="15" t="s">
        <v>74</v>
      </c>
      <c r="D2424" s="16"/>
      <c r="E2424" s="2">
        <v>805177</v>
      </c>
      <c r="F2424" s="23">
        <v>5.0083459910057047E-2</v>
      </c>
      <c r="G2424" s="26">
        <f t="shared" si="37"/>
        <v>40326.050000000003</v>
      </c>
      <c r="H2424" t="s">
        <v>1806</v>
      </c>
    </row>
    <row r="2425" spans="1:13">
      <c r="A2425" s="17" t="s">
        <v>1643</v>
      </c>
      <c r="B2425" s="21" t="s">
        <v>1644</v>
      </c>
      <c r="C2425" s="19" t="s">
        <v>72</v>
      </c>
      <c r="D2425" s="20"/>
      <c r="E2425" s="3">
        <v>853100.11</v>
      </c>
      <c r="F2425" s="24">
        <v>5.8582456401277457E-3</v>
      </c>
      <c r="G2425" s="26">
        <f t="shared" si="37"/>
        <v>4997.67</v>
      </c>
      <c r="H2425" t="s">
        <v>1806</v>
      </c>
      <c r="K2425" t="s">
        <v>1809</v>
      </c>
      <c r="L2425" t="s">
        <v>1814</v>
      </c>
      <c r="M2425">
        <v>57</v>
      </c>
    </row>
    <row r="2426" spans="1:13">
      <c r="A2426" s="13" t="s">
        <v>1643</v>
      </c>
      <c r="B2426" s="22" t="s">
        <v>1644</v>
      </c>
      <c r="C2426" s="15" t="s">
        <v>73</v>
      </c>
      <c r="D2426" s="16"/>
      <c r="E2426" s="2">
        <v>853100.11</v>
      </c>
      <c r="F2426" s="23">
        <v>0.90689228723695747</v>
      </c>
      <c r="G2426" s="26">
        <f t="shared" si="37"/>
        <v>773669.91</v>
      </c>
      <c r="H2426" t="s">
        <v>1806</v>
      </c>
      <c r="K2426" t="s">
        <v>1809</v>
      </c>
      <c r="L2426" t="s">
        <v>1814</v>
      </c>
    </row>
    <row r="2427" spans="1:13">
      <c r="A2427" s="19" t="s">
        <v>1643</v>
      </c>
      <c r="B2427" s="20" t="s">
        <v>1644</v>
      </c>
      <c r="C2427" s="19" t="s">
        <v>74</v>
      </c>
      <c r="D2427" s="20"/>
      <c r="E2427" s="3">
        <v>853100.11</v>
      </c>
      <c r="F2427" s="24">
        <v>8.7249467122914801E-2</v>
      </c>
      <c r="G2427" s="26">
        <f t="shared" si="37"/>
        <v>74432.53</v>
      </c>
      <c r="H2427" t="s">
        <v>1806</v>
      </c>
      <c r="K2427" t="s">
        <v>1809</v>
      </c>
      <c r="L2427" t="s">
        <v>1814</v>
      </c>
    </row>
    <row r="2428" spans="1:13">
      <c r="A2428" s="13" t="s">
        <v>1645</v>
      </c>
      <c r="B2428" s="14" t="s">
        <v>1646</v>
      </c>
      <c r="C2428" s="15" t="s">
        <v>72</v>
      </c>
      <c r="D2428" s="16"/>
      <c r="E2428" s="2">
        <v>1644918.35</v>
      </c>
      <c r="F2428" s="23">
        <v>6.537795629795241E-3</v>
      </c>
      <c r="G2428" s="26">
        <f t="shared" si="37"/>
        <v>10754.14</v>
      </c>
      <c r="H2428" t="s">
        <v>1806</v>
      </c>
      <c r="M2428">
        <v>165</v>
      </c>
    </row>
    <row r="2429" spans="1:13">
      <c r="A2429" s="17" t="s">
        <v>1645</v>
      </c>
      <c r="B2429" s="18" t="s">
        <v>1646</v>
      </c>
      <c r="C2429" s="19" t="s">
        <v>73</v>
      </c>
      <c r="D2429" s="20"/>
      <c r="E2429" s="3">
        <v>1644918.35</v>
      </c>
      <c r="F2429" s="24">
        <v>0.83124952676222497</v>
      </c>
      <c r="G2429" s="26">
        <f t="shared" si="37"/>
        <v>1367337.6</v>
      </c>
      <c r="H2429" t="s">
        <v>1806</v>
      </c>
    </row>
    <row r="2430" spans="1:13">
      <c r="A2430" s="15" t="s">
        <v>1645</v>
      </c>
      <c r="B2430" s="16" t="s">
        <v>1646</v>
      </c>
      <c r="C2430" s="15" t="s">
        <v>74</v>
      </c>
      <c r="D2430" s="16"/>
      <c r="E2430" s="2">
        <v>1644918.35</v>
      </c>
      <c r="F2430" s="23">
        <v>0.16221267760797972</v>
      </c>
      <c r="G2430" s="26">
        <f t="shared" si="37"/>
        <v>266826.61</v>
      </c>
      <c r="H2430" t="s">
        <v>1806</v>
      </c>
    </row>
    <row r="2431" spans="1:13">
      <c r="A2431" s="17" t="s">
        <v>1647</v>
      </c>
      <c r="B2431" s="21" t="s">
        <v>1648</v>
      </c>
      <c r="C2431" s="19" t="s">
        <v>72</v>
      </c>
      <c r="D2431" s="20"/>
      <c r="E2431" s="3">
        <v>1737044.91</v>
      </c>
      <c r="F2431" s="24">
        <v>4.7131423907744562E-3</v>
      </c>
      <c r="G2431" s="26">
        <f t="shared" si="37"/>
        <v>8186.94</v>
      </c>
      <c r="H2431" t="s">
        <v>1806</v>
      </c>
      <c r="M2431">
        <v>162</v>
      </c>
    </row>
    <row r="2432" spans="1:13">
      <c r="A2432" s="13" t="s">
        <v>1647</v>
      </c>
      <c r="B2432" s="22" t="s">
        <v>1648</v>
      </c>
      <c r="C2432" s="15" t="s">
        <v>73</v>
      </c>
      <c r="D2432" s="16"/>
      <c r="E2432" s="2">
        <v>1737044.91</v>
      </c>
      <c r="F2432" s="23">
        <v>0.91679186924418665</v>
      </c>
      <c r="G2432" s="26">
        <f t="shared" si="37"/>
        <v>1592508.65</v>
      </c>
      <c r="H2432" t="s">
        <v>1806</v>
      </c>
    </row>
    <row r="2433" spans="1:13">
      <c r="A2433" s="19" t="s">
        <v>1647</v>
      </c>
      <c r="B2433" s="20" t="s">
        <v>1648</v>
      </c>
      <c r="C2433" s="19" t="s">
        <v>74</v>
      </c>
      <c r="D2433" s="20"/>
      <c r="E2433" s="3">
        <v>1737044.91</v>
      </c>
      <c r="F2433" s="24">
        <v>7.849498836503889E-2</v>
      </c>
      <c r="G2433" s="26">
        <f t="shared" si="37"/>
        <v>136349.32</v>
      </c>
      <c r="H2433" t="s">
        <v>1806</v>
      </c>
    </row>
    <row r="2434" spans="1:13">
      <c r="A2434" s="13" t="s">
        <v>1649</v>
      </c>
      <c r="B2434" s="14" t="s">
        <v>1650</v>
      </c>
      <c r="C2434" s="15" t="s">
        <v>72</v>
      </c>
      <c r="D2434" s="16"/>
      <c r="E2434" s="2">
        <v>2277797.19</v>
      </c>
      <c r="F2434" s="23">
        <v>5.4307995700003482E-3</v>
      </c>
      <c r="G2434" s="26">
        <f t="shared" si="37"/>
        <v>12370.26</v>
      </c>
      <c r="H2434" t="s">
        <v>1806</v>
      </c>
      <c r="M2434">
        <v>205</v>
      </c>
    </row>
    <row r="2435" spans="1:13">
      <c r="A2435" s="17" t="s">
        <v>1649</v>
      </c>
      <c r="B2435" s="18" t="s">
        <v>1650</v>
      </c>
      <c r="C2435" s="19" t="s">
        <v>73</v>
      </c>
      <c r="D2435" s="20"/>
      <c r="E2435" s="3">
        <v>2277797.19</v>
      </c>
      <c r="F2435" s="24">
        <v>0.94899625370070817</v>
      </c>
      <c r="G2435" s="26">
        <f t="shared" si="37"/>
        <v>2161621</v>
      </c>
      <c r="H2435" t="s">
        <v>1806</v>
      </c>
    </row>
    <row r="2436" spans="1:13">
      <c r="A2436" s="15" t="s">
        <v>1649</v>
      </c>
      <c r="B2436" s="16" t="s">
        <v>1650</v>
      </c>
      <c r="C2436" s="15" t="s">
        <v>74</v>
      </c>
      <c r="D2436" s="16"/>
      <c r="E2436" s="2">
        <v>2277797.19</v>
      </c>
      <c r="F2436" s="23">
        <v>4.5572946729291554E-2</v>
      </c>
      <c r="G2436" s="26">
        <f t="shared" si="37"/>
        <v>103805.93</v>
      </c>
      <c r="H2436" t="s">
        <v>1806</v>
      </c>
    </row>
    <row r="2437" spans="1:13">
      <c r="A2437" s="17" t="s">
        <v>1651</v>
      </c>
      <c r="B2437" s="21" t="s">
        <v>1652</v>
      </c>
      <c r="C2437" s="19" t="s">
        <v>72</v>
      </c>
      <c r="D2437" s="20"/>
      <c r="E2437" s="3">
        <v>1320415.97</v>
      </c>
      <c r="F2437" s="24">
        <v>1.1641831323806239E-2</v>
      </c>
      <c r="G2437" s="26">
        <f t="shared" ref="G2437:G2500" si="38">F2437*E2437</f>
        <v>15372.06</v>
      </c>
      <c r="H2437" t="s">
        <v>1811</v>
      </c>
      <c r="K2437" t="s">
        <v>1810</v>
      </c>
      <c r="L2437" t="s">
        <v>1812</v>
      </c>
      <c r="M2437">
        <v>199</v>
      </c>
    </row>
    <row r="2438" spans="1:13">
      <c r="A2438" s="13" t="s">
        <v>1651</v>
      </c>
      <c r="B2438" s="22" t="s">
        <v>1652</v>
      </c>
      <c r="C2438" s="15" t="s">
        <v>73</v>
      </c>
      <c r="D2438" s="16"/>
      <c r="E2438" s="2">
        <v>1320415.97</v>
      </c>
      <c r="F2438" s="23">
        <v>0.88564367333424487</v>
      </c>
      <c r="G2438" s="26">
        <f t="shared" si="38"/>
        <v>1169418.05</v>
      </c>
      <c r="H2438" t="s">
        <v>1811</v>
      </c>
      <c r="K2438" t="s">
        <v>1810</v>
      </c>
      <c r="L2438" t="s">
        <v>1812</v>
      </c>
    </row>
    <row r="2439" spans="1:13">
      <c r="A2439" s="19" t="s">
        <v>1651</v>
      </c>
      <c r="B2439" s="20" t="s">
        <v>1652</v>
      </c>
      <c r="C2439" s="19" t="s">
        <v>74</v>
      </c>
      <c r="D2439" s="20"/>
      <c r="E2439" s="3">
        <v>1320415.97</v>
      </c>
      <c r="F2439" s="24">
        <v>0.10271449534194894</v>
      </c>
      <c r="G2439" s="26">
        <f t="shared" si="38"/>
        <v>135625.85999999999</v>
      </c>
      <c r="H2439" t="s">
        <v>1811</v>
      </c>
      <c r="K2439" t="s">
        <v>1810</v>
      </c>
      <c r="L2439" t="s">
        <v>1812</v>
      </c>
    </row>
    <row r="2440" spans="1:13">
      <c r="A2440" s="13" t="s">
        <v>1653</v>
      </c>
      <c r="B2440" s="14" t="s">
        <v>1654</v>
      </c>
      <c r="C2440" s="15" t="s">
        <v>72</v>
      </c>
      <c r="D2440" s="16"/>
      <c r="E2440" s="2">
        <v>1580086.05</v>
      </c>
      <c r="F2440" s="23">
        <v>4.9708001662314524E-2</v>
      </c>
      <c r="G2440" s="26">
        <f t="shared" si="38"/>
        <v>78542.92</v>
      </c>
      <c r="H2440" t="s">
        <v>1806</v>
      </c>
      <c r="M2440">
        <v>194</v>
      </c>
    </row>
    <row r="2441" spans="1:13">
      <c r="A2441" s="17" t="s">
        <v>1653</v>
      </c>
      <c r="B2441" s="18" t="s">
        <v>1654</v>
      </c>
      <c r="C2441" s="19" t="s">
        <v>73</v>
      </c>
      <c r="D2441" s="20"/>
      <c r="E2441" s="3">
        <v>1580086.05</v>
      </c>
      <c r="F2441" s="24">
        <v>0.81877668624439792</v>
      </c>
      <c r="G2441" s="26">
        <f t="shared" si="38"/>
        <v>1293737.6200000001</v>
      </c>
      <c r="H2441" t="s">
        <v>1806</v>
      </c>
    </row>
    <row r="2442" spans="1:13">
      <c r="A2442" s="15" t="s">
        <v>1653</v>
      </c>
      <c r="B2442" s="16" t="s">
        <v>1654</v>
      </c>
      <c r="C2442" s="15" t="s">
        <v>74</v>
      </c>
      <c r="D2442" s="16"/>
      <c r="E2442" s="2">
        <v>1580086.05</v>
      </c>
      <c r="F2442" s="23">
        <v>0.13151531209328757</v>
      </c>
      <c r="G2442" s="26">
        <f t="shared" si="38"/>
        <v>207805.50999999998</v>
      </c>
      <c r="H2442" t="s">
        <v>1806</v>
      </c>
    </row>
    <row r="2443" spans="1:13">
      <c r="A2443" s="17" t="s">
        <v>1655</v>
      </c>
      <c r="B2443" s="21" t="s">
        <v>1656</v>
      </c>
      <c r="C2443" s="19" t="s">
        <v>72</v>
      </c>
      <c r="D2443" s="20"/>
      <c r="E2443" s="3">
        <v>1793470.68</v>
      </c>
      <c r="F2443" s="24">
        <v>1.9266370164467923E-2</v>
      </c>
      <c r="G2443" s="26">
        <f t="shared" si="38"/>
        <v>34553.67</v>
      </c>
      <c r="H2443" t="s">
        <v>1806</v>
      </c>
      <c r="M2443">
        <v>246</v>
      </c>
    </row>
    <row r="2444" spans="1:13">
      <c r="A2444" s="13" t="s">
        <v>1655</v>
      </c>
      <c r="B2444" s="22" t="s">
        <v>1656</v>
      </c>
      <c r="C2444" s="15" t="s">
        <v>73</v>
      </c>
      <c r="D2444" s="16"/>
      <c r="E2444" s="2">
        <v>1793470.68</v>
      </c>
      <c r="F2444" s="23">
        <v>0.88400735383084161</v>
      </c>
      <c r="G2444" s="26">
        <f t="shared" si="38"/>
        <v>1585441.27</v>
      </c>
      <c r="H2444" t="s">
        <v>1806</v>
      </c>
    </row>
    <row r="2445" spans="1:13">
      <c r="A2445" s="19" t="s">
        <v>1655</v>
      </c>
      <c r="B2445" s="20" t="s">
        <v>1656</v>
      </c>
      <c r="C2445" s="19" t="s">
        <v>74</v>
      </c>
      <c r="D2445" s="20"/>
      <c r="E2445" s="3">
        <v>1793470.68</v>
      </c>
      <c r="F2445" s="24">
        <v>9.6726276004690526E-2</v>
      </c>
      <c r="G2445" s="26">
        <f t="shared" si="38"/>
        <v>173475.74</v>
      </c>
      <c r="H2445" t="s">
        <v>1806</v>
      </c>
    </row>
    <row r="2446" spans="1:13">
      <c r="A2446" s="13" t="s">
        <v>1657</v>
      </c>
      <c r="B2446" s="14" t="s">
        <v>1658</v>
      </c>
      <c r="C2446" s="15" t="s">
        <v>72</v>
      </c>
      <c r="D2446" s="16"/>
      <c r="E2446" s="2">
        <v>674599.83</v>
      </c>
      <c r="F2446" s="23">
        <v>0</v>
      </c>
      <c r="G2446" s="26">
        <f t="shared" si="38"/>
        <v>0</v>
      </c>
      <c r="H2446" t="s">
        <v>1806</v>
      </c>
      <c r="M2446">
        <v>72</v>
      </c>
    </row>
    <row r="2447" spans="1:13">
      <c r="A2447" s="17" t="s">
        <v>1657</v>
      </c>
      <c r="B2447" s="18" t="s">
        <v>1658</v>
      </c>
      <c r="C2447" s="19" t="s">
        <v>73</v>
      </c>
      <c r="D2447" s="20"/>
      <c r="E2447" s="3">
        <v>674599.83</v>
      </c>
      <c r="F2447" s="24">
        <v>0.98883117121449615</v>
      </c>
      <c r="G2447" s="26">
        <f t="shared" si="38"/>
        <v>667065.34</v>
      </c>
      <c r="H2447" t="s">
        <v>1806</v>
      </c>
    </row>
    <row r="2448" spans="1:13">
      <c r="A2448" s="15" t="s">
        <v>1657</v>
      </c>
      <c r="B2448" s="16" t="s">
        <v>1658</v>
      </c>
      <c r="C2448" s="15" t="s">
        <v>74</v>
      </c>
      <c r="D2448" s="16"/>
      <c r="E2448" s="2">
        <v>674599.83</v>
      </c>
      <c r="F2448" s="23">
        <v>1.1168828785503845E-2</v>
      </c>
      <c r="G2448" s="26">
        <f t="shared" si="38"/>
        <v>7534.49</v>
      </c>
      <c r="H2448" t="s">
        <v>1806</v>
      </c>
    </row>
    <row r="2449" spans="1:13">
      <c r="A2449" s="17" t="s">
        <v>1659</v>
      </c>
      <c r="B2449" s="21" t="s">
        <v>1660</v>
      </c>
      <c r="C2449" s="19" t="s">
        <v>72</v>
      </c>
      <c r="D2449" s="20"/>
      <c r="E2449" s="3">
        <v>2077739.09</v>
      </c>
      <c r="F2449" s="24">
        <v>9.3359195547502535E-2</v>
      </c>
      <c r="G2449" s="26">
        <f t="shared" si="38"/>
        <v>193976.05</v>
      </c>
      <c r="H2449" t="s">
        <v>1806</v>
      </c>
      <c r="K2449" t="s">
        <v>1809</v>
      </c>
      <c r="L2449" t="s">
        <v>1814</v>
      </c>
      <c r="M2449">
        <v>241</v>
      </c>
    </row>
    <row r="2450" spans="1:13">
      <c r="A2450" s="13" t="s">
        <v>1659</v>
      </c>
      <c r="B2450" s="22" t="s">
        <v>1660</v>
      </c>
      <c r="C2450" s="15" t="s">
        <v>73</v>
      </c>
      <c r="D2450" s="16"/>
      <c r="E2450" s="2">
        <v>2077739.09</v>
      </c>
      <c r="F2450" s="23">
        <v>0.78630795265058995</v>
      </c>
      <c r="G2450" s="26">
        <f t="shared" si="38"/>
        <v>1633742.77</v>
      </c>
      <c r="H2450" t="s">
        <v>1806</v>
      </c>
      <c r="K2450" t="s">
        <v>1809</v>
      </c>
      <c r="L2450" t="s">
        <v>1814</v>
      </c>
    </row>
    <row r="2451" spans="1:13">
      <c r="A2451" s="19" t="s">
        <v>1659</v>
      </c>
      <c r="B2451" s="20" t="s">
        <v>1660</v>
      </c>
      <c r="C2451" s="19" t="s">
        <v>74</v>
      </c>
      <c r="D2451" s="20"/>
      <c r="E2451" s="3">
        <v>2077739.09</v>
      </c>
      <c r="F2451" s="24">
        <v>0.12033285180190742</v>
      </c>
      <c r="G2451" s="26">
        <f t="shared" si="38"/>
        <v>250020.27</v>
      </c>
      <c r="H2451" t="s">
        <v>1806</v>
      </c>
      <c r="K2451" t="s">
        <v>1809</v>
      </c>
      <c r="L2451" t="s">
        <v>1814</v>
      </c>
    </row>
    <row r="2452" spans="1:13">
      <c r="A2452" s="13" t="s">
        <v>1661</v>
      </c>
      <c r="B2452" s="14" t="s">
        <v>1662</v>
      </c>
      <c r="C2452" s="15" t="s">
        <v>72</v>
      </c>
      <c r="D2452" s="16"/>
      <c r="E2452" s="2">
        <v>892388.38</v>
      </c>
      <c r="F2452" s="23">
        <v>2.5321811115469699E-2</v>
      </c>
      <c r="G2452" s="26">
        <f t="shared" si="38"/>
        <v>22596.89</v>
      </c>
      <c r="H2452" t="s">
        <v>1806</v>
      </c>
      <c r="K2452" t="s">
        <v>1809</v>
      </c>
      <c r="L2452" t="s">
        <v>1814</v>
      </c>
      <c r="M2452">
        <v>109</v>
      </c>
    </row>
    <row r="2453" spans="1:13">
      <c r="A2453" s="17" t="s">
        <v>1661</v>
      </c>
      <c r="B2453" s="18" t="s">
        <v>1662</v>
      </c>
      <c r="C2453" s="19" t="s">
        <v>73</v>
      </c>
      <c r="D2453" s="20"/>
      <c r="E2453" s="3">
        <v>892388.38</v>
      </c>
      <c r="F2453" s="24">
        <v>0.84745918587599711</v>
      </c>
      <c r="G2453" s="26">
        <f t="shared" si="38"/>
        <v>756262.73</v>
      </c>
      <c r="H2453" t="s">
        <v>1806</v>
      </c>
      <c r="K2453" t="s">
        <v>1809</v>
      </c>
      <c r="L2453" t="s">
        <v>1814</v>
      </c>
    </row>
    <row r="2454" spans="1:13">
      <c r="A2454" s="15" t="s">
        <v>1661</v>
      </c>
      <c r="B2454" s="16" t="s">
        <v>1662</v>
      </c>
      <c r="C2454" s="15" t="s">
        <v>74</v>
      </c>
      <c r="D2454" s="16"/>
      <c r="E2454" s="2">
        <v>892388.38</v>
      </c>
      <c r="F2454" s="23">
        <v>0.12721900300853312</v>
      </c>
      <c r="G2454" s="26">
        <f t="shared" si="38"/>
        <v>113528.76</v>
      </c>
      <c r="H2454" t="s">
        <v>1806</v>
      </c>
      <c r="K2454" t="s">
        <v>1809</v>
      </c>
      <c r="L2454" t="s">
        <v>1814</v>
      </c>
    </row>
    <row r="2455" spans="1:13">
      <c r="A2455" s="17" t="s">
        <v>1663</v>
      </c>
      <c r="B2455" s="21" t="s">
        <v>1664</v>
      </c>
      <c r="C2455" s="19" t="s">
        <v>72</v>
      </c>
      <c r="D2455" s="20"/>
      <c r="E2455" s="3">
        <v>973476.47</v>
      </c>
      <c r="F2455" s="24">
        <v>7.5297392652952364E-2</v>
      </c>
      <c r="G2455" s="26">
        <f t="shared" si="38"/>
        <v>73300.240000000005</v>
      </c>
      <c r="H2455" t="s">
        <v>1806</v>
      </c>
      <c r="M2455">
        <v>96</v>
      </c>
    </row>
    <row r="2456" spans="1:13">
      <c r="A2456" s="13" t="s">
        <v>1663</v>
      </c>
      <c r="B2456" s="22" t="s">
        <v>1664</v>
      </c>
      <c r="C2456" s="15" t="s">
        <v>73</v>
      </c>
      <c r="D2456" s="16"/>
      <c r="E2456" s="2">
        <v>973476.47</v>
      </c>
      <c r="F2456" s="23">
        <v>0.72468359712895791</v>
      </c>
      <c r="G2456" s="26">
        <f t="shared" si="38"/>
        <v>705462.43</v>
      </c>
      <c r="H2456" t="s">
        <v>1806</v>
      </c>
    </row>
    <row r="2457" spans="1:13">
      <c r="A2457" s="19" t="s">
        <v>1663</v>
      </c>
      <c r="B2457" s="20" t="s">
        <v>1664</v>
      </c>
      <c r="C2457" s="19" t="s">
        <v>74</v>
      </c>
      <c r="D2457" s="20"/>
      <c r="E2457" s="3">
        <v>973476.47</v>
      </c>
      <c r="F2457" s="24">
        <v>0.20001901021808979</v>
      </c>
      <c r="G2457" s="26">
        <f t="shared" si="38"/>
        <v>194713.8</v>
      </c>
      <c r="H2457" t="s">
        <v>1806</v>
      </c>
    </row>
    <row r="2458" spans="1:13">
      <c r="A2458" s="13" t="s">
        <v>1665</v>
      </c>
      <c r="B2458" s="14" t="s">
        <v>1854</v>
      </c>
      <c r="C2458" s="15" t="s">
        <v>72</v>
      </c>
      <c r="D2458" s="16"/>
      <c r="E2458" s="2">
        <v>2320667.8199999998</v>
      </c>
      <c r="F2458" s="23">
        <v>5.1731527005015314E-2</v>
      </c>
      <c r="G2458" s="26">
        <f t="shared" si="38"/>
        <v>120051.69</v>
      </c>
      <c r="H2458" t="s">
        <v>1806</v>
      </c>
      <c r="K2458" t="s">
        <v>1809</v>
      </c>
      <c r="L2458" s="37" t="s">
        <v>1816</v>
      </c>
      <c r="M2458">
        <v>361</v>
      </c>
    </row>
    <row r="2459" spans="1:13">
      <c r="A2459" s="17" t="s">
        <v>1665</v>
      </c>
      <c r="B2459" s="18" t="s">
        <v>1854</v>
      </c>
      <c r="C2459" s="19" t="s">
        <v>73</v>
      </c>
      <c r="D2459" s="20"/>
      <c r="E2459" s="3">
        <v>2320667.8199999998</v>
      </c>
      <c r="F2459" s="24">
        <v>0.88339016568084272</v>
      </c>
      <c r="G2459" s="26">
        <f t="shared" si="38"/>
        <v>2050055.13</v>
      </c>
      <c r="H2459" t="s">
        <v>1806</v>
      </c>
      <c r="K2459" t="s">
        <v>1809</v>
      </c>
      <c r="L2459" s="37" t="s">
        <v>1816</v>
      </c>
    </row>
    <row r="2460" spans="1:13">
      <c r="A2460" s="15" t="s">
        <v>1665</v>
      </c>
      <c r="B2460" s="16" t="s">
        <v>1854</v>
      </c>
      <c r="C2460" s="15" t="s">
        <v>74</v>
      </c>
      <c r="D2460" s="16"/>
      <c r="E2460" s="2">
        <v>2320667.8199999998</v>
      </c>
      <c r="F2460" s="23">
        <v>6.4878307314142014E-2</v>
      </c>
      <c r="G2460" s="26">
        <f t="shared" si="38"/>
        <v>150561</v>
      </c>
      <c r="H2460" t="s">
        <v>1806</v>
      </c>
      <c r="K2460" t="s">
        <v>1809</v>
      </c>
      <c r="L2460" s="37" t="s">
        <v>1816</v>
      </c>
    </row>
    <row r="2461" spans="1:13">
      <c r="A2461" s="17" t="s">
        <v>1855</v>
      </c>
      <c r="B2461" s="21" t="s">
        <v>1856</v>
      </c>
      <c r="C2461" s="19" t="s">
        <v>72</v>
      </c>
      <c r="D2461" s="20"/>
      <c r="E2461" s="3">
        <v>949235.02</v>
      </c>
      <c r="F2461" s="24">
        <v>2.0075365529602988E-2</v>
      </c>
      <c r="G2461" s="26">
        <f t="shared" si="38"/>
        <v>19056.240000000002</v>
      </c>
      <c r="H2461" t="s">
        <v>1806</v>
      </c>
      <c r="M2461">
        <v>98</v>
      </c>
    </row>
    <row r="2462" spans="1:13">
      <c r="A2462" s="13" t="s">
        <v>1855</v>
      </c>
      <c r="B2462" s="22" t="s">
        <v>1856</v>
      </c>
      <c r="C2462" s="15" t="s">
        <v>73</v>
      </c>
      <c r="D2462" s="16"/>
      <c r="E2462" s="2">
        <v>949235.02</v>
      </c>
      <c r="F2462" s="23">
        <v>0.70916313222409344</v>
      </c>
      <c r="G2462" s="26">
        <f t="shared" si="38"/>
        <v>673162.48</v>
      </c>
      <c r="H2462" t="s">
        <v>1806</v>
      </c>
    </row>
    <row r="2463" spans="1:13">
      <c r="A2463" s="19" t="s">
        <v>1855</v>
      </c>
      <c r="B2463" s="20" t="s">
        <v>1856</v>
      </c>
      <c r="C2463" s="19" t="s">
        <v>74</v>
      </c>
      <c r="D2463" s="20"/>
      <c r="E2463" s="3">
        <v>949235.02</v>
      </c>
      <c r="F2463" s="24">
        <v>0.27076150224630352</v>
      </c>
      <c r="G2463" s="26">
        <f t="shared" si="38"/>
        <v>257016.29999999996</v>
      </c>
      <c r="H2463" t="s">
        <v>1806</v>
      </c>
    </row>
    <row r="2464" spans="1:13">
      <c r="A2464" s="13" t="s">
        <v>1857</v>
      </c>
      <c r="B2464" s="14" t="s">
        <v>1858</v>
      </c>
      <c r="C2464" s="15" t="s">
        <v>72</v>
      </c>
      <c r="D2464" s="16"/>
      <c r="E2464" s="2">
        <v>1901240.54</v>
      </c>
      <c r="F2464" s="23">
        <v>7.7419924992762875E-3</v>
      </c>
      <c r="G2464" s="26">
        <f t="shared" si="38"/>
        <v>14719.39</v>
      </c>
      <c r="H2464" t="s">
        <v>1806</v>
      </c>
      <c r="K2464" t="s">
        <v>1809</v>
      </c>
      <c r="L2464" t="s">
        <v>1814</v>
      </c>
      <c r="M2464">
        <v>232</v>
      </c>
    </row>
    <row r="2465" spans="1:13">
      <c r="A2465" s="17" t="s">
        <v>1857</v>
      </c>
      <c r="B2465" s="18" t="s">
        <v>1858</v>
      </c>
      <c r="C2465" s="19" t="s">
        <v>73</v>
      </c>
      <c r="D2465" s="20"/>
      <c r="E2465" s="3">
        <v>1901240.54</v>
      </c>
      <c r="F2465" s="24">
        <v>0.85514340021384139</v>
      </c>
      <c r="G2465" s="26">
        <f t="shared" si="38"/>
        <v>1625833.3</v>
      </c>
      <c r="H2465" t="s">
        <v>1806</v>
      </c>
      <c r="K2465" t="s">
        <v>1809</v>
      </c>
      <c r="L2465" t="s">
        <v>1814</v>
      </c>
    </row>
    <row r="2466" spans="1:13">
      <c r="A2466" s="15" t="s">
        <v>1857</v>
      </c>
      <c r="B2466" s="16" t="s">
        <v>1858</v>
      </c>
      <c r="C2466" s="15" t="s">
        <v>74</v>
      </c>
      <c r="D2466" s="16"/>
      <c r="E2466" s="2">
        <v>1901240.54</v>
      </c>
      <c r="F2466" s="23">
        <v>0.13711460728688227</v>
      </c>
      <c r="G2466" s="26">
        <f t="shared" si="38"/>
        <v>260687.84999999998</v>
      </c>
      <c r="H2466" t="s">
        <v>1806</v>
      </c>
      <c r="K2466" t="s">
        <v>1809</v>
      </c>
      <c r="L2466" t="s">
        <v>1814</v>
      </c>
    </row>
    <row r="2467" spans="1:13">
      <c r="A2467" s="17" t="s">
        <v>1859</v>
      </c>
      <c r="B2467" s="21" t="s">
        <v>1860</v>
      </c>
      <c r="C2467" s="19" t="s">
        <v>72</v>
      </c>
      <c r="D2467" s="20"/>
      <c r="E2467" s="3">
        <v>1312513.19</v>
      </c>
      <c r="F2467" s="24">
        <v>2.0976551100412178E-3</v>
      </c>
      <c r="G2467" s="26">
        <f t="shared" si="38"/>
        <v>2753.2</v>
      </c>
      <c r="H2467" t="s">
        <v>1806</v>
      </c>
      <c r="M2467">
        <v>71</v>
      </c>
    </row>
    <row r="2468" spans="1:13">
      <c r="A2468" s="13" t="s">
        <v>1859</v>
      </c>
      <c r="B2468" s="22" t="s">
        <v>1860</v>
      </c>
      <c r="C2468" s="15" t="s">
        <v>73</v>
      </c>
      <c r="D2468" s="16"/>
      <c r="E2468" s="2">
        <v>1312513.19</v>
      </c>
      <c r="F2468" s="23">
        <v>0.94586798019149809</v>
      </c>
      <c r="G2468" s="26">
        <f t="shared" si="38"/>
        <v>1241464.2</v>
      </c>
      <c r="H2468" t="s">
        <v>1806</v>
      </c>
    </row>
    <row r="2469" spans="1:13">
      <c r="A2469" s="19" t="s">
        <v>1859</v>
      </c>
      <c r="B2469" s="20" t="s">
        <v>1860</v>
      </c>
      <c r="C2469" s="19" t="s">
        <v>74</v>
      </c>
      <c r="D2469" s="20"/>
      <c r="E2469" s="3">
        <v>1312513.19</v>
      </c>
      <c r="F2469" s="24">
        <v>5.2034364698460664E-2</v>
      </c>
      <c r="G2469" s="26">
        <f t="shared" si="38"/>
        <v>68295.789999999994</v>
      </c>
      <c r="H2469" t="s">
        <v>1806</v>
      </c>
    </row>
    <row r="2470" spans="1:13">
      <c r="A2470" s="13" t="s">
        <v>1861</v>
      </c>
      <c r="B2470" s="14" t="s">
        <v>1862</v>
      </c>
      <c r="C2470" s="15" t="s">
        <v>72</v>
      </c>
      <c r="D2470" s="16"/>
      <c r="E2470" s="2">
        <v>2935225.27</v>
      </c>
      <c r="F2470" s="23">
        <v>7.6976715316981448E-4</v>
      </c>
      <c r="G2470" s="26">
        <f t="shared" si="38"/>
        <v>2259.44</v>
      </c>
      <c r="H2470" t="s">
        <v>1806</v>
      </c>
      <c r="K2470" t="s">
        <v>1809</v>
      </c>
      <c r="L2470" t="s">
        <v>1814</v>
      </c>
      <c r="M2470">
        <v>144</v>
      </c>
    </row>
    <row r="2471" spans="1:13">
      <c r="A2471" s="17" t="s">
        <v>1861</v>
      </c>
      <c r="B2471" s="18" t="s">
        <v>1862</v>
      </c>
      <c r="C2471" s="19" t="s">
        <v>73</v>
      </c>
      <c r="D2471" s="20"/>
      <c r="E2471" s="3">
        <v>2935225.27</v>
      </c>
      <c r="F2471" s="24">
        <v>0.82707425723409633</v>
      </c>
      <c r="G2471" s="26">
        <f t="shared" si="38"/>
        <v>2427649.2599999998</v>
      </c>
      <c r="H2471" t="s">
        <v>1806</v>
      </c>
      <c r="K2471" t="s">
        <v>1809</v>
      </c>
      <c r="L2471" t="s">
        <v>1814</v>
      </c>
    </row>
    <row r="2472" spans="1:13">
      <c r="A2472" s="15" t="s">
        <v>1861</v>
      </c>
      <c r="B2472" s="16" t="s">
        <v>1862</v>
      </c>
      <c r="C2472" s="15" t="s">
        <v>74</v>
      </c>
      <c r="D2472" s="16"/>
      <c r="E2472" s="2">
        <v>2935225.27</v>
      </c>
      <c r="F2472" s="23">
        <v>0.1721559756127338</v>
      </c>
      <c r="G2472" s="26">
        <f t="shared" si="38"/>
        <v>505316.57</v>
      </c>
      <c r="H2472" t="s">
        <v>1806</v>
      </c>
      <c r="K2472" t="s">
        <v>1809</v>
      </c>
      <c r="L2472" t="s">
        <v>1814</v>
      </c>
    </row>
    <row r="2473" spans="1:13">
      <c r="A2473" s="17" t="s">
        <v>1863</v>
      </c>
      <c r="B2473" s="21" t="s">
        <v>1864</v>
      </c>
      <c r="C2473" s="19" t="s">
        <v>72</v>
      </c>
      <c r="D2473" s="20"/>
      <c r="E2473" s="3">
        <v>1463370.03</v>
      </c>
      <c r="F2473" s="24">
        <v>2.0287145008702962E-3</v>
      </c>
      <c r="G2473" s="26">
        <f t="shared" si="38"/>
        <v>2968.7600000000007</v>
      </c>
      <c r="H2473" t="s">
        <v>1806</v>
      </c>
      <c r="M2473">
        <v>95</v>
      </c>
    </row>
    <row r="2474" spans="1:13">
      <c r="A2474" s="13" t="s">
        <v>1863</v>
      </c>
      <c r="B2474" s="22" t="s">
        <v>1864</v>
      </c>
      <c r="C2474" s="15" t="s">
        <v>73</v>
      </c>
      <c r="D2474" s="16"/>
      <c r="E2474" s="2">
        <v>1463370.03</v>
      </c>
      <c r="F2474" s="23">
        <v>0.85461273250211356</v>
      </c>
      <c r="G2474" s="26">
        <f t="shared" si="38"/>
        <v>1250614.6599999999</v>
      </c>
      <c r="H2474" t="s">
        <v>1806</v>
      </c>
    </row>
    <row r="2475" spans="1:13">
      <c r="A2475" s="19" t="s">
        <v>1863</v>
      </c>
      <c r="B2475" s="20" t="s">
        <v>1864</v>
      </c>
      <c r="C2475" s="19" t="s">
        <v>74</v>
      </c>
      <c r="D2475" s="20"/>
      <c r="E2475" s="3">
        <v>1463370.03</v>
      </c>
      <c r="F2475" s="24">
        <v>0.14335855299701605</v>
      </c>
      <c r="G2475" s="26">
        <f t="shared" si="38"/>
        <v>209786.61</v>
      </c>
      <c r="H2475" t="s">
        <v>1806</v>
      </c>
    </row>
    <row r="2476" spans="1:13">
      <c r="A2476" s="13" t="s">
        <v>1865</v>
      </c>
      <c r="B2476" s="14" t="s">
        <v>1866</v>
      </c>
      <c r="C2476" s="15" t="s">
        <v>72</v>
      </c>
      <c r="D2476" s="16"/>
      <c r="E2476" s="2">
        <v>2894690.69</v>
      </c>
      <c r="F2476" s="23">
        <v>1.4160590677824717E-2</v>
      </c>
      <c r="G2476" s="26">
        <f t="shared" si="38"/>
        <v>40990.53</v>
      </c>
      <c r="H2476" t="s">
        <v>1806</v>
      </c>
      <c r="M2476">
        <v>359</v>
      </c>
    </row>
    <row r="2477" spans="1:13">
      <c r="A2477" s="17" t="s">
        <v>1865</v>
      </c>
      <c r="B2477" s="18" t="s">
        <v>1866</v>
      </c>
      <c r="C2477" s="19" t="s">
        <v>73</v>
      </c>
      <c r="D2477" s="20"/>
      <c r="E2477" s="3">
        <v>2894690.69</v>
      </c>
      <c r="F2477" s="24">
        <v>0.84480108304766754</v>
      </c>
      <c r="G2477" s="26">
        <f t="shared" si="38"/>
        <v>2445437.83</v>
      </c>
      <c r="H2477" t="s">
        <v>1806</v>
      </c>
    </row>
    <row r="2478" spans="1:13">
      <c r="A2478" s="15" t="s">
        <v>1865</v>
      </c>
      <c r="B2478" s="16" t="s">
        <v>1866</v>
      </c>
      <c r="C2478" s="15" t="s">
        <v>74</v>
      </c>
      <c r="D2478" s="16"/>
      <c r="E2478" s="2">
        <v>2894690.69</v>
      </c>
      <c r="F2478" s="23">
        <v>0.14103832627450777</v>
      </c>
      <c r="G2478" s="26">
        <f t="shared" si="38"/>
        <v>408262.33</v>
      </c>
      <c r="H2478" t="s">
        <v>1806</v>
      </c>
    </row>
    <row r="2479" spans="1:13">
      <c r="A2479" s="17" t="s">
        <v>1867</v>
      </c>
      <c r="B2479" s="21" t="s">
        <v>1868</v>
      </c>
      <c r="C2479" s="19" t="s">
        <v>72</v>
      </c>
      <c r="D2479" s="20"/>
      <c r="E2479" s="3">
        <v>673623.24</v>
      </c>
      <c r="F2479" s="24">
        <v>5.0050633645003097E-2</v>
      </c>
      <c r="G2479" s="26">
        <f t="shared" si="38"/>
        <v>33715.269999999997</v>
      </c>
      <c r="H2479" t="s">
        <v>1806</v>
      </c>
      <c r="K2479" t="s">
        <v>1810</v>
      </c>
      <c r="L2479" t="s">
        <v>1812</v>
      </c>
      <c r="M2479">
        <v>92</v>
      </c>
    </row>
    <row r="2480" spans="1:13">
      <c r="A2480" s="13" t="s">
        <v>1867</v>
      </c>
      <c r="B2480" s="22" t="s">
        <v>1868</v>
      </c>
      <c r="C2480" s="15" t="s">
        <v>73</v>
      </c>
      <c r="D2480" s="16"/>
      <c r="E2480" s="2">
        <v>673623.24</v>
      </c>
      <c r="F2480" s="23">
        <v>0.84200901382202897</v>
      </c>
      <c r="G2480" s="26">
        <f t="shared" si="38"/>
        <v>567196.84</v>
      </c>
      <c r="H2480" t="s">
        <v>1806</v>
      </c>
      <c r="K2480" t="s">
        <v>1810</v>
      </c>
      <c r="L2480" t="s">
        <v>1812</v>
      </c>
    </row>
    <row r="2481" spans="1:13">
      <c r="A2481" s="19" t="s">
        <v>1867</v>
      </c>
      <c r="B2481" s="20" t="s">
        <v>1868</v>
      </c>
      <c r="C2481" s="19" t="s">
        <v>74</v>
      </c>
      <c r="D2481" s="20"/>
      <c r="E2481" s="3">
        <v>673623.24</v>
      </c>
      <c r="F2481" s="24">
        <v>0.10794035253296784</v>
      </c>
      <c r="G2481" s="26">
        <f t="shared" si="38"/>
        <v>72711.13</v>
      </c>
      <c r="H2481" t="s">
        <v>1806</v>
      </c>
      <c r="K2481" t="s">
        <v>1810</v>
      </c>
      <c r="L2481" t="s">
        <v>1812</v>
      </c>
    </row>
    <row r="2482" spans="1:13">
      <c r="A2482" s="13" t="s">
        <v>1869</v>
      </c>
      <c r="B2482" s="14" t="s">
        <v>1870</v>
      </c>
      <c r="C2482" s="15" t="s">
        <v>72</v>
      </c>
      <c r="D2482" s="16"/>
      <c r="E2482" s="2">
        <v>2719630.44</v>
      </c>
      <c r="F2482" s="23">
        <v>1.0789094565363078E-2</v>
      </c>
      <c r="G2482" s="26">
        <f t="shared" si="38"/>
        <v>29342.35</v>
      </c>
      <c r="H2482" t="s">
        <v>1806</v>
      </c>
      <c r="M2482">
        <v>376</v>
      </c>
    </row>
    <row r="2483" spans="1:13">
      <c r="A2483" s="17" t="s">
        <v>1869</v>
      </c>
      <c r="B2483" s="18" t="s">
        <v>1870</v>
      </c>
      <c r="C2483" s="19" t="s">
        <v>73</v>
      </c>
      <c r="D2483" s="20"/>
      <c r="E2483" s="3">
        <v>2719630.44</v>
      </c>
      <c r="F2483" s="24">
        <v>0.85898928973599809</v>
      </c>
      <c r="G2483" s="26">
        <f t="shared" si="38"/>
        <v>2336133.42</v>
      </c>
      <c r="H2483" t="s">
        <v>1806</v>
      </c>
    </row>
    <row r="2484" spans="1:13">
      <c r="A2484" s="15" t="s">
        <v>1869</v>
      </c>
      <c r="B2484" s="16" t="s">
        <v>1870</v>
      </c>
      <c r="C2484" s="15" t="s">
        <v>74</v>
      </c>
      <c r="D2484" s="16"/>
      <c r="E2484" s="2">
        <v>2719630.44</v>
      </c>
      <c r="F2484" s="23">
        <v>0.13022161569863883</v>
      </c>
      <c r="G2484" s="26">
        <f t="shared" si="38"/>
        <v>354154.67</v>
      </c>
      <c r="H2484" t="s">
        <v>1806</v>
      </c>
    </row>
    <row r="2485" spans="1:13">
      <c r="A2485" s="17" t="s">
        <v>1871</v>
      </c>
      <c r="B2485" s="21" t="s">
        <v>1872</v>
      </c>
      <c r="C2485" s="19" t="s">
        <v>72</v>
      </c>
      <c r="D2485" s="20"/>
      <c r="E2485" s="3">
        <v>922346.06</v>
      </c>
      <c r="F2485" s="24">
        <v>8.300030034280191E-4</v>
      </c>
      <c r="G2485" s="26">
        <f t="shared" si="38"/>
        <v>765.55</v>
      </c>
      <c r="H2485" t="s">
        <v>1806</v>
      </c>
      <c r="M2485">
        <v>124</v>
      </c>
    </row>
    <row r="2486" spans="1:13">
      <c r="A2486" s="13" t="s">
        <v>1871</v>
      </c>
      <c r="B2486" s="22" t="s">
        <v>1872</v>
      </c>
      <c r="C2486" s="15" t="s">
        <v>73</v>
      </c>
      <c r="D2486" s="16"/>
      <c r="E2486" s="2">
        <v>922346.06</v>
      </c>
      <c r="F2486" s="23">
        <v>0.84042017808370095</v>
      </c>
      <c r="G2486" s="26">
        <f t="shared" si="38"/>
        <v>775158.24</v>
      </c>
      <c r="H2486" t="s">
        <v>1806</v>
      </c>
    </row>
    <row r="2487" spans="1:13">
      <c r="A2487" s="19" t="s">
        <v>1871</v>
      </c>
      <c r="B2487" s="20" t="s">
        <v>1872</v>
      </c>
      <c r="C2487" s="19" t="s">
        <v>74</v>
      </c>
      <c r="D2487" s="20"/>
      <c r="E2487" s="3">
        <v>922346.06</v>
      </c>
      <c r="F2487" s="24">
        <v>0.15874981891287093</v>
      </c>
      <c r="G2487" s="26">
        <f t="shared" si="38"/>
        <v>146422.26999999999</v>
      </c>
      <c r="H2487" t="s">
        <v>1806</v>
      </c>
    </row>
    <row r="2488" spans="1:13">
      <c r="A2488" s="13" t="s">
        <v>1873</v>
      </c>
      <c r="B2488" s="14" t="s">
        <v>1874</v>
      </c>
      <c r="C2488" s="15" t="s">
        <v>72</v>
      </c>
      <c r="D2488" s="16"/>
      <c r="E2488" s="2">
        <v>924919.7</v>
      </c>
      <c r="F2488" s="23">
        <v>0.28688263424381599</v>
      </c>
      <c r="G2488" s="26">
        <f t="shared" si="38"/>
        <v>265343.40000000002</v>
      </c>
      <c r="H2488" t="s">
        <v>1806</v>
      </c>
      <c r="K2488" t="s">
        <v>1810</v>
      </c>
      <c r="L2488" t="s">
        <v>1812</v>
      </c>
      <c r="M2488">
        <v>71</v>
      </c>
    </row>
    <row r="2489" spans="1:13">
      <c r="A2489" s="17" t="s">
        <v>1873</v>
      </c>
      <c r="B2489" s="18" t="s">
        <v>1874</v>
      </c>
      <c r="C2489" s="19" t="s">
        <v>73</v>
      </c>
      <c r="D2489" s="20"/>
      <c r="E2489" s="3">
        <v>924919.7</v>
      </c>
      <c r="F2489" s="24">
        <v>0.52470483653878286</v>
      </c>
      <c r="G2489" s="26">
        <f t="shared" si="38"/>
        <v>485309.84000000008</v>
      </c>
      <c r="H2489" t="s">
        <v>1806</v>
      </c>
      <c r="K2489" t="s">
        <v>1810</v>
      </c>
      <c r="L2489" t="s">
        <v>1812</v>
      </c>
    </row>
    <row r="2490" spans="1:13">
      <c r="A2490" s="15" t="s">
        <v>1873</v>
      </c>
      <c r="B2490" s="16" t="s">
        <v>1874</v>
      </c>
      <c r="C2490" s="15" t="s">
        <v>74</v>
      </c>
      <c r="D2490" s="16"/>
      <c r="E2490" s="2">
        <v>924919.7</v>
      </c>
      <c r="F2490" s="23">
        <v>0.18841252921740126</v>
      </c>
      <c r="G2490" s="26">
        <f t="shared" si="38"/>
        <v>174266.46</v>
      </c>
      <c r="H2490" t="s">
        <v>1806</v>
      </c>
      <c r="K2490" t="s">
        <v>1810</v>
      </c>
      <c r="L2490" t="s">
        <v>1812</v>
      </c>
    </row>
    <row r="2491" spans="1:13">
      <c r="A2491" s="17" t="s">
        <v>1875</v>
      </c>
      <c r="B2491" s="21" t="s">
        <v>1696</v>
      </c>
      <c r="C2491" s="19" t="s">
        <v>72</v>
      </c>
      <c r="D2491" s="20"/>
      <c r="E2491" s="3">
        <v>1291038.96</v>
      </c>
      <c r="F2491" s="24">
        <v>0.25452411598794816</v>
      </c>
      <c r="G2491" s="26">
        <f t="shared" si="38"/>
        <v>328600.55</v>
      </c>
      <c r="H2491" t="s">
        <v>1806</v>
      </c>
      <c r="M2491">
        <v>54</v>
      </c>
    </row>
    <row r="2492" spans="1:13">
      <c r="A2492" s="13" t="s">
        <v>1875</v>
      </c>
      <c r="B2492" s="22" t="s">
        <v>1696</v>
      </c>
      <c r="C2492" s="15" t="s">
        <v>73</v>
      </c>
      <c r="D2492" s="16"/>
      <c r="E2492" s="2">
        <v>1291038.96</v>
      </c>
      <c r="F2492" s="23">
        <v>0.68964780117867241</v>
      </c>
      <c r="G2492" s="26">
        <f t="shared" si="38"/>
        <v>890362.17999999993</v>
      </c>
      <c r="H2492" t="s">
        <v>1806</v>
      </c>
    </row>
    <row r="2493" spans="1:13">
      <c r="A2493" s="19" t="s">
        <v>1875</v>
      </c>
      <c r="B2493" s="20" t="s">
        <v>1696</v>
      </c>
      <c r="C2493" s="19" t="s">
        <v>74</v>
      </c>
      <c r="D2493" s="20"/>
      <c r="E2493" s="3">
        <v>1291038.96</v>
      </c>
      <c r="F2493" s="24">
        <v>5.5828082833379401E-2</v>
      </c>
      <c r="G2493" s="26">
        <f t="shared" si="38"/>
        <v>72076.23</v>
      </c>
      <c r="H2493" t="s">
        <v>1806</v>
      </c>
    </row>
    <row r="2494" spans="1:13">
      <c r="A2494" s="13" t="s">
        <v>1697</v>
      </c>
      <c r="B2494" s="14" t="s">
        <v>1698</v>
      </c>
      <c r="C2494" s="15" t="s">
        <v>72</v>
      </c>
      <c r="D2494" s="16"/>
      <c r="E2494" s="2">
        <v>639636.15</v>
      </c>
      <c r="F2494" s="23">
        <v>1.1835291047887145E-2</v>
      </c>
      <c r="G2494" s="26">
        <f t="shared" si="38"/>
        <v>7570.28</v>
      </c>
      <c r="H2494" t="s">
        <v>1806</v>
      </c>
      <c r="M2494">
        <v>83</v>
      </c>
    </row>
    <row r="2495" spans="1:13">
      <c r="A2495" s="17" t="s">
        <v>1697</v>
      </c>
      <c r="B2495" s="18" t="s">
        <v>1698</v>
      </c>
      <c r="C2495" s="19" t="s">
        <v>73</v>
      </c>
      <c r="D2495" s="20"/>
      <c r="E2495" s="3">
        <v>639636.15</v>
      </c>
      <c r="F2495" s="24">
        <v>0.83126514972613719</v>
      </c>
      <c r="G2495" s="26">
        <f t="shared" si="38"/>
        <v>531707.24</v>
      </c>
      <c r="H2495" t="s">
        <v>1806</v>
      </c>
    </row>
    <row r="2496" spans="1:13">
      <c r="A2496" s="15" t="s">
        <v>1697</v>
      </c>
      <c r="B2496" s="16" t="s">
        <v>1698</v>
      </c>
      <c r="C2496" s="15" t="s">
        <v>74</v>
      </c>
      <c r="D2496" s="16"/>
      <c r="E2496" s="2">
        <v>639636.15</v>
      </c>
      <c r="F2496" s="23">
        <v>0.15689955922597559</v>
      </c>
      <c r="G2496" s="26">
        <f t="shared" si="38"/>
        <v>100358.63000000002</v>
      </c>
      <c r="H2496" t="s">
        <v>1806</v>
      </c>
    </row>
    <row r="2497" spans="1:13">
      <c r="A2497" s="17" t="s">
        <v>1699</v>
      </c>
      <c r="B2497" s="21" t="s">
        <v>1700</v>
      </c>
      <c r="C2497" s="19" t="s">
        <v>72</v>
      </c>
      <c r="D2497" s="20"/>
      <c r="E2497" s="3">
        <v>2482620.56</v>
      </c>
      <c r="F2497" s="24">
        <v>0.35997846565807862</v>
      </c>
      <c r="G2497" s="26">
        <f t="shared" si="38"/>
        <v>893689.94</v>
      </c>
      <c r="H2497" t="s">
        <v>1806</v>
      </c>
      <c r="M2497">
        <v>194</v>
      </c>
    </row>
    <row r="2498" spans="1:13">
      <c r="A2498" s="13" t="s">
        <v>1699</v>
      </c>
      <c r="B2498" s="22" t="s">
        <v>1700</v>
      </c>
      <c r="C2498" s="15" t="s">
        <v>73</v>
      </c>
      <c r="D2498" s="16"/>
      <c r="E2498" s="2">
        <v>2482620.56</v>
      </c>
      <c r="F2498" s="23">
        <v>0.51802844571624751</v>
      </c>
      <c r="G2498" s="26">
        <f t="shared" si="38"/>
        <v>1286068.07</v>
      </c>
      <c r="H2498" t="s">
        <v>1806</v>
      </c>
    </row>
    <row r="2499" spans="1:13">
      <c r="A2499" s="19" t="s">
        <v>1699</v>
      </c>
      <c r="B2499" s="20" t="s">
        <v>1700</v>
      </c>
      <c r="C2499" s="19" t="s">
        <v>74</v>
      </c>
      <c r="D2499" s="20"/>
      <c r="E2499" s="3">
        <v>2482620.56</v>
      </c>
      <c r="F2499" s="24">
        <v>0.12199308862567383</v>
      </c>
      <c r="G2499" s="26">
        <f t="shared" si="38"/>
        <v>302862.55</v>
      </c>
      <c r="H2499" t="s">
        <v>1806</v>
      </c>
    </row>
    <row r="2500" spans="1:13">
      <c r="A2500" s="13" t="s">
        <v>1701</v>
      </c>
      <c r="B2500" s="14" t="s">
        <v>1702</v>
      </c>
      <c r="C2500" s="15" t="s">
        <v>72</v>
      </c>
      <c r="D2500" s="16"/>
      <c r="E2500" s="2">
        <v>49974484.530000001</v>
      </c>
      <c r="F2500" s="23">
        <v>1.0507981321643458E-2</v>
      </c>
      <c r="G2500" s="26">
        <f t="shared" si="38"/>
        <v>525130.94999999995</v>
      </c>
      <c r="H2500" t="s">
        <v>1806</v>
      </c>
      <c r="M2500">
        <v>6524</v>
      </c>
    </row>
    <row r="2501" spans="1:13">
      <c r="A2501" s="17" t="s">
        <v>1701</v>
      </c>
      <c r="B2501" s="18" t="s">
        <v>1702</v>
      </c>
      <c r="C2501" s="19" t="s">
        <v>73</v>
      </c>
      <c r="D2501" s="20"/>
      <c r="E2501" s="3">
        <v>49974484.530000001</v>
      </c>
      <c r="F2501" s="24">
        <v>0.88634403189110789</v>
      </c>
      <c r="G2501" s="26">
        <f t="shared" ref="G2501:G2564" si="39">F2501*E2501</f>
        <v>44294586.109999999</v>
      </c>
      <c r="H2501" t="s">
        <v>1806</v>
      </c>
    </row>
    <row r="2502" spans="1:13">
      <c r="A2502" s="15" t="s">
        <v>1701</v>
      </c>
      <c r="B2502" s="16" t="s">
        <v>1702</v>
      </c>
      <c r="C2502" s="15" t="s">
        <v>74</v>
      </c>
      <c r="D2502" s="16"/>
      <c r="E2502" s="2">
        <v>49974484.530000001</v>
      </c>
      <c r="F2502" s="23">
        <v>0.1031479867872486</v>
      </c>
      <c r="G2502" s="26">
        <f t="shared" si="39"/>
        <v>5154767.47</v>
      </c>
      <c r="H2502" t="s">
        <v>1806</v>
      </c>
    </row>
    <row r="2503" spans="1:13">
      <c r="A2503" s="17" t="s">
        <v>1703</v>
      </c>
      <c r="B2503" s="21" t="s">
        <v>1704</v>
      </c>
      <c r="C2503" s="19" t="s">
        <v>72</v>
      </c>
      <c r="D2503" s="20"/>
      <c r="E2503" s="3">
        <v>1701855.85</v>
      </c>
      <c r="F2503" s="24">
        <v>0.13101131332597879</v>
      </c>
      <c r="G2503" s="26">
        <f t="shared" si="39"/>
        <v>222962.36999999997</v>
      </c>
      <c r="H2503" t="s">
        <v>1806</v>
      </c>
      <c r="M2503">
        <v>216</v>
      </c>
    </row>
    <row r="2504" spans="1:13">
      <c r="A2504" s="13" t="s">
        <v>1703</v>
      </c>
      <c r="B2504" s="22" t="s">
        <v>1704</v>
      </c>
      <c r="C2504" s="15" t="s">
        <v>73</v>
      </c>
      <c r="D2504" s="16"/>
      <c r="E2504" s="2">
        <v>1701855.85</v>
      </c>
      <c r="F2504" s="23">
        <v>0.80701544728362273</v>
      </c>
      <c r="G2504" s="26">
        <f t="shared" si="39"/>
        <v>1373423.96</v>
      </c>
      <c r="H2504" t="s">
        <v>1806</v>
      </c>
    </row>
    <row r="2505" spans="1:13">
      <c r="A2505" s="19" t="s">
        <v>1703</v>
      </c>
      <c r="B2505" s="20" t="s">
        <v>1704</v>
      </c>
      <c r="C2505" s="19" t="s">
        <v>74</v>
      </c>
      <c r="D2505" s="20"/>
      <c r="E2505" s="3">
        <v>1701855.85</v>
      </c>
      <c r="F2505" s="24">
        <v>6.1973239390398428E-2</v>
      </c>
      <c r="G2505" s="26">
        <f t="shared" si="39"/>
        <v>105469.52</v>
      </c>
      <c r="H2505" t="s">
        <v>1806</v>
      </c>
    </row>
    <row r="2506" spans="1:13">
      <c r="A2506" s="13" t="s">
        <v>1705</v>
      </c>
      <c r="B2506" s="14" t="s">
        <v>1706</v>
      </c>
      <c r="C2506" s="15" t="s">
        <v>72</v>
      </c>
      <c r="D2506" s="16"/>
      <c r="E2506" s="2">
        <v>4930061.96</v>
      </c>
      <c r="F2506" s="23">
        <v>2.5095238356801504E-2</v>
      </c>
      <c r="G2506" s="26">
        <f t="shared" si="39"/>
        <v>123721.08</v>
      </c>
      <c r="H2506" t="s">
        <v>1806</v>
      </c>
      <c r="K2506" t="s">
        <v>1810</v>
      </c>
      <c r="L2506" t="s">
        <v>1812</v>
      </c>
      <c r="M2506">
        <v>661</v>
      </c>
    </row>
    <row r="2507" spans="1:13">
      <c r="A2507" s="17" t="s">
        <v>1705</v>
      </c>
      <c r="B2507" s="18" t="s">
        <v>1706</v>
      </c>
      <c r="C2507" s="19" t="s">
        <v>73</v>
      </c>
      <c r="D2507" s="20"/>
      <c r="E2507" s="3">
        <v>4930061.96</v>
      </c>
      <c r="F2507" s="24">
        <v>0.85622963651353379</v>
      </c>
      <c r="G2507" s="26">
        <f t="shared" si="39"/>
        <v>4221265.16</v>
      </c>
      <c r="H2507" t="s">
        <v>1806</v>
      </c>
      <c r="K2507" t="s">
        <v>1810</v>
      </c>
      <c r="L2507" t="s">
        <v>1812</v>
      </c>
    </row>
    <row r="2508" spans="1:13">
      <c r="A2508" s="15" t="s">
        <v>1705</v>
      </c>
      <c r="B2508" s="16" t="s">
        <v>1706</v>
      </c>
      <c r="C2508" s="15" t="s">
        <v>74</v>
      </c>
      <c r="D2508" s="16"/>
      <c r="E2508" s="2">
        <v>4930061.96</v>
      </c>
      <c r="F2508" s="23">
        <v>0.11867512512966469</v>
      </c>
      <c r="G2508" s="26">
        <f t="shared" si="39"/>
        <v>585075.72</v>
      </c>
      <c r="H2508" t="s">
        <v>1806</v>
      </c>
      <c r="K2508" t="s">
        <v>1810</v>
      </c>
      <c r="L2508" t="s">
        <v>1812</v>
      </c>
    </row>
    <row r="2509" spans="1:13">
      <c r="A2509" s="17" t="s">
        <v>1707</v>
      </c>
      <c r="B2509" s="21" t="s">
        <v>1708</v>
      </c>
      <c r="C2509" s="19" t="s">
        <v>72</v>
      </c>
      <c r="D2509" s="20"/>
      <c r="E2509" s="3">
        <v>2347787.5099999998</v>
      </c>
      <c r="F2509" s="24">
        <v>0</v>
      </c>
      <c r="G2509" s="26">
        <f t="shared" si="39"/>
        <v>0</v>
      </c>
      <c r="H2509" t="s">
        <v>1806</v>
      </c>
      <c r="M2509">
        <v>233</v>
      </c>
    </row>
    <row r="2510" spans="1:13">
      <c r="A2510" s="13" t="s">
        <v>1707</v>
      </c>
      <c r="B2510" s="22" t="s">
        <v>1708</v>
      </c>
      <c r="C2510" s="15" t="s">
        <v>73</v>
      </c>
      <c r="D2510" s="16"/>
      <c r="E2510" s="2">
        <v>2347787.5099999998</v>
      </c>
      <c r="F2510" s="23">
        <v>0.94337056508150519</v>
      </c>
      <c r="G2510" s="26">
        <f t="shared" si="39"/>
        <v>2214833.63</v>
      </c>
      <c r="H2510" t="s">
        <v>1806</v>
      </c>
    </row>
    <row r="2511" spans="1:13">
      <c r="A2511" s="19" t="s">
        <v>1707</v>
      </c>
      <c r="B2511" s="20" t="s">
        <v>1708</v>
      </c>
      <c r="C2511" s="19" t="s">
        <v>74</v>
      </c>
      <c r="D2511" s="20"/>
      <c r="E2511" s="3">
        <v>2347787.5099999998</v>
      </c>
      <c r="F2511" s="24">
        <v>5.6629434918494821E-2</v>
      </c>
      <c r="G2511" s="26">
        <f t="shared" si="39"/>
        <v>132953.88</v>
      </c>
      <c r="H2511" t="s">
        <v>1806</v>
      </c>
    </row>
    <row r="2512" spans="1:13">
      <c r="A2512" s="13" t="s">
        <v>1709</v>
      </c>
      <c r="B2512" s="14" t="s">
        <v>1710</v>
      </c>
      <c r="C2512" s="15" t="s">
        <v>72</v>
      </c>
      <c r="D2512" s="16"/>
      <c r="E2512" s="2">
        <v>2980783.42</v>
      </c>
      <c r="F2512" s="23">
        <v>1.3150905140233235E-4</v>
      </c>
      <c r="G2512" s="26">
        <f t="shared" si="39"/>
        <v>392</v>
      </c>
      <c r="H2512" t="s">
        <v>1806</v>
      </c>
      <c r="M2512">
        <v>391</v>
      </c>
    </row>
    <row r="2513" spans="1:13">
      <c r="A2513" s="17" t="s">
        <v>1709</v>
      </c>
      <c r="B2513" s="18" t="s">
        <v>1710</v>
      </c>
      <c r="C2513" s="19" t="s">
        <v>73</v>
      </c>
      <c r="D2513" s="20"/>
      <c r="E2513" s="3">
        <v>2980783.42</v>
      </c>
      <c r="F2513" s="24">
        <v>0.84727307360022819</v>
      </c>
      <c r="G2513" s="26">
        <f t="shared" si="39"/>
        <v>2525537.5299999998</v>
      </c>
      <c r="H2513" t="s">
        <v>1806</v>
      </c>
    </row>
    <row r="2514" spans="1:13">
      <c r="A2514" s="15" t="s">
        <v>1709</v>
      </c>
      <c r="B2514" s="16" t="s">
        <v>1710</v>
      </c>
      <c r="C2514" s="15" t="s">
        <v>74</v>
      </c>
      <c r="D2514" s="16"/>
      <c r="E2514" s="2">
        <v>2980783.42</v>
      </c>
      <c r="F2514" s="23">
        <v>0.15259541734836946</v>
      </c>
      <c r="G2514" s="26">
        <f t="shared" si="39"/>
        <v>454853.89</v>
      </c>
      <c r="H2514" t="s">
        <v>1806</v>
      </c>
    </row>
    <row r="2515" spans="1:13">
      <c r="A2515" s="17" t="s">
        <v>1711</v>
      </c>
      <c r="B2515" s="21" t="s">
        <v>1712</v>
      </c>
      <c r="C2515" s="19" t="s">
        <v>72</v>
      </c>
      <c r="D2515" s="20"/>
      <c r="E2515" s="3">
        <v>4463813.6500000004</v>
      </c>
      <c r="F2515" s="24">
        <v>1.0225740494341647E-3</v>
      </c>
      <c r="G2515" s="26">
        <f t="shared" si="39"/>
        <v>4564.58</v>
      </c>
      <c r="H2515" t="s">
        <v>1806</v>
      </c>
      <c r="M2515">
        <v>544</v>
      </c>
    </row>
    <row r="2516" spans="1:13">
      <c r="A2516" s="13" t="s">
        <v>1711</v>
      </c>
      <c r="B2516" s="22" t="s">
        <v>1712</v>
      </c>
      <c r="C2516" s="15" t="s">
        <v>73</v>
      </c>
      <c r="D2516" s="16"/>
      <c r="E2516" s="2">
        <v>4463813.6500000004</v>
      </c>
      <c r="F2516" s="23">
        <v>0.77719343189875312</v>
      </c>
      <c r="G2516" s="26">
        <f t="shared" si="39"/>
        <v>3469246.65</v>
      </c>
      <c r="H2516" t="s">
        <v>1806</v>
      </c>
    </row>
    <row r="2517" spans="1:13">
      <c r="A2517" s="19" t="s">
        <v>1711</v>
      </c>
      <c r="B2517" s="20" t="s">
        <v>1712</v>
      </c>
      <c r="C2517" s="19" t="s">
        <v>74</v>
      </c>
      <c r="D2517" s="20"/>
      <c r="E2517" s="3">
        <v>4463813.6500000004</v>
      </c>
      <c r="F2517" s="24">
        <v>0.22178399405181262</v>
      </c>
      <c r="G2517" s="26">
        <f t="shared" si="39"/>
        <v>990002.42</v>
      </c>
      <c r="H2517" t="s">
        <v>1806</v>
      </c>
    </row>
    <row r="2518" spans="1:13">
      <c r="A2518" s="13" t="s">
        <v>1713</v>
      </c>
      <c r="B2518" s="14" t="s">
        <v>1714</v>
      </c>
      <c r="C2518" s="15" t="s">
        <v>72</v>
      </c>
      <c r="D2518" s="16"/>
      <c r="E2518" s="2">
        <v>3812632.93</v>
      </c>
      <c r="F2518" s="23">
        <v>8.5243732078870746E-2</v>
      </c>
      <c r="G2518" s="26">
        <f t="shared" si="39"/>
        <v>325003.06</v>
      </c>
      <c r="H2518" t="s">
        <v>1806</v>
      </c>
      <c r="K2518" t="s">
        <v>1809</v>
      </c>
      <c r="L2518" t="s">
        <v>1814</v>
      </c>
      <c r="M2518">
        <v>380</v>
      </c>
    </row>
    <row r="2519" spans="1:13">
      <c r="A2519" s="17" t="s">
        <v>1713</v>
      </c>
      <c r="B2519" s="18" t="s">
        <v>1714</v>
      </c>
      <c r="C2519" s="19" t="s">
        <v>73</v>
      </c>
      <c r="D2519" s="20"/>
      <c r="E2519" s="3">
        <v>3812632.93</v>
      </c>
      <c r="F2519" s="24">
        <v>0.74429728014755403</v>
      </c>
      <c r="G2519" s="26">
        <f t="shared" si="39"/>
        <v>2837732.32</v>
      </c>
      <c r="H2519" t="s">
        <v>1806</v>
      </c>
      <c r="K2519" t="s">
        <v>1809</v>
      </c>
      <c r="L2519" t="s">
        <v>1814</v>
      </c>
    </row>
    <row r="2520" spans="1:13">
      <c r="A2520" s="15" t="s">
        <v>1713</v>
      </c>
      <c r="B2520" s="16" t="s">
        <v>1714</v>
      </c>
      <c r="C2520" s="15" t="s">
        <v>74</v>
      </c>
      <c r="D2520" s="16"/>
      <c r="E2520" s="2">
        <v>3812632.93</v>
      </c>
      <c r="F2520" s="23">
        <v>0.17045898777357515</v>
      </c>
      <c r="G2520" s="26">
        <f t="shared" si="39"/>
        <v>649897.55000000005</v>
      </c>
      <c r="H2520" t="s">
        <v>1806</v>
      </c>
      <c r="K2520" t="s">
        <v>1809</v>
      </c>
      <c r="L2520" t="s">
        <v>1814</v>
      </c>
    </row>
    <row r="2521" spans="1:13">
      <c r="A2521" s="17" t="s">
        <v>1715</v>
      </c>
      <c r="B2521" s="21" t="s">
        <v>1716</v>
      </c>
      <c r="C2521" s="19" t="s">
        <v>72</v>
      </c>
      <c r="D2521" s="20"/>
      <c r="E2521" s="3">
        <v>2056941.76</v>
      </c>
      <c r="F2521" s="24">
        <v>9.4495674977204992E-3</v>
      </c>
      <c r="G2521" s="26">
        <f t="shared" si="39"/>
        <v>19437.21</v>
      </c>
      <c r="H2521" t="s">
        <v>1806</v>
      </c>
      <c r="M2521">
        <v>233</v>
      </c>
    </row>
    <row r="2522" spans="1:13">
      <c r="A2522" s="13" t="s">
        <v>1715</v>
      </c>
      <c r="B2522" s="22" t="s">
        <v>1716</v>
      </c>
      <c r="C2522" s="15" t="s">
        <v>73</v>
      </c>
      <c r="D2522" s="16"/>
      <c r="E2522" s="2">
        <v>2056941.76</v>
      </c>
      <c r="F2522" s="23">
        <v>0.80783731086289967</v>
      </c>
      <c r="G2522" s="26">
        <f t="shared" si="39"/>
        <v>1661674.3</v>
      </c>
      <c r="H2522" t="s">
        <v>1806</v>
      </c>
    </row>
    <row r="2523" spans="1:13">
      <c r="A2523" s="19" t="s">
        <v>1715</v>
      </c>
      <c r="B2523" s="20" t="s">
        <v>1716</v>
      </c>
      <c r="C2523" s="19" t="s">
        <v>74</v>
      </c>
      <c r="D2523" s="20"/>
      <c r="E2523" s="3">
        <v>2056941.76</v>
      </c>
      <c r="F2523" s="24">
        <v>0.18271312163937981</v>
      </c>
      <c r="G2523" s="26">
        <f t="shared" si="39"/>
        <v>375830.25</v>
      </c>
      <c r="H2523" t="s">
        <v>1806</v>
      </c>
    </row>
    <row r="2524" spans="1:13">
      <c r="A2524" s="13" t="s">
        <v>1717</v>
      </c>
      <c r="B2524" s="14" t="s">
        <v>1718</v>
      </c>
      <c r="C2524" s="15" t="s">
        <v>72</v>
      </c>
      <c r="D2524" s="16"/>
      <c r="E2524" s="2">
        <v>709915.45</v>
      </c>
      <c r="F2524" s="23">
        <v>1.9406494111376221E-2</v>
      </c>
      <c r="G2524" s="26">
        <f t="shared" si="39"/>
        <v>13776.97</v>
      </c>
      <c r="H2524" t="s">
        <v>1806</v>
      </c>
      <c r="M2524">
        <v>92</v>
      </c>
    </row>
    <row r="2525" spans="1:13">
      <c r="A2525" s="17" t="s">
        <v>1717</v>
      </c>
      <c r="B2525" s="18" t="s">
        <v>1718</v>
      </c>
      <c r="C2525" s="19" t="s">
        <v>73</v>
      </c>
      <c r="D2525" s="20"/>
      <c r="E2525" s="3">
        <v>709915.45</v>
      </c>
      <c r="F2525" s="24">
        <v>0.85781651885446353</v>
      </c>
      <c r="G2525" s="26">
        <f t="shared" si="39"/>
        <v>608977.19999999995</v>
      </c>
      <c r="H2525" t="s">
        <v>1806</v>
      </c>
    </row>
    <row r="2526" spans="1:13">
      <c r="A2526" s="15" t="s">
        <v>1717</v>
      </c>
      <c r="B2526" s="16" t="s">
        <v>1718</v>
      </c>
      <c r="C2526" s="15" t="s">
        <v>74</v>
      </c>
      <c r="D2526" s="16"/>
      <c r="E2526" s="2">
        <v>709915.45</v>
      </c>
      <c r="F2526" s="23">
        <v>0.12277698703416021</v>
      </c>
      <c r="G2526" s="26">
        <f t="shared" si="39"/>
        <v>87161.279999999999</v>
      </c>
      <c r="H2526" t="s">
        <v>1806</v>
      </c>
    </row>
    <row r="2527" spans="1:13">
      <c r="A2527" s="17" t="s">
        <v>1719</v>
      </c>
      <c r="B2527" s="21" t="s">
        <v>1720</v>
      </c>
      <c r="C2527" s="19" t="s">
        <v>72</v>
      </c>
      <c r="D2527" s="20"/>
      <c r="E2527" s="3">
        <v>5045707.8099999996</v>
      </c>
      <c r="F2527" s="24">
        <v>1.6339521253411621E-2</v>
      </c>
      <c r="G2527" s="26">
        <f t="shared" si="39"/>
        <v>82444.45</v>
      </c>
      <c r="H2527" t="s">
        <v>1806</v>
      </c>
      <c r="M2527">
        <v>586</v>
      </c>
    </row>
    <row r="2528" spans="1:13">
      <c r="A2528" s="13" t="s">
        <v>1719</v>
      </c>
      <c r="B2528" s="22" t="s">
        <v>1720</v>
      </c>
      <c r="C2528" s="15" t="s">
        <v>73</v>
      </c>
      <c r="D2528" s="16"/>
      <c r="E2528" s="2">
        <v>5045707.8099999996</v>
      </c>
      <c r="F2528" s="23">
        <v>0.81223635302021191</v>
      </c>
      <c r="G2528" s="26">
        <f t="shared" si="39"/>
        <v>4098307.31</v>
      </c>
      <c r="H2528" t="s">
        <v>1806</v>
      </c>
    </row>
    <row r="2529" spans="1:13">
      <c r="A2529" s="19" t="s">
        <v>1719</v>
      </c>
      <c r="B2529" s="20" t="s">
        <v>1720</v>
      </c>
      <c r="C2529" s="19" t="s">
        <v>74</v>
      </c>
      <c r="D2529" s="20"/>
      <c r="E2529" s="3">
        <v>5045707.8099999996</v>
      </c>
      <c r="F2529" s="24">
        <v>0.17142412572637655</v>
      </c>
      <c r="G2529" s="26">
        <f t="shared" si="39"/>
        <v>864956.05</v>
      </c>
      <c r="H2529" t="s">
        <v>1806</v>
      </c>
    </row>
    <row r="2530" spans="1:13">
      <c r="A2530" s="13" t="s">
        <v>1721</v>
      </c>
      <c r="B2530" s="14" t="s">
        <v>1722</v>
      </c>
      <c r="C2530" s="15" t="s">
        <v>72</v>
      </c>
      <c r="D2530" s="16"/>
      <c r="E2530" s="2">
        <v>1138719.82</v>
      </c>
      <c r="F2530" s="23">
        <v>1.3616167671517301E-4</v>
      </c>
      <c r="G2530" s="26">
        <f t="shared" si="39"/>
        <v>155.05000000000001</v>
      </c>
      <c r="H2530" t="s">
        <v>1806</v>
      </c>
      <c r="K2530" t="s">
        <v>1809</v>
      </c>
      <c r="L2530" s="37" t="s">
        <v>1816</v>
      </c>
      <c r="M2530">
        <v>73</v>
      </c>
    </row>
    <row r="2531" spans="1:13">
      <c r="A2531" s="17" t="s">
        <v>1721</v>
      </c>
      <c r="B2531" s="18" t="s">
        <v>1722</v>
      </c>
      <c r="C2531" s="19" t="s">
        <v>73</v>
      </c>
      <c r="D2531" s="20"/>
      <c r="E2531" s="3">
        <v>1138719.82</v>
      </c>
      <c r="F2531" s="24">
        <v>0.82045656323080418</v>
      </c>
      <c r="G2531" s="26">
        <f t="shared" si="39"/>
        <v>934270.15</v>
      </c>
      <c r="H2531" t="s">
        <v>1806</v>
      </c>
      <c r="K2531" t="s">
        <v>1809</v>
      </c>
      <c r="L2531" s="37" t="s">
        <v>1816</v>
      </c>
    </row>
    <row r="2532" spans="1:13">
      <c r="A2532" s="15" t="s">
        <v>1721</v>
      </c>
      <c r="B2532" s="16" t="s">
        <v>1722</v>
      </c>
      <c r="C2532" s="15" t="s">
        <v>74</v>
      </c>
      <c r="D2532" s="16"/>
      <c r="E2532" s="2">
        <v>1138719.82</v>
      </c>
      <c r="F2532" s="23">
        <v>0.17940727509248058</v>
      </c>
      <c r="G2532" s="26">
        <f t="shared" si="39"/>
        <v>204294.62</v>
      </c>
      <c r="H2532" t="s">
        <v>1806</v>
      </c>
      <c r="K2532" t="s">
        <v>1809</v>
      </c>
      <c r="L2532" s="37" t="s">
        <v>1816</v>
      </c>
    </row>
    <row r="2533" spans="1:13">
      <c r="A2533" s="17" t="s">
        <v>1723</v>
      </c>
      <c r="B2533" s="21" t="s">
        <v>1724</v>
      </c>
      <c r="C2533" s="19" t="s">
        <v>72</v>
      </c>
      <c r="D2533" s="20"/>
      <c r="E2533" s="3">
        <v>3308027.59</v>
      </c>
      <c r="F2533" s="24">
        <v>5.0503472372792395E-2</v>
      </c>
      <c r="G2533" s="26">
        <f t="shared" si="39"/>
        <v>167066.88</v>
      </c>
      <c r="H2533" t="s">
        <v>1806</v>
      </c>
      <c r="K2533" t="s">
        <v>1809</v>
      </c>
      <c r="L2533" t="s">
        <v>1814</v>
      </c>
      <c r="M2533">
        <v>428</v>
      </c>
    </row>
    <row r="2534" spans="1:13">
      <c r="A2534" s="13" t="s">
        <v>1723</v>
      </c>
      <c r="B2534" s="22" t="s">
        <v>1724</v>
      </c>
      <c r="C2534" s="15" t="s">
        <v>73</v>
      </c>
      <c r="D2534" s="16"/>
      <c r="E2534" s="2">
        <v>3308027.59</v>
      </c>
      <c r="F2534" s="23">
        <v>0.76377858142350019</v>
      </c>
      <c r="G2534" s="26">
        <f t="shared" si="39"/>
        <v>2526600.62</v>
      </c>
      <c r="H2534" t="s">
        <v>1806</v>
      </c>
      <c r="K2534" t="s">
        <v>1809</v>
      </c>
      <c r="L2534" t="s">
        <v>1814</v>
      </c>
    </row>
    <row r="2535" spans="1:13">
      <c r="A2535" s="19" t="s">
        <v>1723</v>
      </c>
      <c r="B2535" s="20" t="s">
        <v>1724</v>
      </c>
      <c r="C2535" s="19" t="s">
        <v>74</v>
      </c>
      <c r="D2535" s="20"/>
      <c r="E2535" s="3">
        <v>3308027.59</v>
      </c>
      <c r="F2535" s="24">
        <v>0.18571794620370743</v>
      </c>
      <c r="G2535" s="26">
        <f t="shared" si="39"/>
        <v>614360.09</v>
      </c>
      <c r="H2535" t="s">
        <v>1806</v>
      </c>
      <c r="K2535" t="s">
        <v>1809</v>
      </c>
      <c r="L2535" t="s">
        <v>1814</v>
      </c>
    </row>
    <row r="2536" spans="1:13">
      <c r="A2536" s="13" t="s">
        <v>1725</v>
      </c>
      <c r="B2536" s="14" t="s">
        <v>1726</v>
      </c>
      <c r="C2536" s="15" t="s">
        <v>72</v>
      </c>
      <c r="D2536" s="16"/>
      <c r="E2536" s="2">
        <v>4302445.7699999996</v>
      </c>
      <c r="F2536" s="23">
        <v>1.6633153286671178E-2</v>
      </c>
      <c r="G2536" s="26">
        <f t="shared" si="39"/>
        <v>71563.240000000005</v>
      </c>
      <c r="H2536" t="s">
        <v>1806</v>
      </c>
      <c r="M2536">
        <v>742</v>
      </c>
    </row>
    <row r="2537" spans="1:13">
      <c r="A2537" s="17" t="s">
        <v>1725</v>
      </c>
      <c r="B2537" s="18" t="s">
        <v>1726</v>
      </c>
      <c r="C2537" s="19" t="s">
        <v>73</v>
      </c>
      <c r="D2537" s="20"/>
      <c r="E2537" s="3">
        <v>4302445.7699999996</v>
      </c>
      <c r="F2537" s="24">
        <v>0.8534989065068449</v>
      </c>
      <c r="G2537" s="26">
        <f t="shared" si="39"/>
        <v>3672132.76</v>
      </c>
      <c r="H2537" t="s">
        <v>1806</v>
      </c>
    </row>
    <row r="2538" spans="1:13">
      <c r="A2538" s="15" t="s">
        <v>1725</v>
      </c>
      <c r="B2538" s="16" t="s">
        <v>1726</v>
      </c>
      <c r="C2538" s="15" t="s">
        <v>74</v>
      </c>
      <c r="D2538" s="16"/>
      <c r="E2538" s="2">
        <v>4302445.7699999996</v>
      </c>
      <c r="F2538" s="23">
        <v>0.12986794020648401</v>
      </c>
      <c r="G2538" s="26">
        <f t="shared" si="39"/>
        <v>558749.77</v>
      </c>
      <c r="H2538" t="s">
        <v>1806</v>
      </c>
    </row>
    <row r="2539" spans="1:13">
      <c r="A2539" s="17" t="s">
        <v>1727</v>
      </c>
      <c r="B2539" s="21" t="s">
        <v>1728</v>
      </c>
      <c r="C2539" s="19" t="s">
        <v>72</v>
      </c>
      <c r="D2539" s="20"/>
      <c r="E2539" s="3">
        <v>3950938.05</v>
      </c>
      <c r="F2539" s="24">
        <v>2.4870600033832469E-3</v>
      </c>
      <c r="G2539" s="26">
        <f t="shared" si="39"/>
        <v>9826.2199999999993</v>
      </c>
      <c r="H2539" t="s">
        <v>1806</v>
      </c>
      <c r="M2539">
        <v>501</v>
      </c>
    </row>
    <row r="2540" spans="1:13">
      <c r="A2540" s="13" t="s">
        <v>1727</v>
      </c>
      <c r="B2540" s="22" t="s">
        <v>1728</v>
      </c>
      <c r="C2540" s="15" t="s">
        <v>73</v>
      </c>
      <c r="D2540" s="16"/>
      <c r="E2540" s="2">
        <v>3950938.05</v>
      </c>
      <c r="F2540" s="23">
        <v>0.80693861043961446</v>
      </c>
      <c r="G2540" s="26">
        <f t="shared" si="39"/>
        <v>3188164.46</v>
      </c>
      <c r="H2540" t="s">
        <v>1806</v>
      </c>
    </row>
    <row r="2541" spans="1:13">
      <c r="A2541" s="19" t="s">
        <v>1727</v>
      </c>
      <c r="B2541" s="20" t="s">
        <v>1728</v>
      </c>
      <c r="C2541" s="19" t="s">
        <v>74</v>
      </c>
      <c r="D2541" s="20"/>
      <c r="E2541" s="3">
        <v>3950938.05</v>
      </c>
      <c r="F2541" s="24">
        <v>0.19057432955700229</v>
      </c>
      <c r="G2541" s="26">
        <f t="shared" si="39"/>
        <v>752947.37</v>
      </c>
      <c r="H2541" t="s">
        <v>1806</v>
      </c>
    </row>
    <row r="2542" spans="1:13">
      <c r="A2542" s="13" t="s">
        <v>1729</v>
      </c>
      <c r="B2542" s="14" t="s">
        <v>1730</v>
      </c>
      <c r="C2542" s="15" t="s">
        <v>72</v>
      </c>
      <c r="D2542" s="16"/>
      <c r="E2542" s="2">
        <v>1404805.4</v>
      </c>
      <c r="F2542" s="23">
        <v>4.1513087862560895E-2</v>
      </c>
      <c r="G2542" s="26">
        <f t="shared" si="39"/>
        <v>58317.81</v>
      </c>
      <c r="H2542" t="s">
        <v>1806</v>
      </c>
      <c r="K2542" t="s">
        <v>1810</v>
      </c>
      <c r="L2542" t="s">
        <v>1812</v>
      </c>
      <c r="M2542">
        <v>189</v>
      </c>
    </row>
    <row r="2543" spans="1:13">
      <c r="A2543" s="17" t="s">
        <v>1729</v>
      </c>
      <c r="B2543" s="18" t="s">
        <v>1730</v>
      </c>
      <c r="C2543" s="19" t="s">
        <v>73</v>
      </c>
      <c r="D2543" s="20"/>
      <c r="E2543" s="3">
        <v>1404805.4</v>
      </c>
      <c r="F2543" s="24">
        <v>0.87412188905310295</v>
      </c>
      <c r="G2543" s="26">
        <f t="shared" si="39"/>
        <v>1227971.1499999999</v>
      </c>
      <c r="H2543" t="s">
        <v>1806</v>
      </c>
      <c r="K2543" t="s">
        <v>1810</v>
      </c>
      <c r="L2543" t="s">
        <v>1812</v>
      </c>
    </row>
    <row r="2544" spans="1:13">
      <c r="A2544" s="15" t="s">
        <v>1729</v>
      </c>
      <c r="B2544" s="16" t="s">
        <v>1730</v>
      </c>
      <c r="C2544" s="15" t="s">
        <v>74</v>
      </c>
      <c r="D2544" s="16"/>
      <c r="E2544" s="2">
        <v>1404805.4</v>
      </c>
      <c r="F2544" s="23">
        <v>8.4365023084336105E-2</v>
      </c>
      <c r="G2544" s="26">
        <f t="shared" si="39"/>
        <v>118516.44</v>
      </c>
      <c r="H2544" t="s">
        <v>1806</v>
      </c>
      <c r="K2544" t="s">
        <v>1810</v>
      </c>
      <c r="L2544" t="s">
        <v>1812</v>
      </c>
    </row>
    <row r="2545" spans="1:13">
      <c r="A2545" s="17" t="s">
        <v>1731</v>
      </c>
      <c r="B2545" s="21" t="s">
        <v>1732</v>
      </c>
      <c r="C2545" s="19" t="s">
        <v>72</v>
      </c>
      <c r="D2545" s="20"/>
      <c r="E2545" s="3">
        <v>4376264.95</v>
      </c>
      <c r="F2545" s="24">
        <v>0.43772465604487681</v>
      </c>
      <c r="G2545" s="26">
        <f t="shared" si="39"/>
        <v>1915599.07</v>
      </c>
      <c r="H2545" t="s">
        <v>1811</v>
      </c>
      <c r="K2545" t="s">
        <v>1810</v>
      </c>
      <c r="L2545" t="s">
        <v>1812</v>
      </c>
      <c r="M2545">
        <v>147</v>
      </c>
    </row>
    <row r="2546" spans="1:13">
      <c r="A2546" s="13" t="s">
        <v>1731</v>
      </c>
      <c r="B2546" s="22" t="s">
        <v>1732</v>
      </c>
      <c r="C2546" s="15" t="s">
        <v>73</v>
      </c>
      <c r="D2546" s="16"/>
      <c r="E2546" s="2">
        <v>4376264.95</v>
      </c>
      <c r="F2546" s="23">
        <v>0.49595247655195096</v>
      </c>
      <c r="G2546" s="26">
        <f t="shared" si="39"/>
        <v>2170419.44</v>
      </c>
      <c r="H2546" t="s">
        <v>1811</v>
      </c>
      <c r="K2546" t="s">
        <v>1810</v>
      </c>
      <c r="L2546" t="s">
        <v>1812</v>
      </c>
    </row>
    <row r="2547" spans="1:13">
      <c r="A2547" s="19" t="s">
        <v>1731</v>
      </c>
      <c r="B2547" s="20" t="s">
        <v>1732</v>
      </c>
      <c r="C2547" s="19" t="s">
        <v>74</v>
      </c>
      <c r="D2547" s="20"/>
      <c r="E2547" s="3">
        <v>4376264.95</v>
      </c>
      <c r="F2547" s="24">
        <v>6.6322867403172198E-2</v>
      </c>
      <c r="G2547" s="26">
        <f t="shared" si="39"/>
        <v>290246.44</v>
      </c>
      <c r="H2547" t="s">
        <v>1811</v>
      </c>
      <c r="K2547" t="s">
        <v>1810</v>
      </c>
      <c r="L2547" t="s">
        <v>1812</v>
      </c>
    </row>
    <row r="2548" spans="1:13">
      <c r="A2548" s="13" t="s">
        <v>1733</v>
      </c>
      <c r="B2548" s="14" t="s">
        <v>1734</v>
      </c>
      <c r="C2548" s="15" t="s">
        <v>72</v>
      </c>
      <c r="D2548" s="16"/>
      <c r="E2548" s="2">
        <v>2165529.86</v>
      </c>
      <c r="F2548" s="23">
        <v>0.14120568626100591</v>
      </c>
      <c r="G2548" s="26">
        <f t="shared" si="39"/>
        <v>305785.13</v>
      </c>
      <c r="H2548" t="s">
        <v>1806</v>
      </c>
      <c r="K2548" t="s">
        <v>1810</v>
      </c>
      <c r="L2548" t="s">
        <v>1812</v>
      </c>
      <c r="M2548">
        <v>232</v>
      </c>
    </row>
    <row r="2549" spans="1:13">
      <c r="A2549" s="17" t="s">
        <v>1733</v>
      </c>
      <c r="B2549" s="18" t="s">
        <v>1734</v>
      </c>
      <c r="C2549" s="19" t="s">
        <v>73</v>
      </c>
      <c r="D2549" s="20"/>
      <c r="E2549" s="3">
        <v>2165529.86</v>
      </c>
      <c r="F2549" s="24">
        <v>0.85879431373899418</v>
      </c>
      <c r="G2549" s="26">
        <f t="shared" si="39"/>
        <v>1859744.73</v>
      </c>
      <c r="H2549" t="s">
        <v>1806</v>
      </c>
      <c r="K2549" t="s">
        <v>1810</v>
      </c>
      <c r="L2549" t="s">
        <v>1812</v>
      </c>
    </row>
    <row r="2550" spans="1:13">
      <c r="A2550" s="15" t="s">
        <v>1733</v>
      </c>
      <c r="B2550" s="16" t="s">
        <v>1734</v>
      </c>
      <c r="C2550" s="15" t="s">
        <v>74</v>
      </c>
      <c r="D2550" s="16"/>
      <c r="E2550" s="2">
        <v>2165529.86</v>
      </c>
      <c r="F2550" s="23">
        <v>0</v>
      </c>
      <c r="G2550" s="26">
        <f t="shared" si="39"/>
        <v>0</v>
      </c>
      <c r="H2550" t="s">
        <v>1806</v>
      </c>
      <c r="K2550" t="s">
        <v>1810</v>
      </c>
      <c r="L2550" t="s">
        <v>1812</v>
      </c>
    </row>
    <row r="2551" spans="1:13">
      <c r="A2551" s="17" t="s">
        <v>1735</v>
      </c>
      <c r="B2551" s="21" t="s">
        <v>1736</v>
      </c>
      <c r="C2551" s="19" t="s">
        <v>72</v>
      </c>
      <c r="D2551" s="20"/>
      <c r="E2551" s="3">
        <v>2527918.75</v>
      </c>
      <c r="F2551" s="24">
        <v>8.8573060348557473E-3</v>
      </c>
      <c r="G2551" s="26">
        <f t="shared" si="39"/>
        <v>22390.549999999996</v>
      </c>
      <c r="H2551" t="s">
        <v>1806</v>
      </c>
      <c r="M2551">
        <v>273</v>
      </c>
    </row>
    <row r="2552" spans="1:13">
      <c r="A2552" s="13" t="s">
        <v>1735</v>
      </c>
      <c r="B2552" s="22" t="s">
        <v>1736</v>
      </c>
      <c r="C2552" s="15" t="s">
        <v>73</v>
      </c>
      <c r="D2552" s="16"/>
      <c r="E2552" s="2">
        <v>2527918.75</v>
      </c>
      <c r="F2552" s="23">
        <v>0.92447532184331482</v>
      </c>
      <c r="G2552" s="26">
        <f t="shared" si="39"/>
        <v>2336998.5</v>
      </c>
      <c r="H2552" t="s">
        <v>1806</v>
      </c>
    </row>
    <row r="2553" spans="1:13">
      <c r="A2553" s="19" t="s">
        <v>1735</v>
      </c>
      <c r="B2553" s="20" t="s">
        <v>1736</v>
      </c>
      <c r="C2553" s="19" t="s">
        <v>74</v>
      </c>
      <c r="D2553" s="20"/>
      <c r="E2553" s="3">
        <v>2527918.75</v>
      </c>
      <c r="F2553" s="24">
        <v>6.666737212182948E-2</v>
      </c>
      <c r="G2553" s="26">
        <f t="shared" si="39"/>
        <v>168529.7</v>
      </c>
      <c r="H2553" t="s">
        <v>1806</v>
      </c>
    </row>
    <row r="2554" spans="1:13">
      <c r="A2554" s="13" t="s">
        <v>1737</v>
      </c>
      <c r="B2554" s="14" t="s">
        <v>1738</v>
      </c>
      <c r="C2554" s="15" t="s">
        <v>72</v>
      </c>
      <c r="D2554" s="16"/>
      <c r="E2554" s="2">
        <v>2233116.7999999998</v>
      </c>
      <c r="F2554" s="23">
        <v>3.7173201150965322E-3</v>
      </c>
      <c r="G2554" s="26">
        <f t="shared" si="39"/>
        <v>8301.2099999999991</v>
      </c>
      <c r="H2554" t="s">
        <v>1806</v>
      </c>
      <c r="M2554">
        <v>201</v>
      </c>
    </row>
    <row r="2555" spans="1:13">
      <c r="A2555" s="17" t="s">
        <v>1737</v>
      </c>
      <c r="B2555" s="18" t="s">
        <v>1738</v>
      </c>
      <c r="C2555" s="19" t="s">
        <v>73</v>
      </c>
      <c r="D2555" s="20"/>
      <c r="E2555" s="3">
        <v>2233116.7999999998</v>
      </c>
      <c r="F2555" s="24">
        <v>0.93249153828407016</v>
      </c>
      <c r="G2555" s="26">
        <f t="shared" si="39"/>
        <v>2082362.52</v>
      </c>
      <c r="H2555" t="s">
        <v>1806</v>
      </c>
    </row>
    <row r="2556" spans="1:13">
      <c r="A2556" s="15" t="s">
        <v>1737</v>
      </c>
      <c r="B2556" s="16" t="s">
        <v>1738</v>
      </c>
      <c r="C2556" s="15" t="s">
        <v>74</v>
      </c>
      <c r="D2556" s="16"/>
      <c r="E2556" s="2">
        <v>2233116.7999999998</v>
      </c>
      <c r="F2556" s="23">
        <v>6.379114160083342E-2</v>
      </c>
      <c r="G2556" s="26">
        <f t="shared" si="39"/>
        <v>142453.07</v>
      </c>
      <c r="H2556" t="s">
        <v>1806</v>
      </c>
    </row>
    <row r="2557" spans="1:13">
      <c r="A2557" s="17" t="s">
        <v>1739</v>
      </c>
      <c r="B2557" s="21" t="s">
        <v>1740</v>
      </c>
      <c r="C2557" s="19" t="s">
        <v>72</v>
      </c>
      <c r="D2557" s="20"/>
      <c r="E2557" s="3">
        <v>1459662.58</v>
      </c>
      <c r="F2557" s="24">
        <v>1.9847326633529237E-3</v>
      </c>
      <c r="G2557" s="26">
        <f t="shared" si="39"/>
        <v>2897.0400000000004</v>
      </c>
      <c r="H2557" t="s">
        <v>1806</v>
      </c>
      <c r="K2557" t="s">
        <v>1809</v>
      </c>
      <c r="L2557" t="s">
        <v>1814</v>
      </c>
      <c r="M2557">
        <v>176</v>
      </c>
    </row>
    <row r="2558" spans="1:13">
      <c r="A2558" s="13" t="s">
        <v>1739</v>
      </c>
      <c r="B2558" s="22" t="s">
        <v>1740</v>
      </c>
      <c r="C2558" s="15" t="s">
        <v>73</v>
      </c>
      <c r="D2558" s="16"/>
      <c r="E2558" s="2">
        <v>1459662.58</v>
      </c>
      <c r="F2558" s="23">
        <v>0.8367687071898493</v>
      </c>
      <c r="G2558" s="26">
        <f t="shared" si="39"/>
        <v>1221399.97</v>
      </c>
      <c r="H2558" t="s">
        <v>1806</v>
      </c>
      <c r="K2558" t="s">
        <v>1809</v>
      </c>
      <c r="L2558" t="s">
        <v>1814</v>
      </c>
    </row>
    <row r="2559" spans="1:13">
      <c r="A2559" s="19" t="s">
        <v>1739</v>
      </c>
      <c r="B2559" s="20" t="s">
        <v>1740</v>
      </c>
      <c r="C2559" s="19" t="s">
        <v>74</v>
      </c>
      <c r="D2559" s="20"/>
      <c r="E2559" s="3">
        <v>1459662.58</v>
      </c>
      <c r="F2559" s="24">
        <v>0.16124656014679775</v>
      </c>
      <c r="G2559" s="26">
        <f t="shared" si="39"/>
        <v>235365.57</v>
      </c>
      <c r="H2559" t="s">
        <v>1806</v>
      </c>
      <c r="K2559" t="s">
        <v>1809</v>
      </c>
      <c r="L2559" t="s">
        <v>1814</v>
      </c>
    </row>
    <row r="2560" spans="1:13">
      <c r="A2560" s="13" t="s">
        <v>1741</v>
      </c>
      <c r="B2560" s="14" t="s">
        <v>1742</v>
      </c>
      <c r="C2560" s="15" t="s">
        <v>72</v>
      </c>
      <c r="D2560" s="16"/>
      <c r="E2560" s="2">
        <v>2632501.21</v>
      </c>
      <c r="F2560" s="23">
        <v>1.0596348405856954E-2</v>
      </c>
      <c r="G2560" s="26">
        <f t="shared" si="39"/>
        <v>27894.9</v>
      </c>
      <c r="H2560" t="s">
        <v>1806</v>
      </c>
      <c r="K2560" t="s">
        <v>1809</v>
      </c>
      <c r="L2560" t="s">
        <v>1814</v>
      </c>
      <c r="M2560">
        <v>280</v>
      </c>
    </row>
    <row r="2561" spans="1:13">
      <c r="A2561" s="17" t="s">
        <v>1741</v>
      </c>
      <c r="B2561" s="18" t="s">
        <v>1742</v>
      </c>
      <c r="C2561" s="19" t="s">
        <v>73</v>
      </c>
      <c r="D2561" s="20"/>
      <c r="E2561" s="3">
        <v>2632501.21</v>
      </c>
      <c r="F2561" s="24">
        <v>0.91978083839133351</v>
      </c>
      <c r="G2561" s="26">
        <f t="shared" si="39"/>
        <v>2421324.17</v>
      </c>
      <c r="H2561" t="s">
        <v>1806</v>
      </c>
      <c r="K2561" t="s">
        <v>1809</v>
      </c>
      <c r="L2561" t="s">
        <v>1814</v>
      </c>
    </row>
    <row r="2562" spans="1:13">
      <c r="A2562" s="15" t="s">
        <v>1741</v>
      </c>
      <c r="B2562" s="16" t="s">
        <v>1742</v>
      </c>
      <c r="C2562" s="15" t="s">
        <v>74</v>
      </c>
      <c r="D2562" s="16"/>
      <c r="E2562" s="2">
        <v>2632501.21</v>
      </c>
      <c r="F2562" s="23">
        <v>6.9622813202809511E-2</v>
      </c>
      <c r="G2562" s="26">
        <f t="shared" si="39"/>
        <v>183282.14</v>
      </c>
      <c r="H2562" t="s">
        <v>1806</v>
      </c>
      <c r="K2562" t="s">
        <v>1809</v>
      </c>
      <c r="L2562" t="s">
        <v>1814</v>
      </c>
    </row>
    <row r="2563" spans="1:13">
      <c r="A2563" s="17" t="s">
        <v>1743</v>
      </c>
      <c r="B2563" s="21" t="s">
        <v>1744</v>
      </c>
      <c r="C2563" s="19" t="s">
        <v>72</v>
      </c>
      <c r="D2563" s="20"/>
      <c r="E2563" s="3">
        <v>3024077.79</v>
      </c>
      <c r="F2563" s="24">
        <v>4.4339037984866122E-3</v>
      </c>
      <c r="G2563" s="26">
        <f t="shared" si="39"/>
        <v>13408.47</v>
      </c>
      <c r="H2563" t="s">
        <v>1806</v>
      </c>
      <c r="M2563">
        <v>376</v>
      </c>
    </row>
    <row r="2564" spans="1:13">
      <c r="A2564" s="13" t="s">
        <v>1743</v>
      </c>
      <c r="B2564" s="22" t="s">
        <v>1744</v>
      </c>
      <c r="C2564" s="15" t="s">
        <v>73</v>
      </c>
      <c r="D2564" s="16"/>
      <c r="E2564" s="2">
        <v>3024077.79</v>
      </c>
      <c r="F2564" s="23">
        <v>0.87704338782898839</v>
      </c>
      <c r="G2564" s="26">
        <f t="shared" si="39"/>
        <v>2652247.4300000002</v>
      </c>
      <c r="H2564" t="s">
        <v>1806</v>
      </c>
    </row>
    <row r="2565" spans="1:13">
      <c r="A2565" s="19" t="s">
        <v>1743</v>
      </c>
      <c r="B2565" s="20" t="s">
        <v>1744</v>
      </c>
      <c r="C2565" s="19" t="s">
        <v>74</v>
      </c>
      <c r="D2565" s="20"/>
      <c r="E2565" s="3">
        <v>3024077.79</v>
      </c>
      <c r="F2565" s="24">
        <v>0.11852270837252504</v>
      </c>
      <c r="G2565" s="26">
        <f t="shared" ref="G2565:G2628" si="40">F2565*E2565</f>
        <v>358421.89</v>
      </c>
      <c r="H2565" t="s">
        <v>1806</v>
      </c>
    </row>
    <row r="2566" spans="1:13">
      <c r="A2566" s="13" t="s">
        <v>1745</v>
      </c>
      <c r="B2566" s="14" t="s">
        <v>1746</v>
      </c>
      <c r="C2566" s="15" t="s">
        <v>72</v>
      </c>
      <c r="D2566" s="16"/>
      <c r="E2566" s="2">
        <v>1550833.98</v>
      </c>
      <c r="F2566" s="23">
        <v>1.6098783185031839E-2</v>
      </c>
      <c r="G2566" s="26">
        <f t="shared" si="40"/>
        <v>24966.540000000005</v>
      </c>
      <c r="H2566" t="s">
        <v>1806</v>
      </c>
      <c r="M2566">
        <v>157</v>
      </c>
    </row>
    <row r="2567" spans="1:13">
      <c r="A2567" s="17" t="s">
        <v>1745</v>
      </c>
      <c r="B2567" s="18" t="s">
        <v>1746</v>
      </c>
      <c r="C2567" s="19" t="s">
        <v>73</v>
      </c>
      <c r="D2567" s="20"/>
      <c r="E2567" s="3">
        <v>1550833.98</v>
      </c>
      <c r="F2567" s="24">
        <v>0.89226973863443459</v>
      </c>
      <c r="G2567" s="26">
        <f t="shared" si="40"/>
        <v>1383762.23</v>
      </c>
      <c r="H2567" t="s">
        <v>1806</v>
      </c>
    </row>
    <row r="2568" spans="1:13">
      <c r="A2568" s="15" t="s">
        <v>1745</v>
      </c>
      <c r="B2568" s="16" t="s">
        <v>1746</v>
      </c>
      <c r="C2568" s="15" t="s">
        <v>74</v>
      </c>
      <c r="D2568" s="16"/>
      <c r="E2568" s="2">
        <v>1550833.98</v>
      </c>
      <c r="F2568" s="23">
        <v>9.1631478180533549E-2</v>
      </c>
      <c r="G2568" s="26">
        <f t="shared" si="40"/>
        <v>142105.21</v>
      </c>
      <c r="H2568" t="s">
        <v>1806</v>
      </c>
    </row>
    <row r="2569" spans="1:13">
      <c r="A2569" s="17" t="s">
        <v>1747</v>
      </c>
      <c r="B2569" s="21" t="s">
        <v>1748</v>
      </c>
      <c r="C2569" s="19" t="s">
        <v>72</v>
      </c>
      <c r="D2569" s="20"/>
      <c r="E2569" s="3">
        <v>1059945.29</v>
      </c>
      <c r="F2569" s="24">
        <v>2.1421860367906346E-4</v>
      </c>
      <c r="G2569" s="26">
        <f t="shared" si="40"/>
        <v>227.06</v>
      </c>
      <c r="H2569" t="s">
        <v>1806</v>
      </c>
      <c r="K2569" t="s">
        <v>1809</v>
      </c>
      <c r="L2569" t="s">
        <v>1814</v>
      </c>
      <c r="M2569">
        <v>147</v>
      </c>
    </row>
    <row r="2570" spans="1:13">
      <c r="A2570" s="13" t="s">
        <v>1747</v>
      </c>
      <c r="B2570" s="22" t="s">
        <v>1748</v>
      </c>
      <c r="C2570" s="15" t="s">
        <v>73</v>
      </c>
      <c r="D2570" s="16"/>
      <c r="E2570" s="2">
        <v>1059945.29</v>
      </c>
      <c r="F2570" s="23">
        <v>0.90324240225644103</v>
      </c>
      <c r="G2570" s="26">
        <f t="shared" si="40"/>
        <v>957387.53</v>
      </c>
      <c r="H2570" t="s">
        <v>1806</v>
      </c>
      <c r="K2570" t="s">
        <v>1809</v>
      </c>
      <c r="L2570" t="s">
        <v>1814</v>
      </c>
    </row>
    <row r="2571" spans="1:13">
      <c r="A2571" s="19" t="s">
        <v>1747</v>
      </c>
      <c r="B2571" s="20" t="s">
        <v>1748</v>
      </c>
      <c r="C2571" s="19" t="s">
        <v>74</v>
      </c>
      <c r="D2571" s="20"/>
      <c r="E2571" s="3">
        <v>1059945.29</v>
      </c>
      <c r="F2571" s="24">
        <v>9.654337913987994E-2</v>
      </c>
      <c r="G2571" s="26">
        <f t="shared" si="40"/>
        <v>102330.7</v>
      </c>
      <c r="H2571" t="s">
        <v>1806</v>
      </c>
      <c r="K2571" t="s">
        <v>1809</v>
      </c>
      <c r="L2571" t="s">
        <v>1814</v>
      </c>
    </row>
    <row r="2572" spans="1:13">
      <c r="A2572" s="13" t="s">
        <v>1749</v>
      </c>
      <c r="B2572" s="14" t="s">
        <v>1750</v>
      </c>
      <c r="C2572" s="15" t="s">
        <v>72</v>
      </c>
      <c r="D2572" s="16"/>
      <c r="E2572" s="2">
        <v>746521.86</v>
      </c>
      <c r="F2572" s="23">
        <v>1.0595001196615998E-3</v>
      </c>
      <c r="G2572" s="26">
        <f t="shared" si="40"/>
        <v>790.94</v>
      </c>
      <c r="H2572" t="s">
        <v>1806</v>
      </c>
      <c r="K2572" t="s">
        <v>1810</v>
      </c>
      <c r="M2572">
        <v>120</v>
      </c>
    </row>
    <row r="2573" spans="1:13">
      <c r="A2573" s="17" t="s">
        <v>1749</v>
      </c>
      <c r="B2573" s="18" t="s">
        <v>1750</v>
      </c>
      <c r="C2573" s="19" t="s">
        <v>73</v>
      </c>
      <c r="D2573" s="20"/>
      <c r="E2573" s="3">
        <v>746521.86</v>
      </c>
      <c r="F2573" s="24">
        <v>0.83389149515326988</v>
      </c>
      <c r="G2573" s="26">
        <f t="shared" si="40"/>
        <v>622518.23</v>
      </c>
      <c r="H2573" t="s">
        <v>1806</v>
      </c>
      <c r="K2573" t="s">
        <v>1810</v>
      </c>
    </row>
    <row r="2574" spans="1:13">
      <c r="A2574" s="15" t="s">
        <v>1749</v>
      </c>
      <c r="B2574" s="16" t="s">
        <v>1750</v>
      </c>
      <c r="C2574" s="15" t="s">
        <v>74</v>
      </c>
      <c r="D2574" s="16"/>
      <c r="E2574" s="2">
        <v>746521.86</v>
      </c>
      <c r="F2574" s="23">
        <v>0.16504900472706854</v>
      </c>
      <c r="G2574" s="26">
        <f t="shared" si="40"/>
        <v>123212.69</v>
      </c>
      <c r="H2574" t="s">
        <v>1806</v>
      </c>
      <c r="K2574" t="s">
        <v>1810</v>
      </c>
    </row>
    <row r="2575" spans="1:13">
      <c r="A2575" s="17" t="s">
        <v>1751</v>
      </c>
      <c r="B2575" s="21" t="s">
        <v>1752</v>
      </c>
      <c r="C2575" s="19" t="s">
        <v>72</v>
      </c>
      <c r="D2575" s="20"/>
      <c r="E2575" s="3">
        <v>3533925.97</v>
      </c>
      <c r="F2575" s="24">
        <v>0.18344186196973444</v>
      </c>
      <c r="G2575" s="26">
        <f t="shared" si="40"/>
        <v>648269.96</v>
      </c>
      <c r="H2575" t="s">
        <v>1806</v>
      </c>
      <c r="M2575">
        <v>406</v>
      </c>
    </row>
    <row r="2576" spans="1:13">
      <c r="A2576" s="13" t="s">
        <v>1751</v>
      </c>
      <c r="B2576" s="22" t="s">
        <v>1752</v>
      </c>
      <c r="C2576" s="15" t="s">
        <v>73</v>
      </c>
      <c r="D2576" s="16"/>
      <c r="E2576" s="2">
        <v>3533925.97</v>
      </c>
      <c r="F2576" s="23">
        <v>0.75706388099578659</v>
      </c>
      <c r="G2576" s="26">
        <f t="shared" si="40"/>
        <v>2675407.71</v>
      </c>
      <c r="H2576" t="s">
        <v>1806</v>
      </c>
    </row>
    <row r="2577" spans="1:13">
      <c r="A2577" s="19" t="s">
        <v>1751</v>
      </c>
      <c r="B2577" s="20" t="s">
        <v>1752</v>
      </c>
      <c r="C2577" s="19" t="s">
        <v>74</v>
      </c>
      <c r="D2577" s="20"/>
      <c r="E2577" s="3">
        <v>3533925.97</v>
      </c>
      <c r="F2577" s="24">
        <v>5.9494257034478845E-2</v>
      </c>
      <c r="G2577" s="26">
        <f t="shared" si="40"/>
        <v>210248.3</v>
      </c>
      <c r="H2577" t="s">
        <v>1806</v>
      </c>
    </row>
    <row r="2578" spans="1:13">
      <c r="A2578" s="13" t="s">
        <v>1753</v>
      </c>
      <c r="B2578" s="14" t="s">
        <v>1754</v>
      </c>
      <c r="C2578" s="15" t="s">
        <v>72</v>
      </c>
      <c r="D2578" s="16"/>
      <c r="E2578" s="2">
        <v>5661783.1399999997</v>
      </c>
      <c r="F2578" s="23">
        <v>1.8061977555714013E-2</v>
      </c>
      <c r="G2578" s="26">
        <f t="shared" si="40"/>
        <v>102263</v>
      </c>
      <c r="H2578" t="s">
        <v>1806</v>
      </c>
      <c r="K2578" t="s">
        <v>1810</v>
      </c>
      <c r="L2578" t="s">
        <v>1812</v>
      </c>
      <c r="M2578">
        <v>794</v>
      </c>
    </row>
    <row r="2579" spans="1:13">
      <c r="A2579" s="17" t="s">
        <v>1753</v>
      </c>
      <c r="B2579" s="18" t="s">
        <v>1754</v>
      </c>
      <c r="C2579" s="19" t="s">
        <v>73</v>
      </c>
      <c r="D2579" s="20"/>
      <c r="E2579" s="3">
        <v>5661783.1399999997</v>
      </c>
      <c r="F2579" s="24">
        <v>0.87776794114371548</v>
      </c>
      <c r="G2579" s="26">
        <f t="shared" si="40"/>
        <v>4969731.7300000004</v>
      </c>
      <c r="H2579" t="s">
        <v>1806</v>
      </c>
      <c r="K2579" t="s">
        <v>1810</v>
      </c>
      <c r="L2579" t="s">
        <v>1812</v>
      </c>
    </row>
    <row r="2580" spans="1:13">
      <c r="A2580" s="15" t="s">
        <v>1753</v>
      </c>
      <c r="B2580" s="16" t="s">
        <v>1754</v>
      </c>
      <c r="C2580" s="15" t="s">
        <v>74</v>
      </c>
      <c r="D2580" s="16"/>
      <c r="E2580" s="2">
        <v>5661783.1399999997</v>
      </c>
      <c r="F2580" s="23">
        <v>0.10417008130057064</v>
      </c>
      <c r="G2580" s="26">
        <f t="shared" si="40"/>
        <v>589788.41</v>
      </c>
      <c r="H2580" t="s">
        <v>1806</v>
      </c>
      <c r="K2580" t="s">
        <v>1810</v>
      </c>
      <c r="L2580" t="s">
        <v>1812</v>
      </c>
    </row>
    <row r="2581" spans="1:13">
      <c r="A2581" s="17" t="s">
        <v>1755</v>
      </c>
      <c r="B2581" s="21" t="s">
        <v>1756</v>
      </c>
      <c r="C2581" s="19" t="s">
        <v>72</v>
      </c>
      <c r="D2581" s="20"/>
      <c r="E2581" s="3">
        <v>1219242.3500000001</v>
      </c>
      <c r="F2581" s="24">
        <v>0</v>
      </c>
      <c r="G2581" s="26">
        <f t="shared" si="40"/>
        <v>0</v>
      </c>
      <c r="H2581" t="s">
        <v>1806</v>
      </c>
      <c r="M2581">
        <v>194</v>
      </c>
    </row>
    <row r="2582" spans="1:13">
      <c r="A2582" s="13" t="s">
        <v>1755</v>
      </c>
      <c r="B2582" s="22" t="s">
        <v>1756</v>
      </c>
      <c r="C2582" s="15" t="s">
        <v>73</v>
      </c>
      <c r="D2582" s="16"/>
      <c r="E2582" s="2">
        <v>1219242.3500000001</v>
      </c>
      <c r="F2582" s="23">
        <v>1</v>
      </c>
      <c r="G2582" s="26">
        <f t="shared" si="40"/>
        <v>1219242.3500000001</v>
      </c>
      <c r="H2582" t="s">
        <v>1806</v>
      </c>
    </row>
    <row r="2583" spans="1:13">
      <c r="A2583" s="19" t="s">
        <v>1755</v>
      </c>
      <c r="B2583" s="20" t="s">
        <v>1756</v>
      </c>
      <c r="C2583" s="19" t="s">
        <v>74</v>
      </c>
      <c r="D2583" s="20"/>
      <c r="E2583" s="3">
        <v>1219242.3500000001</v>
      </c>
      <c r="F2583" s="24">
        <v>0</v>
      </c>
      <c r="G2583" s="26">
        <f t="shared" si="40"/>
        <v>0</v>
      </c>
      <c r="H2583" t="s">
        <v>1806</v>
      </c>
    </row>
    <row r="2584" spans="1:13">
      <c r="A2584" s="13" t="s">
        <v>1757</v>
      </c>
      <c r="B2584" s="14" t="s">
        <v>1758</v>
      </c>
      <c r="C2584" s="15" t="s">
        <v>72</v>
      </c>
      <c r="D2584" s="16"/>
      <c r="E2584" s="2">
        <v>4203286.54</v>
      </c>
      <c r="F2584" s="23">
        <v>0.12163504322976754</v>
      </c>
      <c r="G2584" s="26">
        <f t="shared" si="40"/>
        <v>511266.94</v>
      </c>
      <c r="H2584" t="s">
        <v>1806</v>
      </c>
      <c r="M2584">
        <v>437</v>
      </c>
    </row>
    <row r="2585" spans="1:13">
      <c r="A2585" s="17" t="s">
        <v>1757</v>
      </c>
      <c r="B2585" s="18" t="s">
        <v>1758</v>
      </c>
      <c r="C2585" s="19" t="s">
        <v>73</v>
      </c>
      <c r="D2585" s="20"/>
      <c r="E2585" s="3">
        <v>4203286.54</v>
      </c>
      <c r="F2585" s="24">
        <v>0.67535831854090056</v>
      </c>
      <c r="G2585" s="26">
        <f t="shared" si="40"/>
        <v>2838724.53</v>
      </c>
      <c r="H2585" t="s">
        <v>1806</v>
      </c>
    </row>
    <row r="2586" spans="1:13">
      <c r="A2586" s="15" t="s">
        <v>1757</v>
      </c>
      <c r="B2586" s="16" t="s">
        <v>1758</v>
      </c>
      <c r="C2586" s="15" t="s">
        <v>74</v>
      </c>
      <c r="D2586" s="16"/>
      <c r="E2586" s="2">
        <v>4203286.54</v>
      </c>
      <c r="F2586" s="23">
        <v>0.20300663822933185</v>
      </c>
      <c r="G2586" s="26">
        <f t="shared" si="40"/>
        <v>853295.07</v>
      </c>
      <c r="H2586" t="s">
        <v>1806</v>
      </c>
    </row>
    <row r="2587" spans="1:13">
      <c r="A2587" s="17" t="s">
        <v>1759</v>
      </c>
      <c r="B2587" s="21" t="s">
        <v>1922</v>
      </c>
      <c r="C2587" s="19" t="s">
        <v>72</v>
      </c>
      <c r="D2587" s="20"/>
      <c r="E2587" s="3">
        <v>2927835.44</v>
      </c>
      <c r="F2587" s="24">
        <v>2.8671218625593249E-2</v>
      </c>
      <c r="G2587" s="26">
        <f t="shared" si="40"/>
        <v>83944.61</v>
      </c>
      <c r="H2587" t="s">
        <v>1806</v>
      </c>
      <c r="M2587">
        <v>337</v>
      </c>
    </row>
    <row r="2588" spans="1:13">
      <c r="A2588" s="13" t="s">
        <v>1759</v>
      </c>
      <c r="B2588" s="22" t="s">
        <v>1922</v>
      </c>
      <c r="C2588" s="15" t="s">
        <v>73</v>
      </c>
      <c r="D2588" s="16"/>
      <c r="E2588" s="2">
        <v>2927835.44</v>
      </c>
      <c r="F2588" s="23">
        <v>0.80970395658575678</v>
      </c>
      <c r="G2588" s="26">
        <f t="shared" si="40"/>
        <v>2370679.94</v>
      </c>
      <c r="H2588" t="s">
        <v>1806</v>
      </c>
    </row>
    <row r="2589" spans="1:13">
      <c r="A2589" s="19" t="s">
        <v>1759</v>
      </c>
      <c r="B2589" s="20" t="s">
        <v>1922</v>
      </c>
      <c r="C2589" s="19" t="s">
        <v>74</v>
      </c>
      <c r="D2589" s="20"/>
      <c r="E2589" s="3">
        <v>2927835.44</v>
      </c>
      <c r="F2589" s="24">
        <v>0.16162482478865001</v>
      </c>
      <c r="G2589" s="26">
        <f t="shared" si="40"/>
        <v>473210.89</v>
      </c>
      <c r="H2589" t="s">
        <v>1806</v>
      </c>
    </row>
    <row r="2590" spans="1:13">
      <c r="A2590" s="13" t="s">
        <v>1923</v>
      </c>
      <c r="B2590" s="14" t="s">
        <v>1924</v>
      </c>
      <c r="C2590" s="15" t="s">
        <v>72</v>
      </c>
      <c r="D2590" s="16"/>
      <c r="E2590" s="2">
        <v>8128870.4800000004</v>
      </c>
      <c r="F2590" s="23">
        <v>2.0283366601259956E-2</v>
      </c>
      <c r="G2590" s="26">
        <f t="shared" si="40"/>
        <v>164880.85999999999</v>
      </c>
      <c r="H2590" t="s">
        <v>1806</v>
      </c>
      <c r="M2590">
        <v>894</v>
      </c>
    </row>
    <row r="2591" spans="1:13">
      <c r="A2591" s="17" t="s">
        <v>1923</v>
      </c>
      <c r="B2591" s="18" t="s">
        <v>1924</v>
      </c>
      <c r="C2591" s="19" t="s">
        <v>73</v>
      </c>
      <c r="D2591" s="20"/>
      <c r="E2591" s="3">
        <v>8128870.4800000004</v>
      </c>
      <c r="F2591" s="24">
        <v>0.79401401410937478</v>
      </c>
      <c r="G2591" s="26">
        <f t="shared" si="40"/>
        <v>6454437.0800000001</v>
      </c>
      <c r="H2591" t="s">
        <v>1806</v>
      </c>
    </row>
    <row r="2592" spans="1:13">
      <c r="A2592" s="15" t="s">
        <v>1923</v>
      </c>
      <c r="B2592" s="16" t="s">
        <v>1924</v>
      </c>
      <c r="C2592" s="15" t="s">
        <v>74</v>
      </c>
      <c r="D2592" s="16"/>
      <c r="E2592" s="2">
        <v>8128870.4800000004</v>
      </c>
      <c r="F2592" s="23">
        <v>0.18570261928936527</v>
      </c>
      <c r="G2592" s="26">
        <f t="shared" si="40"/>
        <v>1509552.54</v>
      </c>
      <c r="H2592" t="s">
        <v>1806</v>
      </c>
    </row>
    <row r="2593" spans="1:13">
      <c r="A2593" s="17" t="s">
        <v>1925</v>
      </c>
      <c r="B2593" s="21" t="s">
        <v>1926</v>
      </c>
      <c r="C2593" s="19" t="s">
        <v>72</v>
      </c>
      <c r="D2593" s="20"/>
      <c r="E2593" s="3">
        <v>1695567.74</v>
      </c>
      <c r="F2593" s="24">
        <v>0.1132006852170943</v>
      </c>
      <c r="G2593" s="26">
        <f t="shared" si="40"/>
        <v>191939.43</v>
      </c>
      <c r="H2593" t="s">
        <v>1806</v>
      </c>
      <c r="K2593" t="s">
        <v>1809</v>
      </c>
      <c r="L2593" t="s">
        <v>1814</v>
      </c>
      <c r="M2593">
        <v>197</v>
      </c>
    </row>
    <row r="2594" spans="1:13">
      <c r="A2594" s="13" t="s">
        <v>1925</v>
      </c>
      <c r="B2594" s="22" t="s">
        <v>1926</v>
      </c>
      <c r="C2594" s="15" t="s">
        <v>73</v>
      </c>
      <c r="D2594" s="16"/>
      <c r="E2594" s="2">
        <v>1695567.74</v>
      </c>
      <c r="F2594" s="23">
        <v>0.7784711273169187</v>
      </c>
      <c r="G2594" s="26">
        <f t="shared" si="40"/>
        <v>1319950.53</v>
      </c>
      <c r="H2594" t="s">
        <v>1806</v>
      </c>
      <c r="K2594" t="s">
        <v>1809</v>
      </c>
      <c r="L2594" t="s">
        <v>1814</v>
      </c>
    </row>
    <row r="2595" spans="1:13">
      <c r="A2595" s="19" t="s">
        <v>1925</v>
      </c>
      <c r="B2595" s="20" t="s">
        <v>1926</v>
      </c>
      <c r="C2595" s="19" t="s">
        <v>74</v>
      </c>
      <c r="D2595" s="20"/>
      <c r="E2595" s="3">
        <v>1695567.74</v>
      </c>
      <c r="F2595" s="24">
        <v>0.10832818746598706</v>
      </c>
      <c r="G2595" s="26">
        <f t="shared" si="40"/>
        <v>183677.78</v>
      </c>
      <c r="H2595" t="s">
        <v>1806</v>
      </c>
      <c r="K2595" t="s">
        <v>1809</v>
      </c>
      <c r="L2595" t="s">
        <v>1814</v>
      </c>
    </row>
    <row r="2596" spans="1:13">
      <c r="A2596" s="13" t="s">
        <v>1927</v>
      </c>
      <c r="B2596" s="14" t="s">
        <v>1928</v>
      </c>
      <c r="C2596" s="15" t="s">
        <v>72</v>
      </c>
      <c r="D2596" s="16"/>
      <c r="E2596" s="2">
        <v>4620528.58</v>
      </c>
      <c r="F2596" s="23">
        <v>1</v>
      </c>
      <c r="G2596" s="26">
        <f t="shared" si="40"/>
        <v>4620528.58</v>
      </c>
      <c r="H2596" t="s">
        <v>1806</v>
      </c>
      <c r="M2596">
        <v>675</v>
      </c>
    </row>
    <row r="2597" spans="1:13">
      <c r="A2597" s="17" t="s">
        <v>1927</v>
      </c>
      <c r="B2597" s="18" t="s">
        <v>1928</v>
      </c>
      <c r="C2597" s="19" t="s">
        <v>73</v>
      </c>
      <c r="D2597" s="20"/>
      <c r="E2597" s="3">
        <v>4620528.58</v>
      </c>
      <c r="F2597" s="24">
        <v>0</v>
      </c>
      <c r="G2597" s="26">
        <f t="shared" si="40"/>
        <v>0</v>
      </c>
      <c r="H2597" t="s">
        <v>1806</v>
      </c>
    </row>
    <row r="2598" spans="1:13">
      <c r="A2598" s="15" t="s">
        <v>1927</v>
      </c>
      <c r="B2598" s="16" t="s">
        <v>1928</v>
      </c>
      <c r="C2598" s="15" t="s">
        <v>74</v>
      </c>
      <c r="D2598" s="16"/>
      <c r="E2598" s="2">
        <v>4620528.58</v>
      </c>
      <c r="F2598" s="23">
        <v>0</v>
      </c>
      <c r="G2598" s="26">
        <f t="shared" si="40"/>
        <v>0</v>
      </c>
      <c r="H2598" t="s">
        <v>1806</v>
      </c>
    </row>
    <row r="2599" spans="1:13">
      <c r="A2599" s="17" t="s">
        <v>1929</v>
      </c>
      <c r="B2599" s="21" t="s">
        <v>1930</v>
      </c>
      <c r="C2599" s="19" t="s">
        <v>72</v>
      </c>
      <c r="D2599" s="20"/>
      <c r="E2599" s="3">
        <v>2616268.66</v>
      </c>
      <c r="F2599" s="24">
        <v>1.1479291274314312E-2</v>
      </c>
      <c r="G2599" s="26">
        <f t="shared" si="40"/>
        <v>30032.91</v>
      </c>
      <c r="H2599" t="s">
        <v>1811</v>
      </c>
      <c r="M2599">
        <v>82</v>
      </c>
    </row>
    <row r="2600" spans="1:13">
      <c r="A2600" s="13" t="s">
        <v>1929</v>
      </c>
      <c r="B2600" s="22" t="s">
        <v>1930</v>
      </c>
      <c r="C2600" s="15" t="s">
        <v>73</v>
      </c>
      <c r="D2600" s="16"/>
      <c r="E2600" s="2">
        <v>2616268.66</v>
      </c>
      <c r="F2600" s="23">
        <v>0.96901804037204642</v>
      </c>
      <c r="G2600" s="26">
        <f t="shared" si="40"/>
        <v>2535211.5299999998</v>
      </c>
      <c r="H2600" t="s">
        <v>1811</v>
      </c>
    </row>
    <row r="2601" spans="1:13">
      <c r="A2601" s="19" t="s">
        <v>1929</v>
      </c>
      <c r="B2601" s="20" t="s">
        <v>1930</v>
      </c>
      <c r="C2601" s="19" t="s">
        <v>74</v>
      </c>
      <c r="D2601" s="20"/>
      <c r="E2601" s="3">
        <v>2616268.66</v>
      </c>
      <c r="F2601" s="24">
        <v>1.9502668353639185E-2</v>
      </c>
      <c r="G2601" s="26">
        <f t="shared" si="40"/>
        <v>51024.22</v>
      </c>
      <c r="H2601" t="s">
        <v>1811</v>
      </c>
    </row>
    <row r="2602" spans="1:13">
      <c r="A2602" s="13" t="s">
        <v>1931</v>
      </c>
      <c r="B2602" s="14" t="s">
        <v>1932</v>
      </c>
      <c r="C2602" s="15" t="s">
        <v>72</v>
      </c>
      <c r="D2602" s="16"/>
      <c r="E2602" s="2">
        <v>1380421.68</v>
      </c>
      <c r="F2602" s="23">
        <v>1.0913165316267709E-2</v>
      </c>
      <c r="G2602" s="26">
        <f t="shared" si="40"/>
        <v>15064.770000000002</v>
      </c>
      <c r="H2602" t="s">
        <v>1806</v>
      </c>
      <c r="M2602">
        <v>159</v>
      </c>
    </row>
    <row r="2603" spans="1:13">
      <c r="A2603" s="17" t="s">
        <v>1931</v>
      </c>
      <c r="B2603" s="18" t="s">
        <v>1932</v>
      </c>
      <c r="C2603" s="19" t="s">
        <v>73</v>
      </c>
      <c r="D2603" s="20"/>
      <c r="E2603" s="3">
        <v>1380421.68</v>
      </c>
      <c r="F2603" s="24">
        <v>0.80817391972574648</v>
      </c>
      <c r="G2603" s="26">
        <f t="shared" si="40"/>
        <v>1115620.8</v>
      </c>
      <c r="H2603" t="s">
        <v>1806</v>
      </c>
    </row>
    <row r="2604" spans="1:13">
      <c r="A2604" s="15" t="s">
        <v>1931</v>
      </c>
      <c r="B2604" s="16" t="s">
        <v>1932</v>
      </c>
      <c r="C2604" s="15" t="s">
        <v>74</v>
      </c>
      <c r="D2604" s="16"/>
      <c r="E2604" s="2">
        <v>1380421.68</v>
      </c>
      <c r="F2604" s="23">
        <v>0.18091291495798589</v>
      </c>
      <c r="G2604" s="26">
        <f t="shared" si="40"/>
        <v>249736.11000000002</v>
      </c>
      <c r="H2604" t="s">
        <v>1806</v>
      </c>
    </row>
    <row r="2605" spans="1:13">
      <c r="A2605" s="17" t="s">
        <v>1933</v>
      </c>
      <c r="B2605" s="21" t="s">
        <v>1934</v>
      </c>
      <c r="C2605" s="19" t="s">
        <v>72</v>
      </c>
      <c r="D2605" s="20"/>
      <c r="E2605" s="3">
        <v>1343802.3</v>
      </c>
      <c r="F2605" s="24">
        <v>1.8921756570888441E-3</v>
      </c>
      <c r="G2605" s="26">
        <f t="shared" si="40"/>
        <v>2542.71</v>
      </c>
      <c r="H2605" t="s">
        <v>1806</v>
      </c>
      <c r="M2605">
        <v>119</v>
      </c>
    </row>
    <row r="2606" spans="1:13">
      <c r="A2606" s="13" t="s">
        <v>1933</v>
      </c>
      <c r="B2606" s="22" t="s">
        <v>1934</v>
      </c>
      <c r="C2606" s="15" t="s">
        <v>73</v>
      </c>
      <c r="D2606" s="16"/>
      <c r="E2606" s="2">
        <v>1343802.3</v>
      </c>
      <c r="F2606" s="23">
        <v>0.8249708681105844</v>
      </c>
      <c r="G2606" s="26">
        <f t="shared" si="40"/>
        <v>1108597.75</v>
      </c>
      <c r="H2606" t="s">
        <v>1806</v>
      </c>
    </row>
    <row r="2607" spans="1:13">
      <c r="A2607" s="19" t="s">
        <v>1933</v>
      </c>
      <c r="B2607" s="20" t="s">
        <v>1934</v>
      </c>
      <c r="C2607" s="19" t="s">
        <v>74</v>
      </c>
      <c r="D2607" s="20"/>
      <c r="E2607" s="3">
        <v>1343802.3</v>
      </c>
      <c r="F2607" s="24">
        <v>0.17313695623232672</v>
      </c>
      <c r="G2607" s="26">
        <f t="shared" si="40"/>
        <v>232661.84</v>
      </c>
      <c r="H2607" t="s">
        <v>1806</v>
      </c>
    </row>
    <row r="2608" spans="1:13">
      <c r="A2608" s="13" t="s">
        <v>1935</v>
      </c>
      <c r="B2608" s="14" t="s">
        <v>1936</v>
      </c>
      <c r="C2608" s="15" t="s">
        <v>72</v>
      </c>
      <c r="D2608" s="16"/>
      <c r="E2608" s="2">
        <v>3716277.46</v>
      </c>
      <c r="F2608" s="23">
        <v>6.3868616526818744E-3</v>
      </c>
      <c r="G2608" s="26">
        <f t="shared" si="40"/>
        <v>23735.35</v>
      </c>
      <c r="H2608" t="s">
        <v>1806</v>
      </c>
      <c r="K2608" t="s">
        <v>1809</v>
      </c>
      <c r="L2608" t="s">
        <v>1814</v>
      </c>
      <c r="M2608">
        <v>497</v>
      </c>
    </row>
    <row r="2609" spans="1:13">
      <c r="A2609" s="17" t="s">
        <v>1935</v>
      </c>
      <c r="B2609" s="18" t="s">
        <v>1936</v>
      </c>
      <c r="C2609" s="19" t="s">
        <v>73</v>
      </c>
      <c r="D2609" s="20"/>
      <c r="E2609" s="3">
        <v>3716277.46</v>
      </c>
      <c r="F2609" s="24">
        <v>0.83798000916756099</v>
      </c>
      <c r="G2609" s="26">
        <f t="shared" si="40"/>
        <v>3114166.22</v>
      </c>
      <c r="H2609" t="s">
        <v>1806</v>
      </c>
      <c r="K2609" t="s">
        <v>1809</v>
      </c>
      <c r="L2609" t="s">
        <v>1814</v>
      </c>
    </row>
    <row r="2610" spans="1:13">
      <c r="A2610" s="15" t="s">
        <v>1935</v>
      </c>
      <c r="B2610" s="16" t="s">
        <v>1936</v>
      </c>
      <c r="C2610" s="15" t="s">
        <v>74</v>
      </c>
      <c r="D2610" s="16"/>
      <c r="E2610" s="2">
        <v>3716277.46</v>
      </c>
      <c r="F2610" s="23">
        <v>0.15563312917975722</v>
      </c>
      <c r="G2610" s="26">
        <f t="shared" si="40"/>
        <v>578375.89</v>
      </c>
      <c r="H2610" t="s">
        <v>1806</v>
      </c>
      <c r="K2610" t="s">
        <v>1809</v>
      </c>
      <c r="L2610" t="s">
        <v>1814</v>
      </c>
    </row>
    <row r="2611" spans="1:13">
      <c r="A2611" s="17" t="s">
        <v>1937</v>
      </c>
      <c r="B2611" s="21" t="s">
        <v>1938</v>
      </c>
      <c r="C2611" s="19" t="s">
        <v>72</v>
      </c>
      <c r="D2611" s="20"/>
      <c r="E2611" s="3">
        <v>3711726.15</v>
      </c>
      <c r="F2611" s="24">
        <v>4.1771804743730894E-3</v>
      </c>
      <c r="G2611" s="26">
        <f t="shared" si="40"/>
        <v>15504.550000000001</v>
      </c>
      <c r="H2611" t="s">
        <v>1806</v>
      </c>
      <c r="K2611" t="s">
        <v>1809</v>
      </c>
      <c r="L2611" t="s">
        <v>1814</v>
      </c>
      <c r="M2611">
        <v>460</v>
      </c>
    </row>
    <row r="2612" spans="1:13">
      <c r="A2612" s="13" t="s">
        <v>1937</v>
      </c>
      <c r="B2612" s="22" t="s">
        <v>1938</v>
      </c>
      <c r="C2612" s="15" t="s">
        <v>73</v>
      </c>
      <c r="D2612" s="16"/>
      <c r="E2612" s="2">
        <v>3711726.15</v>
      </c>
      <c r="F2612" s="23">
        <v>0.87343688057374591</v>
      </c>
      <c r="G2612" s="26">
        <f t="shared" si="40"/>
        <v>3241958.51</v>
      </c>
      <c r="H2612" t="s">
        <v>1806</v>
      </c>
      <c r="K2612" t="s">
        <v>1809</v>
      </c>
      <c r="L2612" t="s">
        <v>1814</v>
      </c>
    </row>
    <row r="2613" spans="1:13">
      <c r="A2613" s="19" t="s">
        <v>1937</v>
      </c>
      <c r="B2613" s="20" t="s">
        <v>1938</v>
      </c>
      <c r="C2613" s="19" t="s">
        <v>74</v>
      </c>
      <c r="D2613" s="20"/>
      <c r="E2613" s="3">
        <v>3711726.15</v>
      </c>
      <c r="F2613" s="24">
        <v>0.12238593895188093</v>
      </c>
      <c r="G2613" s="26">
        <f t="shared" si="40"/>
        <v>454263.09</v>
      </c>
      <c r="H2613" t="s">
        <v>1806</v>
      </c>
      <c r="K2613" t="s">
        <v>1809</v>
      </c>
      <c r="L2613" t="s">
        <v>1814</v>
      </c>
    </row>
    <row r="2614" spans="1:13">
      <c r="A2614" s="13" t="s">
        <v>1939</v>
      </c>
      <c r="B2614" s="14" t="s">
        <v>1940</v>
      </c>
      <c r="C2614" s="15" t="s">
        <v>72</v>
      </c>
      <c r="D2614" s="16"/>
      <c r="E2614" s="2">
        <v>3615626.7</v>
      </c>
      <c r="F2614" s="23">
        <v>1.3364288962685223E-2</v>
      </c>
      <c r="G2614" s="26">
        <f t="shared" si="40"/>
        <v>48320.28</v>
      </c>
      <c r="H2614" t="s">
        <v>1806</v>
      </c>
      <c r="K2614" t="s">
        <v>1809</v>
      </c>
      <c r="L2614" t="s">
        <v>1814</v>
      </c>
      <c r="M2614">
        <v>460</v>
      </c>
    </row>
    <row r="2615" spans="1:13">
      <c r="A2615" s="17" t="s">
        <v>1939</v>
      </c>
      <c r="B2615" s="18" t="s">
        <v>1940</v>
      </c>
      <c r="C2615" s="19" t="s">
        <v>73</v>
      </c>
      <c r="D2615" s="20"/>
      <c r="E2615" s="3">
        <v>3615626.7</v>
      </c>
      <c r="F2615" s="24">
        <v>0.85423436274546805</v>
      </c>
      <c r="G2615" s="26">
        <f t="shared" si="40"/>
        <v>3088592.57</v>
      </c>
      <c r="H2615" t="s">
        <v>1806</v>
      </c>
      <c r="K2615" t="s">
        <v>1809</v>
      </c>
      <c r="L2615" t="s">
        <v>1814</v>
      </c>
    </row>
    <row r="2616" spans="1:13">
      <c r="A2616" s="15" t="s">
        <v>1939</v>
      </c>
      <c r="B2616" s="16" t="s">
        <v>1940</v>
      </c>
      <c r="C2616" s="15" t="s">
        <v>74</v>
      </c>
      <c r="D2616" s="16"/>
      <c r="E2616" s="2">
        <v>3615626.7</v>
      </c>
      <c r="F2616" s="23">
        <v>0.1324013482918466</v>
      </c>
      <c r="G2616" s="26">
        <f t="shared" si="40"/>
        <v>478713.85</v>
      </c>
      <c r="H2616" t="s">
        <v>1806</v>
      </c>
      <c r="K2616" t="s">
        <v>1809</v>
      </c>
      <c r="L2616" t="s">
        <v>1814</v>
      </c>
    </row>
    <row r="2617" spans="1:13">
      <c r="A2617" s="17" t="s">
        <v>1941</v>
      </c>
      <c r="B2617" s="21" t="s">
        <v>1942</v>
      </c>
      <c r="C2617" s="19" t="s">
        <v>72</v>
      </c>
      <c r="D2617" s="20"/>
      <c r="E2617" s="3">
        <v>2793895.69</v>
      </c>
      <c r="F2617" s="24">
        <v>2.7647238326209667E-3</v>
      </c>
      <c r="G2617" s="26">
        <f t="shared" si="40"/>
        <v>7724.35</v>
      </c>
      <c r="H2617" t="s">
        <v>1806</v>
      </c>
      <c r="M2617">
        <v>354</v>
      </c>
    </row>
    <row r="2618" spans="1:13">
      <c r="A2618" s="13" t="s">
        <v>1941</v>
      </c>
      <c r="B2618" s="22" t="s">
        <v>1942</v>
      </c>
      <c r="C2618" s="15" t="s">
        <v>73</v>
      </c>
      <c r="D2618" s="16"/>
      <c r="E2618" s="2">
        <v>2793895.69</v>
      </c>
      <c r="F2618" s="23">
        <v>0.86010676368522554</v>
      </c>
      <c r="G2618" s="26">
        <f t="shared" si="40"/>
        <v>2403048.58</v>
      </c>
      <c r="H2618" t="s">
        <v>1806</v>
      </c>
    </row>
    <row r="2619" spans="1:13">
      <c r="A2619" s="19" t="s">
        <v>1941</v>
      </c>
      <c r="B2619" s="20" t="s">
        <v>1942</v>
      </c>
      <c r="C2619" s="19" t="s">
        <v>74</v>
      </c>
      <c r="D2619" s="20"/>
      <c r="E2619" s="3">
        <v>2793895.69</v>
      </c>
      <c r="F2619" s="24">
        <v>0.13712851248215355</v>
      </c>
      <c r="G2619" s="26">
        <f t="shared" si="40"/>
        <v>383122.76</v>
      </c>
      <c r="H2619" t="s">
        <v>1806</v>
      </c>
    </row>
    <row r="2620" spans="1:13">
      <c r="A2620" s="13" t="s">
        <v>1943</v>
      </c>
      <c r="B2620" s="14" t="s">
        <v>1789</v>
      </c>
      <c r="C2620" s="15" t="s">
        <v>72</v>
      </c>
      <c r="D2620" s="16"/>
      <c r="E2620" s="2">
        <v>2054278.26</v>
      </c>
      <c r="F2620" s="23">
        <v>3.7675713902555735E-3</v>
      </c>
      <c r="G2620" s="26">
        <f t="shared" si="40"/>
        <v>7739.64</v>
      </c>
      <c r="H2620" t="s">
        <v>1806</v>
      </c>
      <c r="M2620">
        <v>250</v>
      </c>
    </row>
    <row r="2621" spans="1:13">
      <c r="A2621" s="17" t="s">
        <v>1943</v>
      </c>
      <c r="B2621" s="18" t="s">
        <v>1789</v>
      </c>
      <c r="C2621" s="19" t="s">
        <v>73</v>
      </c>
      <c r="D2621" s="20"/>
      <c r="E2621" s="3">
        <v>2054278.26</v>
      </c>
      <c r="F2621" s="24">
        <v>0.85722268705701044</v>
      </c>
      <c r="G2621" s="26">
        <f t="shared" si="40"/>
        <v>1760973.93</v>
      </c>
      <c r="H2621" t="s">
        <v>1806</v>
      </c>
    </row>
    <row r="2622" spans="1:13">
      <c r="A2622" s="15" t="s">
        <v>1943</v>
      </c>
      <c r="B2622" s="16" t="s">
        <v>1789</v>
      </c>
      <c r="C2622" s="15" t="s">
        <v>74</v>
      </c>
      <c r="D2622" s="16"/>
      <c r="E2622" s="2">
        <v>2054278.26</v>
      </c>
      <c r="F2622" s="23">
        <v>0.13900974155273396</v>
      </c>
      <c r="G2622" s="26">
        <f t="shared" si="40"/>
        <v>285564.69</v>
      </c>
      <c r="H2622" t="s">
        <v>1806</v>
      </c>
    </row>
    <row r="2623" spans="1:13">
      <c r="A2623" s="17" t="s">
        <v>1790</v>
      </c>
      <c r="B2623" s="21" t="s">
        <v>1791</v>
      </c>
      <c r="C2623" s="19" t="s">
        <v>72</v>
      </c>
      <c r="D2623" s="20"/>
      <c r="E2623" s="3">
        <v>1221188.54</v>
      </c>
      <c r="F2623" s="24">
        <v>1.392240382471981E-2</v>
      </c>
      <c r="G2623" s="26">
        <f t="shared" si="40"/>
        <v>17001.88</v>
      </c>
      <c r="H2623" t="s">
        <v>1806</v>
      </c>
      <c r="K2623" t="s">
        <v>1810</v>
      </c>
      <c r="L2623" t="s">
        <v>1812</v>
      </c>
      <c r="M2623">
        <v>169</v>
      </c>
    </row>
    <row r="2624" spans="1:13">
      <c r="A2624" s="13" t="s">
        <v>1790</v>
      </c>
      <c r="B2624" s="22" t="s">
        <v>1791</v>
      </c>
      <c r="C2624" s="15" t="s">
        <v>73</v>
      </c>
      <c r="D2624" s="16"/>
      <c r="E2624" s="2">
        <v>1221188.54</v>
      </c>
      <c r="F2624" s="23">
        <v>0.9035593717576158</v>
      </c>
      <c r="G2624" s="26">
        <f t="shared" si="40"/>
        <v>1103416.3500000001</v>
      </c>
      <c r="H2624" t="s">
        <v>1806</v>
      </c>
      <c r="K2624" t="s">
        <v>1810</v>
      </c>
      <c r="L2624" t="s">
        <v>1812</v>
      </c>
    </row>
    <row r="2625" spans="1:13">
      <c r="A2625" s="19" t="s">
        <v>1790</v>
      </c>
      <c r="B2625" s="20" t="s">
        <v>1791</v>
      </c>
      <c r="C2625" s="19" t="s">
        <v>74</v>
      </c>
      <c r="D2625" s="20"/>
      <c r="E2625" s="3">
        <v>1221188.54</v>
      </c>
      <c r="F2625" s="24">
        <v>8.2518224417664446E-2</v>
      </c>
      <c r="G2625" s="26">
        <f t="shared" si="40"/>
        <v>100770.31</v>
      </c>
      <c r="H2625" t="s">
        <v>1806</v>
      </c>
      <c r="K2625" t="s">
        <v>1810</v>
      </c>
      <c r="L2625" t="s">
        <v>1812</v>
      </c>
    </row>
    <row r="2626" spans="1:13">
      <c r="A2626" s="13" t="s">
        <v>1792</v>
      </c>
      <c r="B2626" s="14" t="s">
        <v>1793</v>
      </c>
      <c r="C2626" s="15" t="s">
        <v>72</v>
      </c>
      <c r="D2626" s="16"/>
      <c r="E2626" s="2">
        <v>1750555.55</v>
      </c>
      <c r="F2626" s="23">
        <v>5.2156014129343107E-4</v>
      </c>
      <c r="G2626" s="26">
        <f t="shared" si="40"/>
        <v>913.02</v>
      </c>
      <c r="H2626" t="s">
        <v>1806</v>
      </c>
      <c r="M2626">
        <v>309</v>
      </c>
    </row>
    <row r="2627" spans="1:13">
      <c r="A2627" s="17" t="s">
        <v>1792</v>
      </c>
      <c r="B2627" s="18" t="s">
        <v>1793</v>
      </c>
      <c r="C2627" s="19" t="s">
        <v>73</v>
      </c>
      <c r="D2627" s="20"/>
      <c r="E2627" s="3">
        <v>1750555.55</v>
      </c>
      <c r="F2627" s="24">
        <v>0.94287036478219721</v>
      </c>
      <c r="G2627" s="26">
        <f t="shared" si="40"/>
        <v>1650546.95</v>
      </c>
      <c r="H2627" t="s">
        <v>1806</v>
      </c>
    </row>
    <row r="2628" spans="1:13">
      <c r="A2628" s="15" t="s">
        <v>1792</v>
      </c>
      <c r="B2628" s="16" t="s">
        <v>1793</v>
      </c>
      <c r="C2628" s="15" t="s">
        <v>74</v>
      </c>
      <c r="D2628" s="16"/>
      <c r="E2628" s="2">
        <v>1750555.55</v>
      </c>
      <c r="F2628" s="23">
        <v>5.6608075076509286E-2</v>
      </c>
      <c r="G2628" s="26">
        <f t="shared" si="40"/>
        <v>99095.58</v>
      </c>
      <c r="H2628" t="s">
        <v>1806</v>
      </c>
    </row>
    <row r="2629" spans="1:13">
      <c r="A2629" s="17" t="s">
        <v>1794</v>
      </c>
      <c r="B2629" s="21" t="s">
        <v>1795</v>
      </c>
      <c r="C2629" s="19" t="s">
        <v>72</v>
      </c>
      <c r="D2629" s="20"/>
      <c r="E2629" s="3">
        <v>1600815.32</v>
      </c>
      <c r="F2629" s="24">
        <v>3.7553070144281227E-2</v>
      </c>
      <c r="G2629" s="26">
        <f t="shared" ref="G2629:G2692" si="41">F2629*E2629</f>
        <v>60115.53</v>
      </c>
      <c r="H2629" t="s">
        <v>1806</v>
      </c>
      <c r="M2629">
        <v>152</v>
      </c>
    </row>
    <row r="2630" spans="1:13">
      <c r="A2630" s="13" t="s">
        <v>1794</v>
      </c>
      <c r="B2630" s="22" t="s">
        <v>1795</v>
      </c>
      <c r="C2630" s="15" t="s">
        <v>73</v>
      </c>
      <c r="D2630" s="16"/>
      <c r="E2630" s="2">
        <v>1600815.32</v>
      </c>
      <c r="F2630" s="23">
        <v>0.63044487855101228</v>
      </c>
      <c r="G2630" s="26">
        <f t="shared" si="41"/>
        <v>1009225.82</v>
      </c>
      <c r="H2630" t="s">
        <v>1806</v>
      </c>
    </row>
    <row r="2631" spans="1:13">
      <c r="A2631" s="19" t="s">
        <v>1794</v>
      </c>
      <c r="B2631" s="20" t="s">
        <v>1795</v>
      </c>
      <c r="C2631" s="19" t="s">
        <v>74</v>
      </c>
      <c r="D2631" s="20"/>
      <c r="E2631" s="3">
        <v>1600815.32</v>
      </c>
      <c r="F2631" s="24">
        <v>0.33200205130470639</v>
      </c>
      <c r="G2631" s="26">
        <f t="shared" si="41"/>
        <v>531473.97</v>
      </c>
      <c r="H2631" t="s">
        <v>1806</v>
      </c>
    </row>
    <row r="2632" spans="1:13" hidden="1">
      <c r="A2632" s="13" t="s">
        <v>1796</v>
      </c>
      <c r="B2632" s="14" t="s">
        <v>1797</v>
      </c>
      <c r="C2632" s="15" t="s">
        <v>72</v>
      </c>
      <c r="D2632" s="16"/>
      <c r="E2632" s="2">
        <v>7245227.75</v>
      </c>
      <c r="F2632" s="23">
        <v>0.30552039030105022</v>
      </c>
      <c r="G2632" s="26">
        <f t="shared" si="41"/>
        <v>2213564.81</v>
      </c>
      <c r="H2632" t="s">
        <v>68</v>
      </c>
      <c r="I2632" t="s">
        <v>1883</v>
      </c>
    </row>
    <row r="2633" spans="1:13" hidden="1">
      <c r="A2633" s="17" t="s">
        <v>1796</v>
      </c>
      <c r="B2633" s="18" t="s">
        <v>1797</v>
      </c>
      <c r="C2633" s="19" t="s">
        <v>73</v>
      </c>
      <c r="D2633" s="20"/>
      <c r="E2633" s="3">
        <v>7245227.75</v>
      </c>
      <c r="F2633" s="24">
        <v>0.18394418174087074</v>
      </c>
      <c r="G2633" s="26">
        <f t="shared" si="41"/>
        <v>1332717.49</v>
      </c>
      <c r="H2633" t="s">
        <v>68</v>
      </c>
      <c r="I2633" t="s">
        <v>1883</v>
      </c>
    </row>
    <row r="2634" spans="1:13" hidden="1">
      <c r="A2634" s="15" t="s">
        <v>1796</v>
      </c>
      <c r="B2634" s="16" t="s">
        <v>1797</v>
      </c>
      <c r="C2634" s="15" t="s">
        <v>74</v>
      </c>
      <c r="D2634" s="16"/>
      <c r="E2634" s="2">
        <v>7245227.75</v>
      </c>
      <c r="F2634" s="23">
        <v>0.51053542795807905</v>
      </c>
      <c r="G2634" s="26">
        <f t="shared" si="41"/>
        <v>3698945.45</v>
      </c>
      <c r="H2634" t="s">
        <v>68</v>
      </c>
      <c r="I2634" t="s">
        <v>1883</v>
      </c>
    </row>
    <row r="2635" spans="1:13" hidden="1">
      <c r="A2635" s="17" t="s">
        <v>1798</v>
      </c>
      <c r="B2635" s="21" t="s">
        <v>1799</v>
      </c>
      <c r="C2635" s="19" t="s">
        <v>72</v>
      </c>
      <c r="D2635" s="20"/>
      <c r="E2635" s="3">
        <v>9030143.4299999997</v>
      </c>
      <c r="F2635" s="24">
        <v>0.80302873771740302</v>
      </c>
      <c r="G2635" s="26">
        <f t="shared" si="41"/>
        <v>7251464.6799999997</v>
      </c>
      <c r="H2635" t="s">
        <v>68</v>
      </c>
      <c r="I2635" t="s">
        <v>1883</v>
      </c>
    </row>
    <row r="2636" spans="1:13" hidden="1">
      <c r="A2636" s="13" t="s">
        <v>1798</v>
      </c>
      <c r="B2636" s="22" t="s">
        <v>1799</v>
      </c>
      <c r="C2636" s="15" t="s">
        <v>73</v>
      </c>
      <c r="D2636" s="16"/>
      <c r="E2636" s="2">
        <v>9030143.4299999997</v>
      </c>
      <c r="F2636" s="23">
        <v>0.18393705956894199</v>
      </c>
      <c r="G2636" s="26">
        <f t="shared" si="41"/>
        <v>1660978.03</v>
      </c>
      <c r="H2636" t="s">
        <v>68</v>
      </c>
      <c r="I2636" t="s">
        <v>1883</v>
      </c>
    </row>
    <row r="2637" spans="1:13" hidden="1">
      <c r="A2637" s="19" t="s">
        <v>1798</v>
      </c>
      <c r="B2637" s="20" t="s">
        <v>1799</v>
      </c>
      <c r="C2637" s="19" t="s">
        <v>74</v>
      </c>
      <c r="D2637" s="20"/>
      <c r="E2637" s="3">
        <v>9030143.4299999997</v>
      </c>
      <c r="F2637" s="24">
        <v>1.3034202713655015E-2</v>
      </c>
      <c r="G2637" s="26">
        <f t="shared" si="41"/>
        <v>117700.72</v>
      </c>
      <c r="H2637" t="s">
        <v>68</v>
      </c>
      <c r="I2637" t="s">
        <v>1883</v>
      </c>
    </row>
    <row r="2638" spans="1:13" hidden="1">
      <c r="A2638" s="13" t="s">
        <v>1800</v>
      </c>
      <c r="B2638" s="14" t="s">
        <v>1801</v>
      </c>
      <c r="C2638" s="15" t="s">
        <v>72</v>
      </c>
      <c r="D2638" s="16"/>
      <c r="E2638" s="2">
        <v>7546462.3200000003</v>
      </c>
      <c r="F2638" s="23">
        <v>0.65689112060656252</v>
      </c>
      <c r="G2638" s="26">
        <f t="shared" si="41"/>
        <v>4957204.09</v>
      </c>
      <c r="H2638" t="s">
        <v>68</v>
      </c>
      <c r="I2638" t="s">
        <v>1883</v>
      </c>
    </row>
    <row r="2639" spans="1:13" hidden="1">
      <c r="A2639" s="17" t="s">
        <v>1800</v>
      </c>
      <c r="B2639" s="18" t="s">
        <v>1801</v>
      </c>
      <c r="C2639" s="19" t="s">
        <v>73</v>
      </c>
      <c r="D2639" s="20"/>
      <c r="E2639" s="3">
        <v>7546462.3200000003</v>
      </c>
      <c r="F2639" s="24">
        <v>0.32834475346588626</v>
      </c>
      <c r="G2639" s="26">
        <f t="shared" si="41"/>
        <v>2477841.31</v>
      </c>
      <c r="H2639" t="s">
        <v>68</v>
      </c>
      <c r="I2639" t="s">
        <v>1883</v>
      </c>
    </row>
    <row r="2640" spans="1:13" hidden="1">
      <c r="A2640" s="15" t="s">
        <v>1800</v>
      </c>
      <c r="B2640" s="16" t="s">
        <v>1801</v>
      </c>
      <c r="C2640" s="15" t="s">
        <v>74</v>
      </c>
      <c r="D2640" s="16"/>
      <c r="E2640" s="2">
        <v>7546462.3200000003</v>
      </c>
      <c r="F2640" s="23">
        <v>1.4764125927551176E-2</v>
      </c>
      <c r="G2640" s="26">
        <f t="shared" si="41"/>
        <v>111416.92</v>
      </c>
      <c r="H2640" t="s">
        <v>68</v>
      </c>
      <c r="I2640" t="s">
        <v>1883</v>
      </c>
    </row>
    <row r="2641" spans="1:13" hidden="1">
      <c r="A2641" s="17" t="s">
        <v>1802</v>
      </c>
      <c r="B2641" s="21" t="s">
        <v>1803</v>
      </c>
      <c r="C2641" s="19" t="s">
        <v>72</v>
      </c>
      <c r="D2641" s="20"/>
      <c r="E2641" s="3">
        <v>15517674.18</v>
      </c>
      <c r="F2641" s="24">
        <v>0.62199798810313722</v>
      </c>
      <c r="G2641" s="26">
        <f t="shared" si="41"/>
        <v>9651962.1199999992</v>
      </c>
      <c r="H2641" t="s">
        <v>68</v>
      </c>
    </row>
    <row r="2642" spans="1:13" hidden="1">
      <c r="A2642" s="13" t="s">
        <v>1802</v>
      </c>
      <c r="B2642" s="22" t="s">
        <v>1803</v>
      </c>
      <c r="C2642" s="15" t="s">
        <v>73</v>
      </c>
      <c r="D2642" s="16"/>
      <c r="E2642" s="2">
        <v>15517674.18</v>
      </c>
      <c r="F2642" s="23">
        <v>0.33180250018627466</v>
      </c>
      <c r="G2642" s="26">
        <f t="shared" si="41"/>
        <v>5148803.09</v>
      </c>
      <c r="H2642" t="s">
        <v>68</v>
      </c>
    </row>
    <row r="2643" spans="1:13" hidden="1">
      <c r="A2643" s="19" t="s">
        <v>1802</v>
      </c>
      <c r="B2643" s="20" t="s">
        <v>1803</v>
      </c>
      <c r="C2643" s="19" t="s">
        <v>74</v>
      </c>
      <c r="D2643" s="20"/>
      <c r="E2643" s="3">
        <v>15517674.18</v>
      </c>
      <c r="F2643" s="24">
        <v>4.6199511710588059E-2</v>
      </c>
      <c r="G2643" s="26">
        <f t="shared" si="41"/>
        <v>716908.97</v>
      </c>
      <c r="H2643" t="s">
        <v>68</v>
      </c>
    </row>
    <row r="2644" spans="1:13">
      <c r="A2644" s="13" t="s">
        <v>122</v>
      </c>
      <c r="B2644" s="14" t="s">
        <v>123</v>
      </c>
      <c r="C2644" s="15" t="s">
        <v>72</v>
      </c>
      <c r="D2644" s="16"/>
      <c r="E2644" s="2">
        <v>1522117.94</v>
      </c>
      <c r="F2644" s="23">
        <v>6.3320783145095838E-3</v>
      </c>
      <c r="G2644" s="26">
        <f t="shared" si="41"/>
        <v>9638.17</v>
      </c>
      <c r="H2644" t="s">
        <v>1806</v>
      </c>
      <c r="M2644">
        <v>139</v>
      </c>
    </row>
    <row r="2645" spans="1:13">
      <c r="A2645" s="17" t="s">
        <v>122</v>
      </c>
      <c r="B2645" s="18" t="s">
        <v>123</v>
      </c>
      <c r="C2645" s="19" t="s">
        <v>73</v>
      </c>
      <c r="D2645" s="20"/>
      <c r="E2645" s="3">
        <v>1522117.94</v>
      </c>
      <c r="F2645" s="24">
        <v>0.93738269059492196</v>
      </c>
      <c r="G2645" s="26">
        <f t="shared" si="41"/>
        <v>1426807.01</v>
      </c>
      <c r="H2645" t="s">
        <v>1806</v>
      </c>
    </row>
    <row r="2646" spans="1:13">
      <c r="A2646" s="15" t="s">
        <v>122</v>
      </c>
      <c r="B2646" s="16" t="s">
        <v>123</v>
      </c>
      <c r="C2646" s="15" t="s">
        <v>74</v>
      </c>
      <c r="D2646" s="16"/>
      <c r="E2646" s="2">
        <v>1522117.94</v>
      </c>
      <c r="F2646" s="23">
        <v>5.6285231090568447E-2</v>
      </c>
      <c r="G2646" s="26">
        <f t="shared" si="41"/>
        <v>85672.76</v>
      </c>
      <c r="H2646" t="s">
        <v>1806</v>
      </c>
    </row>
    <row r="2647" spans="1:13">
      <c r="A2647" s="17" t="s">
        <v>124</v>
      </c>
      <c r="B2647" s="21" t="s">
        <v>125</v>
      </c>
      <c r="C2647" s="19" t="s">
        <v>72</v>
      </c>
      <c r="D2647" s="20"/>
      <c r="E2647" s="3">
        <v>1987947.22</v>
      </c>
      <c r="F2647" s="24">
        <v>5.4510768148059788E-2</v>
      </c>
      <c r="G2647" s="26">
        <f t="shared" si="41"/>
        <v>108364.53</v>
      </c>
      <c r="H2647" t="s">
        <v>1806</v>
      </c>
      <c r="M2647">
        <v>214</v>
      </c>
    </row>
    <row r="2648" spans="1:13">
      <c r="A2648" s="13" t="s">
        <v>124</v>
      </c>
      <c r="B2648" s="22" t="s">
        <v>125</v>
      </c>
      <c r="C2648" s="15" t="s">
        <v>73</v>
      </c>
      <c r="D2648" s="16"/>
      <c r="E2648" s="2">
        <v>1987947.22</v>
      </c>
      <c r="F2648" s="23">
        <v>0.87894988982655187</v>
      </c>
      <c r="G2648" s="26">
        <f t="shared" si="41"/>
        <v>1747305.99</v>
      </c>
      <c r="H2648" t="s">
        <v>1806</v>
      </c>
    </row>
    <row r="2649" spans="1:13">
      <c r="A2649" s="19" t="s">
        <v>124</v>
      </c>
      <c r="B2649" s="20" t="s">
        <v>125</v>
      </c>
      <c r="C2649" s="19" t="s">
        <v>74</v>
      </c>
      <c r="D2649" s="20"/>
      <c r="E2649" s="3">
        <v>1987947.22</v>
      </c>
      <c r="F2649" s="24">
        <v>6.6539342025388387E-2</v>
      </c>
      <c r="G2649" s="26">
        <f t="shared" si="41"/>
        <v>132276.70000000001</v>
      </c>
      <c r="H2649" t="s">
        <v>1806</v>
      </c>
    </row>
    <row r="2650" spans="1:13">
      <c r="A2650" s="13" t="s">
        <v>126</v>
      </c>
      <c r="B2650" s="14" t="s">
        <v>127</v>
      </c>
      <c r="C2650" s="15" t="s">
        <v>72</v>
      </c>
      <c r="D2650" s="16"/>
      <c r="E2650" s="2">
        <v>727034.75</v>
      </c>
      <c r="F2650" s="23">
        <v>0</v>
      </c>
      <c r="G2650" s="26">
        <f t="shared" si="41"/>
        <v>0</v>
      </c>
      <c r="H2650" t="s">
        <v>1806</v>
      </c>
      <c r="M2650">
        <v>188</v>
      </c>
    </row>
    <row r="2651" spans="1:13">
      <c r="A2651" s="17" t="s">
        <v>126</v>
      </c>
      <c r="B2651" s="18" t="s">
        <v>127</v>
      </c>
      <c r="C2651" s="19" t="s">
        <v>73</v>
      </c>
      <c r="D2651" s="20"/>
      <c r="E2651" s="3">
        <v>727034.75</v>
      </c>
      <c r="F2651" s="24">
        <v>0.88243439532979673</v>
      </c>
      <c r="G2651" s="26">
        <f t="shared" si="41"/>
        <v>641560.47</v>
      </c>
      <c r="H2651" t="s">
        <v>1806</v>
      </c>
    </row>
    <row r="2652" spans="1:13">
      <c r="A2652" s="15" t="s">
        <v>126</v>
      </c>
      <c r="B2652" s="16" t="s">
        <v>127</v>
      </c>
      <c r="C2652" s="15" t="s">
        <v>74</v>
      </c>
      <c r="D2652" s="16"/>
      <c r="E2652" s="2">
        <v>727034.75</v>
      </c>
      <c r="F2652" s="23">
        <v>0.11756560467020317</v>
      </c>
      <c r="G2652" s="26">
        <f t="shared" si="41"/>
        <v>85474.28</v>
      </c>
      <c r="H2652" t="s">
        <v>1806</v>
      </c>
    </row>
    <row r="2653" spans="1:13">
      <c r="A2653" s="17" t="s">
        <v>128</v>
      </c>
      <c r="B2653" s="21" t="s">
        <v>129</v>
      </c>
      <c r="C2653" s="19" t="s">
        <v>72</v>
      </c>
      <c r="D2653" s="20"/>
      <c r="E2653" s="3">
        <v>795520.66</v>
      </c>
      <c r="F2653" s="24">
        <v>0</v>
      </c>
      <c r="G2653" s="26">
        <f t="shared" si="41"/>
        <v>0</v>
      </c>
      <c r="H2653" t="s">
        <v>1806</v>
      </c>
      <c r="M2653">
        <v>193</v>
      </c>
    </row>
    <row r="2654" spans="1:13">
      <c r="A2654" s="13" t="s">
        <v>128</v>
      </c>
      <c r="B2654" s="22" t="s">
        <v>129</v>
      </c>
      <c r="C2654" s="15" t="s">
        <v>73</v>
      </c>
      <c r="D2654" s="16"/>
      <c r="E2654" s="2">
        <v>795520.66</v>
      </c>
      <c r="F2654" s="23">
        <v>0.8047301876484263</v>
      </c>
      <c r="G2654" s="26">
        <f t="shared" si="41"/>
        <v>640179.49</v>
      </c>
      <c r="H2654" t="s">
        <v>1806</v>
      </c>
    </row>
    <row r="2655" spans="1:13">
      <c r="A2655" s="19" t="s">
        <v>128</v>
      </c>
      <c r="B2655" s="20" t="s">
        <v>129</v>
      </c>
      <c r="C2655" s="19" t="s">
        <v>74</v>
      </c>
      <c r="D2655" s="20"/>
      <c r="E2655" s="3">
        <v>795520.66</v>
      </c>
      <c r="F2655" s="24">
        <v>0.19526981235157362</v>
      </c>
      <c r="G2655" s="26">
        <f t="shared" si="41"/>
        <v>155341.17000000001</v>
      </c>
      <c r="H2655" t="s">
        <v>1806</v>
      </c>
    </row>
    <row r="2656" spans="1:13">
      <c r="A2656" s="13" t="s">
        <v>130</v>
      </c>
      <c r="B2656" s="14" t="s">
        <v>131</v>
      </c>
      <c r="C2656" s="15" t="s">
        <v>72</v>
      </c>
      <c r="D2656" s="16"/>
      <c r="E2656" s="2">
        <v>736232.83</v>
      </c>
      <c r="F2656" s="23">
        <v>0</v>
      </c>
      <c r="G2656" s="26">
        <f t="shared" si="41"/>
        <v>0</v>
      </c>
      <c r="H2656" t="s">
        <v>1806</v>
      </c>
      <c r="M2656">
        <v>183</v>
      </c>
    </row>
    <row r="2657" spans="1:13">
      <c r="A2657" s="17" t="s">
        <v>130</v>
      </c>
      <c r="B2657" s="18" t="s">
        <v>131</v>
      </c>
      <c r="C2657" s="19" t="s">
        <v>73</v>
      </c>
      <c r="D2657" s="20"/>
      <c r="E2657" s="3">
        <v>736232.83</v>
      </c>
      <c r="F2657" s="24">
        <v>0.85996256102841828</v>
      </c>
      <c r="G2657" s="26">
        <f t="shared" si="41"/>
        <v>633132.67000000004</v>
      </c>
      <c r="H2657" t="s">
        <v>1806</v>
      </c>
    </row>
    <row r="2658" spans="1:13">
      <c r="A2658" s="15" t="s">
        <v>130</v>
      </c>
      <c r="B2658" s="16" t="s">
        <v>131</v>
      </c>
      <c r="C2658" s="15" t="s">
        <v>74</v>
      </c>
      <c r="D2658" s="16"/>
      <c r="E2658" s="2">
        <v>736232.83</v>
      </c>
      <c r="F2658" s="23">
        <v>0.14003743897158186</v>
      </c>
      <c r="G2658" s="26">
        <f t="shared" si="41"/>
        <v>103100.15999999999</v>
      </c>
      <c r="H2658" t="s">
        <v>1806</v>
      </c>
    </row>
    <row r="2659" spans="1:13">
      <c r="A2659" s="17" t="s">
        <v>132</v>
      </c>
      <c r="B2659" s="21" t="s">
        <v>133</v>
      </c>
      <c r="C2659" s="19" t="s">
        <v>72</v>
      </c>
      <c r="D2659" s="20"/>
      <c r="E2659" s="3">
        <v>21756296.379999999</v>
      </c>
      <c r="F2659" s="24">
        <v>5.0403509901072599E-3</v>
      </c>
      <c r="G2659" s="26">
        <f t="shared" si="41"/>
        <v>109659.37</v>
      </c>
      <c r="H2659" t="s">
        <v>1806</v>
      </c>
      <c r="M2659">
        <v>4389</v>
      </c>
    </row>
    <row r="2660" spans="1:13">
      <c r="A2660" s="13" t="s">
        <v>132</v>
      </c>
      <c r="B2660" s="22" t="s">
        <v>133</v>
      </c>
      <c r="C2660" s="15" t="s">
        <v>73</v>
      </c>
      <c r="D2660" s="16"/>
      <c r="E2660" s="2">
        <v>21756296.379999999</v>
      </c>
      <c r="F2660" s="23">
        <v>0.92799035678516528</v>
      </c>
      <c r="G2660" s="26">
        <f t="shared" si="41"/>
        <v>20189633.239999998</v>
      </c>
      <c r="H2660" t="s">
        <v>1806</v>
      </c>
    </row>
    <row r="2661" spans="1:13">
      <c r="A2661" s="19" t="s">
        <v>132</v>
      </c>
      <c r="B2661" s="20" t="s">
        <v>133</v>
      </c>
      <c r="C2661" s="19" t="s">
        <v>74</v>
      </c>
      <c r="D2661" s="20"/>
      <c r="E2661" s="3">
        <v>21756296.379999999</v>
      </c>
      <c r="F2661" s="24">
        <v>6.6969292224727459E-2</v>
      </c>
      <c r="G2661" s="26">
        <f t="shared" si="41"/>
        <v>1457003.77</v>
      </c>
      <c r="H2661" t="s">
        <v>1806</v>
      </c>
    </row>
    <row r="2662" spans="1:13">
      <c r="A2662" s="13" t="s">
        <v>134</v>
      </c>
      <c r="B2662" s="14" t="s">
        <v>135</v>
      </c>
      <c r="C2662" s="15" t="s">
        <v>72</v>
      </c>
      <c r="D2662" s="16"/>
      <c r="E2662" s="2">
        <v>2229418.88</v>
      </c>
      <c r="F2662" s="23">
        <v>4.4792255459862257E-3</v>
      </c>
      <c r="G2662" s="26">
        <f t="shared" si="41"/>
        <v>9986.07</v>
      </c>
      <c r="H2662" t="s">
        <v>1806</v>
      </c>
      <c r="K2662" t="s">
        <v>1809</v>
      </c>
      <c r="L2662" t="s">
        <v>1814</v>
      </c>
      <c r="M2662">
        <v>273</v>
      </c>
    </row>
    <row r="2663" spans="1:13">
      <c r="A2663" s="17" t="s">
        <v>134</v>
      </c>
      <c r="B2663" s="18" t="s">
        <v>135</v>
      </c>
      <c r="C2663" s="19" t="s">
        <v>73</v>
      </c>
      <c r="D2663" s="20"/>
      <c r="E2663" s="3">
        <v>2229418.88</v>
      </c>
      <c r="F2663" s="24">
        <v>0.86111612188374409</v>
      </c>
      <c r="G2663" s="26">
        <f t="shared" si="41"/>
        <v>1919788.54</v>
      </c>
      <c r="H2663" t="s">
        <v>1806</v>
      </c>
      <c r="K2663" t="s">
        <v>1809</v>
      </c>
      <c r="L2663" t="s">
        <v>1814</v>
      </c>
    </row>
    <row r="2664" spans="1:13">
      <c r="A2664" s="15" t="s">
        <v>134</v>
      </c>
      <c r="B2664" s="16" t="s">
        <v>135</v>
      </c>
      <c r="C2664" s="15" t="s">
        <v>74</v>
      </c>
      <c r="D2664" s="16"/>
      <c r="E2664" s="2">
        <v>2229418.88</v>
      </c>
      <c r="F2664" s="23">
        <v>0.13440465257026982</v>
      </c>
      <c r="G2664" s="26">
        <f t="shared" si="41"/>
        <v>299644.27</v>
      </c>
      <c r="H2664" t="s">
        <v>1806</v>
      </c>
      <c r="K2664" t="s">
        <v>1809</v>
      </c>
      <c r="L2664" t="s">
        <v>1814</v>
      </c>
    </row>
    <row r="2665" spans="1:13">
      <c r="A2665" s="17" t="s">
        <v>136</v>
      </c>
      <c r="B2665" s="21" t="s">
        <v>137</v>
      </c>
      <c r="C2665" s="19" t="s">
        <v>72</v>
      </c>
      <c r="D2665" s="20"/>
      <c r="E2665" s="3">
        <v>1732192.7</v>
      </c>
      <c r="F2665" s="24">
        <v>2.6788653479488743E-2</v>
      </c>
      <c r="G2665" s="26">
        <f t="shared" si="41"/>
        <v>46403.11</v>
      </c>
      <c r="H2665" t="s">
        <v>1806</v>
      </c>
      <c r="M2665">
        <v>244</v>
      </c>
    </row>
    <row r="2666" spans="1:13">
      <c r="A2666" s="13" t="s">
        <v>136</v>
      </c>
      <c r="B2666" s="22" t="s">
        <v>137</v>
      </c>
      <c r="C2666" s="15" t="s">
        <v>73</v>
      </c>
      <c r="D2666" s="16"/>
      <c r="E2666" s="2">
        <v>1732192.7</v>
      </c>
      <c r="F2666" s="23">
        <v>0.80118374820538152</v>
      </c>
      <c r="G2666" s="26">
        <f t="shared" si="41"/>
        <v>1387804.64</v>
      </c>
      <c r="H2666" t="s">
        <v>1806</v>
      </c>
    </row>
    <row r="2667" spans="1:13">
      <c r="A2667" s="19" t="s">
        <v>136</v>
      </c>
      <c r="B2667" s="20" t="s">
        <v>137</v>
      </c>
      <c r="C2667" s="19" t="s">
        <v>74</v>
      </c>
      <c r="D2667" s="20"/>
      <c r="E2667" s="3">
        <v>1732192.7</v>
      </c>
      <c r="F2667" s="24">
        <v>0.17202759831512973</v>
      </c>
      <c r="G2667" s="26">
        <f t="shared" si="41"/>
        <v>297984.95</v>
      </c>
      <c r="H2667" t="s">
        <v>1806</v>
      </c>
    </row>
    <row r="2668" spans="1:13">
      <c r="A2668" s="13" t="s">
        <v>138</v>
      </c>
      <c r="B2668" s="14" t="s">
        <v>139</v>
      </c>
      <c r="C2668" s="15" t="s">
        <v>72</v>
      </c>
      <c r="D2668" s="16"/>
      <c r="E2668" s="2">
        <v>1467825.85</v>
      </c>
      <c r="F2668" s="23">
        <v>1.3999453681783841E-2</v>
      </c>
      <c r="G2668" s="26">
        <f t="shared" si="41"/>
        <v>20548.759999999998</v>
      </c>
      <c r="H2668" t="s">
        <v>1806</v>
      </c>
      <c r="K2668" t="s">
        <v>1810</v>
      </c>
      <c r="L2668" t="s">
        <v>1812</v>
      </c>
      <c r="M2668">
        <v>109</v>
      </c>
    </row>
    <row r="2669" spans="1:13">
      <c r="A2669" s="17" t="s">
        <v>138</v>
      </c>
      <c r="B2669" s="18" t="s">
        <v>139</v>
      </c>
      <c r="C2669" s="19" t="s">
        <v>73</v>
      </c>
      <c r="D2669" s="20"/>
      <c r="E2669" s="3">
        <v>1467825.85</v>
      </c>
      <c r="F2669" s="24">
        <v>0.7389041962982188</v>
      </c>
      <c r="G2669" s="26">
        <f t="shared" si="41"/>
        <v>1084582.68</v>
      </c>
      <c r="H2669" t="s">
        <v>1806</v>
      </c>
      <c r="K2669" t="s">
        <v>1810</v>
      </c>
      <c r="L2669" t="s">
        <v>1812</v>
      </c>
    </row>
    <row r="2670" spans="1:13">
      <c r="A2670" s="15" t="s">
        <v>138</v>
      </c>
      <c r="B2670" s="16" t="s">
        <v>139</v>
      </c>
      <c r="C2670" s="15" t="s">
        <v>74</v>
      </c>
      <c r="D2670" s="16"/>
      <c r="E2670" s="2">
        <v>1467825.85</v>
      </c>
      <c r="F2670" s="23">
        <v>0.24709635001999722</v>
      </c>
      <c r="G2670" s="26">
        <f t="shared" si="41"/>
        <v>362694.41</v>
      </c>
      <c r="H2670" t="s">
        <v>1806</v>
      </c>
      <c r="K2670" t="s">
        <v>1810</v>
      </c>
      <c r="L2670" t="s">
        <v>1812</v>
      </c>
    </row>
    <row r="2671" spans="1:13">
      <c r="A2671" s="17" t="s">
        <v>140</v>
      </c>
      <c r="B2671" s="21" t="s">
        <v>141</v>
      </c>
      <c r="C2671" s="19" t="s">
        <v>72</v>
      </c>
      <c r="D2671" s="20"/>
      <c r="E2671" s="3">
        <v>1059969.8999999999</v>
      </c>
      <c r="F2671" s="24">
        <v>2.3182252628117087E-2</v>
      </c>
      <c r="G2671" s="26">
        <f t="shared" si="41"/>
        <v>24572.49</v>
      </c>
      <c r="H2671" t="s">
        <v>1806</v>
      </c>
      <c r="K2671" t="s">
        <v>1810</v>
      </c>
      <c r="L2671" t="s">
        <v>1812</v>
      </c>
      <c r="M2671">
        <v>95</v>
      </c>
    </row>
    <row r="2672" spans="1:13">
      <c r="A2672" s="13" t="s">
        <v>140</v>
      </c>
      <c r="B2672" s="22" t="s">
        <v>141</v>
      </c>
      <c r="C2672" s="15" t="s">
        <v>73</v>
      </c>
      <c r="D2672" s="16"/>
      <c r="E2672" s="2">
        <v>1059969.8999999999</v>
      </c>
      <c r="F2672" s="23">
        <v>0.85195183372659933</v>
      </c>
      <c r="G2672" s="26">
        <f t="shared" si="41"/>
        <v>903043.3</v>
      </c>
      <c r="H2672" t="s">
        <v>1806</v>
      </c>
      <c r="K2672" t="s">
        <v>1810</v>
      </c>
      <c r="L2672" t="s">
        <v>1812</v>
      </c>
    </row>
    <row r="2673" spans="1:13">
      <c r="A2673" s="19" t="s">
        <v>140</v>
      </c>
      <c r="B2673" s="20" t="s">
        <v>141</v>
      </c>
      <c r="C2673" s="19" t="s">
        <v>74</v>
      </c>
      <c r="D2673" s="20"/>
      <c r="E2673" s="3">
        <v>1059969.8999999999</v>
      </c>
      <c r="F2673" s="24">
        <v>0.1248659136452837</v>
      </c>
      <c r="G2673" s="26">
        <f t="shared" si="41"/>
        <v>132354.10999999999</v>
      </c>
      <c r="H2673" t="s">
        <v>1806</v>
      </c>
      <c r="K2673" t="s">
        <v>1810</v>
      </c>
      <c r="L2673" t="s">
        <v>1812</v>
      </c>
    </row>
    <row r="2674" spans="1:13">
      <c r="A2674" s="13" t="s">
        <v>142</v>
      </c>
      <c r="B2674" s="14" t="s">
        <v>0</v>
      </c>
      <c r="C2674" s="15" t="s">
        <v>72</v>
      </c>
      <c r="D2674" s="16"/>
      <c r="E2674" s="2">
        <v>1167104.8400000001</v>
      </c>
      <c r="F2674" s="23">
        <v>4.3401507957074356E-2</v>
      </c>
      <c r="G2674" s="26">
        <f t="shared" si="41"/>
        <v>50654.11</v>
      </c>
      <c r="H2674" t="s">
        <v>1806</v>
      </c>
      <c r="K2674" t="s">
        <v>1810</v>
      </c>
      <c r="L2674" t="s">
        <v>1812</v>
      </c>
      <c r="M2674">
        <v>98</v>
      </c>
    </row>
    <row r="2675" spans="1:13">
      <c r="A2675" s="17" t="s">
        <v>142</v>
      </c>
      <c r="B2675" s="18" t="s">
        <v>0</v>
      </c>
      <c r="C2675" s="19" t="s">
        <v>73</v>
      </c>
      <c r="D2675" s="20"/>
      <c r="E2675" s="3">
        <v>1167104.8400000001</v>
      </c>
      <c r="F2675" s="24">
        <v>0.88649377034543009</v>
      </c>
      <c r="G2675" s="26">
        <f t="shared" si="41"/>
        <v>1034631.17</v>
      </c>
      <c r="H2675" t="s">
        <v>1806</v>
      </c>
      <c r="K2675" t="s">
        <v>1810</v>
      </c>
      <c r="L2675" t="s">
        <v>1812</v>
      </c>
    </row>
    <row r="2676" spans="1:13">
      <c r="A2676" s="15" t="s">
        <v>142</v>
      </c>
      <c r="B2676" s="16" t="s">
        <v>0</v>
      </c>
      <c r="C2676" s="15" t="s">
        <v>74</v>
      </c>
      <c r="D2676" s="16"/>
      <c r="E2676" s="2">
        <v>1167104.8400000001</v>
      </c>
      <c r="F2676" s="23">
        <v>7.0104721697495487E-2</v>
      </c>
      <c r="G2676" s="26">
        <f t="shared" si="41"/>
        <v>81819.56</v>
      </c>
      <c r="H2676" t="s">
        <v>1806</v>
      </c>
      <c r="K2676" t="s">
        <v>1810</v>
      </c>
      <c r="L2676" t="s">
        <v>1812</v>
      </c>
    </row>
    <row r="2677" spans="1:13">
      <c r="A2677" s="17" t="s">
        <v>1</v>
      </c>
      <c r="B2677" s="21" t="s">
        <v>2</v>
      </c>
      <c r="C2677" s="19" t="s">
        <v>72</v>
      </c>
      <c r="D2677" s="20"/>
      <c r="E2677" s="3">
        <v>2018903.89</v>
      </c>
      <c r="F2677" s="24">
        <v>4.5458379893457933E-3</v>
      </c>
      <c r="G2677" s="26">
        <f t="shared" si="41"/>
        <v>9177.61</v>
      </c>
      <c r="H2677" t="s">
        <v>1806</v>
      </c>
      <c r="M2677">
        <v>192</v>
      </c>
    </row>
    <row r="2678" spans="1:13">
      <c r="A2678" s="13" t="s">
        <v>1</v>
      </c>
      <c r="B2678" s="22" t="s">
        <v>2</v>
      </c>
      <c r="C2678" s="15" t="s">
        <v>73</v>
      </c>
      <c r="D2678" s="16"/>
      <c r="E2678" s="2">
        <v>2018903.89</v>
      </c>
      <c r="F2678" s="23">
        <v>0.9142538825857629</v>
      </c>
      <c r="G2678" s="26">
        <f t="shared" si="41"/>
        <v>1845790.72</v>
      </c>
      <c r="H2678" t="s">
        <v>1806</v>
      </c>
    </row>
    <row r="2679" spans="1:13">
      <c r="A2679" s="19" t="s">
        <v>1</v>
      </c>
      <c r="B2679" s="20" t="s">
        <v>2</v>
      </c>
      <c r="C2679" s="19" t="s">
        <v>74</v>
      </c>
      <c r="D2679" s="20"/>
      <c r="E2679" s="3">
        <v>2018903.89</v>
      </c>
      <c r="F2679" s="24">
        <v>8.1200279424891303E-2</v>
      </c>
      <c r="G2679" s="26">
        <f t="shared" si="41"/>
        <v>163935.56</v>
      </c>
      <c r="H2679" t="s">
        <v>1806</v>
      </c>
    </row>
    <row r="2680" spans="1:13">
      <c r="A2680" s="13" t="s">
        <v>3</v>
      </c>
      <c r="B2680" s="14" t="s">
        <v>4</v>
      </c>
      <c r="C2680" s="15" t="s">
        <v>72</v>
      </c>
      <c r="D2680" s="16"/>
      <c r="E2680" s="2">
        <v>1839838.57</v>
      </c>
      <c r="F2680" s="23">
        <v>7.1659710884308721E-3</v>
      </c>
      <c r="G2680" s="26">
        <f t="shared" si="41"/>
        <v>13184.23</v>
      </c>
      <c r="H2680" t="s">
        <v>1806</v>
      </c>
      <c r="M2680">
        <v>224</v>
      </c>
    </row>
    <row r="2681" spans="1:13">
      <c r="A2681" s="17" t="s">
        <v>3</v>
      </c>
      <c r="B2681" s="18" t="s">
        <v>4</v>
      </c>
      <c r="C2681" s="19" t="s">
        <v>73</v>
      </c>
      <c r="D2681" s="20"/>
      <c r="E2681" s="3">
        <v>1839838.57</v>
      </c>
      <c r="F2681" s="24">
        <v>0.81790883425169192</v>
      </c>
      <c r="G2681" s="26">
        <f t="shared" si="41"/>
        <v>1504820.22</v>
      </c>
      <c r="H2681" t="s">
        <v>1806</v>
      </c>
    </row>
    <row r="2682" spans="1:13">
      <c r="A2682" s="15" t="s">
        <v>3</v>
      </c>
      <c r="B2682" s="16" t="s">
        <v>4</v>
      </c>
      <c r="C2682" s="15" t="s">
        <v>74</v>
      </c>
      <c r="D2682" s="16"/>
      <c r="E2682" s="2">
        <v>1839838.57</v>
      </c>
      <c r="F2682" s="23">
        <v>0.17492519465987713</v>
      </c>
      <c r="G2682" s="26">
        <f t="shared" si="41"/>
        <v>321834.12</v>
      </c>
      <c r="H2682" t="s">
        <v>1806</v>
      </c>
    </row>
    <row r="2683" spans="1:13">
      <c r="A2683" s="17" t="s">
        <v>5</v>
      </c>
      <c r="B2683" s="21" t="s">
        <v>6</v>
      </c>
      <c r="C2683" s="19" t="s">
        <v>72</v>
      </c>
      <c r="D2683" s="20"/>
      <c r="E2683" s="3">
        <v>1683615.61</v>
      </c>
      <c r="F2683" s="24">
        <v>0</v>
      </c>
      <c r="G2683" s="26">
        <f t="shared" si="41"/>
        <v>0</v>
      </c>
      <c r="H2683" t="s">
        <v>1806</v>
      </c>
      <c r="M2683">
        <v>197</v>
      </c>
    </row>
    <row r="2684" spans="1:13">
      <c r="A2684" s="13" t="s">
        <v>5</v>
      </c>
      <c r="B2684" s="22" t="s">
        <v>6</v>
      </c>
      <c r="C2684" s="15" t="s">
        <v>73</v>
      </c>
      <c r="D2684" s="16"/>
      <c r="E2684" s="2">
        <v>1683615.61</v>
      </c>
      <c r="F2684" s="23">
        <v>0.81907134966514117</v>
      </c>
      <c r="G2684" s="26">
        <f t="shared" si="41"/>
        <v>1379001.31</v>
      </c>
      <c r="H2684" t="s">
        <v>1806</v>
      </c>
    </row>
    <row r="2685" spans="1:13">
      <c r="A2685" s="19" t="s">
        <v>5</v>
      </c>
      <c r="B2685" s="20" t="s">
        <v>6</v>
      </c>
      <c r="C2685" s="19" t="s">
        <v>74</v>
      </c>
      <c r="D2685" s="20"/>
      <c r="E2685" s="3">
        <v>1683615.61</v>
      </c>
      <c r="F2685" s="24">
        <v>0.18092865033485878</v>
      </c>
      <c r="G2685" s="26">
        <f t="shared" si="41"/>
        <v>304614.3</v>
      </c>
      <c r="H2685" t="s">
        <v>1806</v>
      </c>
    </row>
    <row r="2686" spans="1:13">
      <c r="A2686" s="13" t="s">
        <v>7</v>
      </c>
      <c r="B2686" s="14" t="s">
        <v>8</v>
      </c>
      <c r="C2686" s="15" t="s">
        <v>72</v>
      </c>
      <c r="D2686" s="16"/>
      <c r="E2686" s="2">
        <v>3812153.02</v>
      </c>
      <c r="F2686" s="23">
        <v>3.0344558414394391E-3</v>
      </c>
      <c r="G2686" s="26">
        <f t="shared" si="41"/>
        <v>11567.81</v>
      </c>
      <c r="H2686" t="s">
        <v>1806</v>
      </c>
      <c r="M2686">
        <v>535</v>
      </c>
    </row>
    <row r="2687" spans="1:13">
      <c r="A2687" s="17" t="s">
        <v>7</v>
      </c>
      <c r="B2687" s="18" t="s">
        <v>8</v>
      </c>
      <c r="C2687" s="19" t="s">
        <v>73</v>
      </c>
      <c r="D2687" s="20"/>
      <c r="E2687" s="3">
        <v>3812153.02</v>
      </c>
      <c r="F2687" s="24">
        <v>0.89296704831643925</v>
      </c>
      <c r="G2687" s="26">
        <f t="shared" si="41"/>
        <v>3404127.03</v>
      </c>
      <c r="H2687" t="s">
        <v>1806</v>
      </c>
    </row>
    <row r="2688" spans="1:13">
      <c r="A2688" s="15" t="s">
        <v>7</v>
      </c>
      <c r="B2688" s="16" t="s">
        <v>8</v>
      </c>
      <c r="C2688" s="15" t="s">
        <v>74</v>
      </c>
      <c r="D2688" s="16"/>
      <c r="E2688" s="2">
        <v>3812153.02</v>
      </c>
      <c r="F2688" s="23">
        <v>0.10399849584212126</v>
      </c>
      <c r="G2688" s="26">
        <f t="shared" si="41"/>
        <v>396458.18</v>
      </c>
      <c r="H2688" t="s">
        <v>1806</v>
      </c>
    </row>
    <row r="2689" spans="1:13">
      <c r="A2689" s="17" t="s">
        <v>9</v>
      </c>
      <c r="B2689" s="21" t="s">
        <v>10</v>
      </c>
      <c r="C2689" s="19" t="s">
        <v>72</v>
      </c>
      <c r="D2689" s="20"/>
      <c r="E2689" s="3">
        <v>2756615</v>
      </c>
      <c r="F2689" s="24">
        <v>0</v>
      </c>
      <c r="G2689" s="26">
        <f t="shared" si="41"/>
        <v>0</v>
      </c>
      <c r="H2689" t="s">
        <v>1806</v>
      </c>
      <c r="K2689" t="s">
        <v>1810</v>
      </c>
      <c r="M2689">
        <v>328</v>
      </c>
    </row>
    <row r="2690" spans="1:13">
      <c r="A2690" s="13" t="s">
        <v>9</v>
      </c>
      <c r="B2690" s="22" t="s">
        <v>10</v>
      </c>
      <c r="C2690" s="15" t="s">
        <v>73</v>
      </c>
      <c r="D2690" s="16"/>
      <c r="E2690" s="2">
        <v>2756615</v>
      </c>
      <c r="F2690" s="23">
        <v>1</v>
      </c>
      <c r="G2690" s="26">
        <f t="shared" si="41"/>
        <v>2756615</v>
      </c>
      <c r="H2690" t="s">
        <v>1806</v>
      </c>
      <c r="K2690" t="s">
        <v>1810</v>
      </c>
    </row>
    <row r="2691" spans="1:13">
      <c r="A2691" s="19" t="s">
        <v>9</v>
      </c>
      <c r="B2691" s="20" t="s">
        <v>10</v>
      </c>
      <c r="C2691" s="19" t="s">
        <v>74</v>
      </c>
      <c r="D2691" s="20"/>
      <c r="E2691" s="3">
        <v>2756615</v>
      </c>
      <c r="F2691" s="24">
        <v>0</v>
      </c>
      <c r="G2691" s="26">
        <f t="shared" si="41"/>
        <v>0</v>
      </c>
      <c r="H2691" t="s">
        <v>1806</v>
      </c>
      <c r="K2691" t="s">
        <v>1810</v>
      </c>
    </row>
    <row r="2692" spans="1:13">
      <c r="A2692" s="13" t="s">
        <v>11</v>
      </c>
      <c r="B2692" s="14" t="s">
        <v>12</v>
      </c>
      <c r="C2692" s="15" t="s">
        <v>72</v>
      </c>
      <c r="D2692" s="16"/>
      <c r="E2692" s="2">
        <v>2296101</v>
      </c>
      <c r="F2692" s="23">
        <v>1.19419833883614E-3</v>
      </c>
      <c r="G2692" s="26">
        <f t="shared" si="41"/>
        <v>2742</v>
      </c>
      <c r="H2692" t="s">
        <v>1806</v>
      </c>
      <c r="M2692">
        <v>323</v>
      </c>
    </row>
    <row r="2693" spans="1:13">
      <c r="A2693" s="17" t="s">
        <v>11</v>
      </c>
      <c r="B2693" s="18" t="s">
        <v>12</v>
      </c>
      <c r="C2693" s="19" t="s">
        <v>73</v>
      </c>
      <c r="D2693" s="20"/>
      <c r="E2693" s="3">
        <v>2296101</v>
      </c>
      <c r="F2693" s="24">
        <v>0.99880580166116384</v>
      </c>
      <c r="G2693" s="26">
        <f t="shared" ref="G2693:G2756" si="42">F2693*E2693</f>
        <v>2293359</v>
      </c>
      <c r="H2693" t="s">
        <v>1806</v>
      </c>
    </row>
    <row r="2694" spans="1:13">
      <c r="A2694" s="15" t="s">
        <v>11</v>
      </c>
      <c r="B2694" s="16" t="s">
        <v>12</v>
      </c>
      <c r="C2694" s="15" t="s">
        <v>74</v>
      </c>
      <c r="D2694" s="16"/>
      <c r="E2694" s="2">
        <v>2296101</v>
      </c>
      <c r="F2694" s="23">
        <v>0</v>
      </c>
      <c r="G2694" s="26">
        <f t="shared" si="42"/>
        <v>0</v>
      </c>
      <c r="H2694" t="s">
        <v>1806</v>
      </c>
    </row>
    <row r="2695" spans="1:13">
      <c r="A2695" s="17" t="s">
        <v>13</v>
      </c>
      <c r="B2695" s="21" t="s">
        <v>14</v>
      </c>
      <c r="C2695" s="19" t="s">
        <v>72</v>
      </c>
      <c r="D2695" s="20"/>
      <c r="E2695" s="3">
        <v>1521089.34</v>
      </c>
      <c r="F2695" s="24">
        <v>6.6109200397131173E-4</v>
      </c>
      <c r="G2695" s="26">
        <f t="shared" si="42"/>
        <v>1005.58</v>
      </c>
      <c r="H2695" t="s">
        <v>1811</v>
      </c>
      <c r="M2695">
        <v>43</v>
      </c>
    </row>
    <row r="2696" spans="1:13">
      <c r="A2696" s="13" t="s">
        <v>13</v>
      </c>
      <c r="B2696" s="22" t="s">
        <v>14</v>
      </c>
      <c r="C2696" s="15" t="s">
        <v>73</v>
      </c>
      <c r="D2696" s="16"/>
      <c r="E2696" s="2">
        <v>1521089.34</v>
      </c>
      <c r="F2696" s="23">
        <v>0.96254124691978971</v>
      </c>
      <c r="G2696" s="26">
        <f t="shared" si="42"/>
        <v>1464111.23</v>
      </c>
      <c r="H2696" t="s">
        <v>1811</v>
      </c>
    </row>
    <row r="2697" spans="1:13">
      <c r="A2697" s="19" t="s">
        <v>13</v>
      </c>
      <c r="B2697" s="20" t="s">
        <v>14</v>
      </c>
      <c r="C2697" s="19" t="s">
        <v>74</v>
      </c>
      <c r="D2697" s="20"/>
      <c r="E2697" s="3">
        <v>1521089.34</v>
      </c>
      <c r="F2697" s="24">
        <v>3.6797661076238948E-2</v>
      </c>
      <c r="G2697" s="26">
        <f t="shared" si="42"/>
        <v>55972.529999999992</v>
      </c>
      <c r="H2697" t="s">
        <v>1811</v>
      </c>
    </row>
    <row r="2698" spans="1:13">
      <c r="A2698" s="13" t="s">
        <v>15</v>
      </c>
      <c r="B2698" s="14" t="s">
        <v>16</v>
      </c>
      <c r="C2698" s="15" t="s">
        <v>72</v>
      </c>
      <c r="D2698" s="16"/>
      <c r="E2698" s="2">
        <v>8804908.7200000007</v>
      </c>
      <c r="F2698" s="23">
        <v>2.4915079414928904E-4</v>
      </c>
      <c r="G2698" s="26">
        <f t="shared" si="42"/>
        <v>2193.75</v>
      </c>
      <c r="H2698" t="s">
        <v>1806</v>
      </c>
      <c r="M2698">
        <v>1100</v>
      </c>
    </row>
    <row r="2699" spans="1:13">
      <c r="A2699" s="17" t="s">
        <v>15</v>
      </c>
      <c r="B2699" s="18" t="s">
        <v>16</v>
      </c>
      <c r="C2699" s="19" t="s">
        <v>73</v>
      </c>
      <c r="D2699" s="20"/>
      <c r="E2699" s="3">
        <v>8804908.7200000007</v>
      </c>
      <c r="F2699" s="24">
        <v>0.94707408846369046</v>
      </c>
      <c r="G2699" s="26">
        <f t="shared" si="42"/>
        <v>8338900.9000000004</v>
      </c>
      <c r="H2699" t="s">
        <v>1806</v>
      </c>
    </row>
    <row r="2700" spans="1:13">
      <c r="A2700" s="15" t="s">
        <v>15</v>
      </c>
      <c r="B2700" s="16" t="s">
        <v>16</v>
      </c>
      <c r="C2700" s="15" t="s">
        <v>74</v>
      </c>
      <c r="D2700" s="16"/>
      <c r="E2700" s="2">
        <v>8804908.7200000007</v>
      </c>
      <c r="F2700" s="23">
        <v>5.2676760742160197E-2</v>
      </c>
      <c r="G2700" s="26">
        <f t="shared" si="42"/>
        <v>463814.07</v>
      </c>
      <c r="H2700" t="s">
        <v>1806</v>
      </c>
    </row>
    <row r="2701" spans="1:13">
      <c r="A2701" s="17" t="s">
        <v>17</v>
      </c>
      <c r="B2701" s="21" t="s">
        <v>18</v>
      </c>
      <c r="C2701" s="19" t="s">
        <v>72</v>
      </c>
      <c r="D2701" s="20"/>
      <c r="E2701" s="3">
        <v>4017568.6</v>
      </c>
      <c r="F2701" s="24">
        <v>4.879384013505083E-3</v>
      </c>
      <c r="G2701" s="26">
        <f t="shared" si="42"/>
        <v>19603.259999999998</v>
      </c>
      <c r="H2701" t="s">
        <v>1806</v>
      </c>
      <c r="K2701" t="s">
        <v>1809</v>
      </c>
      <c r="L2701" t="s">
        <v>1814</v>
      </c>
      <c r="M2701">
        <v>510</v>
      </c>
    </row>
    <row r="2702" spans="1:13">
      <c r="A2702" s="13" t="s">
        <v>17</v>
      </c>
      <c r="B2702" s="22" t="s">
        <v>18</v>
      </c>
      <c r="C2702" s="15" t="s">
        <v>73</v>
      </c>
      <c r="D2702" s="16"/>
      <c r="E2702" s="2">
        <v>4017568.6</v>
      </c>
      <c r="F2702" s="23">
        <v>0.8791619090212921</v>
      </c>
      <c r="G2702" s="26">
        <f t="shared" si="42"/>
        <v>3532093.28</v>
      </c>
      <c r="H2702" t="s">
        <v>1806</v>
      </c>
      <c r="K2702" t="s">
        <v>1809</v>
      </c>
      <c r="L2702" t="s">
        <v>1814</v>
      </c>
    </row>
    <row r="2703" spans="1:13">
      <c r="A2703" s="19" t="s">
        <v>17</v>
      </c>
      <c r="B2703" s="20" t="s">
        <v>18</v>
      </c>
      <c r="C2703" s="19" t="s">
        <v>74</v>
      </c>
      <c r="D2703" s="20"/>
      <c r="E2703" s="3">
        <v>4017568.6</v>
      </c>
      <c r="F2703" s="24">
        <v>0.11595870696520279</v>
      </c>
      <c r="G2703" s="26">
        <f t="shared" si="42"/>
        <v>465872.06</v>
      </c>
      <c r="H2703" t="s">
        <v>1806</v>
      </c>
      <c r="K2703" t="s">
        <v>1809</v>
      </c>
      <c r="L2703" t="s">
        <v>1814</v>
      </c>
    </row>
    <row r="2704" spans="1:13">
      <c r="A2704" s="13" t="s">
        <v>19</v>
      </c>
      <c r="B2704" s="14" t="s">
        <v>20</v>
      </c>
      <c r="C2704" s="15" t="s">
        <v>72</v>
      </c>
      <c r="D2704" s="16"/>
      <c r="E2704" s="2">
        <v>1295931.69</v>
      </c>
      <c r="F2704" s="23">
        <v>0.23488700241599927</v>
      </c>
      <c r="G2704" s="26">
        <f t="shared" si="42"/>
        <v>304397.51</v>
      </c>
      <c r="H2704" t="s">
        <v>1811</v>
      </c>
      <c r="K2704" t="s">
        <v>1810</v>
      </c>
      <c r="L2704" t="s">
        <v>1812</v>
      </c>
      <c r="M2704">
        <v>86</v>
      </c>
    </row>
    <row r="2705" spans="1:13">
      <c r="A2705" s="17" t="s">
        <v>19</v>
      </c>
      <c r="B2705" s="18" t="s">
        <v>20</v>
      </c>
      <c r="C2705" s="19" t="s">
        <v>73</v>
      </c>
      <c r="D2705" s="20"/>
      <c r="E2705" s="3">
        <v>1295931.69</v>
      </c>
      <c r="F2705" s="24">
        <v>0.71537174154603789</v>
      </c>
      <c r="G2705" s="26">
        <f t="shared" si="42"/>
        <v>927072.91</v>
      </c>
      <c r="H2705" t="s">
        <v>1811</v>
      </c>
      <c r="K2705" t="s">
        <v>1810</v>
      </c>
      <c r="L2705" t="s">
        <v>1812</v>
      </c>
    </row>
    <row r="2706" spans="1:13">
      <c r="A2706" s="15" t="s">
        <v>19</v>
      </c>
      <c r="B2706" s="16" t="s">
        <v>20</v>
      </c>
      <c r="C2706" s="15" t="s">
        <v>74</v>
      </c>
      <c r="D2706" s="16"/>
      <c r="E2706" s="2">
        <v>1295931.69</v>
      </c>
      <c r="F2706" s="23">
        <v>4.9741256037962929E-2</v>
      </c>
      <c r="G2706" s="26">
        <f t="shared" si="42"/>
        <v>64461.27</v>
      </c>
      <c r="H2706" t="s">
        <v>1811</v>
      </c>
      <c r="K2706" t="s">
        <v>1810</v>
      </c>
      <c r="L2706" t="s">
        <v>1812</v>
      </c>
    </row>
    <row r="2707" spans="1:13">
      <c r="A2707" s="17" t="s">
        <v>21</v>
      </c>
      <c r="B2707" s="21" t="s">
        <v>22</v>
      </c>
      <c r="C2707" s="19" t="s">
        <v>72</v>
      </c>
      <c r="D2707" s="20"/>
      <c r="E2707" s="3">
        <v>788059.28</v>
      </c>
      <c r="F2707" s="24">
        <v>0.21561141948610768</v>
      </c>
      <c r="G2707" s="26">
        <f t="shared" si="42"/>
        <v>169914.58</v>
      </c>
      <c r="H2707" t="s">
        <v>1811</v>
      </c>
      <c r="K2707" t="s">
        <v>1810</v>
      </c>
      <c r="L2707" t="s">
        <v>1812</v>
      </c>
      <c r="M2707">
        <v>89</v>
      </c>
    </row>
    <row r="2708" spans="1:13">
      <c r="A2708" s="13" t="s">
        <v>21</v>
      </c>
      <c r="B2708" s="22" t="s">
        <v>22</v>
      </c>
      <c r="C2708" s="15" t="s">
        <v>73</v>
      </c>
      <c r="D2708" s="16"/>
      <c r="E2708" s="2">
        <v>788059.28</v>
      </c>
      <c r="F2708" s="23">
        <v>0.65859177497408572</v>
      </c>
      <c r="G2708" s="26">
        <f t="shared" si="42"/>
        <v>519009.36000000004</v>
      </c>
      <c r="H2708" t="s">
        <v>1811</v>
      </c>
      <c r="K2708" t="s">
        <v>1810</v>
      </c>
      <c r="L2708" t="s">
        <v>1812</v>
      </c>
    </row>
    <row r="2709" spans="1:13">
      <c r="A2709" s="19" t="s">
        <v>21</v>
      </c>
      <c r="B2709" s="20" t="s">
        <v>22</v>
      </c>
      <c r="C2709" s="19" t="s">
        <v>74</v>
      </c>
      <c r="D2709" s="20"/>
      <c r="E2709" s="3">
        <v>788059.28</v>
      </c>
      <c r="F2709" s="24">
        <v>0.1257968055398066</v>
      </c>
      <c r="G2709" s="26">
        <f t="shared" si="42"/>
        <v>99135.340000000011</v>
      </c>
      <c r="H2709" t="s">
        <v>1811</v>
      </c>
      <c r="K2709" t="s">
        <v>1810</v>
      </c>
      <c r="L2709" t="s">
        <v>1812</v>
      </c>
    </row>
    <row r="2710" spans="1:13">
      <c r="A2710" s="13" t="s">
        <v>23</v>
      </c>
      <c r="B2710" s="14" t="s">
        <v>24</v>
      </c>
      <c r="C2710" s="15" t="s">
        <v>72</v>
      </c>
      <c r="D2710" s="16"/>
      <c r="E2710" s="2">
        <v>662280.16</v>
      </c>
      <c r="F2710" s="23">
        <v>1.7601946584055908E-2</v>
      </c>
      <c r="G2710" s="26">
        <f t="shared" si="42"/>
        <v>11657.42</v>
      </c>
      <c r="H2710" t="s">
        <v>1806</v>
      </c>
      <c r="M2710">
        <v>131</v>
      </c>
    </row>
    <row r="2711" spans="1:13">
      <c r="A2711" s="17" t="s">
        <v>23</v>
      </c>
      <c r="B2711" s="18" t="s">
        <v>24</v>
      </c>
      <c r="C2711" s="19" t="s">
        <v>73</v>
      </c>
      <c r="D2711" s="20"/>
      <c r="E2711" s="3">
        <v>662280.16</v>
      </c>
      <c r="F2711" s="24">
        <v>0.79702885860267958</v>
      </c>
      <c r="G2711" s="26">
        <f t="shared" si="42"/>
        <v>527856.4</v>
      </c>
      <c r="H2711" t="s">
        <v>1806</v>
      </c>
    </row>
    <row r="2712" spans="1:13">
      <c r="A2712" s="15" t="s">
        <v>23</v>
      </c>
      <c r="B2712" s="16" t="s">
        <v>24</v>
      </c>
      <c r="C2712" s="15" t="s">
        <v>74</v>
      </c>
      <c r="D2712" s="16"/>
      <c r="E2712" s="2">
        <v>662280.16</v>
      </c>
      <c r="F2712" s="23">
        <v>0.1853691948132645</v>
      </c>
      <c r="G2712" s="26">
        <f t="shared" si="42"/>
        <v>122766.33999999998</v>
      </c>
      <c r="H2712" t="s">
        <v>1806</v>
      </c>
    </row>
    <row r="2713" spans="1:13">
      <c r="A2713" s="17" t="s">
        <v>25</v>
      </c>
      <c r="B2713" s="21" t="s">
        <v>26</v>
      </c>
      <c r="C2713" s="19" t="s">
        <v>72</v>
      </c>
      <c r="D2713" s="20"/>
      <c r="E2713" s="3">
        <v>1809630.16</v>
      </c>
      <c r="F2713" s="24">
        <v>0</v>
      </c>
      <c r="G2713" s="26">
        <f t="shared" si="42"/>
        <v>0</v>
      </c>
      <c r="H2713" t="s">
        <v>1806</v>
      </c>
      <c r="K2713" t="s">
        <v>1810</v>
      </c>
      <c r="L2713" t="s">
        <v>1812</v>
      </c>
      <c r="M2713">
        <v>221</v>
      </c>
    </row>
    <row r="2714" spans="1:13">
      <c r="A2714" s="13" t="s">
        <v>25</v>
      </c>
      <c r="B2714" s="22" t="s">
        <v>26</v>
      </c>
      <c r="C2714" s="15" t="s">
        <v>73</v>
      </c>
      <c r="D2714" s="16"/>
      <c r="E2714" s="2">
        <v>1809630.16</v>
      </c>
      <c r="F2714" s="23">
        <v>0.91645172956224386</v>
      </c>
      <c r="G2714" s="26">
        <f t="shared" si="42"/>
        <v>1658438.69</v>
      </c>
      <c r="H2714" t="s">
        <v>1806</v>
      </c>
      <c r="K2714" t="s">
        <v>1810</v>
      </c>
      <c r="L2714" t="s">
        <v>1812</v>
      </c>
    </row>
    <row r="2715" spans="1:13">
      <c r="A2715" s="19" t="s">
        <v>25</v>
      </c>
      <c r="B2715" s="20" t="s">
        <v>26</v>
      </c>
      <c r="C2715" s="19" t="s">
        <v>74</v>
      </c>
      <c r="D2715" s="20"/>
      <c r="E2715" s="3">
        <v>1809630.16</v>
      </c>
      <c r="F2715" s="24">
        <v>8.3548270437756186E-2</v>
      </c>
      <c r="G2715" s="26">
        <f t="shared" si="42"/>
        <v>151191.47</v>
      </c>
      <c r="H2715" t="s">
        <v>1806</v>
      </c>
      <c r="K2715" t="s">
        <v>1810</v>
      </c>
      <c r="L2715" t="s">
        <v>1812</v>
      </c>
    </row>
    <row r="2716" spans="1:13">
      <c r="A2716" s="13" t="s">
        <v>27</v>
      </c>
      <c r="B2716" s="14" t="s">
        <v>28</v>
      </c>
      <c r="C2716" s="15" t="s">
        <v>72</v>
      </c>
      <c r="D2716" s="16"/>
      <c r="E2716" s="2">
        <v>17351899.23</v>
      </c>
      <c r="F2716" s="23">
        <v>6.0497627728558448E-2</v>
      </c>
      <c r="G2716" s="26">
        <f t="shared" si="42"/>
        <v>1049748.74</v>
      </c>
      <c r="H2716" t="s">
        <v>1806</v>
      </c>
      <c r="M2716">
        <v>2125</v>
      </c>
    </row>
    <row r="2717" spans="1:13">
      <c r="A2717" s="17" t="s">
        <v>27</v>
      </c>
      <c r="B2717" s="18" t="s">
        <v>28</v>
      </c>
      <c r="C2717" s="19" t="s">
        <v>73</v>
      </c>
      <c r="D2717" s="20"/>
      <c r="E2717" s="3">
        <v>17351899.23</v>
      </c>
      <c r="F2717" s="24">
        <v>0.86398032291938331</v>
      </c>
      <c r="G2717" s="26">
        <f t="shared" si="42"/>
        <v>14991699.5</v>
      </c>
      <c r="H2717" t="s">
        <v>1806</v>
      </c>
    </row>
    <row r="2718" spans="1:13">
      <c r="A2718" s="15" t="s">
        <v>27</v>
      </c>
      <c r="B2718" s="16" t="s">
        <v>28</v>
      </c>
      <c r="C2718" s="15" t="s">
        <v>74</v>
      </c>
      <c r="D2718" s="16"/>
      <c r="E2718" s="2">
        <v>17351899.23</v>
      </c>
      <c r="F2718" s="23">
        <v>7.5522049352058154E-2</v>
      </c>
      <c r="G2718" s="26">
        <f t="shared" si="42"/>
        <v>1310450.99</v>
      </c>
      <c r="H2718" t="s">
        <v>1806</v>
      </c>
    </row>
    <row r="2719" spans="1:13">
      <c r="A2719" s="17" t="s">
        <v>29</v>
      </c>
      <c r="B2719" s="21" t="s">
        <v>30</v>
      </c>
      <c r="C2719" s="19" t="s">
        <v>72</v>
      </c>
      <c r="D2719" s="20"/>
      <c r="E2719" s="3">
        <v>791513.88</v>
      </c>
      <c r="F2719" s="24">
        <v>0.17240185352150741</v>
      </c>
      <c r="G2719" s="26">
        <f t="shared" si="42"/>
        <v>136458.46</v>
      </c>
      <c r="H2719" t="s">
        <v>1806</v>
      </c>
      <c r="M2719">
        <v>85</v>
      </c>
    </row>
    <row r="2720" spans="1:13">
      <c r="A2720" s="13" t="s">
        <v>29</v>
      </c>
      <c r="B2720" s="22" t="s">
        <v>30</v>
      </c>
      <c r="C2720" s="15" t="s">
        <v>73</v>
      </c>
      <c r="D2720" s="16"/>
      <c r="E2720" s="2">
        <v>791513.88</v>
      </c>
      <c r="F2720" s="23">
        <v>0.82759814647849261</v>
      </c>
      <c r="G2720" s="26">
        <f t="shared" si="42"/>
        <v>655055.42000000004</v>
      </c>
      <c r="H2720" t="s">
        <v>1806</v>
      </c>
    </row>
    <row r="2721" spans="1:13">
      <c r="A2721" s="19" t="s">
        <v>29</v>
      </c>
      <c r="B2721" s="20" t="s">
        <v>30</v>
      </c>
      <c r="C2721" s="19" t="s">
        <v>74</v>
      </c>
      <c r="D2721" s="20"/>
      <c r="E2721" s="3">
        <v>791513.88</v>
      </c>
      <c r="F2721" s="24">
        <v>0</v>
      </c>
      <c r="G2721" s="26">
        <f t="shared" si="42"/>
        <v>0</v>
      </c>
      <c r="H2721" t="s">
        <v>1806</v>
      </c>
    </row>
    <row r="2722" spans="1:13">
      <c r="A2722" s="27" t="s">
        <v>31</v>
      </c>
      <c r="B2722" s="28" t="s">
        <v>32</v>
      </c>
      <c r="C2722" s="29" t="s">
        <v>72</v>
      </c>
      <c r="D2722" s="30"/>
      <c r="E2722" s="31">
        <v>0</v>
      </c>
      <c r="F2722" s="32" t="s">
        <v>761</v>
      </c>
      <c r="G2722" s="31">
        <v>0</v>
      </c>
      <c r="H2722" s="34" t="s">
        <v>1806</v>
      </c>
      <c r="I2722" s="34"/>
      <c r="J2722" s="34"/>
      <c r="K2722" s="34" t="s">
        <v>1809</v>
      </c>
      <c r="L2722" s="34" t="s">
        <v>1814</v>
      </c>
      <c r="M2722" s="34">
        <v>218</v>
      </c>
    </row>
    <row r="2723" spans="1:13">
      <c r="A2723" s="27" t="s">
        <v>31</v>
      </c>
      <c r="B2723" s="35" t="s">
        <v>32</v>
      </c>
      <c r="C2723" s="29" t="s">
        <v>73</v>
      </c>
      <c r="D2723" s="30"/>
      <c r="E2723" s="31">
        <v>1309725.3700000001</v>
      </c>
      <c r="F2723" s="32" t="s">
        <v>761</v>
      </c>
      <c r="G2723" s="31">
        <v>1309725.3700000001</v>
      </c>
      <c r="H2723" s="34" t="s">
        <v>1806</v>
      </c>
      <c r="I2723" s="34"/>
      <c r="J2723" s="34"/>
      <c r="K2723" s="34" t="s">
        <v>1809</v>
      </c>
      <c r="L2723" s="34" t="s">
        <v>1814</v>
      </c>
      <c r="M2723" s="34"/>
    </row>
    <row r="2724" spans="1:13">
      <c r="A2724" s="29" t="s">
        <v>31</v>
      </c>
      <c r="B2724" s="30" t="s">
        <v>32</v>
      </c>
      <c r="C2724" s="29" t="s">
        <v>74</v>
      </c>
      <c r="D2724" s="30"/>
      <c r="E2724" s="31">
        <v>0</v>
      </c>
      <c r="F2724" s="32" t="s">
        <v>761</v>
      </c>
      <c r="G2724" s="31">
        <v>0</v>
      </c>
      <c r="H2724" s="34" t="s">
        <v>1806</v>
      </c>
      <c r="I2724" s="34"/>
      <c r="J2724" s="34"/>
      <c r="K2724" s="34" t="s">
        <v>1809</v>
      </c>
      <c r="L2724" s="34" t="s">
        <v>1814</v>
      </c>
      <c r="M2724" s="34"/>
    </row>
    <row r="2725" spans="1:13">
      <c r="A2725" s="17" t="s">
        <v>33</v>
      </c>
      <c r="B2725" s="21" t="s">
        <v>34</v>
      </c>
      <c r="C2725" s="19" t="s">
        <v>72</v>
      </c>
      <c r="D2725" s="20"/>
      <c r="E2725" s="3">
        <v>623936.73</v>
      </c>
      <c r="F2725" s="24">
        <v>5.8170802029878892E-3</v>
      </c>
      <c r="G2725" s="26">
        <f t="shared" si="42"/>
        <v>3629.49</v>
      </c>
      <c r="H2725" t="s">
        <v>1806</v>
      </c>
      <c r="M2725">
        <v>62</v>
      </c>
    </row>
    <row r="2726" spans="1:13">
      <c r="A2726" s="13" t="s">
        <v>33</v>
      </c>
      <c r="B2726" s="22" t="s">
        <v>34</v>
      </c>
      <c r="C2726" s="15" t="s">
        <v>73</v>
      </c>
      <c r="D2726" s="16"/>
      <c r="E2726" s="2">
        <v>623936.73</v>
      </c>
      <c r="F2726" s="23">
        <v>0.87635366489804178</v>
      </c>
      <c r="G2726" s="26">
        <f t="shared" si="42"/>
        <v>546789.24</v>
      </c>
      <c r="H2726" t="s">
        <v>1806</v>
      </c>
    </row>
    <row r="2727" spans="1:13">
      <c r="A2727" s="19" t="s">
        <v>33</v>
      </c>
      <c r="B2727" s="20" t="s">
        <v>34</v>
      </c>
      <c r="C2727" s="19" t="s">
        <v>74</v>
      </c>
      <c r="D2727" s="20"/>
      <c r="E2727" s="3">
        <v>623936.73</v>
      </c>
      <c r="F2727" s="24">
        <v>0.1178292548989703</v>
      </c>
      <c r="G2727" s="26">
        <f t="shared" si="42"/>
        <v>73518</v>
      </c>
      <c r="H2727" t="s">
        <v>1806</v>
      </c>
    </row>
    <row r="2728" spans="1:13">
      <c r="A2728" s="13" t="s">
        <v>35</v>
      </c>
      <c r="B2728" s="14" t="s">
        <v>36</v>
      </c>
      <c r="C2728" s="15" t="s">
        <v>72</v>
      </c>
      <c r="D2728" s="16"/>
      <c r="E2728" s="2">
        <v>1114230.32</v>
      </c>
      <c r="F2728" s="23">
        <v>4.1690437933873489E-2</v>
      </c>
      <c r="G2728" s="26">
        <f t="shared" si="42"/>
        <v>46452.75</v>
      </c>
      <c r="H2728" t="s">
        <v>1806</v>
      </c>
      <c r="K2728" t="s">
        <v>1809</v>
      </c>
      <c r="L2728" s="37" t="s">
        <v>1816</v>
      </c>
      <c r="M2728">
        <v>124</v>
      </c>
    </row>
    <row r="2729" spans="1:13">
      <c r="A2729" s="17" t="s">
        <v>35</v>
      </c>
      <c r="B2729" s="18" t="s">
        <v>36</v>
      </c>
      <c r="C2729" s="19" t="s">
        <v>73</v>
      </c>
      <c r="D2729" s="20"/>
      <c r="E2729" s="3">
        <v>1114230.32</v>
      </c>
      <c r="F2729" s="24">
        <v>0.78858123336654484</v>
      </c>
      <c r="G2729" s="26">
        <f t="shared" si="42"/>
        <v>878661.12</v>
      </c>
      <c r="H2729" t="s">
        <v>1806</v>
      </c>
      <c r="K2729" t="s">
        <v>1809</v>
      </c>
      <c r="L2729" s="37" t="s">
        <v>1816</v>
      </c>
    </row>
    <row r="2730" spans="1:13">
      <c r="A2730" s="15" t="s">
        <v>35</v>
      </c>
      <c r="B2730" s="16" t="s">
        <v>36</v>
      </c>
      <c r="C2730" s="15" t="s">
        <v>74</v>
      </c>
      <c r="D2730" s="16"/>
      <c r="E2730" s="2">
        <v>1114230.32</v>
      </c>
      <c r="F2730" s="23">
        <v>0.1697283286995816</v>
      </c>
      <c r="G2730" s="26">
        <f t="shared" si="42"/>
        <v>189116.45</v>
      </c>
      <c r="H2730" t="s">
        <v>1806</v>
      </c>
      <c r="K2730" t="s">
        <v>1809</v>
      </c>
      <c r="L2730" s="37" t="s">
        <v>1816</v>
      </c>
    </row>
    <row r="2731" spans="1:13">
      <c r="A2731" s="17" t="s">
        <v>37</v>
      </c>
      <c r="B2731" s="21" t="s">
        <v>38</v>
      </c>
      <c r="C2731" s="19" t="s">
        <v>72</v>
      </c>
      <c r="D2731" s="20"/>
      <c r="E2731" s="3">
        <v>1458765.45</v>
      </c>
      <c r="F2731" s="24">
        <v>1.4433889971825148E-2</v>
      </c>
      <c r="G2731" s="26">
        <f t="shared" si="42"/>
        <v>21055.66</v>
      </c>
      <c r="H2731" t="s">
        <v>1806</v>
      </c>
      <c r="K2731" t="s">
        <v>1809</v>
      </c>
      <c r="L2731" t="s">
        <v>1814</v>
      </c>
      <c r="M2731">
        <v>188</v>
      </c>
    </row>
    <row r="2732" spans="1:13">
      <c r="A2732" s="13" t="s">
        <v>37</v>
      </c>
      <c r="B2732" s="22" t="s">
        <v>38</v>
      </c>
      <c r="C2732" s="15" t="s">
        <v>73</v>
      </c>
      <c r="D2732" s="16"/>
      <c r="E2732" s="2">
        <v>1458765.45</v>
      </c>
      <c r="F2732" s="23">
        <v>0.88845208803101283</v>
      </c>
      <c r="G2732" s="26">
        <f t="shared" si="42"/>
        <v>1296043.21</v>
      </c>
      <c r="H2732" t="s">
        <v>1806</v>
      </c>
      <c r="K2732" t="s">
        <v>1809</v>
      </c>
      <c r="L2732" t="s">
        <v>1814</v>
      </c>
    </row>
    <row r="2733" spans="1:13">
      <c r="A2733" s="19" t="s">
        <v>37</v>
      </c>
      <c r="B2733" s="20" t="s">
        <v>38</v>
      </c>
      <c r="C2733" s="19" t="s">
        <v>74</v>
      </c>
      <c r="D2733" s="20"/>
      <c r="E2733" s="3">
        <v>1458765.45</v>
      </c>
      <c r="F2733" s="24">
        <v>9.7114021997162042E-2</v>
      </c>
      <c r="G2733" s="26">
        <f t="shared" si="42"/>
        <v>141666.57999999999</v>
      </c>
      <c r="H2733" t="s">
        <v>1806</v>
      </c>
      <c r="K2733" t="s">
        <v>1809</v>
      </c>
      <c r="L2733" t="s">
        <v>1814</v>
      </c>
    </row>
    <row r="2734" spans="1:13">
      <c r="A2734" s="13" t="s">
        <v>39</v>
      </c>
      <c r="B2734" s="14" t="s">
        <v>40</v>
      </c>
      <c r="C2734" s="15" t="s">
        <v>72</v>
      </c>
      <c r="D2734" s="16"/>
      <c r="E2734" s="2">
        <v>1752311.71</v>
      </c>
      <c r="F2734" s="23">
        <v>6.3269907612498923E-3</v>
      </c>
      <c r="G2734" s="26">
        <f t="shared" si="42"/>
        <v>11086.86</v>
      </c>
      <c r="H2734" t="s">
        <v>1806</v>
      </c>
      <c r="K2734" t="s">
        <v>1809</v>
      </c>
      <c r="L2734" s="37" t="s">
        <v>1816</v>
      </c>
      <c r="M2734">
        <v>139</v>
      </c>
    </row>
    <row r="2735" spans="1:13">
      <c r="A2735" s="17" t="s">
        <v>39</v>
      </c>
      <c r="B2735" s="18" t="s">
        <v>40</v>
      </c>
      <c r="C2735" s="19" t="s">
        <v>73</v>
      </c>
      <c r="D2735" s="20"/>
      <c r="E2735" s="3">
        <v>1752311.71</v>
      </c>
      <c r="F2735" s="24">
        <v>0.72672006511900789</v>
      </c>
      <c r="G2735" s="26">
        <f t="shared" si="42"/>
        <v>1273440.08</v>
      </c>
      <c r="H2735" t="s">
        <v>1806</v>
      </c>
      <c r="K2735" t="s">
        <v>1809</v>
      </c>
      <c r="L2735" s="37" t="s">
        <v>1816</v>
      </c>
    </row>
    <row r="2736" spans="1:13">
      <c r="A2736" s="15" t="s">
        <v>39</v>
      </c>
      <c r="B2736" s="16" t="s">
        <v>40</v>
      </c>
      <c r="C2736" s="15" t="s">
        <v>74</v>
      </c>
      <c r="D2736" s="16"/>
      <c r="E2736" s="2">
        <v>1752311.71</v>
      </c>
      <c r="F2736" s="23">
        <v>0.2669529441197423</v>
      </c>
      <c r="G2736" s="26">
        <f t="shared" si="42"/>
        <v>467784.77000000008</v>
      </c>
      <c r="H2736" t="s">
        <v>1806</v>
      </c>
      <c r="K2736" t="s">
        <v>1809</v>
      </c>
      <c r="L2736" s="37" t="s">
        <v>1816</v>
      </c>
    </row>
    <row r="2737" spans="1:13">
      <c r="A2737" s="17" t="s">
        <v>41</v>
      </c>
      <c r="B2737" s="21" t="s">
        <v>42</v>
      </c>
      <c r="C2737" s="19" t="s">
        <v>72</v>
      </c>
      <c r="D2737" s="20"/>
      <c r="E2737" s="3">
        <v>1025480.56</v>
      </c>
      <c r="F2737" s="24">
        <v>5.2093625256045811E-3</v>
      </c>
      <c r="G2737" s="26">
        <f t="shared" si="42"/>
        <v>5342.1</v>
      </c>
      <c r="H2737" t="s">
        <v>1806</v>
      </c>
      <c r="M2737">
        <v>135</v>
      </c>
    </row>
    <row r="2738" spans="1:13">
      <c r="A2738" s="13" t="s">
        <v>41</v>
      </c>
      <c r="B2738" s="22" t="s">
        <v>42</v>
      </c>
      <c r="C2738" s="15" t="s">
        <v>73</v>
      </c>
      <c r="D2738" s="16"/>
      <c r="E2738" s="2">
        <v>1025480.56</v>
      </c>
      <c r="F2738" s="23">
        <v>0.84919995948046056</v>
      </c>
      <c r="G2738" s="26">
        <f t="shared" si="42"/>
        <v>870838.05</v>
      </c>
      <c r="H2738" t="s">
        <v>1806</v>
      </c>
    </row>
    <row r="2739" spans="1:13">
      <c r="A2739" s="19" t="s">
        <v>41</v>
      </c>
      <c r="B2739" s="20" t="s">
        <v>42</v>
      </c>
      <c r="C2739" s="19" t="s">
        <v>74</v>
      </c>
      <c r="D2739" s="20"/>
      <c r="E2739" s="3">
        <v>1025480.56</v>
      </c>
      <c r="F2739" s="24">
        <v>0.14559067799393485</v>
      </c>
      <c r="G2739" s="26">
        <f t="shared" si="42"/>
        <v>149300.41</v>
      </c>
      <c r="H2739" t="s">
        <v>1806</v>
      </c>
    </row>
    <row r="2740" spans="1:13">
      <c r="A2740" s="13" t="s">
        <v>43</v>
      </c>
      <c r="B2740" s="14" t="s">
        <v>44</v>
      </c>
      <c r="C2740" s="15" t="s">
        <v>72</v>
      </c>
      <c r="D2740" s="16"/>
      <c r="E2740" s="2">
        <v>1754400.96</v>
      </c>
      <c r="F2740" s="23">
        <v>7.8374330118925609E-4</v>
      </c>
      <c r="G2740" s="26">
        <f t="shared" si="42"/>
        <v>1375</v>
      </c>
      <c r="H2740" t="s">
        <v>1806</v>
      </c>
      <c r="M2740">
        <v>218</v>
      </c>
    </row>
    <row r="2741" spans="1:13">
      <c r="A2741" s="17" t="s">
        <v>43</v>
      </c>
      <c r="B2741" s="18" t="s">
        <v>44</v>
      </c>
      <c r="C2741" s="19" t="s">
        <v>73</v>
      </c>
      <c r="D2741" s="20"/>
      <c r="E2741" s="3">
        <v>1754400.96</v>
      </c>
      <c r="F2741" s="24">
        <v>0.81678476167728498</v>
      </c>
      <c r="G2741" s="26">
        <f t="shared" si="42"/>
        <v>1432967.97</v>
      </c>
      <c r="H2741" t="s">
        <v>1806</v>
      </c>
    </row>
    <row r="2742" spans="1:13">
      <c r="A2742" s="15" t="s">
        <v>43</v>
      </c>
      <c r="B2742" s="16" t="s">
        <v>44</v>
      </c>
      <c r="C2742" s="15" t="s">
        <v>74</v>
      </c>
      <c r="D2742" s="16"/>
      <c r="E2742" s="2">
        <v>1754400.96</v>
      </c>
      <c r="F2742" s="23">
        <v>0.18243149502152575</v>
      </c>
      <c r="G2742" s="26">
        <f t="shared" si="42"/>
        <v>320057.99</v>
      </c>
      <c r="H2742" t="s">
        <v>1806</v>
      </c>
    </row>
    <row r="2743" spans="1:13">
      <c r="A2743" s="27" t="s">
        <v>45</v>
      </c>
      <c r="B2743" s="28" t="s">
        <v>46</v>
      </c>
      <c r="C2743" s="29" t="s">
        <v>72</v>
      </c>
      <c r="D2743" s="30"/>
      <c r="E2743" s="31">
        <v>0</v>
      </c>
      <c r="F2743" s="32" t="s">
        <v>761</v>
      </c>
      <c r="G2743" s="31">
        <v>0</v>
      </c>
      <c r="H2743" s="34" t="s">
        <v>1811</v>
      </c>
      <c r="I2743" s="34"/>
      <c r="J2743" s="34"/>
      <c r="K2743" s="34" t="s">
        <v>1810</v>
      </c>
      <c r="L2743" s="34" t="s">
        <v>1812</v>
      </c>
      <c r="M2743" s="34">
        <v>662</v>
      </c>
    </row>
    <row r="2744" spans="1:13">
      <c r="A2744" s="27" t="s">
        <v>45</v>
      </c>
      <c r="B2744" s="35" t="s">
        <v>46</v>
      </c>
      <c r="C2744" s="29" t="s">
        <v>73</v>
      </c>
      <c r="D2744" s="30"/>
      <c r="E2744" s="31">
        <v>4420349.82</v>
      </c>
      <c r="F2744" s="32" t="s">
        <v>761</v>
      </c>
      <c r="G2744" s="31">
        <v>4420349.82</v>
      </c>
      <c r="H2744" s="34" t="s">
        <v>1811</v>
      </c>
      <c r="I2744" s="34"/>
      <c r="J2744" s="34"/>
      <c r="K2744" s="34" t="s">
        <v>1810</v>
      </c>
      <c r="L2744" s="34" t="s">
        <v>1812</v>
      </c>
      <c r="M2744" s="34"/>
    </row>
    <row r="2745" spans="1:13">
      <c r="A2745" s="29" t="s">
        <v>45</v>
      </c>
      <c r="B2745" s="30" t="s">
        <v>46</v>
      </c>
      <c r="C2745" s="29" t="s">
        <v>74</v>
      </c>
      <c r="D2745" s="30"/>
      <c r="E2745" s="42">
        <v>0</v>
      </c>
      <c r="F2745" s="32" t="s">
        <v>761</v>
      </c>
      <c r="G2745" s="42">
        <v>0</v>
      </c>
      <c r="H2745" s="34" t="s">
        <v>1811</v>
      </c>
      <c r="I2745" s="34"/>
      <c r="J2745" s="34"/>
      <c r="K2745" s="34" t="s">
        <v>1810</v>
      </c>
      <c r="L2745" s="34" t="s">
        <v>1812</v>
      </c>
      <c r="M2745" s="34"/>
    </row>
    <row r="2746" spans="1:13">
      <c r="A2746" s="13" t="s">
        <v>47</v>
      </c>
      <c r="B2746" s="14" t="s">
        <v>48</v>
      </c>
      <c r="C2746" s="15" t="s">
        <v>72</v>
      </c>
      <c r="D2746" s="16"/>
      <c r="E2746" s="2">
        <v>10894740.27</v>
      </c>
      <c r="F2746" s="23">
        <v>1.4127758550043893E-2</v>
      </c>
      <c r="G2746" s="26">
        <f t="shared" si="42"/>
        <v>153918.26</v>
      </c>
      <c r="H2746" t="s">
        <v>1811</v>
      </c>
      <c r="M2746">
        <v>1349</v>
      </c>
    </row>
    <row r="2747" spans="1:13">
      <c r="A2747" s="17" t="s">
        <v>47</v>
      </c>
      <c r="B2747" s="18" t="s">
        <v>48</v>
      </c>
      <c r="C2747" s="19" t="s">
        <v>73</v>
      </c>
      <c r="D2747" s="20"/>
      <c r="E2747" s="3">
        <v>10894740.27</v>
      </c>
      <c r="F2747" s="24">
        <v>0.88895601822364512</v>
      </c>
      <c r="G2747" s="26">
        <f t="shared" si="42"/>
        <v>9684944.9299999997</v>
      </c>
      <c r="H2747" t="s">
        <v>1811</v>
      </c>
    </row>
    <row r="2748" spans="1:13">
      <c r="A2748" s="15" t="s">
        <v>47</v>
      </c>
      <c r="B2748" s="16" t="s">
        <v>48</v>
      </c>
      <c r="C2748" s="15" t="s">
        <v>74</v>
      </c>
      <c r="D2748" s="16"/>
      <c r="E2748" s="2">
        <v>10894740.27</v>
      </c>
      <c r="F2748" s="23">
        <v>9.6916223226311035E-2</v>
      </c>
      <c r="G2748" s="26">
        <f t="shared" si="42"/>
        <v>1055877.08</v>
      </c>
      <c r="H2748" t="s">
        <v>1811</v>
      </c>
    </row>
    <row r="2749" spans="1:13">
      <c r="A2749" s="17" t="s">
        <v>49</v>
      </c>
      <c r="B2749" s="21" t="s">
        <v>50</v>
      </c>
      <c r="C2749" s="19" t="s">
        <v>72</v>
      </c>
      <c r="D2749" s="20"/>
      <c r="E2749" s="3">
        <v>836251.4</v>
      </c>
      <c r="F2749" s="24">
        <v>7.544023244684553E-4</v>
      </c>
      <c r="G2749" s="26">
        <f t="shared" si="42"/>
        <v>630.87</v>
      </c>
      <c r="H2749" t="s">
        <v>1806</v>
      </c>
      <c r="M2749">
        <v>110</v>
      </c>
    </row>
    <row r="2750" spans="1:13">
      <c r="A2750" s="13" t="s">
        <v>49</v>
      </c>
      <c r="B2750" s="22" t="s">
        <v>50</v>
      </c>
      <c r="C2750" s="15" t="s">
        <v>73</v>
      </c>
      <c r="D2750" s="16"/>
      <c r="E2750" s="2">
        <v>836251.4</v>
      </c>
      <c r="F2750" s="23">
        <v>0.84376906274835539</v>
      </c>
      <c r="G2750" s="26">
        <f t="shared" si="42"/>
        <v>705603.06</v>
      </c>
      <c r="H2750" t="s">
        <v>1806</v>
      </c>
    </row>
    <row r="2751" spans="1:13">
      <c r="A2751" s="19" t="s">
        <v>49</v>
      </c>
      <c r="B2751" s="20" t="s">
        <v>50</v>
      </c>
      <c r="C2751" s="19" t="s">
        <v>74</v>
      </c>
      <c r="D2751" s="20"/>
      <c r="E2751" s="3">
        <v>836251.4</v>
      </c>
      <c r="F2751" s="24">
        <v>0.1554765349271762</v>
      </c>
      <c r="G2751" s="26">
        <f t="shared" si="42"/>
        <v>130017.47</v>
      </c>
      <c r="H2751" t="s">
        <v>1806</v>
      </c>
    </row>
    <row r="2752" spans="1:13">
      <c r="A2752" s="13" t="s">
        <v>51</v>
      </c>
      <c r="B2752" s="14" t="s">
        <v>52</v>
      </c>
      <c r="C2752" s="15" t="s">
        <v>72</v>
      </c>
      <c r="D2752" s="16"/>
      <c r="E2752" s="2">
        <v>1355978.32</v>
      </c>
      <c r="F2752" s="23">
        <v>4.7733875273168079E-3</v>
      </c>
      <c r="G2752" s="26">
        <f t="shared" si="42"/>
        <v>6472.61</v>
      </c>
      <c r="H2752" t="s">
        <v>1806</v>
      </c>
      <c r="M2752">
        <v>162</v>
      </c>
    </row>
    <row r="2753" spans="1:13">
      <c r="A2753" s="17" t="s">
        <v>51</v>
      </c>
      <c r="B2753" s="18" t="s">
        <v>52</v>
      </c>
      <c r="C2753" s="19" t="s">
        <v>73</v>
      </c>
      <c r="D2753" s="20"/>
      <c r="E2753" s="3">
        <v>1355978.32</v>
      </c>
      <c r="F2753" s="24">
        <v>0.83244243905020532</v>
      </c>
      <c r="G2753" s="26">
        <f t="shared" si="42"/>
        <v>1128773.8999999999</v>
      </c>
      <c r="H2753" t="s">
        <v>1806</v>
      </c>
    </row>
    <row r="2754" spans="1:13">
      <c r="A2754" s="15" t="s">
        <v>51</v>
      </c>
      <c r="B2754" s="16" t="s">
        <v>52</v>
      </c>
      <c r="C2754" s="15" t="s">
        <v>74</v>
      </c>
      <c r="D2754" s="16"/>
      <c r="E2754" s="2">
        <v>1355978.32</v>
      </c>
      <c r="F2754" s="23">
        <v>0.16278417342247772</v>
      </c>
      <c r="G2754" s="26">
        <f t="shared" si="42"/>
        <v>220731.81</v>
      </c>
      <c r="H2754" t="s">
        <v>1806</v>
      </c>
    </row>
    <row r="2755" spans="1:13">
      <c r="A2755" s="17" t="s">
        <v>53</v>
      </c>
      <c r="B2755" s="21" t="s">
        <v>54</v>
      </c>
      <c r="C2755" s="19" t="s">
        <v>72</v>
      </c>
      <c r="D2755" s="20"/>
      <c r="E2755" s="3">
        <v>3404548.42</v>
      </c>
      <c r="F2755" s="24">
        <v>6.6692545380218145E-4</v>
      </c>
      <c r="G2755" s="26">
        <f t="shared" si="42"/>
        <v>2270.58</v>
      </c>
      <c r="H2755" t="s">
        <v>1806</v>
      </c>
      <c r="K2755" t="s">
        <v>1810</v>
      </c>
      <c r="L2755" t="s">
        <v>1812</v>
      </c>
      <c r="M2755">
        <v>486</v>
      </c>
    </row>
    <row r="2756" spans="1:13">
      <c r="A2756" s="13" t="s">
        <v>53</v>
      </c>
      <c r="B2756" s="22" t="s">
        <v>54</v>
      </c>
      <c r="C2756" s="15" t="s">
        <v>73</v>
      </c>
      <c r="D2756" s="16"/>
      <c r="E2756" s="2">
        <v>3404548.42</v>
      </c>
      <c r="F2756" s="23">
        <v>0.89766342932493814</v>
      </c>
      <c r="G2756" s="26">
        <f t="shared" si="42"/>
        <v>3056138.61</v>
      </c>
      <c r="H2756" t="s">
        <v>1806</v>
      </c>
      <c r="K2756" t="s">
        <v>1810</v>
      </c>
      <c r="L2756" t="s">
        <v>1812</v>
      </c>
    </row>
    <row r="2757" spans="1:13">
      <c r="A2757" s="19" t="s">
        <v>53</v>
      </c>
      <c r="B2757" s="20" t="s">
        <v>54</v>
      </c>
      <c r="C2757" s="19" t="s">
        <v>74</v>
      </c>
      <c r="D2757" s="20"/>
      <c r="E2757" s="3">
        <v>3404548.42</v>
      </c>
      <c r="F2757" s="24">
        <v>0.10166964522125962</v>
      </c>
      <c r="G2757" s="26">
        <f t="shared" ref="G2757:G2805" si="43">F2757*E2757</f>
        <v>346139.23</v>
      </c>
      <c r="H2757" t="s">
        <v>1806</v>
      </c>
      <c r="K2757" t="s">
        <v>1810</v>
      </c>
      <c r="L2757" t="s">
        <v>1812</v>
      </c>
    </row>
    <row r="2758" spans="1:13">
      <c r="A2758" s="13" t="s">
        <v>55</v>
      </c>
      <c r="B2758" s="14" t="s">
        <v>56</v>
      </c>
      <c r="C2758" s="15" t="s">
        <v>72</v>
      </c>
      <c r="D2758" s="16"/>
      <c r="E2758" s="2">
        <v>1289786.07</v>
      </c>
      <c r="F2758" s="23">
        <v>3.2945773712690196E-4</v>
      </c>
      <c r="G2758" s="26">
        <f t="shared" si="43"/>
        <v>424.93</v>
      </c>
      <c r="H2758" t="s">
        <v>1806</v>
      </c>
      <c r="K2758" t="s">
        <v>1810</v>
      </c>
      <c r="M2758">
        <v>197</v>
      </c>
    </row>
    <row r="2759" spans="1:13">
      <c r="A2759" s="17" t="s">
        <v>55</v>
      </c>
      <c r="B2759" s="18" t="s">
        <v>56</v>
      </c>
      <c r="C2759" s="19" t="s">
        <v>73</v>
      </c>
      <c r="D2759" s="20"/>
      <c r="E2759" s="3">
        <v>1289786.07</v>
      </c>
      <c r="F2759" s="24">
        <v>0.93692415983373112</v>
      </c>
      <c r="G2759" s="26">
        <f t="shared" si="43"/>
        <v>1208431.73</v>
      </c>
      <c r="H2759" t="s">
        <v>1806</v>
      </c>
      <c r="K2759" t="s">
        <v>1810</v>
      </c>
    </row>
    <row r="2760" spans="1:13">
      <c r="A2760" s="15" t="s">
        <v>55</v>
      </c>
      <c r="B2760" s="16" t="s">
        <v>56</v>
      </c>
      <c r="C2760" s="15" t="s">
        <v>74</v>
      </c>
      <c r="D2760" s="16"/>
      <c r="E2760" s="2">
        <v>1289786.07</v>
      </c>
      <c r="F2760" s="23">
        <v>6.2746382429141906E-2</v>
      </c>
      <c r="G2760" s="26">
        <f t="shared" si="43"/>
        <v>80929.41</v>
      </c>
      <c r="H2760" t="s">
        <v>1806</v>
      </c>
      <c r="K2760" t="s">
        <v>1810</v>
      </c>
    </row>
    <row r="2761" spans="1:13">
      <c r="A2761" s="17" t="s">
        <v>57</v>
      </c>
      <c r="B2761" s="21" t="s">
        <v>58</v>
      </c>
      <c r="C2761" s="19" t="s">
        <v>72</v>
      </c>
      <c r="D2761" s="20"/>
      <c r="E2761" s="3">
        <v>2152877.73</v>
      </c>
      <c r="F2761" s="24">
        <v>1.0811185268751886E-2</v>
      </c>
      <c r="G2761" s="26">
        <f t="shared" si="43"/>
        <v>23275.16</v>
      </c>
      <c r="H2761" t="s">
        <v>1806</v>
      </c>
      <c r="M2761">
        <v>327</v>
      </c>
    </row>
    <row r="2762" spans="1:13">
      <c r="A2762" s="13" t="s">
        <v>57</v>
      </c>
      <c r="B2762" s="22" t="s">
        <v>58</v>
      </c>
      <c r="C2762" s="15" t="s">
        <v>73</v>
      </c>
      <c r="D2762" s="16"/>
      <c r="E2762" s="2">
        <v>2152877.73</v>
      </c>
      <c r="F2762" s="23">
        <v>0.88026395721042638</v>
      </c>
      <c r="G2762" s="26">
        <f t="shared" si="43"/>
        <v>1895100.67</v>
      </c>
      <c r="H2762" t="s">
        <v>1806</v>
      </c>
    </row>
    <row r="2763" spans="1:13">
      <c r="A2763" s="19" t="s">
        <v>57</v>
      </c>
      <c r="B2763" s="20" t="s">
        <v>58</v>
      </c>
      <c r="C2763" s="19" t="s">
        <v>74</v>
      </c>
      <c r="D2763" s="20"/>
      <c r="E2763" s="3">
        <v>2152877.73</v>
      </c>
      <c r="F2763" s="24">
        <v>0.10892485752082168</v>
      </c>
      <c r="G2763" s="26">
        <f t="shared" si="43"/>
        <v>234501.9</v>
      </c>
      <c r="H2763" t="s">
        <v>1806</v>
      </c>
    </row>
    <row r="2764" spans="1:13">
      <c r="A2764" s="13" t="s">
        <v>59</v>
      </c>
      <c r="B2764" s="14" t="s">
        <v>60</v>
      </c>
      <c r="C2764" s="15" t="s">
        <v>72</v>
      </c>
      <c r="D2764" s="16"/>
      <c r="E2764" s="2">
        <v>1588994.83</v>
      </c>
      <c r="F2764" s="23">
        <v>2.6705562031312588E-4</v>
      </c>
      <c r="G2764" s="26">
        <f t="shared" si="43"/>
        <v>424.35</v>
      </c>
      <c r="H2764" t="s">
        <v>1806</v>
      </c>
      <c r="M2764">
        <v>208</v>
      </c>
    </row>
    <row r="2765" spans="1:13">
      <c r="A2765" s="17" t="s">
        <v>59</v>
      </c>
      <c r="B2765" s="18" t="s">
        <v>60</v>
      </c>
      <c r="C2765" s="19" t="s">
        <v>73</v>
      </c>
      <c r="D2765" s="20"/>
      <c r="E2765" s="3">
        <v>1588994.83</v>
      </c>
      <c r="F2765" s="24">
        <v>0.82710331411210436</v>
      </c>
      <c r="G2765" s="26">
        <f t="shared" si="43"/>
        <v>1314262.8899999999</v>
      </c>
      <c r="H2765" t="s">
        <v>1806</v>
      </c>
    </row>
    <row r="2766" spans="1:13">
      <c r="A2766" s="15" t="s">
        <v>59</v>
      </c>
      <c r="B2766" s="16" t="s">
        <v>60</v>
      </c>
      <c r="C2766" s="15" t="s">
        <v>74</v>
      </c>
      <c r="D2766" s="16"/>
      <c r="E2766" s="2">
        <v>1588994.83</v>
      </c>
      <c r="F2766" s="23">
        <v>0.17262963026758243</v>
      </c>
      <c r="G2766" s="26">
        <f t="shared" si="43"/>
        <v>274307.59000000003</v>
      </c>
      <c r="H2766" t="s">
        <v>1806</v>
      </c>
    </row>
    <row r="2767" spans="1:13">
      <c r="A2767" s="17" t="s">
        <v>61</v>
      </c>
      <c r="B2767" s="21" t="s">
        <v>62</v>
      </c>
      <c r="C2767" s="19" t="s">
        <v>72</v>
      </c>
      <c r="D2767" s="20"/>
      <c r="E2767" s="3">
        <v>2560052.65</v>
      </c>
      <c r="F2767" s="24">
        <v>8.3900399470299966E-2</v>
      </c>
      <c r="G2767" s="26">
        <f t="shared" si="43"/>
        <v>214789.44</v>
      </c>
      <c r="H2767" t="s">
        <v>1806</v>
      </c>
      <c r="M2767">
        <v>299</v>
      </c>
    </row>
    <row r="2768" spans="1:13">
      <c r="A2768" s="13" t="s">
        <v>61</v>
      </c>
      <c r="B2768" s="22" t="s">
        <v>62</v>
      </c>
      <c r="C2768" s="15" t="s">
        <v>73</v>
      </c>
      <c r="D2768" s="16"/>
      <c r="E2768" s="2">
        <v>2560052.65</v>
      </c>
      <c r="F2768" s="23">
        <v>0.74742049152778167</v>
      </c>
      <c r="G2768" s="26">
        <f t="shared" si="43"/>
        <v>1913435.81</v>
      </c>
      <c r="H2768" t="s">
        <v>1806</v>
      </c>
    </row>
    <row r="2769" spans="1:13">
      <c r="A2769" s="19" t="s">
        <v>61</v>
      </c>
      <c r="B2769" s="20" t="s">
        <v>62</v>
      </c>
      <c r="C2769" s="19" t="s">
        <v>74</v>
      </c>
      <c r="D2769" s="20"/>
      <c r="E2769" s="3">
        <v>2560052.65</v>
      </c>
      <c r="F2769" s="24">
        <v>0.1686791090019184</v>
      </c>
      <c r="G2769" s="26">
        <f t="shared" si="43"/>
        <v>431827.4</v>
      </c>
      <c r="H2769" t="s">
        <v>1806</v>
      </c>
    </row>
    <row r="2770" spans="1:13">
      <c r="A2770" s="13" t="s">
        <v>205</v>
      </c>
      <c r="B2770" s="14" t="s">
        <v>206</v>
      </c>
      <c r="C2770" s="15" t="s">
        <v>72</v>
      </c>
      <c r="D2770" s="16"/>
      <c r="E2770" s="2">
        <v>3148831.49</v>
      </c>
      <c r="F2770" s="23">
        <v>2.073874394593278E-2</v>
      </c>
      <c r="G2770" s="26">
        <f t="shared" si="43"/>
        <v>65302.81</v>
      </c>
      <c r="H2770" t="s">
        <v>1806</v>
      </c>
      <c r="M2770">
        <v>413</v>
      </c>
    </row>
    <row r="2771" spans="1:13">
      <c r="A2771" s="17" t="s">
        <v>205</v>
      </c>
      <c r="B2771" s="18" t="s">
        <v>206</v>
      </c>
      <c r="C2771" s="19" t="s">
        <v>73</v>
      </c>
      <c r="D2771" s="20"/>
      <c r="E2771" s="3">
        <v>3148831.49</v>
      </c>
      <c r="F2771" s="24">
        <v>0.83809753503195561</v>
      </c>
      <c r="G2771" s="26">
        <f t="shared" si="43"/>
        <v>2639027.91</v>
      </c>
      <c r="H2771" t="s">
        <v>1806</v>
      </c>
    </row>
    <row r="2772" spans="1:13">
      <c r="A2772" s="15" t="s">
        <v>205</v>
      </c>
      <c r="B2772" s="16" t="s">
        <v>206</v>
      </c>
      <c r="C2772" s="15" t="s">
        <v>74</v>
      </c>
      <c r="D2772" s="16"/>
      <c r="E2772" s="2">
        <v>3148831.49</v>
      </c>
      <c r="F2772" s="23">
        <v>0.14116372102211161</v>
      </c>
      <c r="G2772" s="26">
        <f t="shared" si="43"/>
        <v>444500.77000000008</v>
      </c>
      <c r="H2772" t="s">
        <v>1806</v>
      </c>
    </row>
    <row r="2773" spans="1:13">
      <c r="A2773" s="17" t="s">
        <v>207</v>
      </c>
      <c r="B2773" s="21" t="s">
        <v>208</v>
      </c>
      <c r="C2773" s="19" t="s">
        <v>72</v>
      </c>
      <c r="D2773" s="20"/>
      <c r="E2773" s="3">
        <v>1249926.6000000001</v>
      </c>
      <c r="F2773" s="24">
        <v>1.1809437450167073E-2</v>
      </c>
      <c r="G2773" s="26">
        <f t="shared" si="43"/>
        <v>14760.93</v>
      </c>
      <c r="H2773" t="s">
        <v>1806</v>
      </c>
      <c r="I2773" t="s">
        <v>1820</v>
      </c>
      <c r="J2773" t="s">
        <v>1828</v>
      </c>
      <c r="M2773">
        <v>130</v>
      </c>
    </row>
    <row r="2774" spans="1:13">
      <c r="A2774" s="13" t="s">
        <v>207</v>
      </c>
      <c r="B2774" s="22" t="s">
        <v>208</v>
      </c>
      <c r="C2774" s="15" t="s">
        <v>73</v>
      </c>
      <c r="D2774" s="16"/>
      <c r="E2774" s="2">
        <v>1249926.6000000001</v>
      </c>
      <c r="F2774" s="23">
        <v>0.75990940588031319</v>
      </c>
      <c r="G2774" s="26">
        <f t="shared" si="43"/>
        <v>949830.98</v>
      </c>
      <c r="H2774" t="s">
        <v>1806</v>
      </c>
      <c r="I2774" t="s">
        <v>1820</v>
      </c>
      <c r="J2774" t="s">
        <v>1828</v>
      </c>
    </row>
    <row r="2775" spans="1:13">
      <c r="A2775" s="19" t="s">
        <v>207</v>
      </c>
      <c r="B2775" s="20" t="s">
        <v>208</v>
      </c>
      <c r="C2775" s="19" t="s">
        <v>74</v>
      </c>
      <c r="D2775" s="20"/>
      <c r="E2775" s="3">
        <v>1249926.6000000001</v>
      </c>
      <c r="F2775" s="24">
        <v>0.22828115666951962</v>
      </c>
      <c r="G2775" s="26">
        <f t="shared" si="43"/>
        <v>285334.69</v>
      </c>
      <c r="H2775" t="s">
        <v>1806</v>
      </c>
      <c r="I2775" t="s">
        <v>1820</v>
      </c>
      <c r="J2775" t="s">
        <v>1828</v>
      </c>
    </row>
    <row r="2776" spans="1:13">
      <c r="A2776" s="13" t="s">
        <v>209</v>
      </c>
      <c r="B2776" s="14" t="s">
        <v>210</v>
      </c>
      <c r="C2776" s="15" t="s">
        <v>72</v>
      </c>
      <c r="D2776" s="16"/>
      <c r="E2776" s="2">
        <v>1475188.06</v>
      </c>
      <c r="F2776" s="23">
        <v>5.7373701899403925E-4</v>
      </c>
      <c r="G2776" s="26">
        <f t="shared" si="43"/>
        <v>846.36999999999989</v>
      </c>
      <c r="H2776" t="s">
        <v>1806</v>
      </c>
      <c r="M2776">
        <v>189</v>
      </c>
    </row>
    <row r="2777" spans="1:13">
      <c r="A2777" s="17" t="s">
        <v>209</v>
      </c>
      <c r="B2777" s="18" t="s">
        <v>210</v>
      </c>
      <c r="C2777" s="19" t="s">
        <v>73</v>
      </c>
      <c r="D2777" s="20"/>
      <c r="E2777" s="3">
        <v>1475188.06</v>
      </c>
      <c r="F2777" s="24">
        <v>0.82541331035447785</v>
      </c>
      <c r="G2777" s="26">
        <f t="shared" si="43"/>
        <v>1217639.8600000001</v>
      </c>
      <c r="H2777" t="s">
        <v>1806</v>
      </c>
    </row>
    <row r="2778" spans="1:13">
      <c r="A2778" s="15" t="s">
        <v>209</v>
      </c>
      <c r="B2778" s="16" t="s">
        <v>210</v>
      </c>
      <c r="C2778" s="15" t="s">
        <v>74</v>
      </c>
      <c r="D2778" s="16"/>
      <c r="E2778" s="2">
        <v>1475188.06</v>
      </c>
      <c r="F2778" s="23">
        <v>0.17401295262652816</v>
      </c>
      <c r="G2778" s="26">
        <f t="shared" si="43"/>
        <v>256701.83</v>
      </c>
      <c r="H2778" t="s">
        <v>1806</v>
      </c>
    </row>
    <row r="2779" spans="1:13">
      <c r="A2779" s="17" t="s">
        <v>211</v>
      </c>
      <c r="B2779" s="21" t="s">
        <v>212</v>
      </c>
      <c r="C2779" s="19" t="s">
        <v>72</v>
      </c>
      <c r="D2779" s="20"/>
      <c r="E2779" s="3">
        <v>2215222.09</v>
      </c>
      <c r="F2779" s="24">
        <v>1.2233229400488689E-2</v>
      </c>
      <c r="G2779" s="26">
        <f t="shared" si="43"/>
        <v>27099.32</v>
      </c>
      <c r="H2779" t="s">
        <v>1806</v>
      </c>
      <c r="M2779">
        <v>292</v>
      </c>
    </row>
    <row r="2780" spans="1:13">
      <c r="A2780" s="13" t="s">
        <v>211</v>
      </c>
      <c r="B2780" s="22" t="s">
        <v>212</v>
      </c>
      <c r="C2780" s="15" t="s">
        <v>73</v>
      </c>
      <c r="D2780" s="16"/>
      <c r="E2780" s="2">
        <v>2215222.09</v>
      </c>
      <c r="F2780" s="23">
        <v>0.94477008849257194</v>
      </c>
      <c r="G2780" s="26">
        <f t="shared" si="43"/>
        <v>2092875.57</v>
      </c>
      <c r="H2780" t="s">
        <v>1806</v>
      </c>
    </row>
    <row r="2781" spans="1:13">
      <c r="A2781" s="19" t="s">
        <v>211</v>
      </c>
      <c r="B2781" s="20" t="s">
        <v>212</v>
      </c>
      <c r="C2781" s="19" t="s">
        <v>74</v>
      </c>
      <c r="D2781" s="20"/>
      <c r="E2781" s="3">
        <v>2215222.09</v>
      </c>
      <c r="F2781" s="24">
        <v>4.2996682106939445E-2</v>
      </c>
      <c r="G2781" s="26">
        <f t="shared" si="43"/>
        <v>95247.2</v>
      </c>
      <c r="H2781" t="s">
        <v>1806</v>
      </c>
    </row>
    <row r="2782" spans="1:13">
      <c r="A2782" s="13" t="s">
        <v>213</v>
      </c>
      <c r="B2782" s="14" t="s">
        <v>214</v>
      </c>
      <c r="C2782" s="15" t="s">
        <v>72</v>
      </c>
      <c r="D2782" s="16"/>
      <c r="E2782" s="2">
        <v>4063576.73</v>
      </c>
      <c r="F2782" s="23">
        <v>2.1877212098318125E-2</v>
      </c>
      <c r="G2782" s="26">
        <f t="shared" si="43"/>
        <v>88899.73</v>
      </c>
      <c r="H2782" t="s">
        <v>1806</v>
      </c>
      <c r="M2782">
        <v>539</v>
      </c>
    </row>
    <row r="2783" spans="1:13">
      <c r="A2783" s="17" t="s">
        <v>213</v>
      </c>
      <c r="B2783" s="18" t="s">
        <v>214</v>
      </c>
      <c r="C2783" s="19" t="s">
        <v>73</v>
      </c>
      <c r="D2783" s="20"/>
      <c r="E2783" s="3">
        <v>4063576.73</v>
      </c>
      <c r="F2783" s="24">
        <v>0.97812278790168183</v>
      </c>
      <c r="G2783" s="26">
        <f t="shared" si="43"/>
        <v>3974677</v>
      </c>
      <c r="H2783" t="s">
        <v>1806</v>
      </c>
    </row>
    <row r="2784" spans="1:13">
      <c r="A2784" s="15" t="s">
        <v>213</v>
      </c>
      <c r="B2784" s="16" t="s">
        <v>214</v>
      </c>
      <c r="C2784" s="15" t="s">
        <v>74</v>
      </c>
      <c r="D2784" s="16"/>
      <c r="E2784" s="2">
        <v>4063576.73</v>
      </c>
      <c r="F2784" s="23">
        <v>0</v>
      </c>
      <c r="G2784" s="26">
        <f t="shared" si="43"/>
        <v>0</v>
      </c>
      <c r="H2784" t="s">
        <v>1806</v>
      </c>
    </row>
    <row r="2785" spans="1:13">
      <c r="A2785" s="17" t="s">
        <v>215</v>
      </c>
      <c r="B2785" s="21" t="s">
        <v>216</v>
      </c>
      <c r="C2785" s="19" t="s">
        <v>72</v>
      </c>
      <c r="D2785" s="20"/>
      <c r="E2785" s="3">
        <v>2441072.21</v>
      </c>
      <c r="F2785" s="24">
        <v>2.4834332942571986E-3</v>
      </c>
      <c r="G2785" s="26">
        <f t="shared" si="43"/>
        <v>6062.24</v>
      </c>
      <c r="H2785" t="s">
        <v>1806</v>
      </c>
      <c r="M2785">
        <v>243</v>
      </c>
    </row>
    <row r="2786" spans="1:13">
      <c r="A2786" s="13" t="s">
        <v>215</v>
      </c>
      <c r="B2786" s="22" t="s">
        <v>216</v>
      </c>
      <c r="C2786" s="15" t="s">
        <v>73</v>
      </c>
      <c r="D2786" s="16"/>
      <c r="E2786" s="2">
        <v>2441072.21</v>
      </c>
      <c r="F2786" s="23">
        <v>0.93807627263922677</v>
      </c>
      <c r="G2786" s="26">
        <f t="shared" si="43"/>
        <v>2289911.92</v>
      </c>
      <c r="H2786" t="s">
        <v>1806</v>
      </c>
    </row>
    <row r="2787" spans="1:13">
      <c r="A2787" s="19" t="s">
        <v>215</v>
      </c>
      <c r="B2787" s="20" t="s">
        <v>216</v>
      </c>
      <c r="C2787" s="19" t="s">
        <v>74</v>
      </c>
      <c r="D2787" s="20"/>
      <c r="E2787" s="3">
        <v>2441072.21</v>
      </c>
      <c r="F2787" s="24">
        <v>5.9440294066515957E-2</v>
      </c>
      <c r="G2787" s="26">
        <f t="shared" si="43"/>
        <v>145098.04999999999</v>
      </c>
      <c r="H2787" t="s">
        <v>1806</v>
      </c>
    </row>
    <row r="2788" spans="1:13">
      <c r="A2788" s="13" t="s">
        <v>217</v>
      </c>
      <c r="B2788" s="14" t="s">
        <v>218</v>
      </c>
      <c r="C2788" s="15" t="s">
        <v>72</v>
      </c>
      <c r="D2788" s="16"/>
      <c r="E2788" s="2">
        <v>981473.16</v>
      </c>
      <c r="F2788" s="23">
        <v>1.8604716607838769E-2</v>
      </c>
      <c r="G2788" s="26">
        <f t="shared" si="43"/>
        <v>18260.03</v>
      </c>
      <c r="H2788" t="s">
        <v>1806</v>
      </c>
      <c r="I2788" t="s">
        <v>1820</v>
      </c>
      <c r="J2788" t="s">
        <v>1304</v>
      </c>
      <c r="M2788">
        <v>105</v>
      </c>
    </row>
    <row r="2789" spans="1:13">
      <c r="A2789" s="17" t="s">
        <v>217</v>
      </c>
      <c r="B2789" s="18" t="s">
        <v>218</v>
      </c>
      <c r="C2789" s="19" t="s">
        <v>73</v>
      </c>
      <c r="D2789" s="20"/>
      <c r="E2789" s="3">
        <v>981473.16</v>
      </c>
      <c r="F2789" s="24">
        <v>0.72193913076543015</v>
      </c>
      <c r="G2789" s="26">
        <f t="shared" si="43"/>
        <v>708563.88</v>
      </c>
      <c r="H2789" t="s">
        <v>1806</v>
      </c>
    </row>
    <row r="2790" spans="1:13">
      <c r="A2790" s="15" t="s">
        <v>217</v>
      </c>
      <c r="B2790" s="16" t="s">
        <v>218</v>
      </c>
      <c r="C2790" s="15" t="s">
        <v>74</v>
      </c>
      <c r="D2790" s="16"/>
      <c r="E2790" s="2">
        <v>981473.16</v>
      </c>
      <c r="F2790" s="23">
        <v>0.259456152626731</v>
      </c>
      <c r="G2790" s="26">
        <f t="shared" si="43"/>
        <v>254649.24999999997</v>
      </c>
      <c r="H2790" t="s">
        <v>1806</v>
      </c>
    </row>
    <row r="2791" spans="1:13">
      <c r="A2791" s="17" t="s">
        <v>219</v>
      </c>
      <c r="B2791" s="21" t="s">
        <v>220</v>
      </c>
      <c r="C2791" s="19" t="s">
        <v>72</v>
      </c>
      <c r="D2791" s="20"/>
      <c r="E2791" s="3">
        <v>188740.72</v>
      </c>
      <c r="F2791" s="24">
        <v>2.758228325080036E-3</v>
      </c>
      <c r="G2791" s="26">
        <f t="shared" si="43"/>
        <v>520.59</v>
      </c>
      <c r="H2791" t="s">
        <v>1806</v>
      </c>
      <c r="I2791" t="s">
        <v>1820</v>
      </c>
      <c r="J2791" t="s">
        <v>724</v>
      </c>
      <c r="M2791">
        <v>27</v>
      </c>
    </row>
    <row r="2792" spans="1:13">
      <c r="A2792" s="13" t="s">
        <v>219</v>
      </c>
      <c r="B2792" s="22" t="s">
        <v>220</v>
      </c>
      <c r="C2792" s="15" t="s">
        <v>73</v>
      </c>
      <c r="D2792" s="16"/>
      <c r="E2792" s="2">
        <v>188740.72</v>
      </c>
      <c r="F2792" s="23">
        <v>0.92313539971660585</v>
      </c>
      <c r="G2792" s="26">
        <f t="shared" si="43"/>
        <v>174233.24</v>
      </c>
      <c r="H2792" t="s">
        <v>1806</v>
      </c>
    </row>
    <row r="2793" spans="1:13">
      <c r="A2793" s="19" t="s">
        <v>219</v>
      </c>
      <c r="B2793" s="20" t="s">
        <v>220</v>
      </c>
      <c r="C2793" s="19" t="s">
        <v>74</v>
      </c>
      <c r="D2793" s="20"/>
      <c r="E2793" s="3">
        <v>188740.72</v>
      </c>
      <c r="F2793" s="24">
        <v>7.410637195831403E-2</v>
      </c>
      <c r="G2793" s="26">
        <f t="shared" si="43"/>
        <v>13986.89</v>
      </c>
      <c r="H2793" t="s">
        <v>1806</v>
      </c>
    </row>
    <row r="2794" spans="1:13">
      <c r="A2794" s="13" t="s">
        <v>221</v>
      </c>
      <c r="B2794" s="14" t="s">
        <v>222</v>
      </c>
      <c r="C2794" s="15" t="s">
        <v>72</v>
      </c>
      <c r="D2794" s="16"/>
      <c r="E2794" s="2">
        <v>856255.65</v>
      </c>
      <c r="F2794" s="23">
        <v>6.6060597673136517E-2</v>
      </c>
      <c r="G2794" s="26">
        <f t="shared" si="43"/>
        <v>56564.759999999995</v>
      </c>
      <c r="H2794" t="s">
        <v>1811</v>
      </c>
      <c r="M2794">
        <v>100</v>
      </c>
    </row>
    <row r="2795" spans="1:13">
      <c r="A2795" s="17" t="s">
        <v>221</v>
      </c>
      <c r="B2795" s="18" t="s">
        <v>222</v>
      </c>
      <c r="C2795" s="19" t="s">
        <v>73</v>
      </c>
      <c r="D2795" s="20"/>
      <c r="E2795" s="3">
        <v>856255.65</v>
      </c>
      <c r="F2795" s="24">
        <v>0.8693675889905077</v>
      </c>
      <c r="G2795" s="26">
        <f t="shared" si="43"/>
        <v>744400.91</v>
      </c>
      <c r="H2795" t="s">
        <v>1811</v>
      </c>
    </row>
    <row r="2796" spans="1:13">
      <c r="A2796" s="15" t="s">
        <v>221</v>
      </c>
      <c r="B2796" s="16" t="s">
        <v>222</v>
      </c>
      <c r="C2796" s="15" t="s">
        <v>74</v>
      </c>
      <c r="D2796" s="16"/>
      <c r="E2796" s="2">
        <v>856255.65</v>
      </c>
      <c r="F2796" s="23">
        <v>6.4571813336355796E-2</v>
      </c>
      <c r="G2796" s="26">
        <f t="shared" si="43"/>
        <v>55289.98</v>
      </c>
      <c r="H2796" t="s">
        <v>1811</v>
      </c>
    </row>
    <row r="2797" spans="1:13">
      <c r="A2797" s="17" t="s">
        <v>223</v>
      </c>
      <c r="B2797" s="21" t="s">
        <v>224</v>
      </c>
      <c r="C2797" s="19" t="s">
        <v>72</v>
      </c>
      <c r="D2797" s="20"/>
      <c r="E2797" s="3">
        <v>3568958.25</v>
      </c>
      <c r="F2797" s="24">
        <v>7.3783911593810316E-3</v>
      </c>
      <c r="G2797" s="26">
        <f t="shared" si="43"/>
        <v>26333.17</v>
      </c>
      <c r="H2797" t="s">
        <v>1806</v>
      </c>
      <c r="K2797" t="s">
        <v>1809</v>
      </c>
      <c r="L2797" t="s">
        <v>1814</v>
      </c>
      <c r="M2797">
        <v>334</v>
      </c>
    </row>
    <row r="2798" spans="1:13">
      <c r="A2798" s="13" t="s">
        <v>223</v>
      </c>
      <c r="B2798" s="22" t="s">
        <v>224</v>
      </c>
      <c r="C2798" s="15" t="s">
        <v>73</v>
      </c>
      <c r="D2798" s="16"/>
      <c r="E2798" s="2">
        <v>3568958.25</v>
      </c>
      <c r="F2798" s="23">
        <v>0.91061078677510443</v>
      </c>
      <c r="G2798" s="26">
        <f t="shared" si="43"/>
        <v>3249931.88</v>
      </c>
      <c r="H2798" t="s">
        <v>1806</v>
      </c>
      <c r="K2798" t="s">
        <v>1809</v>
      </c>
      <c r="L2798" t="s">
        <v>1814</v>
      </c>
    </row>
    <row r="2799" spans="1:13">
      <c r="A2799" s="19" t="s">
        <v>223</v>
      </c>
      <c r="B2799" s="20" t="s">
        <v>224</v>
      </c>
      <c r="C2799" s="19" t="s">
        <v>74</v>
      </c>
      <c r="D2799" s="20"/>
      <c r="E2799" s="3">
        <v>3568958.25</v>
      </c>
      <c r="F2799" s="24">
        <v>8.2010822065514494E-2</v>
      </c>
      <c r="G2799" s="26">
        <f t="shared" si="43"/>
        <v>292693.2</v>
      </c>
      <c r="H2799" t="s">
        <v>1806</v>
      </c>
      <c r="K2799" t="s">
        <v>1809</v>
      </c>
      <c r="L2799" t="s">
        <v>1814</v>
      </c>
    </row>
    <row r="2800" spans="1:13">
      <c r="A2800" s="13" t="s">
        <v>225</v>
      </c>
      <c r="B2800" s="14" t="s">
        <v>226</v>
      </c>
      <c r="C2800" s="15" t="s">
        <v>72</v>
      </c>
      <c r="D2800" s="16"/>
      <c r="E2800" s="2">
        <v>1754415.97</v>
      </c>
      <c r="F2800" s="23">
        <v>4.418074238118113E-3</v>
      </c>
      <c r="G2800" s="26">
        <f t="shared" si="43"/>
        <v>7751.14</v>
      </c>
      <c r="H2800" t="s">
        <v>1806</v>
      </c>
      <c r="M2800">
        <v>164</v>
      </c>
    </row>
    <row r="2801" spans="1:13">
      <c r="A2801" s="17" t="s">
        <v>225</v>
      </c>
      <c r="B2801" s="18" t="s">
        <v>226</v>
      </c>
      <c r="C2801" s="19" t="s">
        <v>73</v>
      </c>
      <c r="D2801" s="20"/>
      <c r="E2801" s="3">
        <v>1754415.97</v>
      </c>
      <c r="F2801" s="24">
        <v>0.95210570843127929</v>
      </c>
      <c r="G2801" s="26">
        <f t="shared" si="43"/>
        <v>1670389.46</v>
      </c>
      <c r="H2801" t="s">
        <v>1806</v>
      </c>
    </row>
    <row r="2802" spans="1:13">
      <c r="A2802" s="15" t="s">
        <v>225</v>
      </c>
      <c r="B2802" s="16" t="s">
        <v>226</v>
      </c>
      <c r="C2802" s="15" t="s">
        <v>74</v>
      </c>
      <c r="D2802" s="16"/>
      <c r="E2802" s="2">
        <v>1754415.97</v>
      </c>
      <c r="F2802" s="23">
        <v>4.3476217330602612E-2</v>
      </c>
      <c r="G2802" s="26">
        <f t="shared" si="43"/>
        <v>76275.37</v>
      </c>
      <c r="H2802" t="s">
        <v>1806</v>
      </c>
    </row>
    <row r="2803" spans="1:13">
      <c r="A2803" s="17" t="s">
        <v>227</v>
      </c>
      <c r="B2803" s="21" t="s">
        <v>63</v>
      </c>
      <c r="C2803" s="19" t="s">
        <v>72</v>
      </c>
      <c r="D2803" s="20"/>
      <c r="E2803" s="3">
        <v>2709131.27</v>
      </c>
      <c r="F2803" s="24">
        <v>7.7109478714923992E-3</v>
      </c>
      <c r="G2803" s="26">
        <f t="shared" si="43"/>
        <v>20889.97</v>
      </c>
      <c r="H2803" t="s">
        <v>1806</v>
      </c>
      <c r="K2803" t="s">
        <v>1809</v>
      </c>
      <c r="L2803" t="s">
        <v>1814</v>
      </c>
      <c r="M2803">
        <v>261</v>
      </c>
    </row>
    <row r="2804" spans="1:13">
      <c r="A2804" s="13" t="s">
        <v>227</v>
      </c>
      <c r="B2804" s="22" t="s">
        <v>63</v>
      </c>
      <c r="C2804" s="15" t="s">
        <v>73</v>
      </c>
      <c r="D2804" s="16"/>
      <c r="E2804" s="2">
        <v>2709131.27</v>
      </c>
      <c r="F2804" s="23">
        <v>0.94134542620372919</v>
      </c>
      <c r="G2804" s="26">
        <f t="shared" si="43"/>
        <v>2550228.33</v>
      </c>
      <c r="H2804" t="s">
        <v>1806</v>
      </c>
      <c r="K2804" t="s">
        <v>1809</v>
      </c>
      <c r="L2804" t="s">
        <v>1814</v>
      </c>
    </row>
    <row r="2805" spans="1:13">
      <c r="A2805" s="19" t="s">
        <v>227</v>
      </c>
      <c r="B2805" s="20" t="s">
        <v>63</v>
      </c>
      <c r="C2805" s="19" t="s">
        <v>74</v>
      </c>
      <c r="D2805" s="20"/>
      <c r="E2805" s="3">
        <v>2709131.27</v>
      </c>
      <c r="F2805" s="24">
        <v>5.0943625924778461E-2</v>
      </c>
      <c r="G2805" s="26">
        <f t="shared" si="43"/>
        <v>138012.97</v>
      </c>
      <c r="H2805" t="s">
        <v>1806</v>
      </c>
      <c r="K2805" t="s">
        <v>1809</v>
      </c>
      <c r="L2805" t="s">
        <v>1814</v>
      </c>
    </row>
    <row r="2806" spans="1:13">
      <c r="A2806" s="34"/>
      <c r="B2806" s="35" t="s">
        <v>1819</v>
      </c>
      <c r="C2806" s="29" t="s">
        <v>72</v>
      </c>
      <c r="D2806" s="34"/>
      <c r="E2806" s="34"/>
      <c r="F2806" s="34"/>
      <c r="G2806" s="34"/>
      <c r="H2806" s="34" t="s">
        <v>1811</v>
      </c>
      <c r="I2806" s="34" t="s">
        <v>1820</v>
      </c>
      <c r="J2806" s="34" t="s">
        <v>1821</v>
      </c>
      <c r="K2806" s="34"/>
      <c r="L2806" s="34"/>
      <c r="M2806" s="34">
        <v>118</v>
      </c>
    </row>
    <row r="2807" spans="1:13">
      <c r="A2807" s="34"/>
      <c r="B2807" s="28" t="s">
        <v>1819</v>
      </c>
      <c r="C2807" s="29" t="s">
        <v>73</v>
      </c>
      <c r="D2807" s="34"/>
      <c r="E2807" s="40">
        <v>372285.72</v>
      </c>
      <c r="F2807" s="34"/>
      <c r="G2807" s="40">
        <v>372285.72</v>
      </c>
      <c r="H2807" s="34" t="s">
        <v>1811</v>
      </c>
      <c r="I2807" s="34" t="s">
        <v>1820</v>
      </c>
      <c r="J2807" s="34" t="s">
        <v>1821</v>
      </c>
      <c r="K2807" s="34"/>
      <c r="L2807" s="34"/>
      <c r="M2807" s="34"/>
    </row>
    <row r="2808" spans="1:13">
      <c r="A2808" s="34"/>
      <c r="B2808" s="28" t="s">
        <v>1819</v>
      </c>
      <c r="C2808" s="29" t="s">
        <v>74</v>
      </c>
      <c r="D2808" s="34"/>
      <c r="E2808" s="34"/>
      <c r="F2808" s="34"/>
      <c r="G2808" s="34"/>
      <c r="H2808" s="34" t="s">
        <v>1811</v>
      </c>
      <c r="I2808" s="34" t="s">
        <v>1820</v>
      </c>
      <c r="J2808" s="34" t="s">
        <v>1821</v>
      </c>
      <c r="K2808" s="34"/>
      <c r="L2808" s="34"/>
      <c r="M2808" s="34"/>
    </row>
    <row r="2809" spans="1:13">
      <c r="A2809" s="34"/>
      <c r="B2809" s="28" t="s">
        <v>1822</v>
      </c>
      <c r="C2809" s="27" t="s">
        <v>72</v>
      </c>
      <c r="D2809" s="34"/>
      <c r="E2809" s="34"/>
      <c r="F2809" s="34"/>
      <c r="G2809" s="34"/>
      <c r="H2809" s="34" t="s">
        <v>1811</v>
      </c>
      <c r="I2809" s="34" t="s">
        <v>1820</v>
      </c>
      <c r="J2809" s="34" t="s">
        <v>1823</v>
      </c>
      <c r="K2809" s="34"/>
      <c r="L2809" s="34"/>
      <c r="M2809" s="34">
        <v>52</v>
      </c>
    </row>
    <row r="2810" spans="1:13">
      <c r="A2810" s="34"/>
      <c r="B2810" s="28" t="s">
        <v>1822</v>
      </c>
      <c r="C2810" s="27" t="s">
        <v>73</v>
      </c>
      <c r="D2810" s="34"/>
      <c r="E2810" s="40">
        <v>297781.03999999998</v>
      </c>
      <c r="F2810" s="34"/>
      <c r="G2810" s="40">
        <v>297781.03999999998</v>
      </c>
      <c r="H2810" s="34" t="s">
        <v>1811</v>
      </c>
      <c r="I2810" s="34" t="s">
        <v>1820</v>
      </c>
      <c r="J2810" s="34" t="s">
        <v>1823</v>
      </c>
      <c r="K2810" s="34"/>
      <c r="L2810" s="34"/>
      <c r="M2810" s="34"/>
    </row>
    <row r="2811" spans="1:13">
      <c r="A2811" s="34"/>
      <c r="B2811" s="28" t="s">
        <v>1822</v>
      </c>
      <c r="C2811" s="27" t="s">
        <v>74</v>
      </c>
      <c r="D2811" s="34"/>
      <c r="E2811" s="34"/>
      <c r="F2811" s="34"/>
      <c r="G2811" s="34"/>
      <c r="H2811" s="34" t="s">
        <v>1811</v>
      </c>
      <c r="I2811" s="34" t="s">
        <v>1820</v>
      </c>
      <c r="J2811" s="34" t="s">
        <v>1823</v>
      </c>
      <c r="K2811" s="34"/>
      <c r="L2811" s="34"/>
      <c r="M2811" s="34"/>
    </row>
    <row r="2812" spans="1:13">
      <c r="A2812" s="34"/>
      <c r="B2812" s="28" t="s">
        <v>1824</v>
      </c>
      <c r="C2812" s="27" t="s">
        <v>72</v>
      </c>
      <c r="D2812" s="34"/>
      <c r="E2812" s="34"/>
      <c r="F2812" s="34"/>
      <c r="G2812" s="34"/>
      <c r="H2812" s="34" t="s">
        <v>1811</v>
      </c>
      <c r="I2812" s="34" t="s">
        <v>1820</v>
      </c>
      <c r="J2812" s="34" t="s">
        <v>1823</v>
      </c>
      <c r="K2812" s="34"/>
      <c r="L2812" s="34"/>
      <c r="M2812" s="34">
        <v>32</v>
      </c>
    </row>
    <row r="2813" spans="1:13">
      <c r="A2813" s="34"/>
      <c r="B2813" s="28" t="s">
        <v>1824</v>
      </c>
      <c r="C2813" s="27" t="s">
        <v>73</v>
      </c>
      <c r="D2813" s="34"/>
      <c r="E2813" s="40">
        <v>188315.36</v>
      </c>
      <c r="F2813" s="34"/>
      <c r="G2813" s="40">
        <v>188315.36</v>
      </c>
      <c r="H2813" s="34" t="s">
        <v>1811</v>
      </c>
      <c r="I2813" s="34" t="s">
        <v>1820</v>
      </c>
      <c r="J2813" s="34" t="s">
        <v>1823</v>
      </c>
      <c r="K2813" s="34"/>
      <c r="L2813" s="34"/>
      <c r="M2813" s="34"/>
    </row>
    <row r="2814" spans="1:13">
      <c r="A2814" s="34"/>
      <c r="B2814" s="28" t="s">
        <v>1824</v>
      </c>
      <c r="C2814" s="27" t="s">
        <v>74</v>
      </c>
      <c r="D2814" s="34"/>
      <c r="E2814" s="34"/>
      <c r="F2814" s="34"/>
      <c r="G2814" s="34"/>
      <c r="H2814" s="34" t="s">
        <v>1811</v>
      </c>
      <c r="I2814" s="34" t="s">
        <v>1820</v>
      </c>
      <c r="J2814" s="34" t="s">
        <v>1823</v>
      </c>
      <c r="K2814" s="34"/>
      <c r="L2814" s="34"/>
      <c r="M2814" s="34"/>
    </row>
    <row r="2815" spans="1:13">
      <c r="A2815" s="34"/>
      <c r="B2815" s="28" t="s">
        <v>1827</v>
      </c>
      <c r="C2815" s="27" t="s">
        <v>72</v>
      </c>
      <c r="D2815" s="34"/>
      <c r="E2815" s="34"/>
      <c r="F2815" s="34"/>
      <c r="G2815" s="34"/>
      <c r="H2815" s="34" t="s">
        <v>1811</v>
      </c>
      <c r="I2815" s="34" t="s">
        <v>1820</v>
      </c>
      <c r="J2815" s="34" t="s">
        <v>1826</v>
      </c>
      <c r="K2815" s="34"/>
      <c r="L2815" s="34"/>
      <c r="M2815" s="34">
        <v>39</v>
      </c>
    </row>
    <row r="2816" spans="1:13">
      <c r="A2816" s="34"/>
      <c r="B2816" s="28" t="s">
        <v>1827</v>
      </c>
      <c r="C2816" s="27" t="s">
        <v>73</v>
      </c>
      <c r="D2816" s="34"/>
      <c r="E2816" s="40">
        <v>291367.83</v>
      </c>
      <c r="F2816" s="34"/>
      <c r="G2816" s="40">
        <v>291367.83</v>
      </c>
      <c r="H2816" s="34" t="s">
        <v>1811</v>
      </c>
      <c r="I2816" s="34" t="s">
        <v>1820</v>
      </c>
      <c r="J2816" s="34" t="s">
        <v>1826</v>
      </c>
      <c r="K2816" s="34"/>
      <c r="L2816" s="34"/>
      <c r="M2816" s="34"/>
    </row>
    <row r="2817" spans="1:13">
      <c r="A2817" s="34"/>
      <c r="B2817" s="28" t="s">
        <v>1827</v>
      </c>
      <c r="C2817" s="27" t="s">
        <v>74</v>
      </c>
      <c r="D2817" s="34"/>
      <c r="E2817" s="34"/>
      <c r="F2817" s="34"/>
      <c r="G2817" s="34"/>
      <c r="H2817" s="34" t="s">
        <v>1811</v>
      </c>
      <c r="I2817" s="34" t="s">
        <v>1820</v>
      </c>
      <c r="J2817" s="34" t="s">
        <v>1826</v>
      </c>
      <c r="K2817" s="34"/>
      <c r="L2817" s="34"/>
      <c r="M2817" s="34"/>
    </row>
    <row r="2818" spans="1:13">
      <c r="A2818" s="34"/>
      <c r="B2818" s="28" t="s">
        <v>1829</v>
      </c>
      <c r="C2818" s="27" t="s">
        <v>72</v>
      </c>
      <c r="D2818" s="34"/>
      <c r="E2818" s="34"/>
      <c r="F2818" s="34"/>
      <c r="G2818" s="34"/>
      <c r="H2818" s="34" t="s">
        <v>1811</v>
      </c>
      <c r="I2818" s="34" t="s">
        <v>1820</v>
      </c>
      <c r="J2818" s="34" t="s">
        <v>1830</v>
      </c>
      <c r="K2818" s="34"/>
      <c r="L2818" s="34"/>
      <c r="M2818" s="34">
        <v>27</v>
      </c>
    </row>
    <row r="2819" spans="1:13">
      <c r="A2819" s="34"/>
      <c r="B2819" s="28" t="s">
        <v>1829</v>
      </c>
      <c r="C2819" s="27" t="s">
        <v>73</v>
      </c>
      <c r="D2819" s="34"/>
      <c r="E2819" s="40">
        <v>185647.31</v>
      </c>
      <c r="F2819" s="34"/>
      <c r="G2819" s="40">
        <v>185647.31</v>
      </c>
      <c r="H2819" s="34" t="s">
        <v>1811</v>
      </c>
      <c r="I2819" s="34" t="s">
        <v>1820</v>
      </c>
      <c r="J2819" s="34" t="s">
        <v>1830</v>
      </c>
      <c r="K2819" s="34"/>
      <c r="L2819" s="34"/>
      <c r="M2819" s="34"/>
    </row>
    <row r="2820" spans="1:13">
      <c r="A2820" s="34"/>
      <c r="B2820" s="28" t="s">
        <v>1829</v>
      </c>
      <c r="C2820" s="27" t="s">
        <v>74</v>
      </c>
      <c r="D2820" s="34"/>
      <c r="E2820" s="34"/>
      <c r="F2820" s="34"/>
      <c r="G2820" s="34"/>
      <c r="H2820" s="34" t="s">
        <v>1811</v>
      </c>
      <c r="I2820" s="34" t="s">
        <v>1820</v>
      </c>
      <c r="J2820" s="34" t="s">
        <v>1830</v>
      </c>
      <c r="K2820" s="34"/>
      <c r="L2820" s="34"/>
      <c r="M2820" s="34"/>
    </row>
    <row r="2821" spans="1:13">
      <c r="A2821" s="34"/>
      <c r="B2821" s="28" t="s">
        <v>1832</v>
      </c>
      <c r="C2821" s="27" t="s">
        <v>72</v>
      </c>
      <c r="D2821" s="34"/>
      <c r="E2821" s="34"/>
      <c r="F2821" s="34"/>
      <c r="G2821" s="34"/>
      <c r="H2821" s="34" t="s">
        <v>1811</v>
      </c>
      <c r="I2821" s="34" t="s">
        <v>1820</v>
      </c>
      <c r="J2821" s="34" t="s">
        <v>1831</v>
      </c>
      <c r="K2821" s="34"/>
      <c r="L2821" s="34"/>
      <c r="M2821" s="34">
        <v>95</v>
      </c>
    </row>
    <row r="2822" spans="1:13">
      <c r="A2822" s="34"/>
      <c r="B2822" s="28" t="s">
        <v>1832</v>
      </c>
      <c r="C2822" s="27" t="s">
        <v>73</v>
      </c>
      <c r="D2822" s="34"/>
      <c r="E2822" s="40">
        <v>669984.64</v>
      </c>
      <c r="F2822" s="34"/>
      <c r="G2822" s="40">
        <v>669984.64</v>
      </c>
      <c r="H2822" s="34" t="s">
        <v>1811</v>
      </c>
      <c r="I2822" s="34" t="s">
        <v>1820</v>
      </c>
      <c r="J2822" s="34" t="s">
        <v>1831</v>
      </c>
      <c r="K2822" s="34"/>
      <c r="L2822" s="34"/>
      <c r="M2822" s="34"/>
    </row>
    <row r="2823" spans="1:13">
      <c r="A2823" s="34"/>
      <c r="B2823" s="28" t="s">
        <v>1832</v>
      </c>
      <c r="C2823" s="27" t="s">
        <v>74</v>
      </c>
      <c r="D2823" s="34"/>
      <c r="E2823" s="34"/>
      <c r="F2823" s="34"/>
      <c r="G2823" s="34"/>
      <c r="H2823" s="34" t="s">
        <v>1811</v>
      </c>
      <c r="I2823" s="34" t="s">
        <v>1820</v>
      </c>
      <c r="J2823" s="34" t="s">
        <v>1831</v>
      </c>
      <c r="K2823" s="34"/>
      <c r="L2823" s="34"/>
      <c r="M2823" s="34"/>
    </row>
    <row r="2824" spans="1:13">
      <c r="A2824" s="34"/>
      <c r="B2824" s="28" t="s">
        <v>1833</v>
      </c>
      <c r="C2824" s="27" t="s">
        <v>72</v>
      </c>
      <c r="D2824" s="34"/>
      <c r="E2824" s="34"/>
      <c r="F2824" s="34"/>
      <c r="G2824" s="34"/>
      <c r="H2824" s="34" t="s">
        <v>1811</v>
      </c>
      <c r="I2824" s="34" t="s">
        <v>1820</v>
      </c>
      <c r="J2824" s="34" t="s">
        <v>1831</v>
      </c>
      <c r="K2824" s="34"/>
      <c r="L2824" s="34"/>
      <c r="M2824" s="34">
        <v>79</v>
      </c>
    </row>
    <row r="2825" spans="1:13">
      <c r="A2825" s="34"/>
      <c r="B2825" s="28" t="s">
        <v>1833</v>
      </c>
      <c r="C2825" s="27" t="s">
        <v>73</v>
      </c>
      <c r="D2825" s="34"/>
      <c r="E2825" s="40">
        <v>228192.03</v>
      </c>
      <c r="F2825" s="34"/>
      <c r="G2825" s="40">
        <v>228192.03</v>
      </c>
      <c r="H2825" s="34" t="s">
        <v>1811</v>
      </c>
      <c r="I2825" s="34" t="s">
        <v>1820</v>
      </c>
      <c r="J2825" s="34" t="s">
        <v>1831</v>
      </c>
      <c r="K2825" s="34"/>
      <c r="L2825" s="34"/>
      <c r="M2825" s="34"/>
    </row>
    <row r="2826" spans="1:13">
      <c r="A2826" s="34"/>
      <c r="B2826" s="28" t="s">
        <v>1833</v>
      </c>
      <c r="C2826" s="27" t="s">
        <v>74</v>
      </c>
      <c r="D2826" s="34"/>
      <c r="E2826" s="34"/>
      <c r="F2826" s="34"/>
      <c r="G2826" s="34"/>
      <c r="H2826" s="34" t="s">
        <v>1811</v>
      </c>
      <c r="I2826" s="34" t="s">
        <v>1820</v>
      </c>
      <c r="J2826" s="34" t="s">
        <v>1831</v>
      </c>
      <c r="K2826" s="34"/>
      <c r="L2826" s="34"/>
      <c r="M2826" s="34"/>
    </row>
    <row r="2827" spans="1:13">
      <c r="A2827" s="34"/>
      <c r="B2827" s="28" t="s">
        <v>1836</v>
      </c>
      <c r="C2827" s="27" t="s">
        <v>72</v>
      </c>
      <c r="D2827" s="34"/>
      <c r="E2827" s="34"/>
      <c r="F2827" s="34"/>
      <c r="G2827" s="34"/>
      <c r="H2827" s="34" t="s">
        <v>1811</v>
      </c>
      <c r="I2827" s="34" t="s">
        <v>1820</v>
      </c>
      <c r="J2827" s="34" t="s">
        <v>1835</v>
      </c>
      <c r="K2827" s="34"/>
      <c r="L2827" s="34"/>
      <c r="M2827" s="34">
        <v>85</v>
      </c>
    </row>
    <row r="2828" spans="1:13">
      <c r="A2828" s="34"/>
      <c r="B2828" s="28" t="s">
        <v>1836</v>
      </c>
      <c r="C2828" s="27" t="s">
        <v>73</v>
      </c>
      <c r="D2828" s="34"/>
      <c r="E2828" s="40">
        <v>601757.28</v>
      </c>
      <c r="F2828" s="34"/>
      <c r="G2828" s="40">
        <v>601757.28</v>
      </c>
      <c r="H2828" s="34" t="s">
        <v>1811</v>
      </c>
      <c r="I2828" s="34" t="s">
        <v>1820</v>
      </c>
      <c r="J2828" s="34" t="s">
        <v>1835</v>
      </c>
      <c r="K2828" s="34"/>
      <c r="L2828" s="34"/>
      <c r="M2828" s="34"/>
    </row>
    <row r="2829" spans="1:13">
      <c r="A2829" s="34"/>
      <c r="B2829" s="28" t="s">
        <v>1836</v>
      </c>
      <c r="C2829" s="27" t="s">
        <v>74</v>
      </c>
      <c r="D2829" s="34"/>
      <c r="E2829" s="34"/>
      <c r="F2829" s="34"/>
      <c r="G2829" s="34"/>
      <c r="H2829" s="34" t="s">
        <v>1811</v>
      </c>
      <c r="I2829" s="34" t="s">
        <v>1820</v>
      </c>
      <c r="J2829" s="34" t="s">
        <v>1835</v>
      </c>
      <c r="K2829" s="34"/>
      <c r="L2829" s="34"/>
      <c r="M2829" s="34"/>
    </row>
    <row r="2830" spans="1:13">
      <c r="A2830" s="34"/>
      <c r="B2830" s="28" t="s">
        <v>1838</v>
      </c>
      <c r="C2830" s="27" t="s">
        <v>72</v>
      </c>
      <c r="D2830" s="34"/>
      <c r="E2830" s="34"/>
      <c r="F2830" s="34"/>
      <c r="G2830" s="34"/>
      <c r="H2830" s="34" t="s">
        <v>1811</v>
      </c>
      <c r="I2830" s="34" t="s">
        <v>1820</v>
      </c>
      <c r="J2830" s="34" t="s">
        <v>1837</v>
      </c>
      <c r="K2830" s="34"/>
      <c r="L2830" s="34"/>
      <c r="M2830" s="34">
        <v>73</v>
      </c>
    </row>
    <row r="2831" spans="1:13">
      <c r="A2831" s="34"/>
      <c r="B2831" s="28" t="s">
        <v>1838</v>
      </c>
      <c r="C2831" s="27" t="s">
        <v>73</v>
      </c>
      <c r="D2831" s="34"/>
      <c r="E2831" s="40">
        <v>519208.75</v>
      </c>
      <c r="F2831" s="34"/>
      <c r="G2831" s="40">
        <v>519208.75</v>
      </c>
      <c r="H2831" s="34" t="s">
        <v>1811</v>
      </c>
      <c r="I2831" s="34" t="s">
        <v>1820</v>
      </c>
      <c r="J2831" s="34" t="s">
        <v>1837</v>
      </c>
      <c r="K2831" s="34"/>
      <c r="L2831" s="34"/>
      <c r="M2831" s="34"/>
    </row>
    <row r="2832" spans="1:13">
      <c r="A2832" s="34"/>
      <c r="B2832" s="28" t="s">
        <v>1838</v>
      </c>
      <c r="C2832" s="27" t="s">
        <v>74</v>
      </c>
      <c r="D2832" s="34"/>
      <c r="E2832" s="34"/>
      <c r="F2832" s="34"/>
      <c r="G2832" s="34"/>
      <c r="H2832" s="34" t="s">
        <v>1811</v>
      </c>
      <c r="I2832" s="34" t="s">
        <v>1820</v>
      </c>
      <c r="J2832" s="34" t="s">
        <v>1837</v>
      </c>
      <c r="K2832" s="34"/>
      <c r="L2832" s="34"/>
      <c r="M2832" s="34"/>
    </row>
    <row r="2833" spans="1:13">
      <c r="A2833" s="34"/>
      <c r="B2833" s="28" t="s">
        <v>1839</v>
      </c>
      <c r="C2833" s="27" t="s">
        <v>72</v>
      </c>
      <c r="D2833" s="34"/>
      <c r="E2833" s="34"/>
      <c r="F2833" s="34"/>
      <c r="G2833" s="34"/>
      <c r="H2833" s="34" t="s">
        <v>1811</v>
      </c>
      <c r="I2833" s="34" t="s">
        <v>1820</v>
      </c>
      <c r="J2833" s="34" t="s">
        <v>702</v>
      </c>
      <c r="K2833" s="34"/>
      <c r="L2833" s="34"/>
      <c r="M2833" s="34">
        <v>43</v>
      </c>
    </row>
    <row r="2834" spans="1:13">
      <c r="A2834" s="34"/>
      <c r="B2834" s="28" t="s">
        <v>1839</v>
      </c>
      <c r="C2834" s="27" t="s">
        <v>73</v>
      </c>
      <c r="D2834" s="34"/>
      <c r="E2834" s="40">
        <v>340957.16</v>
      </c>
      <c r="F2834" s="34"/>
      <c r="G2834" s="40">
        <v>340957.16</v>
      </c>
      <c r="H2834" s="34" t="s">
        <v>1811</v>
      </c>
      <c r="I2834" s="34" t="s">
        <v>1820</v>
      </c>
      <c r="J2834" s="34" t="s">
        <v>702</v>
      </c>
      <c r="K2834" s="34"/>
      <c r="L2834" s="34"/>
      <c r="M2834" s="34"/>
    </row>
    <row r="2835" spans="1:13">
      <c r="A2835" s="34"/>
      <c r="B2835" s="28" t="s">
        <v>1839</v>
      </c>
      <c r="C2835" s="27" t="s">
        <v>74</v>
      </c>
      <c r="D2835" s="34"/>
      <c r="E2835" s="34"/>
      <c r="F2835" s="34"/>
      <c r="G2835" s="34"/>
      <c r="H2835" s="34" t="s">
        <v>1811</v>
      </c>
      <c r="I2835" s="34" t="s">
        <v>1820</v>
      </c>
      <c r="J2835" s="34" t="s">
        <v>702</v>
      </c>
      <c r="K2835" s="34"/>
      <c r="L2835" s="34"/>
      <c r="M2835" s="34"/>
    </row>
    <row r="2836" spans="1:13">
      <c r="A2836" s="34"/>
      <c r="B2836" s="28" t="s">
        <v>1840</v>
      </c>
      <c r="C2836" s="27" t="s">
        <v>72</v>
      </c>
      <c r="D2836" s="34"/>
      <c r="E2836" s="34"/>
      <c r="F2836" s="34"/>
      <c r="G2836" s="34"/>
      <c r="H2836" s="34" t="s">
        <v>1811</v>
      </c>
      <c r="I2836" s="34" t="s">
        <v>1820</v>
      </c>
      <c r="J2836" s="34" t="s">
        <v>704</v>
      </c>
      <c r="K2836" s="34"/>
      <c r="L2836" s="34"/>
      <c r="M2836" s="34">
        <v>29</v>
      </c>
    </row>
    <row r="2837" spans="1:13">
      <c r="A2837" s="34"/>
      <c r="B2837" s="28" t="s">
        <v>1840</v>
      </c>
      <c r="C2837" s="27" t="s">
        <v>73</v>
      </c>
      <c r="D2837" s="34"/>
      <c r="E2837" s="40">
        <v>200661.09</v>
      </c>
      <c r="F2837" s="34"/>
      <c r="G2837" s="40">
        <v>200661.09</v>
      </c>
      <c r="H2837" s="34" t="s">
        <v>1811</v>
      </c>
      <c r="I2837" s="34" t="s">
        <v>1820</v>
      </c>
      <c r="J2837" s="34" t="s">
        <v>704</v>
      </c>
      <c r="K2837" s="34"/>
      <c r="L2837" s="34"/>
      <c r="M2837" s="34"/>
    </row>
    <row r="2838" spans="1:13">
      <c r="A2838" s="34"/>
      <c r="B2838" s="28" t="s">
        <v>1840</v>
      </c>
      <c r="C2838" s="27" t="s">
        <v>74</v>
      </c>
      <c r="D2838" s="34"/>
      <c r="E2838" s="34"/>
      <c r="F2838" s="34"/>
      <c r="G2838" s="34"/>
      <c r="H2838" s="34" t="s">
        <v>1811</v>
      </c>
      <c r="I2838" s="34" t="s">
        <v>1820</v>
      </c>
      <c r="J2838" s="34" t="s">
        <v>704</v>
      </c>
      <c r="K2838" s="34"/>
      <c r="L2838" s="34"/>
      <c r="M2838" s="34"/>
    </row>
    <row r="2839" spans="1:13">
      <c r="A2839" s="34"/>
      <c r="B2839" s="28" t="s">
        <v>1841</v>
      </c>
      <c r="C2839" s="27" t="s">
        <v>72</v>
      </c>
      <c r="D2839" s="34"/>
      <c r="E2839" s="34"/>
      <c r="F2839" s="34"/>
      <c r="G2839" s="34"/>
      <c r="H2839" s="34" t="s">
        <v>1811</v>
      </c>
      <c r="I2839" s="34" t="s">
        <v>1820</v>
      </c>
      <c r="J2839" s="34" t="s">
        <v>710</v>
      </c>
      <c r="K2839" s="34"/>
      <c r="L2839" s="34"/>
      <c r="M2839" s="34">
        <v>139</v>
      </c>
    </row>
    <row r="2840" spans="1:13">
      <c r="A2840" s="34"/>
      <c r="B2840" s="28" t="s">
        <v>1841</v>
      </c>
      <c r="C2840" s="27" t="s">
        <v>73</v>
      </c>
      <c r="D2840" s="34"/>
      <c r="E2840" s="40">
        <v>874096.98</v>
      </c>
      <c r="F2840" s="34"/>
      <c r="G2840" s="40">
        <v>874096.98</v>
      </c>
      <c r="H2840" s="34" t="s">
        <v>1811</v>
      </c>
      <c r="I2840" s="34" t="s">
        <v>1820</v>
      </c>
      <c r="J2840" s="34" t="s">
        <v>710</v>
      </c>
      <c r="K2840" s="34"/>
      <c r="L2840" s="34"/>
      <c r="M2840" s="34"/>
    </row>
    <row r="2841" spans="1:13">
      <c r="A2841" s="34"/>
      <c r="B2841" s="28" t="s">
        <v>1841</v>
      </c>
      <c r="C2841" s="27" t="s">
        <v>74</v>
      </c>
      <c r="D2841" s="34"/>
      <c r="E2841" s="34"/>
      <c r="F2841" s="34"/>
      <c r="G2841" s="34"/>
      <c r="H2841" s="34" t="s">
        <v>1811</v>
      </c>
      <c r="I2841" s="34" t="s">
        <v>1820</v>
      </c>
      <c r="J2841" s="34" t="s">
        <v>710</v>
      </c>
      <c r="K2841" s="34"/>
      <c r="L2841" s="34"/>
      <c r="M2841" s="34"/>
    </row>
    <row r="2842" spans="1:13">
      <c r="A2842" s="34"/>
      <c r="B2842" s="28" t="s">
        <v>1842</v>
      </c>
      <c r="C2842" s="27" t="s">
        <v>72</v>
      </c>
      <c r="D2842" s="34"/>
      <c r="E2842" s="34"/>
      <c r="F2842" s="34"/>
      <c r="G2842" s="34"/>
      <c r="H2842" s="34" t="s">
        <v>1811</v>
      </c>
      <c r="I2842" s="34" t="s">
        <v>1820</v>
      </c>
      <c r="J2842" s="34" t="s">
        <v>1166</v>
      </c>
      <c r="K2842" s="34"/>
      <c r="L2842" s="34"/>
      <c r="M2842" s="34">
        <v>25</v>
      </c>
    </row>
    <row r="2843" spans="1:13">
      <c r="A2843" s="34"/>
      <c r="B2843" s="28" t="s">
        <v>1842</v>
      </c>
      <c r="C2843" s="27" t="s">
        <v>73</v>
      </c>
      <c r="D2843" s="34"/>
      <c r="E2843" s="40">
        <v>197530.86</v>
      </c>
      <c r="F2843" s="34"/>
      <c r="G2843" s="40">
        <v>197530.86</v>
      </c>
      <c r="H2843" s="34" t="s">
        <v>1811</v>
      </c>
      <c r="I2843" s="34" t="s">
        <v>1820</v>
      </c>
      <c r="J2843" s="34" t="s">
        <v>1166</v>
      </c>
      <c r="K2843" s="34"/>
      <c r="L2843" s="34"/>
      <c r="M2843" s="34"/>
    </row>
    <row r="2844" spans="1:13">
      <c r="A2844" s="34"/>
      <c r="B2844" s="28" t="s">
        <v>1842</v>
      </c>
      <c r="C2844" s="27" t="s">
        <v>74</v>
      </c>
      <c r="D2844" s="34"/>
      <c r="E2844" s="34"/>
      <c r="F2844" s="34"/>
      <c r="G2844" s="34"/>
      <c r="H2844" s="34" t="s">
        <v>1811</v>
      </c>
      <c r="I2844" s="34" t="s">
        <v>1820</v>
      </c>
      <c r="J2844" s="34" t="s">
        <v>1166</v>
      </c>
      <c r="K2844" s="34"/>
      <c r="L2844" s="34"/>
      <c r="M2844" s="34"/>
    </row>
    <row r="2845" spans="1:13">
      <c r="A2845" s="34"/>
      <c r="B2845" s="28" t="s">
        <v>1843</v>
      </c>
      <c r="C2845" s="27" t="s">
        <v>72</v>
      </c>
      <c r="D2845" s="34"/>
      <c r="E2845" s="34"/>
      <c r="F2845" s="34"/>
      <c r="G2845" s="34"/>
      <c r="H2845" s="34" t="s">
        <v>1811</v>
      </c>
      <c r="I2845" s="34" t="s">
        <v>1820</v>
      </c>
      <c r="J2845" s="34" t="s">
        <v>712</v>
      </c>
      <c r="K2845" s="34"/>
      <c r="L2845" s="34"/>
      <c r="M2845" s="34">
        <v>62</v>
      </c>
    </row>
    <row r="2846" spans="1:13">
      <c r="A2846" s="34"/>
      <c r="B2846" s="28" t="s">
        <v>1843</v>
      </c>
      <c r="C2846" s="27" t="s">
        <v>73</v>
      </c>
      <c r="D2846" s="34"/>
      <c r="E2846" s="40">
        <v>436023.34</v>
      </c>
      <c r="F2846" s="34"/>
      <c r="G2846" s="40">
        <v>436023.34</v>
      </c>
      <c r="H2846" s="34" t="s">
        <v>1811</v>
      </c>
      <c r="I2846" s="34" t="s">
        <v>1820</v>
      </c>
      <c r="J2846" s="34" t="s">
        <v>712</v>
      </c>
      <c r="K2846" s="34"/>
      <c r="L2846" s="34"/>
      <c r="M2846" s="34"/>
    </row>
    <row r="2847" spans="1:13">
      <c r="A2847" s="34"/>
      <c r="B2847" s="28" t="s">
        <v>1843</v>
      </c>
      <c r="C2847" s="27" t="s">
        <v>74</v>
      </c>
      <c r="D2847" s="34"/>
      <c r="E2847" s="34"/>
      <c r="F2847" s="34"/>
      <c r="G2847" s="34"/>
      <c r="H2847" s="34" t="s">
        <v>1811</v>
      </c>
      <c r="I2847" s="34" t="s">
        <v>1820</v>
      </c>
      <c r="J2847" s="34" t="s">
        <v>712</v>
      </c>
      <c r="K2847" s="34"/>
      <c r="L2847" s="34"/>
      <c r="M2847" s="34"/>
    </row>
    <row r="2848" spans="1:13">
      <c r="A2848" s="34"/>
      <c r="B2848" s="28" t="s">
        <v>1844</v>
      </c>
      <c r="C2848" s="27" t="s">
        <v>72</v>
      </c>
      <c r="D2848" s="34"/>
      <c r="E2848" s="34"/>
      <c r="F2848" s="34"/>
      <c r="G2848" s="34"/>
      <c r="H2848" s="34" t="s">
        <v>1811</v>
      </c>
      <c r="I2848" s="34" t="s">
        <v>1820</v>
      </c>
      <c r="J2848" s="34" t="s">
        <v>712</v>
      </c>
      <c r="K2848" s="34"/>
      <c r="L2848" s="34"/>
      <c r="M2848" s="34">
        <v>51</v>
      </c>
    </row>
    <row r="2849" spans="1:13">
      <c r="A2849" s="34"/>
      <c r="B2849" s="28" t="s">
        <v>1844</v>
      </c>
      <c r="C2849" s="27" t="s">
        <v>73</v>
      </c>
      <c r="D2849" s="34"/>
      <c r="E2849" s="40">
        <v>374478.11</v>
      </c>
      <c r="F2849" s="34"/>
      <c r="G2849" s="40">
        <v>374478.11</v>
      </c>
      <c r="H2849" s="34" t="s">
        <v>1811</v>
      </c>
      <c r="I2849" s="34" t="s">
        <v>1820</v>
      </c>
      <c r="J2849" s="34" t="s">
        <v>712</v>
      </c>
      <c r="K2849" s="34"/>
      <c r="L2849" s="34"/>
      <c r="M2849" s="34"/>
    </row>
    <row r="2850" spans="1:13">
      <c r="A2850" s="34"/>
      <c r="B2850" s="28" t="s">
        <v>1844</v>
      </c>
      <c r="C2850" s="27" t="s">
        <v>74</v>
      </c>
      <c r="D2850" s="34"/>
      <c r="E2850" s="34"/>
      <c r="F2850" s="34"/>
      <c r="G2850" s="34"/>
      <c r="H2850" s="34" t="s">
        <v>1811</v>
      </c>
      <c r="I2850" s="34" t="s">
        <v>1820</v>
      </c>
      <c r="J2850" s="34" t="s">
        <v>712</v>
      </c>
      <c r="K2850" s="34"/>
      <c r="L2850" s="34"/>
      <c r="M2850" s="34"/>
    </row>
    <row r="2851" spans="1:13">
      <c r="A2851" s="34"/>
      <c r="B2851" s="28" t="s">
        <v>1845</v>
      </c>
      <c r="C2851" s="27" t="s">
        <v>72</v>
      </c>
      <c r="D2851" s="34"/>
      <c r="E2851" s="34"/>
      <c r="F2851" s="34"/>
      <c r="G2851" s="34"/>
      <c r="H2851" s="34" t="s">
        <v>1811</v>
      </c>
      <c r="I2851" s="34" t="s">
        <v>1820</v>
      </c>
      <c r="J2851" s="34" t="s">
        <v>722</v>
      </c>
      <c r="K2851" s="34"/>
      <c r="L2851" s="34"/>
      <c r="M2851" s="34">
        <v>160</v>
      </c>
    </row>
    <row r="2852" spans="1:13">
      <c r="A2852" s="34"/>
      <c r="B2852" s="28" t="s">
        <v>1845</v>
      </c>
      <c r="C2852" s="27" t="s">
        <v>73</v>
      </c>
      <c r="D2852" s="34"/>
      <c r="E2852" s="40">
        <v>1218957.6399999999</v>
      </c>
      <c r="F2852" s="34"/>
      <c r="G2852" s="40">
        <v>1218957.6399999999</v>
      </c>
      <c r="H2852" s="34" t="s">
        <v>1811</v>
      </c>
      <c r="I2852" s="34" t="s">
        <v>1820</v>
      </c>
      <c r="J2852" s="34" t="s">
        <v>722</v>
      </c>
      <c r="K2852" s="34"/>
      <c r="L2852" s="34"/>
      <c r="M2852" s="34"/>
    </row>
    <row r="2853" spans="1:13">
      <c r="A2853" s="34"/>
      <c r="B2853" s="28" t="s">
        <v>1845</v>
      </c>
      <c r="C2853" s="27" t="s">
        <v>74</v>
      </c>
      <c r="D2853" s="34"/>
      <c r="E2853" s="34"/>
      <c r="F2853" s="34"/>
      <c r="G2853" s="34"/>
      <c r="H2853" s="34" t="s">
        <v>1811</v>
      </c>
      <c r="I2853" s="34" t="s">
        <v>1820</v>
      </c>
      <c r="J2853" s="34" t="s">
        <v>722</v>
      </c>
      <c r="K2853" s="34"/>
      <c r="L2853" s="34"/>
      <c r="M2853" s="34"/>
    </row>
    <row r="2854" spans="1:13">
      <c r="A2854" s="34"/>
      <c r="B2854" s="28" t="s">
        <v>1846</v>
      </c>
      <c r="C2854" s="27" t="s">
        <v>72</v>
      </c>
      <c r="D2854" s="34"/>
      <c r="E2854" s="34"/>
      <c r="F2854" s="34"/>
      <c r="G2854" s="34"/>
      <c r="H2854" s="34" t="s">
        <v>1811</v>
      </c>
      <c r="I2854" s="34" t="s">
        <v>1820</v>
      </c>
      <c r="J2854" s="34" t="s">
        <v>724</v>
      </c>
      <c r="K2854" s="34"/>
      <c r="L2854" s="34"/>
      <c r="M2854" s="34">
        <v>21</v>
      </c>
    </row>
    <row r="2855" spans="1:13">
      <c r="A2855" s="34"/>
      <c r="B2855" s="28" t="s">
        <v>1846</v>
      </c>
      <c r="C2855" s="27" t="s">
        <v>73</v>
      </c>
      <c r="D2855" s="34"/>
      <c r="E2855" s="40">
        <v>122038.26</v>
      </c>
      <c r="F2855" s="34"/>
      <c r="G2855" s="40">
        <v>122038.26</v>
      </c>
      <c r="H2855" s="34" t="s">
        <v>1811</v>
      </c>
      <c r="I2855" s="34" t="s">
        <v>1820</v>
      </c>
      <c r="J2855" s="34" t="s">
        <v>724</v>
      </c>
      <c r="K2855" s="34"/>
      <c r="L2855" s="34"/>
      <c r="M2855" s="34"/>
    </row>
    <row r="2856" spans="1:13">
      <c r="A2856" s="34"/>
      <c r="B2856" s="28" t="s">
        <v>1846</v>
      </c>
      <c r="C2856" s="27" t="s">
        <v>74</v>
      </c>
      <c r="D2856" s="34"/>
      <c r="E2856" s="34"/>
      <c r="F2856" s="34"/>
      <c r="G2856" s="34"/>
      <c r="H2856" s="34" t="s">
        <v>1811</v>
      </c>
      <c r="I2856" s="34" t="s">
        <v>1820</v>
      </c>
      <c r="J2856" s="34" t="s">
        <v>724</v>
      </c>
      <c r="K2856" s="34"/>
      <c r="L2856" s="34"/>
      <c r="M2856" s="34"/>
    </row>
    <row r="2857" spans="1:13">
      <c r="A2857" s="34"/>
      <c r="B2857" s="28" t="s">
        <v>1847</v>
      </c>
      <c r="C2857" s="27" t="s">
        <v>72</v>
      </c>
      <c r="D2857" s="34"/>
      <c r="E2857" s="34"/>
      <c r="F2857" s="34"/>
      <c r="G2857" s="34"/>
      <c r="H2857" s="34" t="s">
        <v>1811</v>
      </c>
      <c r="I2857" s="34" t="s">
        <v>1820</v>
      </c>
      <c r="J2857" s="34" t="s">
        <v>724</v>
      </c>
      <c r="K2857" s="34"/>
      <c r="L2857" s="34"/>
      <c r="M2857" s="34">
        <v>67</v>
      </c>
    </row>
    <row r="2858" spans="1:13">
      <c r="A2858" s="34"/>
      <c r="B2858" s="28" t="s">
        <v>1847</v>
      </c>
      <c r="C2858" s="27" t="s">
        <v>73</v>
      </c>
      <c r="D2858" s="34"/>
      <c r="E2858" s="40">
        <v>398456.73</v>
      </c>
      <c r="F2858" s="34"/>
      <c r="G2858" s="40">
        <v>398456.73</v>
      </c>
      <c r="H2858" s="34" t="s">
        <v>1811</v>
      </c>
      <c r="I2858" s="34" t="s">
        <v>1820</v>
      </c>
      <c r="J2858" s="34" t="s">
        <v>724</v>
      </c>
      <c r="K2858" s="34"/>
      <c r="L2858" s="34"/>
      <c r="M2858" s="34"/>
    </row>
    <row r="2859" spans="1:13">
      <c r="A2859" s="34"/>
      <c r="B2859" s="28" t="s">
        <v>1847</v>
      </c>
      <c r="C2859" s="27" t="s">
        <v>74</v>
      </c>
      <c r="D2859" s="34"/>
      <c r="E2859" s="34"/>
      <c r="F2859" s="34"/>
      <c r="G2859" s="34"/>
      <c r="H2859" s="34" t="s">
        <v>1811</v>
      </c>
      <c r="I2859" s="34" t="s">
        <v>1820</v>
      </c>
      <c r="J2859" s="34" t="s">
        <v>724</v>
      </c>
      <c r="K2859" s="34"/>
      <c r="L2859" s="34"/>
      <c r="M2859" s="34"/>
    </row>
    <row r="2860" spans="1:13">
      <c r="A2860" s="34"/>
      <c r="B2860" s="28" t="s">
        <v>1848</v>
      </c>
      <c r="C2860" s="27" t="s">
        <v>72</v>
      </c>
      <c r="D2860" s="34"/>
      <c r="E2860" s="34"/>
      <c r="F2860" s="34"/>
      <c r="G2860" s="34"/>
      <c r="H2860" s="34" t="s">
        <v>1811</v>
      </c>
      <c r="I2860" s="34" t="s">
        <v>1820</v>
      </c>
      <c r="J2860" s="34" t="s">
        <v>724</v>
      </c>
      <c r="K2860" s="34"/>
      <c r="L2860" s="34"/>
      <c r="M2860" s="34">
        <v>29</v>
      </c>
    </row>
    <row r="2861" spans="1:13">
      <c r="A2861" s="34"/>
      <c r="B2861" s="28" t="s">
        <v>1848</v>
      </c>
      <c r="C2861" s="27" t="s">
        <v>73</v>
      </c>
      <c r="D2861" s="34"/>
      <c r="E2861" s="40">
        <v>171616.93</v>
      </c>
      <c r="F2861" s="34"/>
      <c r="G2861" s="40">
        <v>171616.93</v>
      </c>
      <c r="H2861" s="34" t="s">
        <v>1811</v>
      </c>
      <c r="I2861" s="34" t="s">
        <v>1820</v>
      </c>
      <c r="J2861" s="34" t="s">
        <v>724</v>
      </c>
      <c r="K2861" s="34"/>
      <c r="L2861" s="34"/>
      <c r="M2861" s="34"/>
    </row>
    <row r="2862" spans="1:13">
      <c r="A2862" s="34"/>
      <c r="B2862" s="28" t="s">
        <v>1848</v>
      </c>
      <c r="C2862" s="27" t="s">
        <v>74</v>
      </c>
      <c r="D2862" s="34"/>
      <c r="E2862" s="34"/>
      <c r="F2862" s="34"/>
      <c r="G2862" s="34"/>
      <c r="H2862" s="34" t="s">
        <v>1811</v>
      </c>
      <c r="I2862" s="34" t="s">
        <v>1820</v>
      </c>
      <c r="J2862" s="34" t="s">
        <v>724</v>
      </c>
      <c r="K2862" s="34"/>
      <c r="L2862" s="34"/>
      <c r="M2862" s="34"/>
    </row>
    <row r="2863" spans="1:13">
      <c r="A2863" s="34"/>
      <c r="B2863" s="28" t="s">
        <v>1849</v>
      </c>
      <c r="C2863" s="27" t="s">
        <v>72</v>
      </c>
      <c r="D2863" s="34"/>
      <c r="E2863" s="34"/>
      <c r="F2863" s="34"/>
      <c r="G2863" s="34"/>
      <c r="H2863" s="34" t="s">
        <v>1811</v>
      </c>
      <c r="I2863" s="34" t="s">
        <v>1820</v>
      </c>
      <c r="J2863" s="34" t="s">
        <v>502</v>
      </c>
      <c r="K2863" s="34"/>
      <c r="L2863" s="34"/>
      <c r="M2863" s="34">
        <v>45</v>
      </c>
    </row>
    <row r="2864" spans="1:13">
      <c r="A2864" s="34"/>
      <c r="B2864" s="28" t="s">
        <v>1849</v>
      </c>
      <c r="C2864" s="27" t="s">
        <v>73</v>
      </c>
      <c r="D2864" s="34"/>
      <c r="E2864" s="40">
        <v>331057.44</v>
      </c>
      <c r="F2864" s="34"/>
      <c r="G2864" s="40">
        <v>331057.44</v>
      </c>
      <c r="H2864" s="34" t="s">
        <v>1811</v>
      </c>
      <c r="I2864" s="34" t="s">
        <v>1820</v>
      </c>
      <c r="J2864" s="34" t="s">
        <v>502</v>
      </c>
      <c r="K2864" s="34"/>
      <c r="L2864" s="34"/>
      <c r="M2864" s="34"/>
    </row>
    <row r="2865" spans="1:13">
      <c r="A2865" s="34"/>
      <c r="B2865" s="28" t="s">
        <v>1849</v>
      </c>
      <c r="C2865" s="27" t="s">
        <v>74</v>
      </c>
      <c r="D2865" s="34"/>
      <c r="E2865" s="34"/>
      <c r="F2865" s="34"/>
      <c r="G2865" s="34"/>
      <c r="H2865" s="34" t="s">
        <v>1811</v>
      </c>
      <c r="I2865" s="34" t="s">
        <v>1820</v>
      </c>
      <c r="J2865" s="34" t="s">
        <v>502</v>
      </c>
      <c r="K2865" s="34"/>
      <c r="L2865" s="34"/>
      <c r="M2865" s="34"/>
    </row>
    <row r="2866" spans="1:13">
      <c r="A2866" s="34"/>
      <c r="B2866" s="28" t="s">
        <v>1850</v>
      </c>
      <c r="C2866" s="27" t="s">
        <v>72</v>
      </c>
      <c r="D2866" s="34"/>
      <c r="E2866" s="34"/>
      <c r="F2866" s="34"/>
      <c r="G2866" s="34"/>
      <c r="H2866" s="34" t="s">
        <v>1811</v>
      </c>
      <c r="I2866" s="34" t="s">
        <v>1820</v>
      </c>
      <c r="J2866" s="34" t="s">
        <v>510</v>
      </c>
      <c r="K2866" s="34"/>
      <c r="L2866" s="34"/>
      <c r="M2866" s="34">
        <v>89</v>
      </c>
    </row>
    <row r="2867" spans="1:13">
      <c r="A2867" s="34"/>
      <c r="B2867" s="28" t="s">
        <v>1850</v>
      </c>
      <c r="C2867" s="27" t="s">
        <v>73</v>
      </c>
      <c r="D2867" s="34"/>
      <c r="E2867" s="40">
        <v>611523.31000000006</v>
      </c>
      <c r="F2867" s="34"/>
      <c r="G2867" s="40">
        <v>611523.31000000006</v>
      </c>
      <c r="H2867" s="34" t="s">
        <v>1811</v>
      </c>
      <c r="I2867" s="34" t="s">
        <v>1820</v>
      </c>
      <c r="J2867" s="34" t="s">
        <v>510</v>
      </c>
      <c r="K2867" s="34"/>
      <c r="L2867" s="34"/>
      <c r="M2867" s="34"/>
    </row>
    <row r="2868" spans="1:13">
      <c r="A2868" s="34"/>
      <c r="B2868" s="28" t="s">
        <v>1850</v>
      </c>
      <c r="C2868" s="27" t="s">
        <v>74</v>
      </c>
      <c r="D2868" s="34"/>
      <c r="E2868" s="34"/>
      <c r="F2868" s="34"/>
      <c r="G2868" s="34"/>
      <c r="H2868" s="34" t="s">
        <v>1811</v>
      </c>
      <c r="I2868" s="34" t="s">
        <v>1820</v>
      </c>
      <c r="J2868" s="34" t="s">
        <v>510</v>
      </c>
      <c r="K2868" s="34"/>
      <c r="L2868" s="34"/>
      <c r="M2868" s="34"/>
    </row>
    <row r="2869" spans="1:13">
      <c r="A2869" s="34"/>
      <c r="B2869" s="28" t="s">
        <v>1851</v>
      </c>
      <c r="C2869" s="27" t="s">
        <v>72</v>
      </c>
      <c r="D2869" s="34"/>
      <c r="E2869" s="34"/>
      <c r="F2869" s="34"/>
      <c r="G2869" s="34"/>
      <c r="H2869" s="34" t="s">
        <v>1852</v>
      </c>
      <c r="I2869" s="34" t="s">
        <v>1820</v>
      </c>
      <c r="J2869" s="34" t="s">
        <v>514</v>
      </c>
      <c r="K2869" s="34"/>
      <c r="L2869" s="34"/>
      <c r="M2869" s="34">
        <v>44</v>
      </c>
    </row>
    <row r="2870" spans="1:13">
      <c r="A2870" s="34"/>
      <c r="B2870" s="28" t="s">
        <v>1851</v>
      </c>
      <c r="C2870" s="27" t="s">
        <v>73</v>
      </c>
      <c r="D2870" s="34"/>
      <c r="E2870" s="40">
        <v>269158.82</v>
      </c>
      <c r="F2870" s="34"/>
      <c r="G2870" s="40">
        <v>269158.82</v>
      </c>
      <c r="H2870" s="34" t="s">
        <v>1852</v>
      </c>
      <c r="I2870" s="34" t="s">
        <v>1820</v>
      </c>
      <c r="J2870" s="34" t="s">
        <v>514</v>
      </c>
      <c r="K2870" s="34"/>
      <c r="L2870" s="34"/>
      <c r="M2870" s="34"/>
    </row>
    <row r="2871" spans="1:13">
      <c r="A2871" s="34"/>
      <c r="B2871" s="28" t="s">
        <v>1851</v>
      </c>
      <c r="C2871" s="27" t="s">
        <v>74</v>
      </c>
      <c r="D2871" s="34"/>
      <c r="E2871" s="34"/>
      <c r="F2871" s="34"/>
      <c r="G2871" s="34"/>
      <c r="H2871" s="34" t="s">
        <v>1811</v>
      </c>
      <c r="I2871" s="34" t="s">
        <v>1820</v>
      </c>
      <c r="J2871" s="34" t="s">
        <v>514</v>
      </c>
      <c r="K2871" s="34"/>
      <c r="L2871" s="34"/>
      <c r="M2871" s="34"/>
    </row>
    <row r="2872" spans="1:13">
      <c r="A2872" s="34"/>
      <c r="B2872" s="28" t="s">
        <v>1853</v>
      </c>
      <c r="C2872" s="27" t="s">
        <v>72</v>
      </c>
      <c r="D2872" s="34"/>
      <c r="E2872" s="34"/>
      <c r="F2872" s="34"/>
      <c r="G2872" s="34"/>
      <c r="H2872" s="34" t="s">
        <v>1811</v>
      </c>
      <c r="I2872" s="34" t="s">
        <v>1820</v>
      </c>
      <c r="J2872" s="34" t="s">
        <v>522</v>
      </c>
      <c r="K2872" s="34"/>
      <c r="L2872" s="34"/>
      <c r="M2872" s="34">
        <v>56</v>
      </c>
    </row>
    <row r="2873" spans="1:13">
      <c r="A2873" s="34"/>
      <c r="B2873" s="28" t="s">
        <v>1853</v>
      </c>
      <c r="C2873" s="27" t="s">
        <v>73</v>
      </c>
      <c r="D2873" s="34"/>
      <c r="E2873" s="40">
        <v>484111.6</v>
      </c>
      <c r="F2873" s="34"/>
      <c r="G2873" s="40">
        <v>484111.6</v>
      </c>
      <c r="H2873" s="34" t="s">
        <v>1811</v>
      </c>
      <c r="I2873" s="34" t="s">
        <v>1820</v>
      </c>
      <c r="J2873" s="34" t="s">
        <v>522</v>
      </c>
      <c r="K2873" s="34"/>
      <c r="L2873" s="34"/>
      <c r="M2873" s="34"/>
    </row>
    <row r="2874" spans="1:13">
      <c r="A2874" s="34"/>
      <c r="B2874" s="28" t="s">
        <v>1853</v>
      </c>
      <c r="C2874" s="27" t="s">
        <v>74</v>
      </c>
      <c r="D2874" s="34"/>
      <c r="E2874" s="34"/>
      <c r="F2874" s="34"/>
      <c r="G2874" s="34"/>
      <c r="H2874" s="34" t="s">
        <v>1811</v>
      </c>
      <c r="I2874" s="34" t="s">
        <v>1820</v>
      </c>
      <c r="J2874" s="34" t="s">
        <v>522</v>
      </c>
      <c r="K2874" s="34"/>
      <c r="L2874" s="34"/>
      <c r="M2874" s="34"/>
    </row>
    <row r="2875" spans="1:13">
      <c r="A2875" s="34"/>
      <c r="B2875" s="28" t="s">
        <v>1962</v>
      </c>
      <c r="C2875" s="27" t="s">
        <v>72</v>
      </c>
      <c r="D2875" s="34"/>
      <c r="E2875" s="34"/>
      <c r="F2875" s="34"/>
      <c r="G2875" s="34"/>
      <c r="H2875" s="34" t="s">
        <v>1811</v>
      </c>
      <c r="I2875" s="34" t="s">
        <v>1820</v>
      </c>
      <c r="J2875" s="34" t="s">
        <v>1963</v>
      </c>
      <c r="K2875" s="34"/>
      <c r="L2875" s="34"/>
      <c r="M2875" s="34">
        <v>127</v>
      </c>
    </row>
    <row r="2876" spans="1:13">
      <c r="A2876" s="34"/>
      <c r="B2876" s="28" t="s">
        <v>1962</v>
      </c>
      <c r="C2876" s="27" t="s">
        <v>73</v>
      </c>
      <c r="D2876" s="34"/>
      <c r="E2876" s="40">
        <v>983332.98</v>
      </c>
      <c r="F2876" s="34"/>
      <c r="G2876" s="40">
        <v>983332.98</v>
      </c>
      <c r="H2876" s="34" t="s">
        <v>1811</v>
      </c>
      <c r="I2876" s="34" t="s">
        <v>1820</v>
      </c>
      <c r="J2876" s="34" t="s">
        <v>1963</v>
      </c>
      <c r="K2876" s="34"/>
      <c r="L2876" s="34"/>
      <c r="M2876" s="34"/>
    </row>
    <row r="2877" spans="1:13">
      <c r="A2877" s="34"/>
      <c r="B2877" s="28" t="s">
        <v>1962</v>
      </c>
      <c r="C2877" s="27" t="s">
        <v>74</v>
      </c>
      <c r="D2877" s="34"/>
      <c r="E2877" s="34"/>
      <c r="F2877" s="34"/>
      <c r="G2877" s="34"/>
      <c r="H2877" s="34" t="s">
        <v>1811</v>
      </c>
      <c r="I2877" s="34" t="s">
        <v>1820</v>
      </c>
      <c r="J2877" s="34" t="s">
        <v>1963</v>
      </c>
      <c r="K2877" s="34"/>
      <c r="L2877" s="34"/>
      <c r="M2877" s="34"/>
    </row>
    <row r="2878" spans="1:13">
      <c r="A2878" s="34"/>
      <c r="B2878" s="28" t="s">
        <v>1964</v>
      </c>
      <c r="C2878" s="27" t="s">
        <v>72</v>
      </c>
      <c r="D2878" s="34"/>
      <c r="E2878" s="34"/>
      <c r="F2878" s="34"/>
      <c r="G2878" s="34"/>
      <c r="H2878" s="34" t="s">
        <v>1811</v>
      </c>
      <c r="I2878" s="34" t="s">
        <v>1820</v>
      </c>
      <c r="J2878" s="34" t="s">
        <v>1963</v>
      </c>
      <c r="K2878" s="34"/>
      <c r="L2878" s="34"/>
      <c r="M2878" s="34">
        <v>32</v>
      </c>
    </row>
    <row r="2879" spans="1:13">
      <c r="A2879" s="34"/>
      <c r="B2879" s="28" t="s">
        <v>1964</v>
      </c>
      <c r="C2879" s="27" t="s">
        <v>73</v>
      </c>
      <c r="D2879" s="34"/>
      <c r="E2879" s="40">
        <v>474662.16</v>
      </c>
      <c r="F2879" s="34"/>
      <c r="G2879" s="40">
        <v>474662.16</v>
      </c>
      <c r="H2879" s="34" t="s">
        <v>1811</v>
      </c>
      <c r="I2879" s="34" t="s">
        <v>1820</v>
      </c>
      <c r="J2879" s="34" t="s">
        <v>1963</v>
      </c>
      <c r="K2879" s="34"/>
      <c r="L2879" s="34"/>
      <c r="M2879" s="34"/>
    </row>
    <row r="2880" spans="1:13">
      <c r="A2880" s="34"/>
      <c r="B2880" s="28" t="s">
        <v>1964</v>
      </c>
      <c r="C2880" s="27" t="s">
        <v>74</v>
      </c>
      <c r="D2880" s="34"/>
      <c r="E2880" s="34"/>
      <c r="F2880" s="34"/>
      <c r="G2880" s="34"/>
      <c r="H2880" s="34" t="s">
        <v>1811</v>
      </c>
      <c r="I2880" s="34" t="s">
        <v>1820</v>
      </c>
      <c r="J2880" s="34" t="s">
        <v>1963</v>
      </c>
      <c r="K2880" s="34"/>
      <c r="L2880" s="34"/>
      <c r="M2880" s="34"/>
    </row>
    <row r="2881" spans="1:13">
      <c r="A2881" s="34"/>
      <c r="B2881" s="28" t="s">
        <v>1965</v>
      </c>
      <c r="C2881" s="27" t="s">
        <v>72</v>
      </c>
      <c r="D2881" s="34"/>
      <c r="E2881" s="34"/>
      <c r="F2881" s="34"/>
      <c r="G2881" s="34"/>
      <c r="H2881" s="34" t="s">
        <v>1811</v>
      </c>
      <c r="I2881" s="34" t="s">
        <v>1820</v>
      </c>
      <c r="J2881" s="34" t="s">
        <v>540</v>
      </c>
      <c r="K2881" s="34"/>
      <c r="L2881" s="34"/>
      <c r="M2881" s="34">
        <v>141</v>
      </c>
    </row>
    <row r="2882" spans="1:13">
      <c r="A2882" s="34"/>
      <c r="B2882" s="28" t="s">
        <v>1965</v>
      </c>
      <c r="C2882" s="27" t="s">
        <v>73</v>
      </c>
      <c r="D2882" s="34"/>
      <c r="E2882" s="40">
        <v>908656.08</v>
      </c>
      <c r="F2882" s="34"/>
      <c r="G2882" s="40">
        <v>908656.08</v>
      </c>
      <c r="H2882" s="34" t="s">
        <v>1811</v>
      </c>
      <c r="I2882" s="34" t="s">
        <v>1820</v>
      </c>
      <c r="J2882" s="34" t="s">
        <v>540</v>
      </c>
      <c r="K2882" s="34"/>
      <c r="L2882" s="34"/>
      <c r="M2882" s="34"/>
    </row>
    <row r="2883" spans="1:13">
      <c r="A2883" s="34"/>
      <c r="B2883" s="28" t="s">
        <v>1965</v>
      </c>
      <c r="C2883" s="27" t="s">
        <v>74</v>
      </c>
      <c r="D2883" s="34"/>
      <c r="E2883" s="34"/>
      <c r="F2883" s="34"/>
      <c r="G2883" s="34"/>
      <c r="H2883" s="34" t="s">
        <v>1811</v>
      </c>
      <c r="I2883" s="34" t="s">
        <v>1820</v>
      </c>
      <c r="J2883" s="34" t="s">
        <v>540</v>
      </c>
      <c r="K2883" s="34"/>
      <c r="L2883" s="34"/>
      <c r="M2883" s="34"/>
    </row>
    <row r="2884" spans="1:13">
      <c r="A2884" s="34"/>
      <c r="B2884" s="28" t="s">
        <v>1966</v>
      </c>
      <c r="C2884" s="27" t="s">
        <v>72</v>
      </c>
      <c r="D2884" s="34"/>
      <c r="E2884" s="34"/>
      <c r="F2884" s="34"/>
      <c r="G2884" s="34"/>
      <c r="H2884" s="34" t="s">
        <v>1811</v>
      </c>
      <c r="I2884" s="34" t="s">
        <v>1820</v>
      </c>
      <c r="J2884" s="34" t="s">
        <v>534</v>
      </c>
      <c r="K2884" s="34"/>
      <c r="L2884" s="34"/>
      <c r="M2884" s="34">
        <v>48</v>
      </c>
    </row>
    <row r="2885" spans="1:13">
      <c r="A2885" s="34"/>
      <c r="B2885" s="28" t="s">
        <v>1966</v>
      </c>
      <c r="C2885" s="27" t="s">
        <v>73</v>
      </c>
      <c r="D2885" s="34"/>
      <c r="E2885" s="40">
        <v>339155.6</v>
      </c>
      <c r="F2885" s="34"/>
      <c r="G2885" s="40">
        <v>339155.6</v>
      </c>
      <c r="H2885" s="34" t="s">
        <v>1811</v>
      </c>
      <c r="I2885" s="34" t="s">
        <v>1820</v>
      </c>
      <c r="J2885" s="34" t="s">
        <v>534</v>
      </c>
      <c r="K2885" s="34"/>
      <c r="L2885" s="34"/>
      <c r="M2885" s="34"/>
    </row>
    <row r="2886" spans="1:13">
      <c r="A2886" s="34"/>
      <c r="B2886" s="28" t="s">
        <v>1966</v>
      </c>
      <c r="C2886" s="27" t="s">
        <v>74</v>
      </c>
      <c r="D2886" s="34"/>
      <c r="E2886" s="34"/>
      <c r="F2886" s="34"/>
      <c r="G2886" s="34"/>
      <c r="H2886" s="34" t="s">
        <v>1811</v>
      </c>
      <c r="I2886" s="34" t="s">
        <v>1820</v>
      </c>
      <c r="J2886" s="34" t="s">
        <v>534</v>
      </c>
      <c r="K2886" s="34"/>
      <c r="L2886" s="34"/>
      <c r="M2886" s="34"/>
    </row>
    <row r="2887" spans="1:13">
      <c r="A2887" s="34"/>
      <c r="B2887" s="28" t="s">
        <v>1967</v>
      </c>
      <c r="C2887" s="27" t="s">
        <v>72</v>
      </c>
      <c r="D2887" s="34"/>
      <c r="E2887" s="34"/>
      <c r="F2887" s="34"/>
      <c r="G2887" s="34"/>
      <c r="H2887" s="34" t="s">
        <v>1811</v>
      </c>
      <c r="I2887" s="34" t="s">
        <v>1820</v>
      </c>
      <c r="J2887" s="34" t="s">
        <v>534</v>
      </c>
      <c r="K2887" s="34"/>
      <c r="L2887" s="34"/>
      <c r="M2887" s="34">
        <v>93</v>
      </c>
    </row>
    <row r="2888" spans="1:13">
      <c r="A2888" s="34"/>
      <c r="B2888" s="28" t="s">
        <v>1967</v>
      </c>
      <c r="C2888" s="27" t="s">
        <v>73</v>
      </c>
      <c r="D2888" s="34"/>
      <c r="E2888" s="40">
        <v>465321.22</v>
      </c>
      <c r="F2888" s="34"/>
      <c r="G2888" s="40">
        <v>465321.22</v>
      </c>
      <c r="H2888" s="34" t="s">
        <v>1811</v>
      </c>
      <c r="I2888" s="34" t="s">
        <v>1820</v>
      </c>
      <c r="J2888" s="34" t="s">
        <v>534</v>
      </c>
      <c r="K2888" s="34"/>
      <c r="L2888" s="34"/>
      <c r="M2888" s="34"/>
    </row>
    <row r="2889" spans="1:13">
      <c r="A2889" s="34"/>
      <c r="B2889" s="28" t="s">
        <v>1967</v>
      </c>
      <c r="C2889" s="27" t="s">
        <v>74</v>
      </c>
      <c r="D2889" s="34"/>
      <c r="E2889" s="34"/>
      <c r="F2889" s="34"/>
      <c r="G2889" s="34"/>
      <c r="H2889" s="34" t="s">
        <v>1811</v>
      </c>
      <c r="I2889" s="34" t="s">
        <v>1820</v>
      </c>
      <c r="J2889" s="34" t="s">
        <v>534</v>
      </c>
      <c r="K2889" s="34"/>
      <c r="L2889" s="34"/>
      <c r="M2889" s="34"/>
    </row>
    <row r="2890" spans="1:13">
      <c r="A2890" s="34"/>
      <c r="B2890" s="28" t="s">
        <v>1968</v>
      </c>
      <c r="C2890" s="27" t="s">
        <v>72</v>
      </c>
      <c r="D2890" s="34"/>
      <c r="E2890" s="34"/>
      <c r="F2890" s="34"/>
      <c r="G2890" s="34"/>
      <c r="H2890" s="34" t="s">
        <v>1811</v>
      </c>
      <c r="I2890" s="34" t="s">
        <v>1820</v>
      </c>
      <c r="J2890" s="34" t="s">
        <v>1688</v>
      </c>
      <c r="K2890" s="34"/>
      <c r="L2890" s="34"/>
      <c r="M2890" s="34">
        <v>26</v>
      </c>
    </row>
    <row r="2891" spans="1:13">
      <c r="A2891" s="34"/>
      <c r="B2891" s="28" t="s">
        <v>1968</v>
      </c>
      <c r="C2891" s="27" t="s">
        <v>73</v>
      </c>
      <c r="D2891" s="34"/>
      <c r="E2891" s="40">
        <v>155796.85999999999</v>
      </c>
      <c r="F2891" s="34"/>
      <c r="G2891" s="40">
        <v>155796.85999999999</v>
      </c>
      <c r="H2891" s="34" t="s">
        <v>1811</v>
      </c>
      <c r="I2891" s="34" t="s">
        <v>1820</v>
      </c>
      <c r="J2891" s="34" t="s">
        <v>1688</v>
      </c>
      <c r="K2891" s="34"/>
      <c r="L2891" s="34"/>
      <c r="M2891" s="34"/>
    </row>
    <row r="2892" spans="1:13">
      <c r="A2892" s="34"/>
      <c r="B2892" s="28" t="s">
        <v>1968</v>
      </c>
      <c r="C2892" s="27" t="s">
        <v>74</v>
      </c>
      <c r="D2892" s="34"/>
      <c r="E2892" s="34"/>
      <c r="F2892" s="34"/>
      <c r="G2892" s="34"/>
      <c r="H2892" s="34" t="s">
        <v>1811</v>
      </c>
      <c r="I2892" s="34" t="s">
        <v>1820</v>
      </c>
      <c r="J2892" s="34" t="s">
        <v>1688</v>
      </c>
      <c r="K2892" s="34"/>
      <c r="L2892" s="34"/>
      <c r="M2892" s="34"/>
    </row>
    <row r="2893" spans="1:13">
      <c r="A2893" s="34"/>
      <c r="B2893" s="28" t="s">
        <v>1969</v>
      </c>
      <c r="C2893" s="27" t="s">
        <v>72</v>
      </c>
      <c r="D2893" s="34"/>
      <c r="E2893" s="34"/>
      <c r="F2893" s="34"/>
      <c r="G2893" s="34"/>
      <c r="H2893" s="34" t="s">
        <v>1811</v>
      </c>
      <c r="I2893" s="34" t="s">
        <v>1820</v>
      </c>
      <c r="J2893" s="34" t="s">
        <v>1970</v>
      </c>
      <c r="K2893" s="34"/>
      <c r="L2893" s="34"/>
      <c r="M2893" s="34">
        <v>94</v>
      </c>
    </row>
    <row r="2894" spans="1:13">
      <c r="A2894" s="34"/>
      <c r="B2894" s="28" t="s">
        <v>1969</v>
      </c>
      <c r="C2894" s="27" t="s">
        <v>73</v>
      </c>
      <c r="D2894" s="34"/>
      <c r="E2894" s="40">
        <v>323350.53999999998</v>
      </c>
      <c r="F2894" s="34"/>
      <c r="G2894" s="40">
        <v>323350.53999999998</v>
      </c>
      <c r="H2894" s="34" t="s">
        <v>1811</v>
      </c>
      <c r="I2894" s="34" t="s">
        <v>1820</v>
      </c>
      <c r="J2894" s="34" t="s">
        <v>1970</v>
      </c>
      <c r="K2894" s="34"/>
      <c r="L2894" s="34"/>
      <c r="M2894" s="34"/>
    </row>
    <row r="2895" spans="1:13">
      <c r="A2895" s="34"/>
      <c r="B2895" s="28" t="s">
        <v>1969</v>
      </c>
      <c r="C2895" s="27" t="s">
        <v>74</v>
      </c>
      <c r="D2895" s="34"/>
      <c r="E2895" s="34"/>
      <c r="F2895" s="34"/>
      <c r="G2895" s="34"/>
      <c r="H2895" s="34" t="s">
        <v>1811</v>
      </c>
      <c r="I2895" s="34" t="s">
        <v>1820</v>
      </c>
      <c r="J2895" s="34" t="s">
        <v>1970</v>
      </c>
      <c r="K2895" s="34"/>
      <c r="L2895" s="34"/>
      <c r="M2895" s="34"/>
    </row>
    <row r="2896" spans="1:13">
      <c r="A2896" s="34"/>
      <c r="B2896" s="28" t="s">
        <v>1971</v>
      </c>
      <c r="C2896" s="27" t="s">
        <v>72</v>
      </c>
      <c r="D2896" s="34"/>
      <c r="E2896" s="34"/>
      <c r="F2896" s="34"/>
      <c r="G2896" s="34"/>
      <c r="H2896" s="34" t="s">
        <v>1811</v>
      </c>
      <c r="I2896" s="34" t="s">
        <v>1820</v>
      </c>
      <c r="J2896" s="34" t="s">
        <v>1462</v>
      </c>
      <c r="K2896" s="34"/>
      <c r="L2896" s="34"/>
      <c r="M2896" s="34">
        <v>83</v>
      </c>
    </row>
    <row r="2897" spans="1:13">
      <c r="A2897" s="34"/>
      <c r="B2897" s="28" t="s">
        <v>1971</v>
      </c>
      <c r="C2897" s="27" t="s">
        <v>73</v>
      </c>
      <c r="D2897" s="34"/>
      <c r="E2897" s="40">
        <v>266587.78999999998</v>
      </c>
      <c r="F2897" s="34"/>
      <c r="G2897" s="40">
        <v>266587.78999999998</v>
      </c>
      <c r="H2897" s="34" t="s">
        <v>1811</v>
      </c>
      <c r="I2897" s="34" t="s">
        <v>1820</v>
      </c>
      <c r="J2897" s="34" t="s">
        <v>1462</v>
      </c>
      <c r="K2897" s="34"/>
      <c r="L2897" s="34"/>
      <c r="M2897" s="34"/>
    </row>
    <row r="2898" spans="1:13">
      <c r="A2898" s="34"/>
      <c r="B2898" s="28" t="s">
        <v>1971</v>
      </c>
      <c r="C2898" s="27" t="s">
        <v>74</v>
      </c>
      <c r="D2898" s="34"/>
      <c r="E2898" s="34"/>
      <c r="F2898" s="34"/>
      <c r="G2898" s="34"/>
      <c r="H2898" s="34" t="s">
        <v>1811</v>
      </c>
      <c r="I2898" s="34" t="s">
        <v>1820</v>
      </c>
      <c r="J2898" s="34" t="s">
        <v>1462</v>
      </c>
      <c r="K2898" s="34"/>
      <c r="L2898" s="34"/>
      <c r="M2898" s="34"/>
    </row>
    <row r="2899" spans="1:13">
      <c r="A2899" s="34"/>
      <c r="B2899" s="28" t="s">
        <v>1972</v>
      </c>
      <c r="C2899" s="27" t="s">
        <v>72</v>
      </c>
      <c r="D2899" s="34"/>
      <c r="E2899" s="34"/>
      <c r="F2899" s="34"/>
      <c r="G2899" s="34"/>
      <c r="H2899" s="34" t="s">
        <v>1811</v>
      </c>
      <c r="I2899" s="34" t="s">
        <v>1820</v>
      </c>
      <c r="J2899" s="34" t="s">
        <v>1464</v>
      </c>
      <c r="K2899" s="34"/>
      <c r="L2899" s="34"/>
      <c r="M2899" s="34">
        <v>31</v>
      </c>
    </row>
    <row r="2900" spans="1:13">
      <c r="A2900" s="34"/>
      <c r="B2900" s="28" t="s">
        <v>1972</v>
      </c>
      <c r="C2900" s="27" t="s">
        <v>73</v>
      </c>
      <c r="D2900" s="34"/>
      <c r="E2900" s="40">
        <v>230247.25</v>
      </c>
      <c r="F2900" s="34"/>
      <c r="G2900" s="40">
        <v>230247.25</v>
      </c>
      <c r="H2900" s="34" t="s">
        <v>1811</v>
      </c>
      <c r="I2900" s="34" t="s">
        <v>1820</v>
      </c>
      <c r="J2900" s="34" t="s">
        <v>1464</v>
      </c>
      <c r="K2900" s="34"/>
      <c r="L2900" s="34"/>
      <c r="M2900" s="34"/>
    </row>
    <row r="2901" spans="1:13">
      <c r="A2901" s="34"/>
      <c r="B2901" s="28" t="s">
        <v>1972</v>
      </c>
      <c r="C2901" s="27" t="s">
        <v>74</v>
      </c>
      <c r="D2901" s="34"/>
      <c r="E2901" s="34"/>
      <c r="F2901" s="34"/>
      <c r="G2901" s="34"/>
      <c r="H2901" s="34" t="s">
        <v>1811</v>
      </c>
      <c r="I2901" s="34" t="s">
        <v>1820</v>
      </c>
      <c r="J2901" s="34" t="s">
        <v>1464</v>
      </c>
      <c r="K2901" s="34"/>
      <c r="L2901" s="34"/>
      <c r="M2901" s="34"/>
    </row>
    <row r="2902" spans="1:13">
      <c r="A2902" s="34"/>
      <c r="B2902" s="28" t="s">
        <v>1973</v>
      </c>
      <c r="C2902" s="27" t="s">
        <v>72</v>
      </c>
      <c r="D2902" s="34"/>
      <c r="E2902" s="34"/>
      <c r="F2902" s="34"/>
      <c r="G2902" s="34"/>
      <c r="H2902" s="34" t="s">
        <v>1811</v>
      </c>
      <c r="I2902" s="34" t="s">
        <v>1820</v>
      </c>
      <c r="J2902" s="34" t="s">
        <v>1974</v>
      </c>
      <c r="K2902" s="34"/>
      <c r="L2902" s="34"/>
      <c r="M2902" s="34">
        <v>34</v>
      </c>
    </row>
    <row r="2903" spans="1:13">
      <c r="A2903" s="34"/>
      <c r="B2903" s="28" t="s">
        <v>1973</v>
      </c>
      <c r="C2903" s="27" t="s">
        <v>73</v>
      </c>
      <c r="D2903" s="34"/>
      <c r="E2903" s="40">
        <v>243315.84</v>
      </c>
      <c r="F2903" s="34"/>
      <c r="G2903" s="40">
        <v>243315.84</v>
      </c>
      <c r="H2903" s="34" t="s">
        <v>1811</v>
      </c>
      <c r="I2903" s="34" t="s">
        <v>1820</v>
      </c>
      <c r="J2903" s="34" t="s">
        <v>1974</v>
      </c>
      <c r="K2903" s="34"/>
      <c r="L2903" s="34"/>
      <c r="M2903" s="34"/>
    </row>
    <row r="2904" spans="1:13">
      <c r="A2904" s="34"/>
      <c r="B2904" s="28" t="s">
        <v>1973</v>
      </c>
      <c r="C2904" s="27" t="s">
        <v>74</v>
      </c>
      <c r="D2904" s="34"/>
      <c r="E2904" s="34"/>
      <c r="F2904" s="34"/>
      <c r="G2904" s="34"/>
      <c r="H2904" s="34" t="s">
        <v>1811</v>
      </c>
      <c r="I2904" s="34" t="s">
        <v>1820</v>
      </c>
      <c r="J2904" s="34" t="s">
        <v>1974</v>
      </c>
      <c r="K2904" s="34"/>
      <c r="L2904" s="34"/>
      <c r="M2904" s="34"/>
    </row>
    <row r="2905" spans="1:13">
      <c r="A2905" s="34"/>
      <c r="B2905" s="28" t="s">
        <v>1975</v>
      </c>
      <c r="C2905" s="27" t="s">
        <v>72</v>
      </c>
      <c r="D2905" s="34"/>
      <c r="E2905" s="34"/>
      <c r="F2905" s="34"/>
      <c r="G2905" s="34"/>
      <c r="H2905" s="34" t="s">
        <v>1811</v>
      </c>
      <c r="I2905" s="34" t="s">
        <v>1820</v>
      </c>
      <c r="J2905" s="34" t="s">
        <v>1466</v>
      </c>
      <c r="K2905" s="34"/>
      <c r="L2905" s="34"/>
      <c r="M2905" s="34">
        <v>42</v>
      </c>
    </row>
    <row r="2906" spans="1:13">
      <c r="A2906" s="34"/>
      <c r="B2906" s="28" t="s">
        <v>1975</v>
      </c>
      <c r="C2906" s="27" t="s">
        <v>73</v>
      </c>
      <c r="D2906" s="34"/>
      <c r="E2906" s="40">
        <v>310082.45</v>
      </c>
      <c r="F2906" s="34"/>
      <c r="G2906" s="40">
        <v>310082.45</v>
      </c>
      <c r="H2906" s="34" t="s">
        <v>1811</v>
      </c>
      <c r="I2906" s="34" t="s">
        <v>1820</v>
      </c>
      <c r="J2906" s="34" t="s">
        <v>1466</v>
      </c>
      <c r="K2906" s="34"/>
      <c r="L2906" s="34"/>
      <c r="M2906" s="34"/>
    </row>
    <row r="2907" spans="1:13">
      <c r="A2907" s="34"/>
      <c r="B2907" s="28" t="s">
        <v>1975</v>
      </c>
      <c r="C2907" s="27" t="s">
        <v>74</v>
      </c>
      <c r="D2907" s="34"/>
      <c r="E2907" s="34"/>
      <c r="F2907" s="34"/>
      <c r="G2907" s="34"/>
      <c r="H2907" s="34" t="s">
        <v>1811</v>
      </c>
      <c r="I2907" s="34" t="s">
        <v>1820</v>
      </c>
      <c r="J2907" s="34" t="s">
        <v>1466</v>
      </c>
      <c r="K2907" s="34"/>
      <c r="L2907" s="34"/>
      <c r="M2907" s="34"/>
    </row>
    <row r="2908" spans="1:13">
      <c r="A2908" s="34"/>
      <c r="B2908" s="28" t="s">
        <v>1976</v>
      </c>
      <c r="C2908" s="27" t="s">
        <v>72</v>
      </c>
      <c r="D2908" s="34"/>
      <c r="E2908" s="34"/>
      <c r="F2908" s="34"/>
      <c r="G2908" s="34"/>
      <c r="H2908" s="34" t="s">
        <v>1811</v>
      </c>
      <c r="I2908" s="34" t="s">
        <v>1820</v>
      </c>
      <c r="J2908" s="34" t="s">
        <v>1693</v>
      </c>
      <c r="K2908" s="34"/>
      <c r="L2908" s="34"/>
      <c r="M2908" s="34">
        <v>25</v>
      </c>
    </row>
    <row r="2909" spans="1:13">
      <c r="A2909" s="34"/>
      <c r="B2909" s="28" t="s">
        <v>1976</v>
      </c>
      <c r="C2909" s="27" t="s">
        <v>73</v>
      </c>
      <c r="D2909" s="34"/>
      <c r="E2909" s="40">
        <v>161206.19</v>
      </c>
      <c r="F2909" s="34"/>
      <c r="G2909" s="40">
        <v>161206.19</v>
      </c>
      <c r="H2909" s="34" t="s">
        <v>1811</v>
      </c>
      <c r="I2909" s="34" t="s">
        <v>1820</v>
      </c>
      <c r="J2909" s="34" t="s">
        <v>1693</v>
      </c>
      <c r="K2909" s="34"/>
      <c r="L2909" s="34"/>
      <c r="M2909" s="34"/>
    </row>
    <row r="2910" spans="1:13">
      <c r="A2910" s="34"/>
      <c r="B2910" s="28" t="s">
        <v>1976</v>
      </c>
      <c r="C2910" s="27" t="s">
        <v>74</v>
      </c>
      <c r="D2910" s="34"/>
      <c r="E2910" s="34"/>
      <c r="F2910" s="34"/>
      <c r="G2910" s="34"/>
      <c r="H2910" s="34" t="s">
        <v>1811</v>
      </c>
      <c r="I2910" s="34" t="s">
        <v>1820</v>
      </c>
      <c r="J2910" s="34" t="s">
        <v>1693</v>
      </c>
      <c r="K2910" s="34"/>
      <c r="L2910" s="34"/>
      <c r="M2910" s="34"/>
    </row>
    <row r="2911" spans="1:13">
      <c r="A2911" s="34"/>
      <c r="B2911" s="28" t="s">
        <v>1977</v>
      </c>
      <c r="C2911" s="27" t="s">
        <v>72</v>
      </c>
      <c r="D2911" s="34"/>
      <c r="E2911" s="34"/>
      <c r="F2911" s="34"/>
      <c r="G2911" s="34"/>
      <c r="H2911" s="34" t="s">
        <v>1811</v>
      </c>
      <c r="I2911" s="34" t="s">
        <v>1820</v>
      </c>
      <c r="J2911" s="34" t="s">
        <v>1431</v>
      </c>
      <c r="K2911" s="34"/>
      <c r="L2911" s="34"/>
      <c r="M2911" s="34">
        <v>147</v>
      </c>
    </row>
    <row r="2912" spans="1:13">
      <c r="A2912" s="34"/>
      <c r="B2912" s="28" t="s">
        <v>1977</v>
      </c>
      <c r="C2912" s="27" t="s">
        <v>73</v>
      </c>
      <c r="D2912" s="34"/>
      <c r="E2912" s="40">
        <v>886726.79</v>
      </c>
      <c r="F2912" s="34"/>
      <c r="G2912" s="40">
        <v>886726.79</v>
      </c>
      <c r="H2912" s="34" t="s">
        <v>1811</v>
      </c>
      <c r="I2912" s="34" t="s">
        <v>1820</v>
      </c>
      <c r="J2912" s="34" t="s">
        <v>1431</v>
      </c>
      <c r="K2912" s="34"/>
      <c r="L2912" s="34"/>
      <c r="M2912" s="34"/>
    </row>
    <row r="2913" spans="1:13">
      <c r="A2913" s="34"/>
      <c r="B2913" s="28" t="s">
        <v>1977</v>
      </c>
      <c r="C2913" s="27" t="s">
        <v>74</v>
      </c>
      <c r="D2913" s="34"/>
      <c r="E2913" s="34"/>
      <c r="F2913" s="34"/>
      <c r="G2913" s="34"/>
      <c r="H2913" s="34" t="s">
        <v>1811</v>
      </c>
      <c r="I2913" s="34" t="s">
        <v>1820</v>
      </c>
      <c r="J2913" s="34" t="s">
        <v>1431</v>
      </c>
      <c r="K2913" s="34"/>
      <c r="L2913" s="34"/>
      <c r="M2913" s="34"/>
    </row>
    <row r="2914" spans="1:13">
      <c r="A2914" s="34"/>
      <c r="B2914" s="28" t="s">
        <v>1978</v>
      </c>
      <c r="C2914" s="27" t="s">
        <v>72</v>
      </c>
      <c r="D2914" s="34"/>
      <c r="E2914" s="34"/>
      <c r="F2914" s="34"/>
      <c r="G2914" s="34"/>
      <c r="H2914" s="34" t="s">
        <v>1811</v>
      </c>
      <c r="I2914" s="34" t="s">
        <v>1820</v>
      </c>
      <c r="J2914" s="34" t="s">
        <v>1176</v>
      </c>
      <c r="K2914" s="34"/>
      <c r="L2914" s="34"/>
      <c r="M2914" s="34">
        <v>37</v>
      </c>
    </row>
    <row r="2915" spans="1:13">
      <c r="A2915" s="34"/>
      <c r="B2915" s="28" t="s">
        <v>1978</v>
      </c>
      <c r="C2915" s="27" t="s">
        <v>73</v>
      </c>
      <c r="D2915" s="34"/>
      <c r="E2915" s="40">
        <v>260342.32</v>
      </c>
      <c r="F2915" s="34"/>
      <c r="G2915" s="40">
        <v>260342.32</v>
      </c>
      <c r="H2915" s="34" t="s">
        <v>1811</v>
      </c>
      <c r="I2915" s="34" t="s">
        <v>1820</v>
      </c>
      <c r="J2915" s="34" t="s">
        <v>1176</v>
      </c>
      <c r="K2915" s="34"/>
      <c r="L2915" s="34"/>
      <c r="M2915" s="34"/>
    </row>
    <row r="2916" spans="1:13">
      <c r="A2916" s="34"/>
      <c r="B2916" s="28" t="s">
        <v>1978</v>
      </c>
      <c r="C2916" s="27" t="s">
        <v>74</v>
      </c>
      <c r="D2916" s="34"/>
      <c r="E2916" s="34"/>
      <c r="F2916" s="34"/>
      <c r="G2916" s="34"/>
      <c r="H2916" s="34" t="s">
        <v>1811</v>
      </c>
      <c r="I2916" s="34" t="s">
        <v>1820</v>
      </c>
      <c r="J2916" s="34" t="s">
        <v>1176</v>
      </c>
      <c r="K2916" s="34"/>
      <c r="L2916" s="34"/>
      <c r="M2916" s="34"/>
    </row>
    <row r="2917" spans="1:13">
      <c r="A2917" s="34"/>
      <c r="B2917" s="28" t="s">
        <v>1876</v>
      </c>
      <c r="C2917" s="27" t="s">
        <v>72</v>
      </c>
      <c r="D2917" s="34"/>
      <c r="E2917" s="34"/>
      <c r="F2917" s="34"/>
      <c r="G2917" s="34"/>
      <c r="H2917" s="34" t="s">
        <v>1811</v>
      </c>
      <c r="I2917" s="34" t="s">
        <v>1820</v>
      </c>
      <c r="J2917" s="34" t="s">
        <v>1877</v>
      </c>
      <c r="K2917" s="34"/>
      <c r="L2917" s="34"/>
      <c r="M2917" s="34">
        <v>31</v>
      </c>
    </row>
    <row r="2918" spans="1:13">
      <c r="A2918" s="34"/>
      <c r="B2918" s="28" t="s">
        <v>1876</v>
      </c>
      <c r="C2918" s="27" t="s">
        <v>73</v>
      </c>
      <c r="D2918" s="34"/>
      <c r="E2918" s="40">
        <v>201395.61</v>
      </c>
      <c r="F2918" s="34"/>
      <c r="G2918" s="40">
        <v>201395.61</v>
      </c>
      <c r="H2918" s="34" t="s">
        <v>1811</v>
      </c>
      <c r="I2918" s="34" t="s">
        <v>1820</v>
      </c>
      <c r="J2918" s="34" t="s">
        <v>1877</v>
      </c>
      <c r="K2918" s="34"/>
      <c r="L2918" s="34"/>
      <c r="M2918" s="34"/>
    </row>
    <row r="2919" spans="1:13">
      <c r="A2919" s="34"/>
      <c r="B2919" s="28" t="s">
        <v>1876</v>
      </c>
      <c r="C2919" s="27" t="s">
        <v>74</v>
      </c>
      <c r="D2919" s="34"/>
      <c r="E2919" s="34"/>
      <c r="F2919" s="34"/>
      <c r="G2919" s="34"/>
      <c r="H2919" s="34" t="s">
        <v>1811</v>
      </c>
      <c r="I2919" s="34" t="s">
        <v>1820</v>
      </c>
      <c r="J2919" s="34" t="s">
        <v>1877</v>
      </c>
      <c r="K2919" s="34"/>
      <c r="L2919" s="34"/>
      <c r="M2919" s="34"/>
    </row>
    <row r="2920" spans="1:13">
      <c r="A2920" s="34"/>
      <c r="B2920" s="28" t="s">
        <v>1878</v>
      </c>
      <c r="C2920" s="27" t="s">
        <v>72</v>
      </c>
      <c r="D2920" s="34"/>
      <c r="E2920" s="34"/>
      <c r="F2920" s="34"/>
      <c r="G2920" s="34"/>
      <c r="H2920" s="34" t="s">
        <v>1811</v>
      </c>
      <c r="I2920" s="34" t="s">
        <v>1820</v>
      </c>
      <c r="J2920" s="34" t="s">
        <v>632</v>
      </c>
      <c r="K2920" s="34"/>
      <c r="L2920" s="34"/>
      <c r="M2920" s="34">
        <v>26</v>
      </c>
    </row>
    <row r="2921" spans="1:13">
      <c r="A2921" s="34"/>
      <c r="B2921" s="28" t="s">
        <v>1878</v>
      </c>
      <c r="C2921" s="27" t="s">
        <v>73</v>
      </c>
      <c r="D2921" s="34"/>
      <c r="E2921" s="40">
        <v>142460.24</v>
      </c>
      <c r="F2921" s="34"/>
      <c r="G2921" s="40">
        <v>142460.24</v>
      </c>
      <c r="H2921" s="34" t="s">
        <v>1811</v>
      </c>
      <c r="I2921" s="34" t="s">
        <v>1820</v>
      </c>
      <c r="J2921" s="34" t="s">
        <v>632</v>
      </c>
      <c r="K2921" s="34"/>
      <c r="L2921" s="34"/>
      <c r="M2921" s="34"/>
    </row>
    <row r="2922" spans="1:13">
      <c r="A2922" s="34"/>
      <c r="B2922" s="28" t="s">
        <v>1878</v>
      </c>
      <c r="C2922" s="27" t="s">
        <v>74</v>
      </c>
      <c r="D2922" s="34"/>
      <c r="E2922" s="34"/>
      <c r="F2922" s="34"/>
      <c r="G2922" s="34"/>
      <c r="H2922" s="34" t="s">
        <v>1811</v>
      </c>
      <c r="I2922" s="34" t="s">
        <v>1820</v>
      </c>
      <c r="J2922" s="34" t="s">
        <v>632</v>
      </c>
      <c r="K2922" s="34"/>
      <c r="L2922" s="34"/>
      <c r="M2922" s="34"/>
    </row>
    <row r="2923" spans="1:13">
      <c r="A2923" s="34"/>
      <c r="B2923" s="28" t="s">
        <v>1879</v>
      </c>
      <c r="C2923" s="27" t="s">
        <v>72</v>
      </c>
      <c r="D2923" s="34"/>
      <c r="E2923" s="34"/>
      <c r="F2923" s="34"/>
      <c r="G2923" s="34"/>
      <c r="H2923" s="34" t="s">
        <v>1811</v>
      </c>
      <c r="I2923" s="34" t="s">
        <v>1820</v>
      </c>
      <c r="J2923" s="34" t="s">
        <v>632</v>
      </c>
      <c r="K2923" s="34"/>
      <c r="L2923" s="34"/>
      <c r="M2923" s="34">
        <v>59</v>
      </c>
    </row>
    <row r="2924" spans="1:13">
      <c r="A2924" s="34"/>
      <c r="B2924" s="28" t="s">
        <v>1879</v>
      </c>
      <c r="C2924" s="27" t="s">
        <v>73</v>
      </c>
      <c r="D2924" s="34"/>
      <c r="E2924" s="40">
        <v>316949</v>
      </c>
      <c r="F2924" s="34"/>
      <c r="G2924" s="40">
        <v>316949</v>
      </c>
      <c r="H2924" s="34" t="s">
        <v>1811</v>
      </c>
      <c r="I2924" s="34" t="s">
        <v>1820</v>
      </c>
      <c r="J2924" s="34" t="s">
        <v>632</v>
      </c>
      <c r="K2924" s="34"/>
      <c r="L2924" s="34"/>
      <c r="M2924" s="34"/>
    </row>
    <row r="2925" spans="1:13">
      <c r="A2925" s="34"/>
      <c r="B2925" s="28" t="s">
        <v>1879</v>
      </c>
      <c r="C2925" s="27" t="s">
        <v>74</v>
      </c>
      <c r="D2925" s="34"/>
      <c r="E2925" s="34"/>
      <c r="F2925" s="34"/>
      <c r="G2925" s="34"/>
      <c r="H2925" s="34" t="s">
        <v>1811</v>
      </c>
      <c r="I2925" s="34" t="s">
        <v>1820</v>
      </c>
      <c r="J2925" s="34" t="s">
        <v>632</v>
      </c>
      <c r="K2925" s="34"/>
      <c r="L2925" s="34"/>
      <c r="M2925" s="34"/>
    </row>
    <row r="2926" spans="1:13">
      <c r="A2926" s="34"/>
      <c r="B2926" s="28" t="s">
        <v>1880</v>
      </c>
      <c r="C2926" s="27" t="s">
        <v>72</v>
      </c>
      <c r="D2926" s="34"/>
      <c r="E2926" s="34"/>
      <c r="F2926" s="34"/>
      <c r="G2926" s="34"/>
      <c r="H2926" s="34" t="s">
        <v>1811</v>
      </c>
      <c r="I2926" s="34" t="s">
        <v>1820</v>
      </c>
      <c r="J2926" s="34" t="s">
        <v>632</v>
      </c>
      <c r="K2926" s="34"/>
      <c r="L2926" s="34"/>
      <c r="M2926" s="34">
        <v>453</v>
      </c>
    </row>
    <row r="2927" spans="1:13">
      <c r="A2927" s="34"/>
      <c r="B2927" s="28" t="s">
        <v>1880</v>
      </c>
      <c r="C2927" s="27" t="s">
        <v>73</v>
      </c>
      <c r="D2927" s="34"/>
      <c r="E2927" s="40">
        <v>2607934.75</v>
      </c>
      <c r="F2927" s="34"/>
      <c r="G2927" s="40">
        <v>2607934.75</v>
      </c>
      <c r="H2927" s="34" t="s">
        <v>1811</v>
      </c>
      <c r="I2927" s="34" t="s">
        <v>1820</v>
      </c>
      <c r="J2927" s="34" t="s">
        <v>632</v>
      </c>
      <c r="K2927" s="34"/>
      <c r="L2927" s="34"/>
      <c r="M2927" s="34"/>
    </row>
    <row r="2928" spans="1:13">
      <c r="A2928" s="34"/>
      <c r="B2928" s="28" t="s">
        <v>1880</v>
      </c>
      <c r="C2928" s="27" t="s">
        <v>74</v>
      </c>
      <c r="D2928" s="34"/>
      <c r="E2928" s="34"/>
      <c r="F2928" s="34"/>
      <c r="G2928" s="34"/>
      <c r="H2928" s="34" t="s">
        <v>1811</v>
      </c>
      <c r="I2928" s="34" t="s">
        <v>1820</v>
      </c>
      <c r="J2928" s="34" t="s">
        <v>632</v>
      </c>
      <c r="K2928" s="34"/>
      <c r="L2928" s="34"/>
      <c r="M2928" s="34"/>
    </row>
    <row r="2929" spans="1:13">
      <c r="A2929" s="34"/>
      <c r="B2929" s="28" t="s">
        <v>1881</v>
      </c>
      <c r="C2929" s="27" t="s">
        <v>72</v>
      </c>
      <c r="D2929" s="34"/>
      <c r="E2929" s="34"/>
      <c r="F2929" s="34"/>
      <c r="G2929" s="34"/>
      <c r="H2929" s="34" t="s">
        <v>1811</v>
      </c>
      <c r="I2929" s="34" t="s">
        <v>1820</v>
      </c>
      <c r="J2929" s="34" t="s">
        <v>634</v>
      </c>
      <c r="K2929" s="34"/>
      <c r="L2929" s="34"/>
      <c r="M2929" s="34">
        <v>76</v>
      </c>
    </row>
    <row r="2930" spans="1:13">
      <c r="A2930" s="34"/>
      <c r="B2930" s="28" t="s">
        <v>1881</v>
      </c>
      <c r="C2930" s="27" t="s">
        <v>73</v>
      </c>
      <c r="D2930" s="34"/>
      <c r="E2930" s="40">
        <v>499407.22</v>
      </c>
      <c r="F2930" s="34"/>
      <c r="G2930" s="40">
        <v>499407.22</v>
      </c>
      <c r="H2930" s="34" t="s">
        <v>1811</v>
      </c>
      <c r="I2930" s="34" t="s">
        <v>1820</v>
      </c>
      <c r="J2930" s="34" t="s">
        <v>634</v>
      </c>
      <c r="K2930" s="34"/>
      <c r="L2930" s="34"/>
      <c r="M2930" s="34"/>
    </row>
    <row r="2931" spans="1:13">
      <c r="A2931" s="34"/>
      <c r="B2931" s="28" t="s">
        <v>1881</v>
      </c>
      <c r="C2931" s="27" t="s">
        <v>74</v>
      </c>
      <c r="D2931" s="34"/>
      <c r="E2931" s="34"/>
      <c r="F2931" s="34"/>
      <c r="G2931" s="34"/>
      <c r="H2931" s="34" t="s">
        <v>1811</v>
      </c>
      <c r="I2931" s="34" t="s">
        <v>1820</v>
      </c>
      <c r="J2931" s="34" t="s">
        <v>634</v>
      </c>
      <c r="K2931" s="34"/>
      <c r="L2931" s="34"/>
      <c r="M2931" s="34"/>
    </row>
  </sheetData>
  <sheetCalcPr fullCalcOnLoad="1"/>
  <autoFilter ref="A1:L2931">
    <filterColumn colId="7">
      <filters>
        <filter val="C"/>
        <filter val="Charter"/>
      </filters>
    </filterColumn>
  </autoFilter>
  <phoneticPr fontId="3" type="noConversion"/>
  <pageMargins left="0.75" right="0.75" top="1" bottom="1" header="0.5" footer="0.5"/>
  <headerFooter alignWithMargins="0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</vt:lpstr>
      <vt:lpstr>Figure 1,2,4</vt:lpstr>
      <vt:lpstr>Figure 3</vt:lpstr>
      <vt:lpstr>Figure 5</vt:lpstr>
      <vt:lpstr>Figure 6</vt:lpstr>
      <vt:lpstr>District Work</vt:lpstr>
      <vt:lpstr>Charter Work</vt:lpstr>
      <vt:lpstr>Charter Master</vt:lpstr>
      <vt:lpstr>Master</vt:lpstr>
    </vt:vector>
  </TitlesOfParts>
  <Company>ODE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erika.farfan</dc:creator>
  <cp:lastModifiedBy>Holmes Finch</cp:lastModifiedBy>
  <cp:lastPrinted>2009-10-24T18:52:26Z</cp:lastPrinted>
  <dcterms:created xsi:type="dcterms:W3CDTF">2008-03-12T14:11:57Z</dcterms:created>
  <dcterms:modified xsi:type="dcterms:W3CDTF">2010-05-20T17:53:58Z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