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workbookProtection workbookPassword="C724" lockStructure="1"/>
  <bookViews>
    <workbookView xWindow="165" yWindow="180" windowWidth="11295" windowHeight="9045" tabRatio="939"/>
  </bookViews>
  <sheets>
    <sheet name="S1 Entitlement Process" sheetId="25" r:id="rId1"/>
    <sheet name="S2 Civil Eng Review" sheetId="18" r:id="rId2"/>
    <sheet name="S3 Civil Inspection" sheetId="30" r:id="rId3"/>
    <sheet name="S4 Building Safety" sheetId="26" r:id="rId4"/>
  </sheets>
  <definedNames>
    <definedName name="_xlnm.Print_Area" localSheetId="0">'S1 Entitlement Process'!$A$1:$H$93</definedName>
    <definedName name="_xlnm.Print_Area" localSheetId="1">'S2 Civil Eng Review'!$A$1:$H$55</definedName>
    <definedName name="_xlnm.Print_Area" localSheetId="2">'S3 Civil Inspection'!$A$1:$G$152</definedName>
    <definedName name="_xlnm.Print_Area" localSheetId="3">'S4 Building Safety'!$A$1:$H$178</definedName>
    <definedName name="_xlnm.Print_Titles" localSheetId="1">'S2 Civil Eng Review'!$1:$13</definedName>
    <definedName name="_xlnm.Print_Titles" localSheetId="2">'S3 Civil Inspection'!$13:$14</definedName>
    <definedName name="_xlnm.Print_Titles" localSheetId="3">'S4 Building Safety'!$1:$13</definedName>
  </definedNames>
  <calcPr calcId="145621"/>
</workbook>
</file>

<file path=xl/calcChain.xml><?xml version="1.0" encoding="utf-8"?>
<calcChain xmlns="http://schemas.openxmlformats.org/spreadsheetml/2006/main">
  <c r="G27" i="18" l="1"/>
  <c r="H27" i="18"/>
  <c r="D27" i="18"/>
  <c r="E142" i="30"/>
  <c r="E141" i="30"/>
  <c r="E138" i="30"/>
  <c r="E137" i="30"/>
  <c r="E134" i="30"/>
  <c r="E133" i="30"/>
  <c r="E130" i="30"/>
  <c r="E129" i="30"/>
  <c r="E128" i="30"/>
  <c r="E127" i="30"/>
  <c r="E124" i="30"/>
  <c r="E123" i="30"/>
  <c r="E122" i="30"/>
  <c r="E121" i="30"/>
  <c r="E119" i="30"/>
  <c r="E117" i="30"/>
  <c r="E115" i="30"/>
  <c r="E105" i="30"/>
  <c r="D108" i="30"/>
  <c r="E108" i="30" s="1"/>
  <c r="G103" i="30"/>
  <c r="E103" i="30"/>
  <c r="G102" i="30"/>
  <c r="E102" i="30"/>
  <c r="G101" i="30"/>
  <c r="E101" i="30"/>
  <c r="G100" i="30"/>
  <c r="E100" i="30"/>
  <c r="G99" i="30"/>
  <c r="E99" i="30"/>
  <c r="E97" i="30"/>
  <c r="E96" i="30"/>
  <c r="E95" i="30"/>
  <c r="E94" i="30"/>
  <c r="G91" i="30"/>
  <c r="E91" i="30"/>
  <c r="G90" i="30"/>
  <c r="E90" i="30"/>
  <c r="G89" i="30"/>
  <c r="E89" i="30"/>
  <c r="G88" i="30"/>
  <c r="E88" i="30"/>
  <c r="G87" i="30"/>
  <c r="E87" i="30"/>
  <c r="G85" i="30"/>
  <c r="E85" i="30"/>
  <c r="G84" i="30"/>
  <c r="E84" i="30"/>
  <c r="G83" i="30"/>
  <c r="E83" i="30"/>
  <c r="G82" i="30"/>
  <c r="E82" i="30"/>
  <c r="G81" i="30"/>
  <c r="E81" i="30"/>
  <c r="G80" i="30"/>
  <c r="E80" i="30"/>
  <c r="G77" i="30"/>
  <c r="E77" i="30"/>
  <c r="G76" i="30"/>
  <c r="E76" i="30"/>
  <c r="G75" i="30"/>
  <c r="E75" i="30"/>
  <c r="G74" i="30"/>
  <c r="E74" i="30"/>
  <c r="G73" i="30"/>
  <c r="E73" i="30"/>
  <c r="G72" i="30"/>
  <c r="E72" i="30"/>
  <c r="G71" i="30"/>
  <c r="E71" i="30"/>
  <c r="G70" i="30"/>
  <c r="E70" i="30"/>
  <c r="E68" i="30"/>
  <c r="E67" i="30"/>
  <c r="G64" i="30"/>
  <c r="E64" i="30"/>
  <c r="G63" i="30"/>
  <c r="E63" i="30"/>
  <c r="G62" i="30"/>
  <c r="E62" i="30"/>
  <c r="G61" i="30"/>
  <c r="E61" i="30"/>
  <c r="G60" i="30"/>
  <c r="E60" i="30"/>
  <c r="G59" i="30"/>
  <c r="E59" i="30"/>
  <c r="G58" i="30"/>
  <c r="E58" i="30"/>
  <c r="G57" i="30"/>
  <c r="E57" i="30"/>
  <c r="G56" i="30"/>
  <c r="E56" i="30"/>
  <c r="G55" i="30"/>
  <c r="E55" i="30"/>
  <c r="G54" i="30"/>
  <c r="E54" i="30"/>
  <c r="G53" i="30"/>
  <c r="E53" i="30"/>
  <c r="G50" i="30"/>
  <c r="E50" i="30"/>
  <c r="G49" i="30"/>
  <c r="E49" i="30"/>
  <c r="G48" i="30"/>
  <c r="E48" i="30"/>
  <c r="G47" i="30"/>
  <c r="E47" i="30"/>
  <c r="G46" i="30"/>
  <c r="E46" i="30"/>
  <c r="G45" i="30"/>
  <c r="E45" i="30"/>
  <c r="G44" i="30"/>
  <c r="E44" i="30"/>
  <c r="G43" i="30"/>
  <c r="E43" i="30"/>
  <c r="G42" i="30"/>
  <c r="E42" i="30"/>
  <c r="G41" i="30"/>
  <c r="E41" i="30"/>
  <c r="G40" i="30"/>
  <c r="E40" i="30"/>
  <c r="G39" i="30"/>
  <c r="E39" i="30"/>
  <c r="G36" i="30"/>
  <c r="E36" i="30"/>
  <c r="G35" i="30"/>
  <c r="E35" i="30"/>
  <c r="G34" i="30"/>
  <c r="E34" i="30"/>
  <c r="G33" i="30"/>
  <c r="E33" i="30"/>
  <c r="G32" i="30"/>
  <c r="E32" i="30"/>
  <c r="G31" i="30"/>
  <c r="E31" i="30"/>
  <c r="G30" i="30"/>
  <c r="E30" i="30"/>
  <c r="G29" i="30"/>
  <c r="E29" i="30"/>
  <c r="G28" i="30"/>
  <c r="E28" i="30"/>
  <c r="G27" i="30"/>
  <c r="E27" i="30"/>
  <c r="G26" i="30"/>
  <c r="E26" i="30"/>
  <c r="G25" i="30"/>
  <c r="E25" i="30"/>
  <c r="G23" i="30"/>
  <c r="E23" i="30"/>
  <c r="G22" i="30"/>
  <c r="E22" i="30"/>
  <c r="G21" i="30"/>
  <c r="E21" i="30"/>
  <c r="G20" i="30"/>
  <c r="E20" i="30"/>
  <c r="G19" i="30"/>
  <c r="E19" i="30"/>
  <c r="G18" i="30"/>
  <c r="E18" i="30"/>
  <c r="G17" i="30"/>
  <c r="E17" i="30"/>
  <c r="G16" i="30"/>
  <c r="F144" i="30" s="1"/>
  <c r="E16" i="30"/>
  <c r="H167" i="26"/>
  <c r="H159" i="26"/>
  <c r="H160" i="26"/>
  <c r="H161" i="26"/>
  <c r="H158" i="26"/>
  <c r="H153" i="26"/>
  <c r="H152" i="26"/>
  <c r="H151" i="26"/>
  <c r="H146" i="26"/>
  <c r="H147" i="26"/>
  <c r="H145" i="26"/>
  <c r="H162" i="26"/>
  <c r="H163" i="26"/>
  <c r="H164" i="26"/>
  <c r="H165" i="26"/>
  <c r="H166" i="26"/>
  <c r="H148" i="26"/>
  <c r="H149" i="26"/>
  <c r="H154" i="26"/>
  <c r="H155" i="26"/>
  <c r="H142" i="26"/>
  <c r="H141" i="26"/>
  <c r="H139" i="26"/>
  <c r="H136" i="26"/>
  <c r="H135" i="26"/>
  <c r="H131" i="26"/>
  <c r="H130" i="26"/>
  <c r="H128" i="26"/>
  <c r="H123" i="26"/>
  <c r="H124" i="26"/>
  <c r="H125" i="26"/>
  <c r="H126" i="26"/>
  <c r="H127" i="26"/>
  <c r="H129" i="26"/>
  <c r="H132" i="26"/>
  <c r="H112" i="26"/>
  <c r="H113" i="26"/>
  <c r="H114" i="26"/>
  <c r="H115" i="26"/>
  <c r="H117" i="26"/>
  <c r="H118" i="26"/>
  <c r="H119" i="26"/>
  <c r="H120" i="26"/>
  <c r="H86" i="26"/>
  <c r="H87" i="26"/>
  <c r="H88" i="26"/>
  <c r="H89" i="26"/>
  <c r="H90" i="26"/>
  <c r="H91" i="26"/>
  <c r="H92" i="26"/>
  <c r="H93" i="26"/>
  <c r="H94" i="26"/>
  <c r="H95" i="26"/>
  <c r="H97" i="26"/>
  <c r="H99" i="26"/>
  <c r="H100" i="26"/>
  <c r="H101" i="26"/>
  <c r="H102" i="26"/>
  <c r="H103" i="26"/>
  <c r="H104" i="26"/>
  <c r="H105" i="26"/>
  <c r="H106" i="26"/>
  <c r="H107" i="26"/>
  <c r="H109" i="26"/>
  <c r="H78" i="26"/>
  <c r="H79" i="26"/>
  <c r="H80" i="26"/>
  <c r="H81" i="26"/>
  <c r="H82" i="26"/>
  <c r="H83" i="26"/>
  <c r="H84" i="26"/>
  <c r="H77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63" i="26"/>
  <c r="H59" i="26"/>
  <c r="H60" i="26"/>
  <c r="H61" i="26"/>
  <c r="H57" i="26"/>
  <c r="H27" i="26"/>
  <c r="H39" i="26"/>
  <c r="H40" i="26"/>
  <c r="H41" i="26"/>
  <c r="H42" i="26"/>
  <c r="H43" i="26"/>
  <c r="H44" i="26"/>
  <c r="H46" i="26"/>
  <c r="H47" i="26"/>
  <c r="H48" i="26"/>
  <c r="H49" i="26"/>
  <c r="H50" i="26"/>
  <c r="H51" i="26"/>
  <c r="H52" i="26"/>
  <c r="H54" i="26"/>
  <c r="H55" i="26"/>
  <c r="B171" i="26"/>
  <c r="H138" i="26"/>
  <c r="H134" i="26"/>
  <c r="H122" i="26"/>
  <c r="H111" i="26"/>
  <c r="H85" i="26"/>
  <c r="H58" i="26"/>
  <c r="H37" i="26"/>
  <c r="H36" i="26"/>
  <c r="H35" i="26"/>
  <c r="H34" i="26"/>
  <c r="H33" i="26"/>
  <c r="H32" i="26"/>
  <c r="H31" i="26"/>
  <c r="H30" i="26"/>
  <c r="H28" i="26"/>
  <c r="H25" i="26"/>
  <c r="H24" i="26"/>
  <c r="H23" i="26"/>
  <c r="H22" i="26"/>
  <c r="H21" i="26"/>
  <c r="H20" i="26"/>
  <c r="H19" i="26"/>
  <c r="H18" i="26"/>
  <c r="H17" i="26"/>
  <c r="H16" i="26"/>
  <c r="H30" i="25"/>
  <c r="H31" i="25"/>
  <c r="H32" i="25"/>
  <c r="H33" i="25"/>
  <c r="H34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9" i="25"/>
  <c r="H50" i="25"/>
  <c r="H52" i="25"/>
  <c r="H53" i="25"/>
  <c r="H55" i="25"/>
  <c r="H57" i="25"/>
  <c r="H58" i="25"/>
  <c r="H60" i="25"/>
  <c r="H61" i="25"/>
  <c r="H63" i="25"/>
  <c r="H65" i="25"/>
  <c r="H66" i="25"/>
  <c r="H67" i="25"/>
  <c r="H69" i="25"/>
  <c r="H70" i="25"/>
  <c r="H71" i="25"/>
  <c r="H72" i="25"/>
  <c r="H73" i="25"/>
  <c r="H75" i="25"/>
  <c r="H76" i="25"/>
  <c r="H77" i="25"/>
  <c r="H79" i="25"/>
  <c r="H80" i="25"/>
  <c r="H82" i="25"/>
  <c r="H27" i="25"/>
  <c r="H17" i="25"/>
  <c r="H18" i="25"/>
  <c r="H19" i="25"/>
  <c r="H20" i="25"/>
  <c r="H21" i="25"/>
  <c r="H22" i="25"/>
  <c r="H23" i="25"/>
  <c r="H24" i="25"/>
  <c r="H25" i="25"/>
  <c r="H16" i="25"/>
  <c r="H83" i="25" s="1"/>
  <c r="B86" i="25"/>
  <c r="H44" i="18"/>
  <c r="H41" i="18"/>
  <c r="H34" i="18"/>
  <c r="G40" i="18"/>
  <c r="D40" i="18"/>
  <c r="H40" i="18" s="1"/>
  <c r="D26" i="18"/>
  <c r="G26" i="18"/>
  <c r="G38" i="18"/>
  <c r="G39" i="18"/>
  <c r="G42" i="18"/>
  <c r="G37" i="18"/>
  <c r="H37" i="18" s="1"/>
  <c r="D33" i="18"/>
  <c r="H33" i="18" s="1"/>
  <c r="D31" i="18"/>
  <c r="D32" i="18"/>
  <c r="D35" i="18"/>
  <c r="H35" i="18"/>
  <c r="D30" i="18"/>
  <c r="G31" i="18"/>
  <c r="H31" i="18" s="1"/>
  <c r="G32" i="18"/>
  <c r="G33" i="18"/>
  <c r="G35" i="18"/>
  <c r="G30" i="18"/>
  <c r="G24" i="18"/>
  <c r="H24" i="18"/>
  <c r="G25" i="18"/>
  <c r="H25" i="18"/>
  <c r="G28" i="18"/>
  <c r="H28" i="18"/>
  <c r="G22" i="18"/>
  <c r="G16" i="18"/>
  <c r="H16" i="18" s="1"/>
  <c r="G17" i="18"/>
  <c r="G18" i="18"/>
  <c r="G19" i="18"/>
  <c r="G20" i="18"/>
  <c r="D39" i="18"/>
  <c r="H39" i="18" s="1"/>
  <c r="D42" i="18"/>
  <c r="H42" i="18" s="1"/>
  <c r="D38" i="18"/>
  <c r="H38" i="18" s="1"/>
  <c r="B48" i="18"/>
  <c r="G15" i="18"/>
  <c r="D22" i="18"/>
  <c r="D17" i="18"/>
  <c r="H17" i="18" s="1"/>
  <c r="D18" i="18"/>
  <c r="D19" i="18"/>
  <c r="H19" i="18" s="1"/>
  <c r="D20" i="18"/>
  <c r="D15" i="18"/>
  <c r="H15" i="18" s="1"/>
  <c r="H32" i="18"/>
  <c r="H30" i="18"/>
  <c r="D107" i="30"/>
  <c r="E107" i="30" s="1"/>
  <c r="D106" i="30"/>
  <c r="E106" i="30" s="1"/>
  <c r="D109" i="30"/>
  <c r="E109" i="30" s="1"/>
  <c r="H168" i="26"/>
  <c r="H20" i="18"/>
  <c r="H26" i="18"/>
  <c r="H22" i="18"/>
  <c r="H18" i="18"/>
  <c r="D144" i="30" l="1"/>
  <c r="F146" i="30" s="1"/>
  <c r="H45" i="18"/>
</calcChain>
</file>

<file path=xl/sharedStrings.xml><?xml version="1.0" encoding="utf-8"?>
<sst xmlns="http://schemas.openxmlformats.org/spreadsheetml/2006/main" count="609" uniqueCount="401">
  <si>
    <t>Fee</t>
  </si>
  <si>
    <t xml:space="preserve">PLEASE SIGN THAT YOU HAVE READ AND UNDERSTAND THE STATEMENT ABOVE. </t>
  </si>
  <si>
    <t>SIGNATURE OF APPLICANT _________________________________________________</t>
  </si>
  <si>
    <t>Project Name:</t>
  </si>
  <si>
    <t>Project Location:</t>
  </si>
  <si>
    <t>Applicant Contact:</t>
  </si>
  <si>
    <t>Internal Tracking Number:</t>
  </si>
  <si>
    <t>Submittal Date:</t>
  </si>
  <si>
    <t>REZONING</t>
  </si>
  <si>
    <t xml:space="preserve">TOWN OF BUCKEYE </t>
  </si>
  <si>
    <t>PRELIMINARY PLANS / REPORTS / CIVIL ENGINEERING</t>
  </si>
  <si>
    <t>Preliminary Plans, Per Sheet</t>
  </si>
  <si>
    <t>Site Plan, Per Sheet</t>
  </si>
  <si>
    <t>Preliminary Reports, Per Report</t>
  </si>
  <si>
    <t>Expedited Turnaround Fees (2 Times Review Fees)</t>
  </si>
  <si>
    <t>Other Plan Review - Not Listed Above</t>
  </si>
  <si>
    <t>Other Report Review - Not Listed Above</t>
  </si>
  <si>
    <t>PLAN REVIEW - CIVIL ENGINEERING</t>
  </si>
  <si>
    <t>Address Map / Street Name Exhibit</t>
  </si>
  <si>
    <t xml:space="preserve">: To Pave (Water, Sewer and Storm Drain) Submittals </t>
  </si>
  <si>
    <t>: For Final (All As-Builts) Submittals</t>
  </si>
  <si>
    <t>Civil Engineering Plans, Per Sheet</t>
  </si>
  <si>
    <t>Map of Dedication, Per Sheet</t>
  </si>
  <si>
    <t xml:space="preserve">Major Infrastructure Plan Review (Built by Developer - Wells, WWTP, Water Systems, Bridges, etc.) </t>
  </si>
  <si>
    <t>: 1 to 49 Sheets Submitted, Per Sheet</t>
  </si>
  <si>
    <t>: 50 to 99 Sheets Submitted, Per Sheet</t>
  </si>
  <si>
    <t>: More than 100 Sheets Submitted, Per Sheet</t>
  </si>
  <si>
    <t>ALTA Survey Plat Review - No Fee</t>
  </si>
  <si>
    <t>REPORT REVIEW - CIVIL ENGINEERING</t>
  </si>
  <si>
    <t>Community Master Plan Design Reports, Per Report</t>
  </si>
  <si>
    <t>Final Design Reports, Per Report</t>
  </si>
  <si>
    <t>LOMR and CLOMR Approvals, Per Report</t>
  </si>
  <si>
    <t>Phase 1 Environmental Studies / Geotechnical Studies - No Fee</t>
  </si>
  <si>
    <t>OTHER ENGINEERING SERVICES - CIVIL ENGINEERING</t>
  </si>
  <si>
    <t>Lump Sum</t>
  </si>
  <si>
    <t>Specialized Engineering Discipline Plan Review or Design Services (Structural, Electrical, etc.) - Fee Determined at Time of Submittal</t>
  </si>
  <si>
    <t>Sub Total 
(1st and 2nd Reviews)</t>
  </si>
  <si>
    <t>Use Section 1 : Entitlements Fee Worksheet</t>
  </si>
  <si>
    <t>Planning and Zoning Case Number:</t>
  </si>
  <si>
    <t>(Incorrect payments will not be accepted)</t>
  </si>
  <si>
    <t>Application / Civil Review Type</t>
  </si>
  <si>
    <t xml:space="preserve">Application Total:  </t>
  </si>
  <si>
    <t xml:space="preserve">Total Paid:  </t>
  </si>
  <si>
    <t xml:space="preserve">Paid / Check Number:  </t>
  </si>
  <si>
    <t>Fee 
(1st and 2nd)</t>
  </si>
  <si>
    <t>Number of Sheets / Units
(1st and 2nd)</t>
  </si>
  <si>
    <t>Number of Sheets / Units
(3rd and Subseq)</t>
  </si>
  <si>
    <t>Fee
 (3rd and Subseq)</t>
  </si>
  <si>
    <t>SubTotal 
(3rd and Subseq Reviews)</t>
  </si>
  <si>
    <t>Development Services Department Fee Worksheet</t>
  </si>
  <si>
    <t>Section 2:  Civil Engineering Review</t>
  </si>
  <si>
    <t>As-Built Plans, Per Sheet</t>
  </si>
  <si>
    <t>Total Review Fee</t>
  </si>
  <si>
    <t>= Fillable Cells</t>
  </si>
  <si>
    <t>Section 1:  Entitlement Process</t>
  </si>
  <si>
    <t>Project Entitlement / Development Status Discovery Meeting</t>
  </si>
  <si>
    <t>ADMINISTRATIVE FEES</t>
  </si>
  <si>
    <t>Application / Entitlement Process</t>
  </si>
  <si>
    <t>Units</t>
  </si>
  <si>
    <t>: 1st Meeting</t>
  </si>
  <si>
    <t>: 2nd Meeting and Each Subsequent Meeting</t>
  </si>
  <si>
    <t>Written Response Related to Development/Project Status Discovery Meetings (Each Written Response)</t>
  </si>
  <si>
    <t>Model Home Complex, Per Application</t>
  </si>
  <si>
    <t>Sales / Leasing Trailer, Per Sales Trailer</t>
  </si>
  <si>
    <t xml:space="preserve">Pre Application Conference (PAC) </t>
  </si>
  <si>
    <t>Property Research  (Developer Due Diligence)</t>
  </si>
  <si>
    <t>Zoning Verification Letter, per request</t>
  </si>
  <si>
    <t>Other Services Not Included Above (hourly rate)</t>
  </si>
  <si>
    <t>APPEALS</t>
  </si>
  <si>
    <t>Appeal of Administrative Decision</t>
  </si>
  <si>
    <t>COMMUNITY MASTER PLANS / PLANNED AREA DEVELOPMENT</t>
  </si>
  <si>
    <t>Community Master Plans (CMP), Application Fee</t>
  </si>
  <si>
    <t xml:space="preserve">        : Less than 639 Acres (Planned Area Development (PAD) only)</t>
  </si>
  <si>
    <t xml:space="preserve">        : More than 639 Acres (CMP/Planned Unit Plan/PAD)</t>
  </si>
  <si>
    <t xml:space="preserve">CMP Amendment Base Fee </t>
  </si>
  <si>
    <t>:A - A change in permitted land uses or allowable uses, or amendments to development standards or regulations for permitted uses.</t>
  </si>
  <si>
    <t>:B - An increase of 5% or more in the total number or residential dwelling units.</t>
  </si>
  <si>
    <t>:C - A decrease of planned or identified public parks and/or improved open space by 5% or more.</t>
  </si>
  <si>
    <t>:D - A decrease of the total amount of natural areas or preserved or undisturbed open space by 2% or more.</t>
  </si>
  <si>
    <t>:E - A shift of 20% or more of the total number of dwelling units from one phase, parcel, or development unit to another phase, parcel, or development unit</t>
  </si>
  <si>
    <t>:F - A shift of 10% to 19% of the total number of dwelling units from one phase, parcel, or development unit to another phase, parcel, or development unit.</t>
  </si>
  <si>
    <t>:G - A change in the housing floor plan mix that substantially reduces the options available to future residents</t>
  </si>
  <si>
    <t>:H - A substantial change to the streets and transportation circulation patterns and regional connectivity.</t>
  </si>
  <si>
    <t>:I - An amendment deemed by the Director to make such a significant or fundamental change that is should be a major amendment.</t>
  </si>
  <si>
    <t>:J - Engineering Report Amendments, Per Report</t>
  </si>
  <si>
    <t>Planning Unit Plan (Per Plan)</t>
  </si>
  <si>
    <t>Engineering Report - 1st and 2nd Review (Subsequent Reviews see Engineering Section)</t>
  </si>
  <si>
    <t>CONDITIONAL USE PERMIT</t>
  </si>
  <si>
    <t xml:space="preserve">Conditional Use Permit </t>
  </si>
  <si>
    <t>Conditional Use Permit Requiring Engineering Analysis</t>
  </si>
  <si>
    <t>DESIGN REVIEW</t>
  </si>
  <si>
    <t>Residential Design Review</t>
  </si>
  <si>
    <t>Residential Design Review Amendment</t>
  </si>
  <si>
    <t>DEVELOPMENT CODE</t>
  </si>
  <si>
    <t>Development Code/Zoning Text Amendment</t>
  </si>
  <si>
    <t>GENERAL PLAN AMENDMENT</t>
  </si>
  <si>
    <t>General Plan Amendments, Minor</t>
  </si>
  <si>
    <t>General Plan Amendments, Major</t>
  </si>
  <si>
    <t>LANDSCAPE</t>
  </si>
  <si>
    <t>Final Landscape Plan Review, Per Sheet</t>
  </si>
  <si>
    <t>Rezoning (Not involving CMP or PAD Process)</t>
  </si>
  <si>
    <t>SITE PLAN</t>
  </si>
  <si>
    <t>Base Application Fee and Administrative Review, Plus</t>
  </si>
  <si>
    <t xml:space="preserve">          :Planning Commission Review (Minor)</t>
  </si>
  <si>
    <t xml:space="preserve">          :Town Council Review (Major) </t>
  </si>
  <si>
    <t>DIVISION OF PROPERTY</t>
  </si>
  <si>
    <t>Abandonment, Lease, or Purchase  of Right-of-Way (Excludes Lease / Purchase Price)</t>
  </si>
  <si>
    <t>Reversion to Acreage</t>
  </si>
  <si>
    <t>Map of Dedication (per sheet) (Subsequent Reviews see Engineering Section)</t>
  </si>
  <si>
    <t>Land Split</t>
  </si>
  <si>
    <t>Lot Combination</t>
  </si>
  <si>
    <t>Base Application Fee, Plus</t>
  </si>
  <si>
    <t>: Per Lot Fee</t>
  </si>
  <si>
    <t>Preliminary Plat Time Extension</t>
  </si>
  <si>
    <t>VARIANCES</t>
  </si>
  <si>
    <t>Variance</t>
  </si>
  <si>
    <t>:Minor Amendment, Included in CMP Base Fee (Any amendment not listed as Major)</t>
  </si>
  <si>
    <t xml:space="preserve">:Major Amendment, CMP Base Fee Plus </t>
  </si>
  <si>
    <t>FINAL PLAT</t>
  </si>
  <si>
    <t>PRELMINARY PLAT</t>
  </si>
  <si>
    <t>Preliminary Landscape Plan - No Fee</t>
  </si>
  <si>
    <t>Annexation (No Fee)</t>
  </si>
  <si>
    <t>Section 4:  Vertical Construction, Building and Safety</t>
  </si>
  <si>
    <t>Building Board of Appeals, Per Appeal</t>
  </si>
  <si>
    <t>Building Code Modifications, Per Request</t>
  </si>
  <si>
    <t>Building Code Studies, Per Hour</t>
  </si>
  <si>
    <t xml:space="preserve">Inspections (Outside Normal Business Hours ($100 per hour, 4 hour minimum) </t>
  </si>
  <si>
    <t>Permit Amendment Fee</t>
  </si>
  <si>
    <t>Re-inspection Fees (minimum 24 hour wait prior to request for re-inspection)</t>
  </si>
  <si>
    <t>Permit Cancellation Fee - Processing Fee</t>
  </si>
  <si>
    <t>Replication of Plans (When Legally Authorized by Architect / Builder) - Plus Actual Cost</t>
  </si>
  <si>
    <t>Stamping of Additional Approved Plans (After Two Initial Sets), Each</t>
  </si>
  <si>
    <t>Written Documentation of Code Compliance, Per Request</t>
  </si>
  <si>
    <t>ADMINISTRATIVE FEES / UTILITY FRANCHISE FEES</t>
  </si>
  <si>
    <t>Application</t>
  </si>
  <si>
    <t>FIRE PERMIT FEES</t>
  </si>
  <si>
    <t>Alarms, Per Facility</t>
  </si>
  <si>
    <t>: Tenant Improvements</t>
  </si>
  <si>
    <t xml:space="preserve">Sprinklers, Per Facility </t>
  </si>
  <si>
    <t xml:space="preserve">: Residential </t>
  </si>
  <si>
    <t>: Commercial - Under 30,000 sq ft</t>
  </si>
  <si>
    <t>: Commercial - Over 30,000 sq ft to 90,000 sq ft</t>
  </si>
  <si>
    <t xml:space="preserve">    : Commercial - Over 90,000 sq ft to 120,000 sq ft</t>
  </si>
  <si>
    <t xml:space="preserve">    : Commercial - Over 120,000 sq ft</t>
  </si>
  <si>
    <t>Automatic Kitchen Hood System</t>
  </si>
  <si>
    <t>Propane Tank Cages - Commercial</t>
  </si>
  <si>
    <t>Propane Tank - Commercial</t>
  </si>
  <si>
    <t>: Above Ground</t>
  </si>
  <si>
    <t>: Under Ground</t>
  </si>
  <si>
    <t>Temporary Tent / Canopy (Per Tent)</t>
  </si>
  <si>
    <t>FM 200 Fire Suppression</t>
  </si>
  <si>
    <t>Fire Pump Inspection (Each)</t>
  </si>
  <si>
    <t>Hazardous Work Inspection</t>
  </si>
  <si>
    <t>License Inspections</t>
  </si>
  <si>
    <t>: Educational Facilities</t>
  </si>
  <si>
    <t>: Daycare - Residential</t>
  </si>
  <si>
    <t>: Daycare - Commercial</t>
  </si>
  <si>
    <t>: Licensed Adult Care Facilities - Commercial</t>
  </si>
  <si>
    <t>: Licensed Adult Care Facilities - Residential</t>
  </si>
  <si>
    <t>Special Activities or Events</t>
  </si>
  <si>
    <t>Blasting Operations (Per Blasting - 30 Day Permit Expiration)</t>
  </si>
  <si>
    <t xml:space="preserve">Fireworks </t>
  </si>
  <si>
    <t>: Fireworks (0 to 30 Shells, per show - shell diameter less than 3 inches)</t>
  </si>
  <si>
    <t>: Fireworks (31 Shells and up, per show)</t>
  </si>
  <si>
    <t>LANDSCAPE PERMIT FEES</t>
  </si>
  <si>
    <t>Landscape Permit</t>
  </si>
  <si>
    <t>Native Plant Salvage Permit, Base Fee, Plus</t>
  </si>
  <si>
    <t>:  Per Plant Fee</t>
  </si>
  <si>
    <t>Native Plant Salvage Permit Modification, Base Fee, Plus</t>
  </si>
  <si>
    <t>: Per Plant Fee</t>
  </si>
  <si>
    <t>BOV*</t>
  </si>
  <si>
    <t>MISCELLANEOUS PERMIT FEES - BASED ON VALUATION</t>
  </si>
  <si>
    <t>Investigation Fee (Construction Prior to Issuance of Permit)</t>
  </si>
  <si>
    <t>Fire Restoration</t>
  </si>
  <si>
    <t>Patios, Decks, Ramadas, etc.</t>
  </si>
  <si>
    <t>Remodel Fee</t>
  </si>
  <si>
    <t>Roof Replacement</t>
  </si>
  <si>
    <t>Sign Permit</t>
  </si>
  <si>
    <t>Upgrade AC Unit or Like-for-Like Change Out</t>
  </si>
  <si>
    <t>Use Permit, per permit</t>
  </si>
  <si>
    <t>Fences - Block / Other</t>
  </si>
  <si>
    <t>Walls - Themed, Retaining, Perimeter and Privacy</t>
  </si>
  <si>
    <t>Water Damage</t>
  </si>
  <si>
    <t>Window Replacement</t>
  </si>
  <si>
    <t>: Sign Permit (Temporary) (base fee plus BOV*)</t>
  </si>
  <si>
    <t>45 plus BOV*</t>
  </si>
  <si>
    <t>MISCELLANEOUS PERMIT FEES - FEE BASED</t>
  </si>
  <si>
    <t>Building Demolitions, Residential Accessory, Per Structure</t>
  </si>
  <si>
    <t>Building Demolitions, Structures Other than Single Family Residence, Per Structure</t>
  </si>
  <si>
    <t>Building Demolitions, Single Family Residence, Per Structure</t>
  </si>
  <si>
    <t>Building Demolitions, Other than Single Family Residence, Per Structure</t>
  </si>
  <si>
    <t>Building Moving, Per Structure</t>
  </si>
  <si>
    <t>Fire Repair (Repairs Not Requiring Plans), Per Inspection Trip</t>
  </si>
  <si>
    <t>Flagpole</t>
  </si>
  <si>
    <t>Model Home Complex, Per House</t>
  </si>
  <si>
    <t xml:space="preserve">Model Home Sales Trailer, Per Trailer </t>
  </si>
  <si>
    <t>Offsite Dirt Hauling Permit (Export), Per Job, plus per yard fee</t>
  </si>
  <si>
    <t>Photovoltaic System - Residential</t>
  </si>
  <si>
    <t>Propane Tank - Residential</t>
  </si>
  <si>
    <t>Replace AC Unit - Same Voltage (1 Inspection)</t>
  </si>
  <si>
    <t>Revision to Standard Plans (Single Family Residence)</t>
  </si>
  <si>
    <t>Solar Water Heater (PLM Permit Type)</t>
  </si>
  <si>
    <t>Spas/Hot Tubs/Pools</t>
  </si>
  <si>
    <t>: Above-Ground (Pool or Spa)</t>
  </si>
  <si>
    <t>: In-Ground Spa</t>
  </si>
  <si>
    <t>: Pre-Fabricated</t>
  </si>
  <si>
    <t>: Site Built</t>
  </si>
  <si>
    <t>: In-Ground Pool (With Approved Standard Plan)</t>
  </si>
  <si>
    <t>: In-Ground Pool (Without Standard Plan, Fee Includes Plan Review)</t>
  </si>
  <si>
    <t>: In-Ground Spa / Pool Combination (With Approved Standard Plan)</t>
  </si>
  <si>
    <t>: In-Ground Spa / Pool Combination (Without Approved Standard Plan)</t>
  </si>
  <si>
    <t>: Standard Pool Plan Review</t>
  </si>
  <si>
    <t>: Pool Heater (Owner/Builder)</t>
  </si>
  <si>
    <t>Temporary Trailers, Building Permit/Plan Review (example, Construction Trailers)</t>
  </si>
  <si>
    <t>Water Softener (no permit required)</t>
  </si>
  <si>
    <t>Miscellaneous Inspections or Service for which no fee is specifically indicated (hourly rate)</t>
  </si>
  <si>
    <t>No Fee</t>
  </si>
  <si>
    <t>: Garage Conversion</t>
  </si>
  <si>
    <t>: Garage Conversion Restoration</t>
  </si>
  <si>
    <t>: $1.00 per yard (maximum $1,000)</t>
  </si>
  <si>
    <t>OCCUPANCY PERMIT FEES</t>
  </si>
  <si>
    <t>Certificate of Occupancy, Residential, Per Residence</t>
  </si>
  <si>
    <t>Certificate of Completion, Commercial Shell Buildings, Per Building</t>
  </si>
  <si>
    <t>Certificate of Occupancy, Commercial and Multi-Family Buildings, Per Building</t>
  </si>
  <si>
    <t>Certificate of Occupancy, Commercial Tenant Improvements, Per Building</t>
  </si>
  <si>
    <t>Change of Occupancy Permit, Each</t>
  </si>
  <si>
    <t>Temporary Certificate of Occupancy (TCO) - Permit and Extensions Expire every 60 days:</t>
  </si>
  <si>
    <t xml:space="preserve">: TCO (60 Day Expiration or conversion to Final Certificate of Occupancy) </t>
  </si>
  <si>
    <t>UTILITY PERMIT FEES (ELECTRICAL, MECHANICAL, PLUMBING, ETC.)</t>
  </si>
  <si>
    <t>: First Extension of TCO (61 to 120 Days) - Monthly TCO Fee is 10% of Original Building Permit Fee</t>
  </si>
  <si>
    <t>: Second Extension of TCO (121 to 180 Days) - Monthly TCO Fee is 20% of Original Building Permit Fee</t>
  </si>
  <si>
    <t>: Third Extension of TCO (181 to 240 Days) - Monthly TCO Fee is 30% of Original Building Permit Fee</t>
  </si>
  <si>
    <t>Temporary Electrical Services</t>
  </si>
  <si>
    <t>Temporary Overhead Electrical Services (Per Pole)</t>
  </si>
  <si>
    <t>Temporary Generators, Per Generator</t>
  </si>
  <si>
    <t>Commercial Power Pedestal / Meter (200 AMP or less), Per Meter</t>
  </si>
  <si>
    <t>Commercial Power Pedestal / Meter (Above 200 AMP), Per Meter</t>
  </si>
  <si>
    <t>Commercial Meter (100/200 AMP), Per Meter</t>
  </si>
  <si>
    <t>Commercial Meter (Above 200 AMP), Per Meter</t>
  </si>
  <si>
    <t>Residential Meter Clearance</t>
  </si>
  <si>
    <t>Gas Line Residential (New)</t>
  </si>
  <si>
    <t>Gas line Residential (Repair)</t>
  </si>
  <si>
    <t>Water Heater, Per Unit</t>
  </si>
  <si>
    <t>MISCELLANEOUS OTHER FEES</t>
  </si>
  <si>
    <t>Street Light Improvement District (SLID) Per Ordinance 43-05, Chapter 20 of Buckeye Town Code</t>
  </si>
  <si>
    <t>Maintenance Improvement District (MID) Per Ordinance 42-06, Chapter 20 of Buckeye Town Code</t>
  </si>
  <si>
    <t>Street Clean-up Fee [20-7-3] ($100 per hour)</t>
  </si>
  <si>
    <t>PLAN REVIEW FEES - FEE BASED OR BASED ON VALUATION</t>
  </si>
  <si>
    <t>Plot (Site) Plan Review for Residential Homes, Per Plot Plan</t>
  </si>
  <si>
    <t>Plan Review, 1st and 2nd Review</t>
  </si>
  <si>
    <t>Preliminary Fee for Review of Standard Residential Plans, Per Standard Plan</t>
  </si>
  <si>
    <t>: Less than 3,000 SF</t>
  </si>
  <si>
    <t>: Greater than 3,000 SF</t>
  </si>
  <si>
    <t>SINGLE FAMILY RESIDENCE</t>
  </si>
  <si>
    <t>Tract Homes</t>
  </si>
  <si>
    <t>Expedited Plan Review (2 Times Plans Review Fee)</t>
  </si>
  <si>
    <t>Truss (Deferred) Calculation Review, Residential, 1st and 2nd Review, Per Structure</t>
  </si>
  <si>
    <t>Truss (Deferred) Calculation Review, Residential, 3rd and Subsequent Review, Per Structure</t>
  </si>
  <si>
    <t>Custom Homes</t>
  </si>
  <si>
    <t>Expedited Plan Review (2 Times Plan Review Fee)</t>
  </si>
  <si>
    <t>Truss (Deferred) Calculation Review, Residential, Each Subsequent Review, Per Structure</t>
  </si>
  <si>
    <t>2 X</t>
  </si>
  <si>
    <t>2X</t>
  </si>
  <si>
    <t>COMMERCIAL BUILDING</t>
  </si>
  <si>
    <t>Commercial Building</t>
  </si>
  <si>
    <t>: Less than 10,000 SF</t>
  </si>
  <si>
    <t>: Greater than 10,000 SF</t>
  </si>
  <si>
    <t>Plan Review, Each Consecutive Review</t>
  </si>
  <si>
    <t>Racking (Deferred) Review, Commercial, 1st and 2nd Review, Per Facility</t>
  </si>
  <si>
    <t>Truss (Deferred) Calculation Review, Commercial, Per Structure</t>
  </si>
  <si>
    <t>Truss (Deferred) Calculation Review, Commercial, Over 1 Hour, Per Hour</t>
  </si>
  <si>
    <t>Commercial Gas Meter Clearance (Provides 1 Inspection)</t>
  </si>
  <si>
    <t>Commercial Electric Meter Clearance (Provides 1 Inspection)</t>
  </si>
  <si>
    <t>Gas Line - Commercial</t>
  </si>
  <si>
    <t>Tenant Improvements</t>
  </si>
  <si>
    <t>TOTAL PERMIT FEE:</t>
  </si>
  <si>
    <t>Public ROW</t>
  </si>
  <si>
    <t>Private Improvements</t>
  </si>
  <si>
    <t>User Fee Description</t>
  </si>
  <si>
    <t>Unit</t>
  </si>
  <si>
    <t xml:space="preserve"> Fee </t>
  </si>
  <si>
    <t>Qty</t>
  </si>
  <si>
    <t>GRADING CONSTRUCTION PERMITS</t>
  </si>
  <si>
    <t>Base Fee, Plus (Includes Clear and Grub)</t>
  </si>
  <si>
    <t>: Less than 5 Acres</t>
  </si>
  <si>
    <t>AC</t>
  </si>
  <si>
    <t>: Greater than 5 Acres, less than 20 Acres</t>
  </si>
  <si>
    <t xml:space="preserve">AC </t>
  </si>
  <si>
    <t>: Greater than 20 Acres, less than 50 Acres</t>
  </si>
  <si>
    <t>: Greater than 50 Acres, less than 200 Acres</t>
  </si>
  <si>
    <t>: Greater than 200 Acres, Less than 500 Acres</t>
  </si>
  <si>
    <t>: Greater than 500 Acres</t>
  </si>
  <si>
    <t>Clear and Grub (only without Grading)</t>
  </si>
  <si>
    <t>EA</t>
  </si>
  <si>
    <t>DRAINAGE CONSTRUCTION PERMITS</t>
  </si>
  <si>
    <t>Base Permit Fee, Plus</t>
  </si>
  <si>
    <t>: Storm Drain and Irrigation Pipe</t>
  </si>
  <si>
    <t>LF</t>
  </si>
  <si>
    <t>: Storm Drain and Irrigation Manhole</t>
  </si>
  <si>
    <t>: Underground Retention</t>
  </si>
  <si>
    <t>CF</t>
  </si>
  <si>
    <t>: Headwall / Handrail</t>
  </si>
  <si>
    <t xml:space="preserve">: Catch Basin </t>
  </si>
  <si>
    <t>: Scuppers (Includes Spillway / Handrail)</t>
  </si>
  <si>
    <t>: Spillway</t>
  </si>
  <si>
    <t xml:space="preserve">: Drywells or Trench Drains with Standard Treatment Chamber </t>
  </si>
  <si>
    <t xml:space="preserve">: Drywells with Specialized Treatment Chamber </t>
  </si>
  <si>
    <t>: Specialized Treatment Chamber (Stand alone)</t>
  </si>
  <si>
    <t>: Slope Protection (Rip-Rap, Gabions, Gunnite, etc.)</t>
  </si>
  <si>
    <t>SY</t>
  </si>
  <si>
    <t>Private Improvements - 20% Reduction</t>
  </si>
  <si>
    <t>SEWER CONSTRUCTION PERMITS</t>
  </si>
  <si>
    <t>: Sewer Line</t>
  </si>
  <si>
    <t>: Sewer Service</t>
  </si>
  <si>
    <t>: Manhole</t>
  </si>
  <si>
    <t>: Force Main</t>
  </si>
  <si>
    <t>: Cleanout</t>
  </si>
  <si>
    <t>: Drop Connection</t>
  </si>
  <si>
    <t>: Pipe Encasement</t>
  </si>
  <si>
    <t>: Tie-in Fee</t>
  </si>
  <si>
    <t>: Air / Vacuum Release Manhole / Value</t>
  </si>
  <si>
    <t>: Residential/Commercial Sewer Tap to Existing Main</t>
  </si>
  <si>
    <t>: Monitoring Vault and Special Structures</t>
  </si>
  <si>
    <t>WATER CONSTRUCTION PERMITS</t>
  </si>
  <si>
    <t>: Waterline</t>
  </si>
  <si>
    <t>: Water Service</t>
  </si>
  <si>
    <t>: Flush / Curb Stop / Blow-off</t>
  </si>
  <si>
    <t>: Fire Line</t>
  </si>
  <si>
    <t>: Fire Hydrant</t>
  </si>
  <si>
    <t>: Backflow Device up to 3 inches</t>
  </si>
  <si>
    <t>: Backflow Device greater than 3 inches</t>
  </si>
  <si>
    <t>: Sampling Station / Air Release Valve</t>
  </si>
  <si>
    <t>: Tapping Sleeve and Valve / Tie-in</t>
  </si>
  <si>
    <t>: Mainline / Lateral / Fire Hydrant Valve</t>
  </si>
  <si>
    <t>: Residential/Commercial Water Tap to Existing Main</t>
  </si>
  <si>
    <t>STREET LIGHTING CONSTRUCTION PERMITS</t>
  </si>
  <si>
    <t>: Street Light</t>
  </si>
  <si>
    <t>CONCRETE CONSTRUCTION PERMITS</t>
  </si>
  <si>
    <t>: Sidewalk and Bicycle Path and Trail</t>
  </si>
  <si>
    <t>SF</t>
  </si>
  <si>
    <t>: Sidewalk Ramps and Truncated Domes - Per Ramp</t>
  </si>
  <si>
    <t>: Curb and Gutter / Ribbon Curb</t>
  </si>
  <si>
    <t>: Valley Gutter / Apron</t>
  </si>
  <si>
    <t>: Driveway / Alley Apron</t>
  </si>
  <si>
    <t>: Return Style Driveway and Bus Bay</t>
  </si>
  <si>
    <t>: Cut-off Wall</t>
  </si>
  <si>
    <t>PAVING CONSTRUCTION PERMITS</t>
  </si>
  <si>
    <t>: A/C Paving (Per Lift - Includes Striping)</t>
  </si>
  <si>
    <t>: Concrete Paving</t>
  </si>
  <si>
    <t>: Mill and Overlay</t>
  </si>
  <si>
    <t>: Slurry / Micro Seal</t>
  </si>
  <si>
    <t>: Adjustments:  Manholes, Blow-offs, Water Valves, Gas Valves, Utility Adjustment, Clean-outs, Survey Monument Hand Holes, etc.</t>
  </si>
  <si>
    <t>: Survey Monument</t>
  </si>
  <si>
    <t>: Type A</t>
  </si>
  <si>
    <t>: Type B</t>
  </si>
  <si>
    <t>: Street Sign</t>
  </si>
  <si>
    <t>: Barricade / Guardrail</t>
  </si>
  <si>
    <t>: Pavement Utility Pothole</t>
  </si>
  <si>
    <t>DRY UTILITY PERMITS (RIGHT-OF-WAY ONLY)</t>
  </si>
  <si>
    <t>: Utility Vaults / Manholes</t>
  </si>
  <si>
    <t xml:space="preserve">: Utility Splice / Repair Pits </t>
  </si>
  <si>
    <t>: Utility Valves</t>
  </si>
  <si>
    <t>: Utility Trench</t>
  </si>
  <si>
    <t>OTHER (Includes Base Application Fee and Right-of-Way Permit Fee)</t>
  </si>
  <si>
    <t>Structures (Bridges, Flood Retarding Structures, Flood Walls, Channel Energy Dissipation Structures, Box Culverts, Wing Walls, etc.)</t>
  </si>
  <si>
    <t>Water (Booster Stations, In-line Boosters, Wells, Pressure Reducing Stations, etc.)</t>
  </si>
  <si>
    <t>Sewer (Lift Station)</t>
  </si>
  <si>
    <t>Traffic Signal</t>
  </si>
  <si>
    <t>Other</t>
  </si>
  <si>
    <t>PAVEMENT RESTORATION FEES</t>
  </si>
  <si>
    <t>Total Square Yards :</t>
  </si>
  <si>
    <t>: Less than 100 SY, plus</t>
  </si>
  <si>
    <t>: Next  100 SY, less than 500 SY, plus</t>
  </si>
  <si>
    <t xml:space="preserve"> </t>
  </si>
  <si>
    <t>: Next  500 SY, less than 1,760 SY, plus</t>
  </si>
  <si>
    <t>: Next  1,760 SY or greater</t>
  </si>
  <si>
    <t xml:space="preserve">NOTE:  Other Utility Items -  refer to individual utility fees for additional items </t>
  </si>
  <si>
    <t>CLASS PERMITS</t>
  </si>
  <si>
    <t xml:space="preserve">Class 1 Permit:  Minor Encroachment Permit (Block Party - Police Department) </t>
  </si>
  <si>
    <t>:  Permit Application Process Fee</t>
  </si>
  <si>
    <t xml:space="preserve">Class 1 Permit:  Minor Encroachment Permit (Public Telephones, News Racks, Placing Temporary Traffic Barricades in Street, Placing Merchandise on Sidewalk for Temporary Sale, Curb Address Painting) </t>
  </si>
  <si>
    <t xml:space="preserve">Class 2 Permit:  Encroachment Permit for Sidewalk Furniture (Tables, Chairs, Umbrellas, Benches, Planters, Flower Pots) </t>
  </si>
  <si>
    <t>Class 3 Permit:  Encroachment Permit for Landscape Maintenance</t>
  </si>
  <si>
    <t>Class 4 Permit:  Encroachment Permit for Telecommunications</t>
  </si>
  <si>
    <t>:  License Application Fee</t>
  </si>
  <si>
    <t>:  Special License Review</t>
  </si>
  <si>
    <t>HOUR</t>
  </si>
  <si>
    <t>:  Permit Application Fee</t>
  </si>
  <si>
    <t>:  Additional Permit Services (Inspection, Construction Maintenance and Operations)</t>
  </si>
  <si>
    <t>:  Pavement Restoration Fee</t>
  </si>
  <si>
    <t>See Pavement Restoration Section Above</t>
  </si>
  <si>
    <t>Class 5 Permit:  Encroachment Permit for Fiber Optic Cable, Interstation Services and Other Communication Facilities Excluded from the Definition of "Telecommunications"</t>
  </si>
  <si>
    <t>Class 6 Permit:  Encroachment Permit for Cable Television</t>
  </si>
  <si>
    <t>Class 7 Permit:  Encroachment Permit for Utilities</t>
  </si>
  <si>
    <t>Class 8 Permit:  Encroachment Permit for Street Excavation</t>
  </si>
  <si>
    <t>Total Calculated Fees</t>
  </si>
  <si>
    <t>COST</t>
  </si>
  <si>
    <r>
      <t xml:space="preserve">CMP Design Reports 1st Review (Water, Sewer and Traffic)
       </t>
    </r>
    <r>
      <rPr>
        <b/>
        <i/>
        <sz val="10"/>
        <rFont val="Times New Roman"/>
        <family val="1"/>
      </rPr>
      <t xml:space="preserve"> (Use Civil Engineering Plan Review Fee Worksheet for  Subsequent Reviews)</t>
    </r>
  </si>
  <si>
    <t>Section 3:  Horizontal / Civil Inspection</t>
  </si>
  <si>
    <t>***PLEASE NOTE:  BASE FEES ARE TO COVER TOWN STAFF AND DO NOT COVER ADDITIONAL FEES CHARGED BY TOWN ATTORNEY.</t>
  </si>
  <si>
    <t>Revised Civil Engineering Plans, Per Sheet (Each Review: 1st, 2nd, 3rd and subsequent)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</si>
</sst>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</numFmts>
  <fonts count="25" x14ac:knownFonts="1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i/>
      <sz val="12"/>
      <color indexed="60"/>
      <name val="Times New Roman"/>
      <family val="1"/>
    </font>
    <font>
      <b/>
      <i/>
      <sz val="12"/>
      <color indexed="10"/>
      <name val="Times New Roman"/>
      <family val="1"/>
    </font>
    <font>
      <b/>
      <i/>
      <sz val="14"/>
      <color indexed="10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i/>
      <sz val="10"/>
      <name val="Times New Roman"/>
      <family val="1"/>
    </font>
    <font>
      <b/>
      <u/>
      <sz val="10"/>
      <name val="Times New Roman"/>
      <family val="1"/>
    </font>
    <font>
      <b/>
      <i/>
      <sz val="10"/>
      <color indexed="60"/>
      <name val="Times New Roman"/>
      <family val="1"/>
    </font>
    <font>
      <sz val="10"/>
      <color indexed="8"/>
      <name val="Calibri"/>
      <family val="2"/>
    </font>
    <font>
      <b/>
      <i/>
      <sz val="8"/>
      <color indexed="60"/>
      <name val="Times New Roman"/>
      <family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4" fillId="0" borderId="0"/>
  </cellStyleXfs>
  <cellXfs count="291">
    <xf numFmtId="0" fontId="0" fillId="0" borderId="0" xfId="0"/>
    <xf numFmtId="0" fontId="24" fillId="0" borderId="0" xfId="4" applyAlignment="1" applyProtection="1">
      <alignment wrapText="1"/>
    </xf>
    <xf numFmtId="0" fontId="8" fillId="0" borderId="0" xfId="0" applyFont="1" applyFill="1" applyProtection="1"/>
    <xf numFmtId="0" fontId="15" fillId="0" borderId="0" xfId="0" applyFont="1" applyFill="1" applyAlignment="1" applyProtection="1">
      <alignment horizontal="center"/>
    </xf>
    <xf numFmtId="0" fontId="15" fillId="0" borderId="0" xfId="0" applyFont="1" applyFill="1" applyBorder="1" applyAlignment="1" applyProtection="1">
      <alignment horizontal="center"/>
    </xf>
    <xf numFmtId="0" fontId="16" fillId="0" borderId="0" xfId="0" applyFont="1" applyFill="1" applyAlignment="1" applyProtection="1">
      <alignment horizontal="center"/>
    </xf>
    <xf numFmtId="0" fontId="11" fillId="0" borderId="5" xfId="0" applyFont="1" applyFill="1" applyBorder="1" applyAlignment="1" applyProtection="1">
      <alignment horizontal="right" wrapText="1"/>
    </xf>
    <xf numFmtId="0" fontId="11" fillId="0" borderId="6" xfId="0" applyFont="1" applyFill="1" applyBorder="1" applyAlignment="1" applyProtection="1">
      <alignment horizontal="right" wrapText="1"/>
    </xf>
    <xf numFmtId="0" fontId="11" fillId="0" borderId="7" xfId="0" applyFont="1" applyFill="1" applyBorder="1" applyAlignment="1" applyProtection="1">
      <alignment horizontal="right" wrapText="1"/>
    </xf>
    <xf numFmtId="49" fontId="18" fillId="0" borderId="8" xfId="0" applyNumberFormat="1" applyFont="1" applyFill="1" applyBorder="1" applyAlignment="1" applyProtection="1"/>
    <xf numFmtId="49" fontId="11" fillId="0" borderId="8" xfId="0" applyNumberFormat="1" applyFont="1" applyFill="1" applyBorder="1" applyAlignment="1" applyProtection="1">
      <alignment horizontal="right"/>
    </xf>
    <xf numFmtId="0" fontId="8" fillId="0" borderId="0" xfId="0" applyFont="1" applyFill="1" applyAlignment="1" applyProtection="1">
      <alignment horizontal="center" wrapText="1"/>
    </xf>
    <xf numFmtId="0" fontId="6" fillId="0" borderId="4" xfId="0" applyFont="1" applyFill="1" applyBorder="1" applyAlignment="1" applyProtection="1">
      <alignment horizontal="center" wrapText="1"/>
    </xf>
    <xf numFmtId="0" fontId="8" fillId="0" borderId="0" xfId="0" applyFont="1" applyFill="1" applyAlignment="1" applyProtection="1">
      <alignment vertical="top"/>
    </xf>
    <xf numFmtId="4" fontId="8" fillId="0" borderId="4" xfId="1" applyNumberFormat="1" applyFont="1" applyFill="1" applyBorder="1" applyAlignment="1" applyProtection="1">
      <alignment horizontal="right" vertical="top" wrapText="1"/>
    </xf>
    <xf numFmtId="4" fontId="8" fillId="0" borderId="4" xfId="0" applyNumberFormat="1" applyFont="1" applyFill="1" applyBorder="1" applyAlignment="1" applyProtection="1">
      <alignment horizontal="right" vertical="top" wrapText="1"/>
    </xf>
    <xf numFmtId="0" fontId="6" fillId="0" borderId="0" xfId="0" applyFont="1" applyFill="1" applyBorder="1" applyAlignment="1" applyProtection="1">
      <alignment vertical="top"/>
    </xf>
    <xf numFmtId="0" fontId="8" fillId="0" borderId="0" xfId="0" applyFont="1" applyFill="1" applyBorder="1" applyAlignment="1" applyProtection="1">
      <alignment vertical="top"/>
    </xf>
    <xf numFmtId="4" fontId="8" fillId="0" borderId="4" xfId="0" applyNumberFormat="1" applyFont="1" applyFill="1" applyBorder="1" applyAlignment="1" applyProtection="1">
      <alignment horizontal="right" vertical="top"/>
    </xf>
    <xf numFmtId="0" fontId="6" fillId="0" borderId="0" xfId="0" applyFont="1" applyFill="1" applyBorder="1" applyAlignment="1" applyProtection="1">
      <alignment vertical="top"/>
      <protection locked="0"/>
    </xf>
    <xf numFmtId="0" fontId="8" fillId="0" borderId="5" xfId="0" applyFont="1" applyFill="1" applyBorder="1" applyAlignment="1" applyProtection="1">
      <alignment horizontal="center" vertical="top" wrapText="1"/>
    </xf>
    <xf numFmtId="0" fontId="8" fillId="0" borderId="9" xfId="0" applyFont="1" applyFill="1" applyBorder="1" applyAlignment="1" applyProtection="1">
      <alignment horizontal="center" vertical="top" wrapText="1"/>
    </xf>
    <xf numFmtId="0" fontId="6" fillId="0" borderId="9" xfId="0" applyFont="1" applyFill="1" applyBorder="1" applyAlignment="1" applyProtection="1">
      <alignment vertical="top"/>
    </xf>
    <xf numFmtId="0" fontId="6" fillId="0" borderId="9" xfId="0" applyFont="1" applyFill="1" applyBorder="1" applyAlignment="1" applyProtection="1">
      <alignment horizontal="right" vertical="top"/>
    </xf>
    <xf numFmtId="0" fontId="8" fillId="0" borderId="6" xfId="0" applyFont="1" applyFill="1" applyBorder="1" applyAlignment="1" applyProtection="1">
      <alignment horizontal="center" vertical="top" wrapText="1"/>
    </xf>
    <xf numFmtId="0" fontId="8" fillId="0" borderId="0" xfId="0" applyFont="1" applyFill="1" applyBorder="1" applyAlignment="1" applyProtection="1">
      <alignment horizontal="center" vertical="top" wrapText="1"/>
    </xf>
    <xf numFmtId="0" fontId="6" fillId="0" borderId="0" xfId="0" applyFont="1" applyFill="1" applyBorder="1" applyAlignment="1" applyProtection="1">
      <alignment horizontal="right" vertical="top" wrapText="1"/>
    </xf>
    <xf numFmtId="7" fontId="8" fillId="0" borderId="11" xfId="0" applyNumberFormat="1" applyFont="1" applyFill="1" applyBorder="1" applyAlignment="1" applyProtection="1">
      <alignment horizontal="right" vertical="top" wrapText="1"/>
    </xf>
    <xf numFmtId="0" fontId="20" fillId="0" borderId="6" xfId="0" applyFont="1" applyFill="1" applyBorder="1" applyAlignment="1" applyProtection="1">
      <alignment horizontal="right" vertical="top"/>
    </xf>
    <xf numFmtId="0" fontId="6" fillId="0" borderId="0" xfId="0" applyFont="1" applyFill="1" applyBorder="1" applyAlignment="1" applyProtection="1">
      <alignment horizontal="center" vertical="top" wrapText="1"/>
    </xf>
    <xf numFmtId="164" fontId="8" fillId="0" borderId="11" xfId="0" applyNumberFormat="1" applyFont="1" applyFill="1" applyBorder="1" applyAlignment="1" applyProtection="1">
      <alignment horizontal="center" vertical="top" wrapText="1"/>
    </xf>
    <xf numFmtId="0" fontId="6" fillId="0" borderId="0" xfId="0" applyFont="1" applyFill="1" applyBorder="1" applyAlignment="1" applyProtection="1">
      <alignment horizontal="right" vertical="top"/>
    </xf>
    <xf numFmtId="0" fontId="8" fillId="0" borderId="5" xfId="0" applyFont="1" applyFill="1" applyBorder="1" applyProtection="1"/>
    <xf numFmtId="0" fontId="8" fillId="0" borderId="9" xfId="0" applyFont="1" applyFill="1" applyBorder="1" applyProtection="1"/>
    <xf numFmtId="0" fontId="8" fillId="0" borderId="10" xfId="0" applyFont="1" applyFill="1" applyBorder="1" applyProtection="1"/>
    <xf numFmtId="0" fontId="21" fillId="0" borderId="6" xfId="0" applyFont="1" applyFill="1" applyBorder="1" applyProtection="1"/>
    <xf numFmtId="0" fontId="21" fillId="0" borderId="0" xfId="0" applyFont="1" applyFill="1" applyBorder="1" applyProtection="1"/>
    <xf numFmtId="0" fontId="21" fillId="0" borderId="11" xfId="0" applyFont="1" applyFill="1" applyBorder="1" applyProtection="1"/>
    <xf numFmtId="0" fontId="8" fillId="0" borderId="6" xfId="0" applyFont="1" applyFill="1" applyBorder="1" applyProtection="1"/>
    <xf numFmtId="0" fontId="8" fillId="0" borderId="0" xfId="0" applyFont="1" applyFill="1" applyBorder="1" applyProtection="1"/>
    <xf numFmtId="0" fontId="8" fillId="0" borderId="11" xfId="0" applyFont="1" applyFill="1" applyBorder="1" applyProtection="1"/>
    <xf numFmtId="0" fontId="6" fillId="0" borderId="7" xfId="0" applyFont="1" applyFill="1" applyBorder="1" applyProtection="1"/>
    <xf numFmtId="0" fontId="6" fillId="0" borderId="8" xfId="0" applyFont="1" applyFill="1" applyBorder="1" applyProtection="1"/>
    <xf numFmtId="0" fontId="8" fillId="0" borderId="8" xfId="0" applyFont="1" applyFill="1" applyBorder="1" applyProtection="1"/>
    <xf numFmtId="0" fontId="8" fillId="0" borderId="12" xfId="0" applyFont="1" applyFill="1" applyBorder="1" applyProtection="1"/>
    <xf numFmtId="0" fontId="8" fillId="0" borderId="0" xfId="0" applyFont="1" applyFill="1"/>
    <xf numFmtId="0" fontId="15" fillId="0" borderId="0" xfId="0" applyFont="1" applyFill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11" fillId="0" borderId="5" xfId="0" applyFont="1" applyFill="1" applyBorder="1" applyAlignment="1">
      <alignment horizontal="right" wrapText="1"/>
    </xf>
    <xf numFmtId="0" fontId="11" fillId="0" borderId="6" xfId="0" applyFont="1" applyFill="1" applyBorder="1" applyAlignment="1">
      <alignment horizontal="right" wrapText="1"/>
    </xf>
    <xf numFmtId="0" fontId="11" fillId="0" borderId="7" xfId="0" applyFont="1" applyFill="1" applyBorder="1" applyAlignment="1">
      <alignment horizontal="right" wrapText="1"/>
    </xf>
    <xf numFmtId="49" fontId="18" fillId="0" borderId="8" xfId="0" applyNumberFormat="1" applyFont="1" applyFill="1" applyBorder="1" applyAlignment="1"/>
    <xf numFmtId="49" fontId="11" fillId="0" borderId="8" xfId="0" applyNumberFormat="1" applyFont="1" applyFill="1" applyBorder="1" applyAlignment="1">
      <alignment horizontal="right"/>
    </xf>
    <xf numFmtId="0" fontId="8" fillId="0" borderId="0" xfId="0" applyFont="1" applyFill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8" fillId="0" borderId="0" xfId="0" applyFont="1" applyFill="1" applyAlignment="1">
      <alignment vertical="top"/>
    </xf>
    <xf numFmtId="0" fontId="8" fillId="0" borderId="4" xfId="0" applyFont="1" applyFill="1" applyBorder="1" applyAlignment="1">
      <alignment horizontal="left" vertical="top" wrapText="1"/>
    </xf>
    <xf numFmtId="4" fontId="8" fillId="0" borderId="4" xfId="1" applyNumberFormat="1" applyFont="1" applyFill="1" applyBorder="1" applyAlignment="1">
      <alignment horizontal="right" vertical="top" wrapText="1"/>
    </xf>
    <xf numFmtId="4" fontId="8" fillId="0" borderId="4" xfId="0" applyNumberFormat="1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vertical="top"/>
    </xf>
    <xf numFmtId="0" fontId="8" fillId="0" borderId="4" xfId="0" applyFont="1" applyFill="1" applyBorder="1" applyAlignment="1">
      <alignment horizontal="left" vertical="top" wrapText="1" indent="1"/>
    </xf>
    <xf numFmtId="4" fontId="8" fillId="0" borderId="4" xfId="0" applyNumberFormat="1" applyFont="1" applyFill="1" applyBorder="1" applyAlignment="1">
      <alignment horizontal="right" vertical="top"/>
    </xf>
    <xf numFmtId="0" fontId="8" fillId="0" borderId="0" xfId="0" applyFont="1" applyFill="1" applyBorder="1" applyAlignment="1">
      <alignment vertical="top"/>
    </xf>
    <xf numFmtId="0" fontId="8" fillId="0" borderId="13" xfId="0" applyFont="1" applyFill="1" applyBorder="1" applyAlignment="1">
      <alignment vertical="top" wrapText="1"/>
    </xf>
    <xf numFmtId="4" fontId="8" fillId="0" borderId="4" xfId="1" applyNumberFormat="1" applyFont="1" applyFill="1" applyBorder="1" applyAlignment="1">
      <alignment horizontal="right" vertical="top"/>
    </xf>
    <xf numFmtId="0" fontId="8" fillId="0" borderId="5" xfId="0" applyFont="1" applyFill="1" applyBorder="1" applyAlignment="1">
      <alignment horizontal="center" vertical="top" wrapText="1"/>
    </xf>
    <xf numFmtId="0" fontId="8" fillId="0" borderId="9" xfId="0" applyFont="1" applyFill="1" applyBorder="1" applyAlignment="1">
      <alignment horizontal="center" vertical="top" wrapText="1"/>
    </xf>
    <xf numFmtId="0" fontId="6" fillId="0" borderId="9" xfId="0" applyFont="1" applyFill="1" applyBorder="1" applyAlignment="1">
      <alignment vertical="top"/>
    </xf>
    <xf numFmtId="0" fontId="6" fillId="0" borderId="9" xfId="0" applyFont="1" applyFill="1" applyBorder="1" applyAlignment="1">
      <alignment horizontal="right" vertical="top"/>
    </xf>
    <xf numFmtId="0" fontId="8" fillId="0" borderId="6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right" vertical="top" wrapText="1"/>
    </xf>
    <xf numFmtId="7" fontId="8" fillId="0" borderId="11" xfId="0" applyNumberFormat="1" applyFont="1" applyFill="1" applyBorder="1" applyAlignment="1">
      <alignment horizontal="right" vertical="top" wrapText="1"/>
    </xf>
    <xf numFmtId="0" fontId="20" fillId="0" borderId="6" xfId="0" applyFont="1" applyFill="1" applyBorder="1" applyAlignment="1">
      <alignment horizontal="right" vertical="top"/>
    </xf>
    <xf numFmtId="0" fontId="6" fillId="0" borderId="0" xfId="0" applyFont="1" applyFill="1" applyBorder="1" applyAlignment="1">
      <alignment horizontal="center" vertical="top" wrapText="1"/>
    </xf>
    <xf numFmtId="164" fontId="8" fillId="0" borderId="11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right" vertical="top"/>
    </xf>
    <xf numFmtId="0" fontId="8" fillId="0" borderId="5" xfId="0" applyFont="1" applyFill="1" applyBorder="1"/>
    <xf numFmtId="0" fontId="8" fillId="0" borderId="9" xfId="0" applyFont="1" applyFill="1" applyBorder="1"/>
    <xf numFmtId="0" fontId="8" fillId="0" borderId="10" xfId="0" applyFont="1" applyFill="1" applyBorder="1"/>
    <xf numFmtId="0" fontId="21" fillId="0" borderId="6" xfId="0" applyFont="1" applyFill="1" applyBorder="1"/>
    <xf numFmtId="0" fontId="21" fillId="0" borderId="0" xfId="0" applyFont="1" applyFill="1" applyBorder="1"/>
    <xf numFmtId="0" fontId="21" fillId="0" borderId="11" xfId="0" applyFont="1" applyFill="1" applyBorder="1"/>
    <xf numFmtId="0" fontId="8" fillId="0" borderId="6" xfId="0" applyFont="1" applyFill="1" applyBorder="1"/>
    <xf numFmtId="0" fontId="8" fillId="0" borderId="0" xfId="0" applyFont="1" applyFill="1" applyBorder="1"/>
    <xf numFmtId="0" fontId="8" fillId="0" borderId="11" xfId="0" applyFont="1" applyFill="1" applyBorder="1"/>
    <xf numFmtId="0" fontId="6" fillId="0" borderId="7" xfId="0" applyFont="1" applyFill="1" applyBorder="1"/>
    <xf numFmtId="0" fontId="6" fillId="0" borderId="8" xfId="0" applyFont="1" applyFill="1" applyBorder="1"/>
    <xf numFmtId="0" fontId="8" fillId="0" borderId="8" xfId="0" applyFont="1" applyFill="1" applyBorder="1"/>
    <xf numFmtId="0" fontId="8" fillId="0" borderId="12" xfId="0" applyFont="1" applyFill="1" applyBorder="1"/>
    <xf numFmtId="0" fontId="8" fillId="0" borderId="13" xfId="0" applyFont="1" applyFill="1" applyBorder="1" applyAlignment="1" applyProtection="1">
      <alignment vertical="top"/>
    </xf>
    <xf numFmtId="0" fontId="8" fillId="0" borderId="14" xfId="0" applyFont="1" applyFill="1" applyBorder="1" applyAlignment="1" applyProtection="1">
      <alignment vertical="top" wrapText="1"/>
    </xf>
    <xf numFmtId="0" fontId="8" fillId="0" borderId="1" xfId="0" applyFont="1" applyFill="1" applyBorder="1" applyAlignment="1" applyProtection="1">
      <alignment vertical="top" wrapText="1"/>
    </xf>
    <xf numFmtId="0" fontId="8" fillId="0" borderId="13" xfId="0" applyFont="1" applyFill="1" applyBorder="1" applyAlignment="1" applyProtection="1">
      <alignment vertical="top" wrapText="1"/>
    </xf>
    <xf numFmtId="0" fontId="8" fillId="0" borderId="13" xfId="0" applyFont="1" applyFill="1" applyBorder="1" applyAlignment="1" applyProtection="1">
      <alignment horizontal="left" vertical="top" indent="2"/>
    </xf>
    <xf numFmtId="0" fontId="8" fillId="0" borderId="13" xfId="0" applyFont="1" applyFill="1" applyBorder="1" applyAlignment="1" applyProtection="1">
      <alignment horizontal="left" vertical="top"/>
    </xf>
    <xf numFmtId="0" fontId="8" fillId="0" borderId="14" xfId="0" applyFont="1" applyFill="1" applyBorder="1" applyAlignment="1" applyProtection="1">
      <alignment horizontal="left" vertical="top" wrapText="1"/>
    </xf>
    <xf numFmtId="0" fontId="8" fillId="0" borderId="14" xfId="0" applyFont="1" applyFill="1" applyBorder="1" applyAlignment="1" applyProtection="1">
      <alignment vertical="top"/>
    </xf>
    <xf numFmtId="0" fontId="8" fillId="0" borderId="1" xfId="0" applyFont="1" applyFill="1" applyBorder="1" applyAlignment="1" applyProtection="1">
      <alignment vertical="top"/>
    </xf>
    <xf numFmtId="0" fontId="8" fillId="0" borderId="13" xfId="0" applyFont="1" applyFill="1" applyBorder="1" applyAlignment="1" applyProtection="1">
      <alignment horizontal="left" vertical="top" indent="4"/>
    </xf>
    <xf numFmtId="0" fontId="8" fillId="0" borderId="13" xfId="0" applyFont="1" applyFill="1" applyBorder="1" applyAlignment="1" applyProtection="1">
      <alignment horizontal="left" vertical="top" wrapText="1"/>
    </xf>
    <xf numFmtId="0" fontId="8" fillId="0" borderId="13" xfId="0" applyFont="1" applyFill="1" applyBorder="1" applyAlignment="1" applyProtection="1">
      <alignment horizontal="left" vertical="top" wrapText="1" indent="2"/>
    </xf>
    <xf numFmtId="0" fontId="8" fillId="0" borderId="14" xfId="0" applyFont="1" applyFill="1" applyBorder="1" applyAlignment="1" applyProtection="1">
      <alignment horizontal="left" vertical="top" wrapText="1" indent="2"/>
    </xf>
    <xf numFmtId="0" fontId="8" fillId="0" borderId="16" xfId="0" applyFont="1" applyFill="1" applyBorder="1" applyProtection="1"/>
    <xf numFmtId="0" fontId="4" fillId="0" borderId="0" xfId="4" applyFont="1" applyAlignment="1" applyProtection="1">
      <alignment wrapText="1"/>
    </xf>
    <xf numFmtId="0" fontId="5" fillId="0" borderId="0" xfId="4" applyFont="1" applyAlignment="1" applyProtection="1">
      <alignment wrapText="1"/>
    </xf>
    <xf numFmtId="0" fontId="5" fillId="0" borderId="0" xfId="4" applyFont="1" applyBorder="1" applyAlignment="1" applyProtection="1">
      <alignment wrapText="1"/>
    </xf>
    <xf numFmtId="44" fontId="5" fillId="0" borderId="0" xfId="3" applyNumberFormat="1" applyFont="1" applyBorder="1" applyAlignment="1" applyProtection="1">
      <alignment wrapText="1"/>
    </xf>
    <xf numFmtId="0" fontId="6" fillId="0" borderId="4" xfId="4" applyFont="1" applyFill="1" applyBorder="1" applyAlignment="1" applyProtection="1">
      <alignment horizontal="center" wrapText="1"/>
    </xf>
    <xf numFmtId="0" fontId="8" fillId="0" borderId="4" xfId="4" applyFont="1" applyFill="1" applyBorder="1" applyAlignment="1" applyProtection="1">
      <alignment vertical="top" wrapText="1"/>
    </xf>
    <xf numFmtId="0" fontId="8" fillId="0" borderId="4" xfId="4" applyFont="1" applyFill="1" applyBorder="1" applyAlignment="1" applyProtection="1">
      <alignment horizontal="center" vertical="top" wrapText="1"/>
    </xf>
    <xf numFmtId="4" fontId="8" fillId="0" borderId="17" xfId="4" applyNumberFormat="1" applyFont="1" applyFill="1" applyBorder="1" applyAlignment="1" applyProtection="1">
      <alignment horizontal="right" vertical="top" wrapText="1"/>
    </xf>
    <xf numFmtId="0" fontId="8" fillId="0" borderId="4" xfId="4" applyFont="1" applyFill="1" applyBorder="1" applyAlignment="1" applyProtection="1">
      <alignment horizontal="left" vertical="top" wrapText="1" indent="2"/>
    </xf>
    <xf numFmtId="0" fontId="8" fillId="0" borderId="4" xfId="4" applyFont="1" applyFill="1" applyBorder="1" applyAlignment="1" applyProtection="1">
      <alignment horizontal="left" vertical="top" wrapText="1"/>
    </xf>
    <xf numFmtId="4" fontId="8" fillId="0" borderId="17" xfId="4" applyNumberFormat="1" applyFont="1" applyFill="1" applyBorder="1" applyAlignment="1" applyProtection="1">
      <alignment vertical="top" wrapText="1"/>
    </xf>
    <xf numFmtId="0" fontId="8" fillId="0" borderId="4" xfId="4" applyFont="1" applyFill="1" applyBorder="1" applyAlignment="1" applyProtection="1">
      <alignment horizontal="left" vertical="top" wrapText="1" indent="5"/>
    </xf>
    <xf numFmtId="0" fontId="6" fillId="0" borderId="13" xfId="4" applyFont="1" applyFill="1" applyBorder="1" applyAlignment="1" applyProtection="1">
      <alignment horizontal="center" vertical="top" wrapText="1"/>
    </xf>
    <xf numFmtId="0" fontId="6" fillId="0" borderId="14" xfId="4" applyFont="1" applyFill="1" applyBorder="1" applyAlignment="1" applyProtection="1">
      <alignment horizontal="center" vertical="top" wrapText="1"/>
    </xf>
    <xf numFmtId="0" fontId="6" fillId="0" borderId="18" xfId="4" applyFont="1" applyFill="1" applyBorder="1" applyAlignment="1" applyProtection="1">
      <alignment horizontal="right" vertical="top"/>
    </xf>
    <xf numFmtId="4" fontId="10" fillId="0" borderId="14" xfId="4" applyNumberFormat="1" applyFont="1" applyFill="1" applyBorder="1" applyAlignment="1" applyProtection="1">
      <alignment horizontal="center" vertical="top" wrapText="1"/>
    </xf>
    <xf numFmtId="4" fontId="8" fillId="0" borderId="13" xfId="4" applyNumberFormat="1" applyFont="1" applyFill="1" applyBorder="1" applyAlignment="1" applyProtection="1">
      <alignment horizontal="right" vertical="top" wrapText="1"/>
    </xf>
    <xf numFmtId="0" fontId="8" fillId="0" borderId="19" xfId="4" applyFont="1" applyFill="1" applyBorder="1" applyAlignment="1" applyProtection="1">
      <alignment horizontal="center" vertical="top" wrapText="1"/>
    </xf>
    <xf numFmtId="4" fontId="8" fillId="0" borderId="20" xfId="4" applyNumberFormat="1" applyFont="1" applyFill="1" applyBorder="1" applyAlignment="1" applyProtection="1">
      <alignment horizontal="right" vertical="top" wrapText="1"/>
    </xf>
    <xf numFmtId="0" fontId="8" fillId="0" borderId="13" xfId="4" applyFont="1" applyFill="1" applyBorder="1" applyAlignment="1" applyProtection="1">
      <alignment horizontal="left" vertical="top" wrapText="1" indent="2"/>
    </xf>
    <xf numFmtId="44" fontId="0" fillId="0" borderId="0" xfId="3" applyNumberFormat="1" applyFont="1" applyAlignment="1" applyProtection="1">
      <alignment wrapText="1"/>
    </xf>
    <xf numFmtId="0" fontId="9" fillId="0" borderId="0" xfId="4" applyFont="1" applyAlignment="1" applyProtection="1">
      <alignment wrapText="1"/>
    </xf>
    <xf numFmtId="0" fontId="22" fillId="0" borderId="0" xfId="4" applyFont="1" applyAlignment="1" applyProtection="1">
      <alignment wrapText="1"/>
    </xf>
    <xf numFmtId="0" fontId="22" fillId="0" borderId="0" xfId="4" applyFont="1" applyAlignment="1" applyProtection="1">
      <alignment vertical="center" wrapText="1"/>
    </xf>
    <xf numFmtId="0" fontId="22" fillId="0" borderId="0" xfId="4" applyFont="1" applyFill="1" applyAlignment="1" applyProtection="1">
      <alignment wrapText="1"/>
    </xf>
    <xf numFmtId="44" fontId="2" fillId="0" borderId="0" xfId="3" applyNumberFormat="1" applyFont="1" applyAlignment="1" applyProtection="1">
      <alignment wrapText="1"/>
    </xf>
    <xf numFmtId="0" fontId="7" fillId="0" borderId="0" xfId="4" applyFont="1" applyAlignment="1" applyProtection="1">
      <alignment wrapText="1"/>
    </xf>
    <xf numFmtId="0" fontId="7" fillId="0" borderId="0" xfId="4" applyFont="1" applyBorder="1" applyAlignment="1" applyProtection="1"/>
    <xf numFmtId="44" fontId="7" fillId="0" borderId="0" xfId="3" applyNumberFormat="1" applyFont="1" applyBorder="1" applyAlignment="1" applyProtection="1">
      <alignment wrapText="1"/>
    </xf>
    <xf numFmtId="0" fontId="9" fillId="0" borderId="0" xfId="4" applyFont="1" applyBorder="1" applyAlignment="1" applyProtection="1">
      <alignment wrapText="1"/>
    </xf>
    <xf numFmtId="4" fontId="6" fillId="0" borderId="13" xfId="4" applyNumberFormat="1" applyFont="1" applyFill="1" applyBorder="1" applyAlignment="1" applyProtection="1">
      <alignment horizontal="center" wrapText="1"/>
    </xf>
    <xf numFmtId="4" fontId="7" fillId="0" borderId="21" xfId="4" applyNumberFormat="1" applyFont="1" applyFill="1" applyBorder="1" applyAlignment="1" applyProtection="1">
      <alignment horizontal="center" wrapText="1"/>
    </xf>
    <xf numFmtId="44" fontId="7" fillId="0" borderId="22" xfId="3" applyNumberFormat="1" applyFont="1" applyFill="1" applyBorder="1" applyAlignment="1" applyProtection="1">
      <alignment horizontal="center" wrapText="1"/>
    </xf>
    <xf numFmtId="0" fontId="21" fillId="0" borderId="0" xfId="0" quotePrefix="1" applyFont="1" applyFill="1" applyBorder="1" applyAlignment="1">
      <alignment horizontal="left"/>
    </xf>
    <xf numFmtId="0" fontId="21" fillId="0" borderId="0" xfId="0" quotePrefix="1" applyFont="1" applyFill="1" applyBorder="1" applyAlignment="1" applyProtection="1">
      <alignment horizontal="left"/>
    </xf>
    <xf numFmtId="0" fontId="23" fillId="0" borderId="0" xfId="0" quotePrefix="1" applyFont="1" applyFill="1" applyBorder="1" applyAlignment="1" applyProtection="1">
      <alignment horizontal="left"/>
    </xf>
    <xf numFmtId="0" fontId="21" fillId="0" borderId="0" xfId="0" applyFont="1" applyFill="1" applyBorder="1" applyAlignment="1" applyProtection="1">
      <alignment vertical="top" wrapText="1"/>
    </xf>
    <xf numFmtId="0" fontId="21" fillId="0" borderId="6" xfId="0" applyFont="1" applyFill="1" applyBorder="1" applyAlignment="1"/>
    <xf numFmtId="0" fontId="8" fillId="0" borderId="6" xfId="0" applyFont="1" applyFill="1" applyBorder="1" applyAlignment="1"/>
    <xf numFmtId="0" fontId="6" fillId="0" borderId="7" xfId="0" applyFont="1" applyFill="1" applyBorder="1" applyAlignment="1"/>
    <xf numFmtId="0" fontId="8" fillId="0" borderId="13" xfId="0" applyFont="1" applyFill="1" applyBorder="1" applyAlignment="1" applyProtection="1">
      <alignment horizontal="left" vertical="top" wrapText="1"/>
    </xf>
    <xf numFmtId="0" fontId="8" fillId="0" borderId="14" xfId="0" applyFont="1" applyFill="1" applyBorder="1" applyAlignment="1" applyProtection="1">
      <alignment horizontal="left" vertical="top" wrapText="1"/>
    </xf>
    <xf numFmtId="0" fontId="8" fillId="0" borderId="1" xfId="0" applyFont="1" applyFill="1" applyBorder="1" applyAlignment="1" applyProtection="1">
      <alignment horizontal="left" vertical="top" wrapText="1"/>
    </xf>
    <xf numFmtId="0" fontId="8" fillId="0" borderId="13" xfId="0" applyFont="1" applyFill="1" applyBorder="1" applyAlignment="1" applyProtection="1">
      <alignment horizontal="left" vertical="top" wrapText="1" indent="2"/>
    </xf>
    <xf numFmtId="0" fontId="8" fillId="0" borderId="14" xfId="0" applyFont="1" applyFill="1" applyBorder="1" applyAlignment="1" applyProtection="1">
      <alignment horizontal="left" vertical="top" wrapText="1" indent="2"/>
    </xf>
    <xf numFmtId="0" fontId="8" fillId="0" borderId="1" xfId="0" applyFont="1" applyFill="1" applyBorder="1" applyAlignment="1" applyProtection="1">
      <alignment horizontal="left" vertical="top" wrapText="1" indent="2"/>
    </xf>
    <xf numFmtId="0" fontId="8" fillId="0" borderId="23" xfId="0" applyFont="1" applyFill="1" applyBorder="1" applyAlignment="1" applyProtection="1">
      <alignment horizontal="left" vertical="top" wrapText="1"/>
    </xf>
    <xf numFmtId="0" fontId="8" fillId="0" borderId="16" xfId="0" applyFont="1" applyFill="1" applyBorder="1" applyAlignment="1" applyProtection="1">
      <alignment horizontal="left" vertical="top" wrapText="1"/>
    </xf>
    <xf numFmtId="0" fontId="8" fillId="0" borderId="24" xfId="0" applyFont="1" applyFill="1" applyBorder="1" applyAlignment="1" applyProtection="1">
      <alignment horizontal="left" vertical="top" wrapText="1"/>
    </xf>
    <xf numFmtId="0" fontId="8" fillId="0" borderId="13" xfId="0" applyFont="1" applyFill="1" applyBorder="1" applyAlignment="1" applyProtection="1">
      <alignment horizontal="left" vertical="top" wrapText="1" indent="4"/>
    </xf>
    <xf numFmtId="0" fontId="8" fillId="0" borderId="14" xfId="0" applyFont="1" applyFill="1" applyBorder="1" applyAlignment="1" applyProtection="1">
      <alignment horizontal="left" vertical="top" wrapText="1" indent="4"/>
    </xf>
    <xf numFmtId="0" fontId="8" fillId="0" borderId="1" xfId="0" applyFont="1" applyFill="1" applyBorder="1" applyAlignment="1" applyProtection="1">
      <alignment horizontal="left" vertical="top" wrapText="1" indent="4"/>
    </xf>
    <xf numFmtId="0" fontId="6" fillId="0" borderId="13" xfId="0" applyFont="1" applyFill="1" applyBorder="1" applyAlignment="1" applyProtection="1">
      <alignment horizontal="left" wrapText="1"/>
    </xf>
    <xf numFmtId="0" fontId="6" fillId="0" borderId="14" xfId="0" applyFont="1" applyFill="1" applyBorder="1" applyAlignment="1" applyProtection="1">
      <alignment horizontal="left" wrapText="1"/>
    </xf>
    <xf numFmtId="0" fontId="6" fillId="0" borderId="1" xfId="0" applyFont="1" applyFill="1" applyBorder="1" applyAlignment="1" applyProtection="1">
      <alignment horizontal="left" wrapText="1"/>
    </xf>
    <xf numFmtId="0" fontId="21" fillId="0" borderId="6" xfId="0" applyFont="1" applyFill="1" applyBorder="1" applyAlignment="1" applyProtection="1">
      <alignment horizontal="left" vertical="top" wrapText="1"/>
    </xf>
    <xf numFmtId="0" fontId="21" fillId="0" borderId="0" xfId="0" applyFont="1" applyFill="1" applyBorder="1" applyAlignment="1" applyProtection="1">
      <alignment horizontal="left" vertical="top" wrapText="1"/>
    </xf>
    <xf numFmtId="0" fontId="21" fillId="0" borderId="11" xfId="0" applyFont="1" applyFill="1" applyBorder="1" applyAlignment="1" applyProtection="1">
      <alignment horizontal="left" vertical="top" wrapText="1"/>
    </xf>
    <xf numFmtId="0" fontId="12" fillId="0" borderId="0" xfId="0" applyFont="1" applyFill="1" applyAlignment="1" applyProtection="1">
      <alignment horizontal="center" wrapText="1"/>
    </xf>
    <xf numFmtId="0" fontId="13" fillId="0" borderId="0" xfId="0" applyFont="1" applyFill="1" applyAlignment="1" applyProtection="1">
      <alignment horizontal="center" wrapText="1"/>
    </xf>
    <xf numFmtId="0" fontId="14" fillId="0" borderId="0" xfId="0" applyFont="1" applyFill="1" applyAlignment="1" applyProtection="1">
      <alignment horizontal="center"/>
    </xf>
    <xf numFmtId="0" fontId="12" fillId="0" borderId="0" xfId="0" applyFont="1" applyFill="1" applyAlignment="1">
      <alignment horizontal="center" wrapText="1"/>
    </xf>
    <xf numFmtId="0" fontId="13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/>
    </xf>
    <xf numFmtId="4" fontId="8" fillId="0" borderId="13" xfId="4" applyNumberFormat="1" applyFont="1" applyFill="1" applyBorder="1" applyAlignment="1" applyProtection="1">
      <alignment horizontal="center" vertical="top"/>
    </xf>
    <xf numFmtId="4" fontId="8" fillId="0" borderId="14" xfId="4" applyNumberFormat="1" applyFont="1" applyFill="1" applyBorder="1" applyAlignment="1" applyProtection="1">
      <alignment horizontal="center" vertical="top"/>
    </xf>
    <xf numFmtId="4" fontId="8" fillId="0" borderId="31" xfId="4" applyNumberFormat="1" applyFont="1" applyFill="1" applyBorder="1" applyAlignment="1" applyProtection="1">
      <alignment horizontal="center" vertical="top"/>
    </xf>
    <xf numFmtId="4" fontId="8" fillId="0" borderId="30" xfId="4" applyNumberFormat="1" applyFont="1" applyFill="1" applyBorder="1" applyAlignment="1" applyProtection="1">
      <alignment horizontal="center" vertical="top"/>
    </xf>
    <xf numFmtId="0" fontId="6" fillId="0" borderId="13" xfId="4" applyFont="1" applyFill="1" applyBorder="1" applyAlignment="1" applyProtection="1">
      <alignment horizontal="left" vertical="top" wrapText="1"/>
    </xf>
    <xf numFmtId="0" fontId="6" fillId="0" borderId="14" xfId="4" applyFont="1" applyFill="1" applyBorder="1" applyAlignment="1" applyProtection="1">
      <alignment horizontal="left" vertical="top" wrapText="1"/>
    </xf>
    <xf numFmtId="0" fontId="6" fillId="0" borderId="18" xfId="4" applyFont="1" applyFill="1" applyBorder="1" applyAlignment="1" applyProtection="1">
      <alignment horizontal="left" vertical="top" wrapText="1"/>
    </xf>
    <xf numFmtId="4" fontId="8" fillId="0" borderId="18" xfId="4" applyNumberFormat="1" applyFont="1" applyFill="1" applyBorder="1" applyAlignment="1" applyProtection="1">
      <alignment horizontal="center" vertical="top"/>
    </xf>
    <xf numFmtId="0" fontId="7" fillId="0" borderId="36" xfId="4" applyFont="1" applyBorder="1" applyAlignment="1" applyProtection="1">
      <alignment horizontal="center" wrapText="1"/>
    </xf>
    <xf numFmtId="0" fontId="7" fillId="0" borderId="37" xfId="4" applyFont="1" applyBorder="1" applyAlignment="1" applyProtection="1">
      <alignment horizontal="center" wrapText="1"/>
    </xf>
    <xf numFmtId="0" fontId="6" fillId="2" borderId="31" xfId="4" applyFont="1" applyFill="1" applyBorder="1" applyAlignment="1" applyProtection="1">
      <alignment horizontal="center" vertical="top" wrapText="1"/>
    </xf>
    <xf numFmtId="0" fontId="6" fillId="2" borderId="30" xfId="4" applyFont="1" applyFill="1" applyBorder="1" applyAlignment="1" applyProtection="1">
      <alignment horizontal="center" vertical="top" wrapText="1"/>
    </xf>
    <xf numFmtId="0" fontId="6" fillId="2" borderId="0" xfId="4" applyFont="1" applyFill="1" applyBorder="1" applyAlignment="1" applyProtection="1">
      <alignment horizontal="center" vertical="top" wrapText="1"/>
    </xf>
    <xf numFmtId="0" fontId="6" fillId="2" borderId="11" xfId="4" applyFont="1" applyFill="1" applyBorder="1" applyAlignment="1" applyProtection="1">
      <alignment horizontal="center" vertical="top" wrapText="1"/>
    </xf>
    <xf numFmtId="0" fontId="8" fillId="0" borderId="40" xfId="4" applyFont="1" applyFill="1" applyBorder="1" applyAlignment="1" applyProtection="1">
      <alignment horizontal="center" vertical="center" wrapText="1"/>
    </xf>
    <xf numFmtId="0" fontId="8" fillId="0" borderId="25" xfId="4" applyFont="1" applyFill="1" applyBorder="1" applyAlignment="1" applyProtection="1">
      <alignment horizontal="center" vertical="center" wrapText="1"/>
    </xf>
    <xf numFmtId="0" fontId="8" fillId="0" borderId="28" xfId="4" applyFont="1" applyFill="1" applyBorder="1" applyAlignment="1" applyProtection="1">
      <alignment horizontal="center" vertical="center" wrapText="1"/>
    </xf>
    <xf numFmtId="0" fontId="8" fillId="0" borderId="13" xfId="4" applyFont="1" applyFill="1" applyBorder="1" applyAlignment="1" applyProtection="1">
      <alignment horizontal="center" vertical="top" wrapText="1"/>
    </xf>
    <xf numFmtId="0" fontId="8" fillId="0" borderId="14" xfId="4" applyFont="1" applyFill="1" applyBorder="1" applyAlignment="1" applyProtection="1">
      <alignment horizontal="center" vertical="top" wrapText="1"/>
    </xf>
    <xf numFmtId="0" fontId="8" fillId="0" borderId="18" xfId="4" applyFont="1" applyFill="1" applyBorder="1" applyAlignment="1" applyProtection="1">
      <alignment horizontal="center" vertical="top" wrapText="1"/>
    </xf>
    <xf numFmtId="44" fontId="9" fillId="0" borderId="13" xfId="3" applyNumberFormat="1" applyFont="1" applyFill="1" applyBorder="1" applyAlignment="1" applyProtection="1">
      <alignment horizontal="center" vertical="top" wrapText="1"/>
    </xf>
    <xf numFmtId="44" fontId="9" fillId="0" borderId="14" xfId="3" applyNumberFormat="1" applyFont="1" applyFill="1" applyBorder="1" applyAlignment="1" applyProtection="1">
      <alignment horizontal="center" vertical="top" wrapText="1"/>
    </xf>
    <xf numFmtId="44" fontId="9" fillId="0" borderId="18" xfId="3" applyNumberFormat="1" applyFont="1" applyFill="1" applyBorder="1" applyAlignment="1" applyProtection="1">
      <alignment horizontal="center" vertical="top" wrapText="1"/>
    </xf>
    <xf numFmtId="0" fontId="14" fillId="3" borderId="4" xfId="0" applyFont="1" applyFill="1" applyBorder="1" applyAlignment="1" applyProtection="1">
      <alignment horizontal="right"/>
    </xf>
    <xf numFmtId="14" fontId="17" fillId="3" borderId="26" xfId="0" applyNumberFormat="1" applyFont="1" applyFill="1" applyBorder="1" applyAlignment="1" applyProtection="1">
      <alignment horizontal="left" vertical="top"/>
      <protection locked="0"/>
    </xf>
    <xf numFmtId="0" fontId="17" fillId="3" borderId="26" xfId="0" applyFont="1" applyFill="1" applyBorder="1" applyAlignment="1" applyProtection="1">
      <alignment horizontal="left" vertical="top"/>
      <protection locked="0"/>
    </xf>
    <xf numFmtId="0" fontId="17" fillId="3" borderId="27" xfId="0" applyFont="1" applyFill="1" applyBorder="1" applyAlignment="1" applyProtection="1">
      <alignment horizontal="left" vertical="top"/>
      <protection locked="0"/>
    </xf>
    <xf numFmtId="0" fontId="17" fillId="3" borderId="25" xfId="0" applyFont="1" applyFill="1" applyBorder="1" applyAlignment="1" applyProtection="1">
      <alignment horizontal="left" vertical="top" wrapText="1"/>
      <protection locked="0"/>
    </xf>
    <xf numFmtId="0" fontId="17" fillId="3" borderId="28" xfId="0" applyFont="1" applyFill="1" applyBorder="1" applyAlignment="1" applyProtection="1">
      <alignment horizontal="left" vertical="top" wrapText="1"/>
      <protection locked="0"/>
    </xf>
    <xf numFmtId="49" fontId="17" fillId="3" borderId="16" xfId="0" applyNumberFormat="1" applyFont="1" applyFill="1" applyBorder="1" applyAlignment="1" applyProtection="1">
      <alignment horizontal="left" vertical="top"/>
      <protection locked="0"/>
    </xf>
    <xf numFmtId="0" fontId="17" fillId="3" borderId="16" xfId="0" applyNumberFormat="1" applyFont="1" applyFill="1" applyBorder="1" applyAlignment="1" applyProtection="1">
      <alignment horizontal="left" vertical="top"/>
      <protection locked="0"/>
    </xf>
    <xf numFmtId="0" fontId="17" fillId="3" borderId="15" xfId="0" applyNumberFormat="1" applyFont="1" applyFill="1" applyBorder="1" applyAlignment="1" applyProtection="1">
      <alignment horizontal="left" vertical="top"/>
      <protection locked="0"/>
    </xf>
    <xf numFmtId="4" fontId="8" fillId="3" borderId="4" xfId="1" applyNumberFormat="1" applyFont="1" applyFill="1" applyBorder="1" applyAlignment="1" applyProtection="1">
      <alignment horizontal="right" vertical="top" wrapText="1"/>
      <protection locked="0"/>
    </xf>
    <xf numFmtId="4" fontId="8" fillId="3" borderId="4" xfId="0" applyNumberFormat="1" applyFont="1" applyFill="1" applyBorder="1" applyAlignment="1" applyProtection="1">
      <alignment horizontal="right" vertical="top" wrapText="1"/>
      <protection locked="0"/>
    </xf>
    <xf numFmtId="4" fontId="8" fillId="3" borderId="4" xfId="0" applyNumberFormat="1" applyFont="1" applyFill="1" applyBorder="1" applyAlignment="1" applyProtection="1">
      <alignment horizontal="right" vertical="top"/>
      <protection locked="0"/>
    </xf>
    <xf numFmtId="0" fontId="6" fillId="3" borderId="0" xfId="0" applyNumberFormat="1" applyFont="1" applyFill="1" applyBorder="1" applyAlignment="1" applyProtection="1">
      <alignment horizontal="center" vertical="top" wrapText="1"/>
      <protection locked="0"/>
    </xf>
    <xf numFmtId="7" fontId="6" fillId="3" borderId="0" xfId="0" applyNumberFormat="1" applyFont="1" applyFill="1" applyBorder="1" applyAlignment="1" applyProtection="1">
      <alignment horizontal="right" vertical="top" wrapText="1"/>
      <protection locked="0"/>
    </xf>
    <xf numFmtId="7" fontId="6" fillId="4" borderId="4" xfId="2" applyNumberFormat="1" applyFont="1" applyFill="1" applyBorder="1" applyAlignment="1" applyProtection="1">
      <alignment horizontal="right" vertical="top"/>
    </xf>
    <xf numFmtId="7" fontId="6" fillId="4" borderId="10" xfId="2" applyNumberFormat="1" applyFont="1" applyFill="1" applyBorder="1" applyAlignment="1" applyProtection="1">
      <alignment horizontal="right" vertical="top" wrapText="1"/>
    </xf>
    <xf numFmtId="4" fontId="8" fillId="4" borderId="4" xfId="0" applyNumberFormat="1" applyFont="1" applyFill="1" applyBorder="1" applyAlignment="1" applyProtection="1">
      <alignment horizontal="right" vertical="top"/>
    </xf>
    <xf numFmtId="7" fontId="6" fillId="4" borderId="4" xfId="2" applyNumberFormat="1" applyFont="1" applyFill="1" applyBorder="1" applyAlignment="1" applyProtection="1">
      <alignment horizontal="right" vertical="top" wrapText="1"/>
    </xf>
    <xf numFmtId="4" fontId="8" fillId="4" borderId="4" xfId="1" applyNumberFormat="1" applyFont="1" applyFill="1" applyBorder="1" applyAlignment="1" applyProtection="1">
      <alignment horizontal="right" vertical="top" wrapText="1"/>
    </xf>
    <xf numFmtId="0" fontId="6" fillId="5" borderId="13" xfId="0" applyFont="1" applyFill="1" applyBorder="1" applyAlignment="1" applyProtection="1">
      <alignment horizontal="left" vertical="top" wrapText="1"/>
    </xf>
    <xf numFmtId="0" fontId="6" fillId="5" borderId="14" xfId="0" applyFont="1" applyFill="1" applyBorder="1" applyAlignment="1" applyProtection="1">
      <alignment horizontal="left" vertical="top" wrapText="1"/>
    </xf>
    <xf numFmtId="0" fontId="6" fillId="5" borderId="1" xfId="0" applyFont="1" applyFill="1" applyBorder="1" applyAlignment="1" applyProtection="1">
      <alignment horizontal="left" vertical="top" wrapText="1"/>
    </xf>
    <xf numFmtId="0" fontId="8" fillId="4" borderId="25" xfId="0" applyFont="1" applyFill="1" applyBorder="1" applyAlignment="1" applyProtection="1">
      <alignment horizontal="center" vertical="top" wrapText="1"/>
    </xf>
    <xf numFmtId="0" fontId="14" fillId="3" borderId="4" xfId="0" applyFont="1" applyFill="1" applyBorder="1" applyAlignment="1">
      <alignment horizontal="right"/>
    </xf>
    <xf numFmtId="2" fontId="8" fillId="3" borderId="4" xfId="0" applyNumberFormat="1" applyFont="1" applyFill="1" applyBorder="1" applyAlignment="1" applyProtection="1">
      <alignment horizontal="right" vertical="top"/>
      <protection locked="0"/>
    </xf>
    <xf numFmtId="2" fontId="8" fillId="4" borderId="4" xfId="0" applyNumberFormat="1" applyFont="1" applyFill="1" applyBorder="1" applyAlignment="1">
      <alignment horizontal="right" vertical="top"/>
    </xf>
    <xf numFmtId="4" fontId="8" fillId="4" borderId="4" xfId="1" applyNumberFormat="1" applyFont="1" applyFill="1" applyBorder="1" applyAlignment="1">
      <alignment horizontal="right" vertical="top" wrapText="1"/>
    </xf>
    <xf numFmtId="7" fontId="6" fillId="4" borderId="4" xfId="2" applyNumberFormat="1" applyFont="1" applyFill="1" applyBorder="1" applyAlignment="1">
      <alignment horizontal="right" vertical="top" wrapText="1"/>
    </xf>
    <xf numFmtId="0" fontId="8" fillId="4" borderId="4" xfId="0" applyFont="1" applyFill="1" applyBorder="1" applyAlignment="1">
      <alignment vertical="top" wrapText="1"/>
    </xf>
    <xf numFmtId="7" fontId="6" fillId="4" borderId="4" xfId="2" applyNumberFormat="1" applyFont="1" applyFill="1" applyBorder="1" applyAlignment="1">
      <alignment horizontal="right" vertical="top"/>
    </xf>
    <xf numFmtId="7" fontId="6" fillId="4" borderId="10" xfId="2" applyNumberFormat="1" applyFont="1" applyFill="1" applyBorder="1" applyAlignment="1">
      <alignment horizontal="right" vertical="top" wrapText="1"/>
    </xf>
    <xf numFmtId="2" fontId="6" fillId="4" borderId="4" xfId="0" applyNumberFormat="1" applyFont="1" applyFill="1" applyBorder="1" applyAlignment="1">
      <alignment horizontal="right" vertical="top"/>
    </xf>
    <xf numFmtId="4" fontId="6" fillId="4" borderId="4" xfId="0" applyNumberFormat="1" applyFont="1" applyFill="1" applyBorder="1" applyAlignment="1">
      <alignment horizontal="right" vertical="top"/>
    </xf>
    <xf numFmtId="4" fontId="6" fillId="4" borderId="4" xfId="1" applyNumberFormat="1" applyFont="1" applyFill="1" applyBorder="1" applyAlignment="1">
      <alignment horizontal="right" vertical="top"/>
    </xf>
    <xf numFmtId="4" fontId="8" fillId="4" borderId="4" xfId="0" applyNumberFormat="1" applyFont="1" applyFill="1" applyBorder="1" applyAlignment="1">
      <alignment horizontal="right" vertical="top"/>
    </xf>
    <xf numFmtId="4" fontId="8" fillId="4" borderId="4" xfId="1" applyNumberFormat="1" applyFont="1" applyFill="1" applyBorder="1" applyAlignment="1">
      <alignment horizontal="right" vertical="top"/>
    </xf>
    <xf numFmtId="4" fontId="8" fillId="4" borderId="4" xfId="0" applyNumberFormat="1" applyFont="1" applyFill="1" applyBorder="1" applyAlignment="1">
      <alignment horizontal="right" vertical="top" wrapText="1"/>
    </xf>
    <xf numFmtId="0" fontId="8" fillId="4" borderId="25" xfId="0" applyFont="1" applyFill="1" applyBorder="1" applyAlignment="1">
      <alignment horizontal="center" vertical="top" wrapText="1"/>
    </xf>
    <xf numFmtId="0" fontId="6" fillId="5" borderId="13" xfId="0" applyFont="1" applyFill="1" applyBorder="1" applyAlignment="1">
      <alignment horizontal="left" vertical="top" wrapText="1"/>
    </xf>
    <xf numFmtId="0" fontId="6" fillId="5" borderId="14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14" fontId="17" fillId="3" borderId="27" xfId="0" applyNumberFormat="1" applyFont="1" applyFill="1" applyBorder="1" applyAlignment="1" applyProtection="1">
      <alignment horizontal="left" vertical="top"/>
      <protection locked="0"/>
    </xf>
    <xf numFmtId="0" fontId="17" fillId="3" borderId="14" xfId="0" applyFont="1" applyFill="1" applyBorder="1" applyAlignment="1" applyProtection="1">
      <alignment horizontal="left" vertical="top" wrapText="1"/>
      <protection locked="0"/>
    </xf>
    <xf numFmtId="0" fontId="17" fillId="3" borderId="18" xfId="0" applyFont="1" applyFill="1" applyBorder="1" applyAlignment="1" applyProtection="1">
      <alignment horizontal="left" vertical="top" wrapText="1"/>
      <protection locked="0"/>
    </xf>
    <xf numFmtId="0" fontId="17" fillId="3" borderId="15" xfId="0" applyNumberFormat="1" applyFont="1" applyFill="1" applyBorder="1" applyAlignment="1" applyProtection="1">
      <alignment vertical="top"/>
      <protection locked="0"/>
    </xf>
    <xf numFmtId="2" fontId="9" fillId="3" borderId="1" xfId="4" applyNumberFormat="1" applyFont="1" applyFill="1" applyBorder="1" applyAlignment="1" applyProtection="1">
      <alignment vertical="top" wrapText="1"/>
      <protection locked="0"/>
    </xf>
    <xf numFmtId="2" fontId="8" fillId="3" borderId="1" xfId="4" applyNumberFormat="1" applyFont="1" applyFill="1" applyBorder="1" applyAlignment="1" applyProtection="1">
      <alignment vertical="top" wrapText="1"/>
      <protection locked="0"/>
    </xf>
    <xf numFmtId="4" fontId="8" fillId="3" borderId="1" xfId="4" applyNumberFormat="1" applyFont="1" applyFill="1" applyBorder="1" applyAlignment="1" applyProtection="1">
      <alignment vertical="top" wrapText="1"/>
      <protection locked="0"/>
    </xf>
    <xf numFmtId="4" fontId="8" fillId="3" borderId="2" xfId="4" applyNumberFormat="1" applyFont="1" applyFill="1" applyBorder="1" applyAlignment="1" applyProtection="1">
      <alignment vertical="top" wrapText="1"/>
      <protection locked="0"/>
    </xf>
    <xf numFmtId="0" fontId="8" fillId="3" borderId="1" xfId="4" applyFont="1" applyFill="1" applyBorder="1" applyAlignment="1" applyProtection="1">
      <alignment horizontal="center" vertical="top" wrapText="1"/>
      <protection locked="0"/>
    </xf>
    <xf numFmtId="4" fontId="8" fillId="3" borderId="3" xfId="4" applyNumberFormat="1" applyFont="1" applyFill="1" applyBorder="1" applyAlignment="1" applyProtection="1">
      <alignment vertical="top" wrapText="1"/>
      <protection locked="0"/>
    </xf>
    <xf numFmtId="0" fontId="6" fillId="5" borderId="13" xfId="4" applyFont="1" applyFill="1" applyBorder="1" applyAlignment="1" applyProtection="1">
      <alignment horizontal="left" vertical="top" wrapText="1"/>
    </xf>
    <xf numFmtId="0" fontId="6" fillId="5" borderId="14" xfId="4" applyFont="1" applyFill="1" applyBorder="1" applyAlignment="1" applyProtection="1">
      <alignment horizontal="left" vertical="top" wrapText="1"/>
    </xf>
    <xf numFmtId="0" fontId="6" fillId="5" borderId="25" xfId="4" applyFont="1" applyFill="1" applyBorder="1" applyAlignment="1" applyProtection="1">
      <alignment horizontal="left" vertical="top" wrapText="1"/>
    </xf>
    <xf numFmtId="0" fontId="6" fillId="5" borderId="28" xfId="4" applyFont="1" applyFill="1" applyBorder="1" applyAlignment="1" applyProtection="1">
      <alignment horizontal="left" vertical="top" wrapText="1"/>
    </xf>
    <xf numFmtId="0" fontId="6" fillId="5" borderId="18" xfId="4" applyFont="1" applyFill="1" applyBorder="1" applyAlignment="1" applyProtection="1">
      <alignment horizontal="left" vertical="top" wrapText="1"/>
    </xf>
    <xf numFmtId="0" fontId="6" fillId="5" borderId="13" xfId="4" applyFont="1" applyFill="1" applyBorder="1" applyAlignment="1" applyProtection="1">
      <alignment horizontal="left" vertical="top"/>
    </xf>
    <xf numFmtId="0" fontId="6" fillId="5" borderId="14" xfId="4" applyFont="1" applyFill="1" applyBorder="1" applyAlignment="1" applyProtection="1">
      <alignment horizontal="left" vertical="top"/>
    </xf>
    <xf numFmtId="0" fontId="6" fillId="5" borderId="18" xfId="4" applyFont="1" applyFill="1" applyBorder="1" applyAlignment="1" applyProtection="1">
      <alignment horizontal="left" vertical="top"/>
    </xf>
    <xf numFmtId="0" fontId="8" fillId="5" borderId="13" xfId="4" applyFont="1" applyFill="1" applyBorder="1" applyAlignment="1" applyProtection="1">
      <alignment horizontal="left" vertical="top"/>
    </xf>
    <xf numFmtId="0" fontId="8" fillId="5" borderId="14" xfId="4" applyFont="1" applyFill="1" applyBorder="1" applyAlignment="1" applyProtection="1">
      <alignment horizontal="left" vertical="top"/>
    </xf>
    <xf numFmtId="0" fontId="8" fillId="5" borderId="18" xfId="4" applyFont="1" applyFill="1" applyBorder="1" applyAlignment="1" applyProtection="1">
      <alignment horizontal="left" vertical="top"/>
    </xf>
    <xf numFmtId="0" fontId="8" fillId="5" borderId="13" xfId="4" applyFont="1" applyFill="1" applyBorder="1" applyAlignment="1" applyProtection="1">
      <alignment horizontal="left" vertical="top" wrapText="1"/>
    </xf>
    <xf numFmtId="0" fontId="8" fillId="5" borderId="14" xfId="4" applyFont="1" applyFill="1" applyBorder="1" applyAlignment="1" applyProtection="1">
      <alignment horizontal="left" vertical="top" wrapText="1"/>
    </xf>
    <xf numFmtId="0" fontId="8" fillId="5" borderId="18" xfId="4" applyFont="1" applyFill="1" applyBorder="1" applyAlignment="1" applyProtection="1">
      <alignment horizontal="left" vertical="top" wrapText="1"/>
    </xf>
    <xf numFmtId="4" fontId="8" fillId="5" borderId="29" xfId="4" applyNumberFormat="1" applyFont="1" applyFill="1" applyBorder="1" applyAlignment="1" applyProtection="1">
      <alignment horizontal="center" vertical="top" wrapText="1"/>
    </xf>
    <xf numFmtId="4" fontId="8" fillId="5" borderId="30" xfId="4" applyNumberFormat="1" applyFont="1" applyFill="1" applyBorder="1" applyAlignment="1" applyProtection="1">
      <alignment horizontal="center" vertical="top" wrapText="1"/>
    </xf>
    <xf numFmtId="4" fontId="8" fillId="5" borderId="6" xfId="4" applyNumberFormat="1" applyFont="1" applyFill="1" applyBorder="1" applyAlignment="1" applyProtection="1">
      <alignment horizontal="center" vertical="top" wrapText="1"/>
    </xf>
    <xf numFmtId="4" fontId="8" fillId="5" borderId="11" xfId="4" applyNumberFormat="1" applyFont="1" applyFill="1" applyBorder="1" applyAlignment="1" applyProtection="1">
      <alignment horizontal="center" vertical="top" wrapText="1"/>
    </xf>
    <xf numFmtId="4" fontId="8" fillId="5" borderId="7" xfId="4" applyNumberFormat="1" applyFont="1" applyFill="1" applyBorder="1" applyAlignment="1" applyProtection="1">
      <alignment horizontal="center" vertical="top" wrapText="1"/>
    </xf>
    <xf numFmtId="4" fontId="8" fillId="5" borderId="12" xfId="4" applyNumberFormat="1" applyFont="1" applyFill="1" applyBorder="1" applyAlignment="1" applyProtection="1">
      <alignment horizontal="center" vertical="top" wrapText="1"/>
    </xf>
    <xf numFmtId="4" fontId="8" fillId="5" borderId="31" xfId="4" applyNumberFormat="1" applyFont="1" applyFill="1" applyBorder="1" applyAlignment="1" applyProtection="1">
      <alignment horizontal="center" vertical="top" wrapText="1"/>
    </xf>
    <xf numFmtId="4" fontId="8" fillId="5" borderId="0" xfId="4" applyNumberFormat="1" applyFont="1" applyFill="1" applyBorder="1" applyAlignment="1" applyProtection="1">
      <alignment horizontal="center" vertical="top" wrapText="1"/>
    </xf>
    <xf numFmtId="4" fontId="8" fillId="5" borderId="25" xfId="4" applyNumberFormat="1" applyFont="1" applyFill="1" applyBorder="1" applyAlignment="1" applyProtection="1">
      <alignment horizontal="center" vertical="top" wrapText="1"/>
    </xf>
    <xf numFmtId="4" fontId="8" fillId="5" borderId="28" xfId="4" applyNumberFormat="1" applyFont="1" applyFill="1" applyBorder="1" applyAlignment="1" applyProtection="1">
      <alignment horizontal="center" vertical="top" wrapText="1"/>
    </xf>
    <xf numFmtId="4" fontId="8" fillId="5" borderId="34" xfId="4" applyNumberFormat="1" applyFont="1" applyFill="1" applyBorder="1" applyAlignment="1" applyProtection="1">
      <alignment horizontal="center" vertical="top" wrapText="1"/>
    </xf>
    <xf numFmtId="44" fontId="8" fillId="5" borderId="31" xfId="3" applyNumberFormat="1" applyFont="1" applyFill="1" applyBorder="1" applyAlignment="1" applyProtection="1">
      <alignment horizontal="center" vertical="top" wrapText="1"/>
    </xf>
    <xf numFmtId="44" fontId="8" fillId="5" borderId="30" xfId="3" applyNumberFormat="1" applyFont="1" applyFill="1" applyBorder="1" applyAlignment="1" applyProtection="1">
      <alignment horizontal="center" vertical="top" wrapText="1"/>
    </xf>
    <xf numFmtId="44" fontId="8" fillId="5" borderId="0" xfId="3" applyNumberFormat="1" applyFont="1" applyFill="1" applyBorder="1" applyAlignment="1" applyProtection="1">
      <alignment horizontal="center" vertical="top" wrapText="1"/>
    </xf>
    <xf numFmtId="44" fontId="8" fillId="5" borderId="11" xfId="3" applyNumberFormat="1" applyFont="1" applyFill="1" applyBorder="1" applyAlignment="1" applyProtection="1">
      <alignment horizontal="center" vertical="top" wrapText="1"/>
    </xf>
    <xf numFmtId="44" fontId="8" fillId="5" borderId="25" xfId="3" applyNumberFormat="1" applyFont="1" applyFill="1" applyBorder="1" applyAlignment="1" applyProtection="1">
      <alignment horizontal="center" vertical="top" wrapText="1"/>
    </xf>
    <xf numFmtId="44" fontId="8" fillId="5" borderId="28" xfId="3" applyNumberFormat="1" applyFont="1" applyFill="1" applyBorder="1" applyAlignment="1" applyProtection="1">
      <alignment horizontal="center" vertical="top" wrapText="1"/>
    </xf>
    <xf numFmtId="44" fontId="8" fillId="5" borderId="29" xfId="3" applyNumberFormat="1" applyFont="1" applyFill="1" applyBorder="1" applyAlignment="1" applyProtection="1">
      <alignment horizontal="center" vertical="top" wrapText="1"/>
    </xf>
    <xf numFmtId="44" fontId="8" fillId="5" borderId="6" xfId="3" applyNumberFormat="1" applyFont="1" applyFill="1" applyBorder="1" applyAlignment="1" applyProtection="1">
      <alignment horizontal="center" vertical="top" wrapText="1"/>
    </xf>
    <xf numFmtId="44" fontId="8" fillId="5" borderId="34" xfId="3" applyNumberFormat="1" applyFont="1" applyFill="1" applyBorder="1" applyAlignment="1" applyProtection="1">
      <alignment horizontal="center" vertical="top" wrapText="1"/>
    </xf>
    <xf numFmtId="44" fontId="8" fillId="5" borderId="14" xfId="3" applyNumberFormat="1" applyFont="1" applyFill="1" applyBorder="1" applyAlignment="1" applyProtection="1">
      <alignment horizontal="center" vertical="top" wrapText="1"/>
    </xf>
    <xf numFmtId="44" fontId="8" fillId="5" borderId="18" xfId="3" applyNumberFormat="1" applyFont="1" applyFill="1" applyBorder="1" applyAlignment="1" applyProtection="1">
      <alignment horizontal="center" vertical="top" wrapText="1"/>
    </xf>
    <xf numFmtId="44" fontId="8" fillId="5" borderId="35" xfId="3" applyNumberFormat="1" applyFont="1" applyFill="1" applyBorder="1" applyAlignment="1" applyProtection="1">
      <alignment horizontal="center" vertical="top" wrapText="1"/>
    </xf>
    <xf numFmtId="4" fontId="8" fillId="5" borderId="38" xfId="4" applyNumberFormat="1" applyFont="1" applyFill="1" applyBorder="1" applyAlignment="1" applyProtection="1">
      <alignment horizontal="center" vertical="top" wrapText="1"/>
    </xf>
    <xf numFmtId="4" fontId="8" fillId="5" borderId="39" xfId="4" applyNumberFormat="1" applyFont="1" applyFill="1" applyBorder="1" applyAlignment="1" applyProtection="1">
      <alignment horizontal="center" vertical="top" wrapText="1"/>
    </xf>
    <xf numFmtId="4" fontId="8" fillId="5" borderId="40" xfId="4" applyNumberFormat="1" applyFont="1" applyFill="1" applyBorder="1" applyAlignment="1" applyProtection="1">
      <alignment horizontal="center" vertical="top" wrapText="1"/>
    </xf>
    <xf numFmtId="44" fontId="9" fillId="4" borderId="17" xfId="3" applyNumberFormat="1" applyFont="1" applyFill="1" applyBorder="1" applyAlignment="1" applyProtection="1">
      <alignment vertical="top" wrapText="1"/>
    </xf>
    <xf numFmtId="44" fontId="9" fillId="4" borderId="13" xfId="3" applyNumberFormat="1" applyFont="1" applyFill="1" applyBorder="1" applyAlignment="1" applyProtection="1">
      <alignment vertical="top" wrapText="1"/>
    </xf>
    <xf numFmtId="4" fontId="8" fillId="4" borderId="1" xfId="4" applyNumberFormat="1" applyFont="1" applyFill="1" applyBorder="1" applyAlignment="1" applyProtection="1">
      <alignment vertical="top" wrapText="1"/>
    </xf>
    <xf numFmtId="44" fontId="9" fillId="4" borderId="20" xfId="3" applyNumberFormat="1" applyFont="1" applyFill="1" applyBorder="1" applyAlignment="1" applyProtection="1">
      <alignment vertical="top" wrapText="1"/>
    </xf>
    <xf numFmtId="44" fontId="6" fillId="4" borderId="32" xfId="3" applyNumberFormat="1" applyFont="1" applyFill="1" applyBorder="1" applyAlignment="1" applyProtection="1">
      <alignment horizontal="center" vertical="top" wrapText="1"/>
    </xf>
    <xf numFmtId="44" fontId="6" fillId="4" borderId="33" xfId="3" applyNumberFormat="1" applyFont="1" applyFill="1" applyBorder="1" applyAlignment="1" applyProtection="1">
      <alignment horizontal="center" vertical="top" wrapText="1"/>
    </xf>
    <xf numFmtId="44" fontId="7" fillId="4" borderId="5" xfId="4" applyNumberFormat="1" applyFont="1" applyFill="1" applyBorder="1" applyAlignment="1" applyProtection="1">
      <alignment horizontal="center" wrapText="1"/>
    </xf>
    <xf numFmtId="0" fontId="7" fillId="4" borderId="10" xfId="4" applyFont="1" applyFill="1" applyBorder="1" applyAlignment="1" applyProtection="1">
      <alignment horizontal="center" wrapText="1"/>
    </xf>
  </cellXfs>
  <cellStyles count="5">
    <cellStyle name="Comma" xfId="1" builtinId="3"/>
    <cellStyle name="Currency" xfId="2" builtinId="4"/>
    <cellStyle name="Currency 2" xfId="3"/>
    <cellStyle name="Normal" xfId="0" builtinId="0"/>
    <cellStyle name="Normal 2" xfId="4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0</xdr:col>
      <xdr:colOff>933450</xdr:colOff>
      <xdr:row>3</xdr:row>
      <xdr:rowOff>66675</xdr:rowOff>
    </xdr:to>
    <xdr:pic>
      <xdr:nvPicPr>
        <xdr:cNvPr id="1025" name="Picture 1" descr="Buckeye Logo 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914400" cy="77152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914400</xdr:colOff>
      <xdr:row>3</xdr:row>
      <xdr:rowOff>57150</xdr:rowOff>
    </xdr:to>
    <xdr:pic>
      <xdr:nvPicPr>
        <xdr:cNvPr id="2049" name="Picture 1" descr="Buckeye Logo 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14400" cy="77152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914400</xdr:colOff>
      <xdr:row>3</xdr:row>
      <xdr:rowOff>47625</xdr:rowOff>
    </xdr:to>
    <xdr:pic>
      <xdr:nvPicPr>
        <xdr:cNvPr id="3073" name="Picture 1" descr="Buckeye Logo 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14400" cy="762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914400</xdr:colOff>
      <xdr:row>3</xdr:row>
      <xdr:rowOff>57150</xdr:rowOff>
    </xdr:to>
    <xdr:pic>
      <xdr:nvPicPr>
        <xdr:cNvPr id="4097" name="Picture 1" descr="Buckeye Logo 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14400" cy="77152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view="pageBreakPreview" zoomScaleNormal="100" zoomScaleSheetLayoutView="100" workbookViewId="0">
      <selection activeCell="F21" sqref="F21"/>
    </sheetView>
  </sheetViews>
  <sheetFormatPr defaultRowHeight="12.75" x14ac:dyDescent="0.2"/>
  <cols>
    <col min="1" max="1" width="49.85546875" style="2" customWidth="1"/>
    <col min="2" max="2" width="11.85546875" style="2" customWidth="1"/>
    <col min="3" max="3" width="12.7109375" style="2" customWidth="1"/>
    <col min="4" max="7" width="11.85546875" style="2" customWidth="1"/>
    <col min="8" max="8" width="15.5703125" style="2" customWidth="1"/>
    <col min="9" max="16384" width="9.140625" style="2"/>
  </cols>
  <sheetData>
    <row r="1" spans="1:8" ht="18.75" x14ac:dyDescent="0.3">
      <c r="A1" s="163" t="s">
        <v>9</v>
      </c>
      <c r="B1" s="164"/>
      <c r="C1" s="164"/>
      <c r="D1" s="164"/>
      <c r="E1" s="164"/>
      <c r="F1" s="164"/>
      <c r="G1" s="164"/>
      <c r="H1" s="164"/>
    </row>
    <row r="2" spans="1:8" ht="18.75" x14ac:dyDescent="0.3">
      <c r="A2" s="163" t="s">
        <v>49</v>
      </c>
      <c r="B2" s="164"/>
      <c r="C2" s="164"/>
      <c r="D2" s="164"/>
      <c r="E2" s="164"/>
      <c r="F2" s="164"/>
      <c r="G2" s="164"/>
      <c r="H2" s="164"/>
    </row>
    <row r="3" spans="1:8" ht="18.75" x14ac:dyDescent="0.3">
      <c r="A3" s="163" t="s">
        <v>54</v>
      </c>
      <c r="B3" s="164"/>
      <c r="C3" s="164"/>
      <c r="D3" s="164"/>
      <c r="E3" s="164"/>
      <c r="F3" s="164"/>
      <c r="G3" s="164"/>
      <c r="H3" s="164"/>
    </row>
    <row r="4" spans="1:8" ht="15.75" x14ac:dyDescent="0.25">
      <c r="A4" s="165" t="s">
        <v>39</v>
      </c>
      <c r="B4" s="165"/>
      <c r="C4" s="165"/>
      <c r="D4" s="165"/>
      <c r="E4" s="165"/>
      <c r="F4" s="165"/>
      <c r="G4" s="165"/>
      <c r="H4" s="165"/>
    </row>
    <row r="5" spans="1:8" ht="15.75" x14ac:dyDescent="0.25">
      <c r="B5" s="3"/>
      <c r="C5" s="3"/>
      <c r="D5" s="3"/>
      <c r="E5" s="3"/>
      <c r="F5" s="4"/>
      <c r="G5" s="192"/>
      <c r="H5" s="139" t="s">
        <v>53</v>
      </c>
    </row>
    <row r="6" spans="1:8" ht="20.25" thickBot="1" x14ac:dyDescent="0.4">
      <c r="A6" s="5"/>
      <c r="B6" s="5"/>
      <c r="C6" s="5"/>
      <c r="D6" s="5"/>
      <c r="E6" s="5"/>
      <c r="F6" s="5"/>
      <c r="G6" s="5"/>
      <c r="H6" s="5"/>
    </row>
    <row r="7" spans="1:8" ht="15.75" x14ac:dyDescent="0.25">
      <c r="A7" s="6" t="s">
        <v>7</v>
      </c>
      <c r="B7" s="193"/>
      <c r="C7" s="194"/>
      <c r="D7" s="194"/>
      <c r="E7" s="194"/>
      <c r="F7" s="194"/>
      <c r="G7" s="194"/>
      <c r="H7" s="195"/>
    </row>
    <row r="8" spans="1:8" ht="15.75" x14ac:dyDescent="0.25">
      <c r="A8" s="7" t="s">
        <v>3</v>
      </c>
      <c r="B8" s="196"/>
      <c r="C8" s="196"/>
      <c r="D8" s="196"/>
      <c r="E8" s="196"/>
      <c r="F8" s="196"/>
      <c r="G8" s="196"/>
      <c r="H8" s="197"/>
    </row>
    <row r="9" spans="1:8" ht="15.75" x14ac:dyDescent="0.25">
      <c r="A9" s="7" t="s">
        <v>5</v>
      </c>
      <c r="B9" s="196"/>
      <c r="C9" s="196"/>
      <c r="D9" s="196"/>
      <c r="E9" s="196"/>
      <c r="F9" s="196"/>
      <c r="G9" s="196"/>
      <c r="H9" s="197"/>
    </row>
    <row r="10" spans="1:8" ht="15.75" x14ac:dyDescent="0.25">
      <c r="A10" s="7" t="s">
        <v>4</v>
      </c>
      <c r="B10" s="196"/>
      <c r="C10" s="196"/>
      <c r="D10" s="196"/>
      <c r="E10" s="196"/>
      <c r="F10" s="196"/>
      <c r="G10" s="196"/>
      <c r="H10" s="197"/>
    </row>
    <row r="11" spans="1:8" ht="16.5" thickBot="1" x14ac:dyDescent="0.3">
      <c r="A11" s="8" t="s">
        <v>38</v>
      </c>
      <c r="B11" s="198"/>
      <c r="C11" s="198"/>
      <c r="D11" s="9"/>
      <c r="E11" s="9"/>
      <c r="F11" s="10" t="s">
        <v>6</v>
      </c>
      <c r="G11" s="199"/>
      <c r="H11" s="200"/>
    </row>
    <row r="12" spans="1:8" x14ac:dyDescent="0.2">
      <c r="A12" s="11"/>
      <c r="B12" s="11"/>
      <c r="C12" s="11"/>
      <c r="D12" s="11"/>
      <c r="E12" s="11"/>
      <c r="F12" s="11"/>
      <c r="G12" s="11"/>
      <c r="H12" s="11"/>
    </row>
    <row r="13" spans="1:8" x14ac:dyDescent="0.2">
      <c r="A13" s="157" t="s">
        <v>57</v>
      </c>
      <c r="B13" s="158"/>
      <c r="C13" s="158"/>
      <c r="D13" s="158"/>
      <c r="E13" s="159"/>
      <c r="F13" s="12" t="s">
        <v>58</v>
      </c>
      <c r="G13" s="12" t="s">
        <v>0</v>
      </c>
      <c r="H13" s="12" t="s">
        <v>52</v>
      </c>
    </row>
    <row r="14" spans="1:8" s="13" customFormat="1" x14ac:dyDescent="0.2">
      <c r="A14" s="211" t="s">
        <v>56</v>
      </c>
      <c r="B14" s="212"/>
      <c r="C14" s="212"/>
      <c r="D14" s="212"/>
      <c r="E14" s="212"/>
      <c r="F14" s="212"/>
      <c r="G14" s="212"/>
      <c r="H14" s="213"/>
    </row>
    <row r="15" spans="1:8" s="13" customFormat="1" x14ac:dyDescent="0.2">
      <c r="A15" s="145" t="s">
        <v>55</v>
      </c>
      <c r="B15" s="146"/>
      <c r="C15" s="146"/>
      <c r="D15" s="146"/>
      <c r="E15" s="147"/>
      <c r="F15" s="210"/>
      <c r="G15" s="210"/>
      <c r="H15" s="209"/>
    </row>
    <row r="16" spans="1:8" s="13" customFormat="1" x14ac:dyDescent="0.2">
      <c r="A16" s="148" t="s">
        <v>59</v>
      </c>
      <c r="B16" s="149"/>
      <c r="C16" s="149"/>
      <c r="D16" s="149"/>
      <c r="E16" s="150"/>
      <c r="F16" s="201"/>
      <c r="G16" s="14">
        <v>1200</v>
      </c>
      <c r="H16" s="209">
        <f>F16*G16</f>
        <v>0</v>
      </c>
    </row>
    <row r="17" spans="1:8" s="13" customFormat="1" x14ac:dyDescent="0.2">
      <c r="A17" s="148" t="s">
        <v>60</v>
      </c>
      <c r="B17" s="149"/>
      <c r="C17" s="149"/>
      <c r="D17" s="149"/>
      <c r="E17" s="150"/>
      <c r="F17" s="201"/>
      <c r="G17" s="14">
        <v>600</v>
      </c>
      <c r="H17" s="209">
        <f t="shared" ref="H17:H25" si="0">F17*G17</f>
        <v>0</v>
      </c>
    </row>
    <row r="18" spans="1:8" s="13" customFormat="1" x14ac:dyDescent="0.2">
      <c r="A18" s="145" t="s">
        <v>61</v>
      </c>
      <c r="B18" s="146"/>
      <c r="C18" s="146"/>
      <c r="D18" s="146"/>
      <c r="E18" s="147"/>
      <c r="F18" s="201"/>
      <c r="G18" s="14">
        <v>300</v>
      </c>
      <c r="H18" s="209">
        <f t="shared" si="0"/>
        <v>0</v>
      </c>
    </row>
    <row r="19" spans="1:8" s="13" customFormat="1" x14ac:dyDescent="0.2">
      <c r="A19" s="145" t="s">
        <v>121</v>
      </c>
      <c r="B19" s="146"/>
      <c r="C19" s="146"/>
      <c r="D19" s="146"/>
      <c r="E19" s="147"/>
      <c r="F19" s="201"/>
      <c r="G19" s="14">
        <v>0</v>
      </c>
      <c r="H19" s="209">
        <f t="shared" si="0"/>
        <v>0</v>
      </c>
    </row>
    <row r="20" spans="1:8" s="13" customFormat="1" x14ac:dyDescent="0.2">
      <c r="A20" s="145" t="s">
        <v>62</v>
      </c>
      <c r="B20" s="146"/>
      <c r="C20" s="146"/>
      <c r="D20" s="146"/>
      <c r="E20" s="147"/>
      <c r="F20" s="201"/>
      <c r="G20" s="14">
        <v>450</v>
      </c>
      <c r="H20" s="209">
        <f t="shared" si="0"/>
        <v>0</v>
      </c>
    </row>
    <row r="21" spans="1:8" s="13" customFormat="1" x14ac:dyDescent="0.2">
      <c r="A21" s="145" t="s">
        <v>63</v>
      </c>
      <c r="B21" s="146"/>
      <c r="C21" s="146"/>
      <c r="D21" s="146"/>
      <c r="E21" s="147"/>
      <c r="F21" s="202"/>
      <c r="G21" s="15">
        <v>150</v>
      </c>
      <c r="H21" s="209">
        <f t="shared" si="0"/>
        <v>0</v>
      </c>
    </row>
    <row r="22" spans="1:8" s="16" customFormat="1" x14ac:dyDescent="0.2">
      <c r="A22" s="145" t="s">
        <v>64</v>
      </c>
      <c r="B22" s="146"/>
      <c r="C22" s="146"/>
      <c r="D22" s="146"/>
      <c r="E22" s="147"/>
      <c r="F22" s="203"/>
      <c r="G22" s="15">
        <v>300</v>
      </c>
      <c r="H22" s="209">
        <f t="shared" si="0"/>
        <v>0</v>
      </c>
    </row>
    <row r="23" spans="1:8" s="17" customFormat="1" x14ac:dyDescent="0.2">
      <c r="A23" s="145" t="s">
        <v>65</v>
      </c>
      <c r="B23" s="146"/>
      <c r="C23" s="146"/>
      <c r="D23" s="146"/>
      <c r="E23" s="147"/>
      <c r="F23" s="203"/>
      <c r="G23" s="15">
        <v>500</v>
      </c>
      <c r="H23" s="209">
        <f t="shared" si="0"/>
        <v>0</v>
      </c>
    </row>
    <row r="24" spans="1:8" s="17" customFormat="1" x14ac:dyDescent="0.2">
      <c r="A24" s="145" t="s">
        <v>66</v>
      </c>
      <c r="B24" s="146"/>
      <c r="C24" s="146"/>
      <c r="D24" s="146"/>
      <c r="E24" s="147"/>
      <c r="F24" s="203"/>
      <c r="G24" s="15">
        <v>250</v>
      </c>
      <c r="H24" s="209">
        <f t="shared" si="0"/>
        <v>0</v>
      </c>
    </row>
    <row r="25" spans="1:8" s="17" customFormat="1" x14ac:dyDescent="0.2">
      <c r="A25" s="145" t="s">
        <v>67</v>
      </c>
      <c r="B25" s="146"/>
      <c r="C25" s="146"/>
      <c r="D25" s="146"/>
      <c r="E25" s="147"/>
      <c r="F25" s="203"/>
      <c r="G25" s="15">
        <v>100</v>
      </c>
      <c r="H25" s="209">
        <f t="shared" si="0"/>
        <v>0</v>
      </c>
    </row>
    <row r="26" spans="1:8" s="16" customFormat="1" x14ac:dyDescent="0.2">
      <c r="A26" s="211" t="s">
        <v>68</v>
      </c>
      <c r="B26" s="212"/>
      <c r="C26" s="212"/>
      <c r="D26" s="212"/>
      <c r="E26" s="212"/>
      <c r="F26" s="212"/>
      <c r="G26" s="212"/>
      <c r="H26" s="213"/>
    </row>
    <row r="27" spans="1:8" s="16" customFormat="1" x14ac:dyDescent="0.2">
      <c r="A27" s="145" t="s">
        <v>69</v>
      </c>
      <c r="B27" s="146"/>
      <c r="C27" s="146"/>
      <c r="D27" s="146"/>
      <c r="E27" s="147"/>
      <c r="F27" s="203"/>
      <c r="G27" s="18">
        <v>650</v>
      </c>
      <c r="H27" s="206">
        <f>F27*G27</f>
        <v>0</v>
      </c>
    </row>
    <row r="28" spans="1:8" s="16" customFormat="1" x14ac:dyDescent="0.2">
      <c r="A28" s="211" t="s">
        <v>70</v>
      </c>
      <c r="B28" s="212"/>
      <c r="C28" s="212"/>
      <c r="D28" s="212"/>
      <c r="E28" s="212"/>
      <c r="F28" s="212"/>
      <c r="G28" s="212"/>
      <c r="H28" s="213"/>
    </row>
    <row r="29" spans="1:8" s="16" customFormat="1" x14ac:dyDescent="0.2">
      <c r="A29" s="145" t="s">
        <v>71</v>
      </c>
      <c r="B29" s="146"/>
      <c r="C29" s="146"/>
      <c r="D29" s="146"/>
      <c r="E29" s="147"/>
      <c r="F29" s="208"/>
      <c r="G29" s="208"/>
      <c r="H29" s="206"/>
    </row>
    <row r="30" spans="1:8" s="16" customFormat="1" x14ac:dyDescent="0.2">
      <c r="A30" s="145" t="s">
        <v>72</v>
      </c>
      <c r="B30" s="146"/>
      <c r="C30" s="146"/>
      <c r="D30" s="146"/>
      <c r="E30" s="147"/>
      <c r="F30" s="203"/>
      <c r="G30" s="18">
        <v>9500</v>
      </c>
      <c r="H30" s="206">
        <f t="shared" ref="H30:H46" si="1">F30*G30</f>
        <v>0</v>
      </c>
    </row>
    <row r="31" spans="1:8" s="16" customFormat="1" x14ac:dyDescent="0.2">
      <c r="A31" s="145" t="s">
        <v>73</v>
      </c>
      <c r="B31" s="146"/>
      <c r="C31" s="146"/>
      <c r="D31" s="146"/>
      <c r="E31" s="147"/>
      <c r="F31" s="203"/>
      <c r="G31" s="18">
        <v>12000</v>
      </c>
      <c r="H31" s="206">
        <f t="shared" si="1"/>
        <v>0</v>
      </c>
    </row>
    <row r="32" spans="1:8" s="16" customFormat="1" ht="25.5" customHeight="1" x14ac:dyDescent="0.2">
      <c r="A32" s="145" t="s">
        <v>397</v>
      </c>
      <c r="B32" s="146"/>
      <c r="C32" s="146"/>
      <c r="D32" s="146"/>
      <c r="E32" s="147"/>
      <c r="F32" s="203"/>
      <c r="G32" s="18">
        <v>1000</v>
      </c>
      <c r="H32" s="206">
        <f t="shared" si="1"/>
        <v>0</v>
      </c>
    </row>
    <row r="33" spans="1:8" s="16" customFormat="1" x14ac:dyDescent="0.2">
      <c r="A33" s="145" t="s">
        <v>74</v>
      </c>
      <c r="B33" s="146"/>
      <c r="C33" s="146"/>
      <c r="D33" s="146"/>
      <c r="E33" s="147"/>
      <c r="F33" s="203"/>
      <c r="G33" s="18">
        <v>7000</v>
      </c>
      <c r="H33" s="206">
        <f t="shared" si="1"/>
        <v>0</v>
      </c>
    </row>
    <row r="34" spans="1:8" s="16" customFormat="1" x14ac:dyDescent="0.2">
      <c r="A34" s="148" t="s">
        <v>116</v>
      </c>
      <c r="B34" s="149"/>
      <c r="C34" s="149"/>
      <c r="D34" s="149"/>
      <c r="E34" s="150"/>
      <c r="F34" s="203"/>
      <c r="G34" s="18">
        <v>0</v>
      </c>
      <c r="H34" s="206">
        <f t="shared" si="1"/>
        <v>0</v>
      </c>
    </row>
    <row r="35" spans="1:8" s="16" customFormat="1" x14ac:dyDescent="0.2">
      <c r="A35" s="148" t="s">
        <v>117</v>
      </c>
      <c r="B35" s="149"/>
      <c r="C35" s="149"/>
      <c r="D35" s="149"/>
      <c r="E35" s="150"/>
      <c r="F35" s="208"/>
      <c r="G35" s="208"/>
      <c r="H35" s="206"/>
    </row>
    <row r="36" spans="1:8" s="16" customFormat="1" ht="27" customHeight="1" x14ac:dyDescent="0.2">
      <c r="A36" s="154" t="s">
        <v>75</v>
      </c>
      <c r="B36" s="155"/>
      <c r="C36" s="155"/>
      <c r="D36" s="155"/>
      <c r="E36" s="156"/>
      <c r="F36" s="203"/>
      <c r="G36" s="18">
        <v>1400</v>
      </c>
      <c r="H36" s="206">
        <f t="shared" si="1"/>
        <v>0</v>
      </c>
    </row>
    <row r="37" spans="1:8" s="16" customFormat="1" x14ac:dyDescent="0.2">
      <c r="A37" s="154" t="s">
        <v>76</v>
      </c>
      <c r="B37" s="155"/>
      <c r="C37" s="155"/>
      <c r="D37" s="155"/>
      <c r="E37" s="156"/>
      <c r="F37" s="203"/>
      <c r="G37" s="18">
        <v>1400</v>
      </c>
      <c r="H37" s="206">
        <f t="shared" si="1"/>
        <v>0</v>
      </c>
    </row>
    <row r="38" spans="1:8" s="16" customFormat="1" x14ac:dyDescent="0.2">
      <c r="A38" s="154" t="s">
        <v>77</v>
      </c>
      <c r="B38" s="155"/>
      <c r="C38" s="155"/>
      <c r="D38" s="155"/>
      <c r="E38" s="156"/>
      <c r="F38" s="203"/>
      <c r="G38" s="18">
        <v>1400</v>
      </c>
      <c r="H38" s="206">
        <f t="shared" si="1"/>
        <v>0</v>
      </c>
    </row>
    <row r="39" spans="1:8" s="16" customFormat="1" x14ac:dyDescent="0.2">
      <c r="A39" s="154" t="s">
        <v>78</v>
      </c>
      <c r="B39" s="155"/>
      <c r="C39" s="155"/>
      <c r="D39" s="155"/>
      <c r="E39" s="156"/>
      <c r="F39" s="203"/>
      <c r="G39" s="18">
        <v>1400</v>
      </c>
      <c r="H39" s="206">
        <f t="shared" si="1"/>
        <v>0</v>
      </c>
    </row>
    <row r="40" spans="1:8" s="16" customFormat="1" ht="26.25" customHeight="1" x14ac:dyDescent="0.2">
      <c r="A40" s="154" t="s">
        <v>79</v>
      </c>
      <c r="B40" s="155"/>
      <c r="C40" s="155"/>
      <c r="D40" s="155"/>
      <c r="E40" s="156"/>
      <c r="F40" s="203"/>
      <c r="G40" s="18">
        <v>1400</v>
      </c>
      <c r="H40" s="206">
        <f t="shared" si="1"/>
        <v>0</v>
      </c>
    </row>
    <row r="41" spans="1:8" s="16" customFormat="1" ht="26.25" customHeight="1" x14ac:dyDescent="0.2">
      <c r="A41" s="154" t="s">
        <v>80</v>
      </c>
      <c r="B41" s="155"/>
      <c r="C41" s="155"/>
      <c r="D41" s="155"/>
      <c r="E41" s="156"/>
      <c r="F41" s="203"/>
      <c r="G41" s="18">
        <v>1400</v>
      </c>
      <c r="H41" s="206">
        <f t="shared" si="1"/>
        <v>0</v>
      </c>
    </row>
    <row r="42" spans="1:8" s="16" customFormat="1" x14ac:dyDescent="0.2">
      <c r="A42" s="154" t="s">
        <v>81</v>
      </c>
      <c r="B42" s="155"/>
      <c r="C42" s="155"/>
      <c r="D42" s="155"/>
      <c r="E42" s="156"/>
      <c r="F42" s="203"/>
      <c r="G42" s="18">
        <v>1400</v>
      </c>
      <c r="H42" s="206">
        <f t="shared" si="1"/>
        <v>0</v>
      </c>
    </row>
    <row r="43" spans="1:8" s="16" customFormat="1" x14ac:dyDescent="0.2">
      <c r="A43" s="154" t="s">
        <v>82</v>
      </c>
      <c r="B43" s="155"/>
      <c r="C43" s="155"/>
      <c r="D43" s="155"/>
      <c r="E43" s="156"/>
      <c r="F43" s="203"/>
      <c r="G43" s="18">
        <v>1400</v>
      </c>
      <c r="H43" s="206">
        <f t="shared" si="1"/>
        <v>0</v>
      </c>
    </row>
    <row r="44" spans="1:8" s="16" customFormat="1" ht="25.5" customHeight="1" x14ac:dyDescent="0.2">
      <c r="A44" s="154" t="s">
        <v>83</v>
      </c>
      <c r="B44" s="155"/>
      <c r="C44" s="155"/>
      <c r="D44" s="155"/>
      <c r="E44" s="156"/>
      <c r="F44" s="203"/>
      <c r="G44" s="18">
        <v>1400</v>
      </c>
      <c r="H44" s="206">
        <f t="shared" si="1"/>
        <v>0</v>
      </c>
    </row>
    <row r="45" spans="1:8" s="16" customFormat="1" x14ac:dyDescent="0.2">
      <c r="A45" s="154" t="s">
        <v>84</v>
      </c>
      <c r="B45" s="155"/>
      <c r="C45" s="155"/>
      <c r="D45" s="155"/>
      <c r="E45" s="156"/>
      <c r="F45" s="203"/>
      <c r="G45" s="18">
        <v>1000</v>
      </c>
      <c r="H45" s="206">
        <f t="shared" si="1"/>
        <v>0</v>
      </c>
    </row>
    <row r="46" spans="1:8" s="16" customFormat="1" x14ac:dyDescent="0.2">
      <c r="A46" s="145" t="s">
        <v>85</v>
      </c>
      <c r="B46" s="146"/>
      <c r="C46" s="146"/>
      <c r="D46" s="146"/>
      <c r="E46" s="147"/>
      <c r="F46" s="203"/>
      <c r="G46" s="18">
        <v>11250</v>
      </c>
      <c r="H46" s="206">
        <f t="shared" si="1"/>
        <v>0</v>
      </c>
    </row>
    <row r="47" spans="1:8" s="16" customFormat="1" x14ac:dyDescent="0.2">
      <c r="A47" s="145" t="s">
        <v>86</v>
      </c>
      <c r="B47" s="146"/>
      <c r="C47" s="146"/>
      <c r="D47" s="146"/>
      <c r="E47" s="147"/>
      <c r="F47" s="203"/>
      <c r="G47" s="18">
        <v>1000</v>
      </c>
      <c r="H47" s="206">
        <f>F47*G47</f>
        <v>0</v>
      </c>
    </row>
    <row r="48" spans="1:8" s="16" customFormat="1" x14ac:dyDescent="0.2">
      <c r="A48" s="211" t="s">
        <v>87</v>
      </c>
      <c r="B48" s="212"/>
      <c r="C48" s="212"/>
      <c r="D48" s="212"/>
      <c r="E48" s="212"/>
      <c r="F48" s="212"/>
      <c r="G48" s="212"/>
      <c r="H48" s="213"/>
    </row>
    <row r="49" spans="1:10" s="16" customFormat="1" x14ac:dyDescent="0.2">
      <c r="A49" s="145" t="s">
        <v>88</v>
      </c>
      <c r="B49" s="146"/>
      <c r="C49" s="146"/>
      <c r="D49" s="146"/>
      <c r="E49" s="147"/>
      <c r="F49" s="203"/>
      <c r="G49" s="18">
        <v>1600</v>
      </c>
      <c r="H49" s="206">
        <f>F49*G49</f>
        <v>0</v>
      </c>
    </row>
    <row r="50" spans="1:10" s="16" customFormat="1" x14ac:dyDescent="0.2">
      <c r="A50" s="145" t="s">
        <v>89</v>
      </c>
      <c r="B50" s="146"/>
      <c r="C50" s="146"/>
      <c r="D50" s="146"/>
      <c r="E50" s="147"/>
      <c r="F50" s="203"/>
      <c r="G50" s="18">
        <v>2100</v>
      </c>
      <c r="H50" s="206">
        <f>F50*G50</f>
        <v>0</v>
      </c>
    </row>
    <row r="51" spans="1:10" s="16" customFormat="1" x14ac:dyDescent="0.2">
      <c r="A51" s="211" t="s">
        <v>90</v>
      </c>
      <c r="B51" s="212"/>
      <c r="C51" s="212"/>
      <c r="D51" s="212"/>
      <c r="E51" s="212"/>
      <c r="F51" s="212"/>
      <c r="G51" s="212"/>
      <c r="H51" s="213"/>
      <c r="J51" s="19"/>
    </row>
    <row r="52" spans="1:10" s="16" customFormat="1" x14ac:dyDescent="0.2">
      <c r="A52" s="145" t="s">
        <v>91</v>
      </c>
      <c r="B52" s="146"/>
      <c r="C52" s="146"/>
      <c r="D52" s="146"/>
      <c r="E52" s="147"/>
      <c r="F52" s="203"/>
      <c r="G52" s="18">
        <v>1100</v>
      </c>
      <c r="H52" s="206">
        <f>F52*G52</f>
        <v>0</v>
      </c>
    </row>
    <row r="53" spans="1:10" s="16" customFormat="1" x14ac:dyDescent="0.2">
      <c r="A53" s="145" t="s">
        <v>92</v>
      </c>
      <c r="B53" s="146"/>
      <c r="C53" s="146"/>
      <c r="D53" s="146"/>
      <c r="E53" s="147"/>
      <c r="F53" s="203"/>
      <c r="G53" s="18">
        <v>500</v>
      </c>
      <c r="H53" s="206">
        <f>F53*G53</f>
        <v>0</v>
      </c>
    </row>
    <row r="54" spans="1:10" s="16" customFormat="1" x14ac:dyDescent="0.2">
      <c r="A54" s="211" t="s">
        <v>93</v>
      </c>
      <c r="B54" s="212"/>
      <c r="C54" s="212"/>
      <c r="D54" s="212"/>
      <c r="E54" s="212"/>
      <c r="F54" s="212"/>
      <c r="G54" s="212"/>
      <c r="H54" s="213"/>
    </row>
    <row r="55" spans="1:10" s="16" customFormat="1" x14ac:dyDescent="0.2">
      <c r="A55" s="145" t="s">
        <v>94</v>
      </c>
      <c r="B55" s="146"/>
      <c r="C55" s="146"/>
      <c r="D55" s="146"/>
      <c r="E55" s="147"/>
      <c r="F55" s="203"/>
      <c r="G55" s="18">
        <v>2000</v>
      </c>
      <c r="H55" s="206">
        <f>F55*G55</f>
        <v>0</v>
      </c>
    </row>
    <row r="56" spans="1:10" s="16" customFormat="1" x14ac:dyDescent="0.2">
      <c r="A56" s="211" t="s">
        <v>95</v>
      </c>
      <c r="B56" s="212"/>
      <c r="C56" s="212"/>
      <c r="D56" s="212"/>
      <c r="E56" s="212"/>
      <c r="F56" s="212"/>
      <c r="G56" s="212"/>
      <c r="H56" s="213"/>
    </row>
    <row r="57" spans="1:10" s="16" customFormat="1" x14ac:dyDescent="0.2">
      <c r="A57" s="145" t="s">
        <v>96</v>
      </c>
      <c r="B57" s="146"/>
      <c r="C57" s="146"/>
      <c r="D57" s="146"/>
      <c r="E57" s="147"/>
      <c r="F57" s="203"/>
      <c r="G57" s="18">
        <v>4200</v>
      </c>
      <c r="H57" s="206">
        <f>F57*G57</f>
        <v>0</v>
      </c>
    </row>
    <row r="58" spans="1:10" s="16" customFormat="1" x14ac:dyDescent="0.2">
      <c r="A58" s="145" t="s">
        <v>97</v>
      </c>
      <c r="B58" s="146"/>
      <c r="C58" s="146"/>
      <c r="D58" s="146"/>
      <c r="E58" s="147"/>
      <c r="F58" s="203"/>
      <c r="G58" s="18">
        <v>8400</v>
      </c>
      <c r="H58" s="206">
        <f>F58*G58</f>
        <v>0</v>
      </c>
    </row>
    <row r="59" spans="1:10" s="16" customFormat="1" x14ac:dyDescent="0.2">
      <c r="A59" s="211" t="s">
        <v>98</v>
      </c>
      <c r="B59" s="212"/>
      <c r="C59" s="212"/>
      <c r="D59" s="212"/>
      <c r="E59" s="212"/>
      <c r="F59" s="212"/>
      <c r="G59" s="212"/>
      <c r="H59" s="213"/>
    </row>
    <row r="60" spans="1:10" s="16" customFormat="1" x14ac:dyDescent="0.2">
      <c r="A60" s="145" t="s">
        <v>120</v>
      </c>
      <c r="B60" s="146"/>
      <c r="C60" s="146"/>
      <c r="D60" s="146"/>
      <c r="E60" s="147"/>
      <c r="F60" s="203"/>
      <c r="G60" s="18">
        <v>0</v>
      </c>
      <c r="H60" s="206">
        <f>F60*G60</f>
        <v>0</v>
      </c>
    </row>
    <row r="61" spans="1:10" s="16" customFormat="1" x14ac:dyDescent="0.2">
      <c r="A61" s="145" t="s">
        <v>99</v>
      </c>
      <c r="B61" s="146"/>
      <c r="C61" s="146"/>
      <c r="D61" s="146"/>
      <c r="E61" s="147"/>
      <c r="F61" s="203"/>
      <c r="G61" s="18">
        <v>750</v>
      </c>
      <c r="H61" s="206">
        <f>F61*G61</f>
        <v>0</v>
      </c>
    </row>
    <row r="62" spans="1:10" s="16" customFormat="1" x14ac:dyDescent="0.2">
      <c r="A62" s="211" t="s">
        <v>8</v>
      </c>
      <c r="B62" s="212"/>
      <c r="C62" s="212"/>
      <c r="D62" s="212"/>
      <c r="E62" s="212"/>
      <c r="F62" s="212"/>
      <c r="G62" s="212"/>
      <c r="H62" s="213"/>
    </row>
    <row r="63" spans="1:10" s="16" customFormat="1" x14ac:dyDescent="0.2">
      <c r="A63" s="145" t="s">
        <v>100</v>
      </c>
      <c r="B63" s="146"/>
      <c r="C63" s="146"/>
      <c r="D63" s="146"/>
      <c r="E63" s="147"/>
      <c r="F63" s="203"/>
      <c r="G63" s="18">
        <v>4500</v>
      </c>
      <c r="H63" s="206">
        <f>F63*G63</f>
        <v>0</v>
      </c>
    </row>
    <row r="64" spans="1:10" s="16" customFormat="1" x14ac:dyDescent="0.2">
      <c r="A64" s="211" t="s">
        <v>101</v>
      </c>
      <c r="B64" s="212"/>
      <c r="C64" s="212"/>
      <c r="D64" s="212"/>
      <c r="E64" s="212"/>
      <c r="F64" s="212"/>
      <c r="G64" s="212"/>
      <c r="H64" s="213"/>
    </row>
    <row r="65" spans="1:8" s="16" customFormat="1" x14ac:dyDescent="0.2">
      <c r="A65" s="145" t="s">
        <v>102</v>
      </c>
      <c r="B65" s="146"/>
      <c r="C65" s="146"/>
      <c r="D65" s="146"/>
      <c r="E65" s="147"/>
      <c r="F65" s="203"/>
      <c r="G65" s="18">
        <v>4600</v>
      </c>
      <c r="H65" s="206">
        <f>F65*G65</f>
        <v>0</v>
      </c>
    </row>
    <row r="66" spans="1:8" s="16" customFormat="1" x14ac:dyDescent="0.2">
      <c r="A66" s="145" t="s">
        <v>103</v>
      </c>
      <c r="B66" s="146"/>
      <c r="C66" s="146"/>
      <c r="D66" s="146"/>
      <c r="E66" s="147"/>
      <c r="F66" s="203"/>
      <c r="G66" s="18">
        <v>1200</v>
      </c>
      <c r="H66" s="206">
        <f>F66*G66</f>
        <v>0</v>
      </c>
    </row>
    <row r="67" spans="1:8" s="16" customFormat="1" x14ac:dyDescent="0.2">
      <c r="A67" s="145" t="s">
        <v>104</v>
      </c>
      <c r="B67" s="146"/>
      <c r="C67" s="146"/>
      <c r="D67" s="146"/>
      <c r="E67" s="147"/>
      <c r="F67" s="203"/>
      <c r="G67" s="18">
        <v>2700</v>
      </c>
      <c r="H67" s="206">
        <f>F67*G67</f>
        <v>0</v>
      </c>
    </row>
    <row r="68" spans="1:8" s="16" customFormat="1" x14ac:dyDescent="0.2">
      <c r="A68" s="211" t="s">
        <v>105</v>
      </c>
      <c r="B68" s="212"/>
      <c r="C68" s="212"/>
      <c r="D68" s="212"/>
      <c r="E68" s="212"/>
      <c r="F68" s="212"/>
      <c r="G68" s="212"/>
      <c r="H68" s="213"/>
    </row>
    <row r="69" spans="1:8" s="16" customFormat="1" x14ac:dyDescent="0.2">
      <c r="A69" s="145" t="s">
        <v>106</v>
      </c>
      <c r="B69" s="146"/>
      <c r="C69" s="146"/>
      <c r="D69" s="146"/>
      <c r="E69" s="147"/>
      <c r="F69" s="203"/>
      <c r="G69" s="18">
        <v>2500</v>
      </c>
      <c r="H69" s="206">
        <f>F69*G69</f>
        <v>0</v>
      </c>
    </row>
    <row r="70" spans="1:8" s="16" customFormat="1" x14ac:dyDescent="0.2">
      <c r="A70" s="145" t="s">
        <v>107</v>
      </c>
      <c r="B70" s="146"/>
      <c r="C70" s="146"/>
      <c r="D70" s="146"/>
      <c r="E70" s="147"/>
      <c r="F70" s="203"/>
      <c r="G70" s="18">
        <v>1850</v>
      </c>
      <c r="H70" s="206">
        <f>F70*G70</f>
        <v>0</v>
      </c>
    </row>
    <row r="71" spans="1:8" s="16" customFormat="1" x14ac:dyDescent="0.2">
      <c r="A71" s="145" t="s">
        <v>108</v>
      </c>
      <c r="B71" s="146"/>
      <c r="C71" s="146"/>
      <c r="D71" s="146"/>
      <c r="E71" s="147"/>
      <c r="F71" s="203"/>
      <c r="G71" s="18">
        <v>800</v>
      </c>
      <c r="H71" s="206">
        <f>F71*G71</f>
        <v>0</v>
      </c>
    </row>
    <row r="72" spans="1:8" s="16" customFormat="1" x14ac:dyDescent="0.2">
      <c r="A72" s="145" t="s">
        <v>109</v>
      </c>
      <c r="B72" s="146"/>
      <c r="C72" s="146"/>
      <c r="D72" s="146"/>
      <c r="E72" s="147"/>
      <c r="F72" s="203"/>
      <c r="G72" s="18">
        <v>1000</v>
      </c>
      <c r="H72" s="206">
        <f>F72*G72</f>
        <v>0</v>
      </c>
    </row>
    <row r="73" spans="1:8" s="16" customFormat="1" x14ac:dyDescent="0.2">
      <c r="A73" s="145" t="s">
        <v>110</v>
      </c>
      <c r="B73" s="146"/>
      <c r="C73" s="146"/>
      <c r="D73" s="146"/>
      <c r="E73" s="147"/>
      <c r="F73" s="203"/>
      <c r="G73" s="18">
        <v>1000</v>
      </c>
      <c r="H73" s="206">
        <f>F73*G73</f>
        <v>0</v>
      </c>
    </row>
    <row r="74" spans="1:8" s="16" customFormat="1" x14ac:dyDescent="0.2">
      <c r="A74" s="211" t="s">
        <v>119</v>
      </c>
      <c r="B74" s="212"/>
      <c r="C74" s="212"/>
      <c r="D74" s="212"/>
      <c r="E74" s="212"/>
      <c r="F74" s="212"/>
      <c r="G74" s="212"/>
      <c r="H74" s="213"/>
    </row>
    <row r="75" spans="1:8" s="16" customFormat="1" x14ac:dyDescent="0.2">
      <c r="A75" s="145" t="s">
        <v>111</v>
      </c>
      <c r="B75" s="146"/>
      <c r="C75" s="146"/>
      <c r="D75" s="146"/>
      <c r="E75" s="147"/>
      <c r="F75" s="203"/>
      <c r="G75" s="18">
        <v>4500</v>
      </c>
      <c r="H75" s="206">
        <f>F75*G75</f>
        <v>0</v>
      </c>
    </row>
    <row r="76" spans="1:8" s="16" customFormat="1" x14ac:dyDescent="0.2">
      <c r="A76" s="148" t="s">
        <v>112</v>
      </c>
      <c r="B76" s="149"/>
      <c r="C76" s="149"/>
      <c r="D76" s="149"/>
      <c r="E76" s="150"/>
      <c r="F76" s="203"/>
      <c r="G76" s="18">
        <v>40</v>
      </c>
      <c r="H76" s="206">
        <f>F76*G76</f>
        <v>0</v>
      </c>
    </row>
    <row r="77" spans="1:8" s="16" customFormat="1" x14ac:dyDescent="0.2">
      <c r="A77" s="145" t="s">
        <v>113</v>
      </c>
      <c r="B77" s="146"/>
      <c r="C77" s="146"/>
      <c r="D77" s="146"/>
      <c r="E77" s="147"/>
      <c r="F77" s="203"/>
      <c r="G77" s="18">
        <v>2600</v>
      </c>
      <c r="H77" s="206">
        <f>F77*G77</f>
        <v>0</v>
      </c>
    </row>
    <row r="78" spans="1:8" s="16" customFormat="1" x14ac:dyDescent="0.2">
      <c r="A78" s="211" t="s">
        <v>118</v>
      </c>
      <c r="B78" s="212"/>
      <c r="C78" s="212"/>
      <c r="D78" s="212"/>
      <c r="E78" s="212"/>
      <c r="F78" s="212"/>
      <c r="G78" s="212"/>
      <c r="H78" s="213"/>
    </row>
    <row r="79" spans="1:8" s="16" customFormat="1" x14ac:dyDescent="0.2">
      <c r="A79" s="145" t="s">
        <v>111</v>
      </c>
      <c r="B79" s="146"/>
      <c r="C79" s="146"/>
      <c r="D79" s="146"/>
      <c r="E79" s="147"/>
      <c r="F79" s="203"/>
      <c r="G79" s="18">
        <v>3000</v>
      </c>
      <c r="H79" s="206">
        <f>F79*G79</f>
        <v>0</v>
      </c>
    </row>
    <row r="80" spans="1:8" s="16" customFormat="1" x14ac:dyDescent="0.2">
      <c r="A80" s="148" t="s">
        <v>112</v>
      </c>
      <c r="B80" s="149"/>
      <c r="C80" s="149"/>
      <c r="D80" s="149"/>
      <c r="E80" s="150"/>
      <c r="F80" s="203"/>
      <c r="G80" s="18">
        <v>30</v>
      </c>
      <c r="H80" s="206">
        <f>F80*G80</f>
        <v>0</v>
      </c>
    </row>
    <row r="81" spans="1:8" s="16" customFormat="1" x14ac:dyDescent="0.2">
      <c r="A81" s="211" t="s">
        <v>114</v>
      </c>
      <c r="B81" s="212"/>
      <c r="C81" s="212"/>
      <c r="D81" s="212"/>
      <c r="E81" s="212"/>
      <c r="F81" s="212"/>
      <c r="G81" s="212"/>
      <c r="H81" s="213"/>
    </row>
    <row r="82" spans="1:8" s="16" customFormat="1" ht="13.5" thickBot="1" x14ac:dyDescent="0.25">
      <c r="A82" s="151" t="s">
        <v>115</v>
      </c>
      <c r="B82" s="152"/>
      <c r="C82" s="152"/>
      <c r="D82" s="152"/>
      <c r="E82" s="153"/>
      <c r="F82" s="203"/>
      <c r="G82" s="18">
        <v>2600</v>
      </c>
      <c r="H82" s="206">
        <f>F82*G82</f>
        <v>0</v>
      </c>
    </row>
    <row r="83" spans="1:8" s="13" customFormat="1" x14ac:dyDescent="0.2">
      <c r="A83" s="20"/>
      <c r="B83" s="21"/>
      <c r="C83" s="22"/>
      <c r="D83" s="22"/>
      <c r="E83" s="22"/>
      <c r="F83" s="22"/>
      <c r="G83" s="23" t="s">
        <v>41</v>
      </c>
      <c r="H83" s="207">
        <f>SUM(H14:H82)</f>
        <v>0</v>
      </c>
    </row>
    <row r="84" spans="1:8" s="13" customFormat="1" x14ac:dyDescent="0.2">
      <c r="A84" s="24"/>
      <c r="B84" s="25"/>
      <c r="C84" s="26"/>
      <c r="D84" s="26"/>
      <c r="E84" s="26"/>
      <c r="F84" s="26"/>
      <c r="G84" s="26"/>
      <c r="H84" s="27"/>
    </row>
    <row r="85" spans="1:8" s="13" customFormat="1" x14ac:dyDescent="0.2">
      <c r="A85" s="24"/>
      <c r="B85" s="25"/>
      <c r="C85" s="16"/>
      <c r="D85" s="16"/>
      <c r="E85" s="16"/>
      <c r="F85" s="16"/>
      <c r="G85" s="26" t="s">
        <v>42</v>
      </c>
      <c r="H85" s="205"/>
    </row>
    <row r="86" spans="1:8" s="13" customFormat="1" x14ac:dyDescent="0.2">
      <c r="A86" s="28" t="s">
        <v>6</v>
      </c>
      <c r="B86" s="214">
        <f>G11</f>
        <v>0</v>
      </c>
      <c r="C86" s="214"/>
      <c r="D86" s="29"/>
      <c r="E86" s="29"/>
      <c r="F86" s="29"/>
      <c r="G86" s="29"/>
      <c r="H86" s="30"/>
    </row>
    <row r="87" spans="1:8" s="13" customFormat="1" ht="13.5" thickBot="1" x14ac:dyDescent="0.25">
      <c r="A87" s="24"/>
      <c r="B87" s="25"/>
      <c r="C87" s="16"/>
      <c r="D87" s="16"/>
      <c r="E87" s="16"/>
      <c r="F87" s="16"/>
      <c r="G87" s="31" t="s">
        <v>43</v>
      </c>
      <c r="H87" s="204"/>
    </row>
    <row r="88" spans="1:8" x14ac:dyDescent="0.2">
      <c r="A88" s="32"/>
      <c r="B88" s="33"/>
      <c r="C88" s="33"/>
      <c r="D88" s="33"/>
      <c r="E88" s="33"/>
      <c r="F88" s="33"/>
      <c r="G88" s="33"/>
      <c r="H88" s="34"/>
    </row>
    <row r="89" spans="1:8" ht="13.5" x14ac:dyDescent="0.2">
      <c r="A89" s="160" t="s">
        <v>399</v>
      </c>
      <c r="B89" s="161"/>
      <c r="C89" s="161"/>
      <c r="D89" s="161"/>
      <c r="E89" s="161"/>
      <c r="F89" s="161"/>
      <c r="G89" s="161"/>
      <c r="H89" s="162"/>
    </row>
    <row r="90" spans="1:8" ht="13.5" x14ac:dyDescent="0.25">
      <c r="A90" s="35"/>
      <c r="B90" s="36"/>
      <c r="C90" s="36"/>
      <c r="D90" s="36"/>
      <c r="E90" s="36"/>
      <c r="F90" s="36"/>
      <c r="G90" s="36"/>
      <c r="H90" s="37"/>
    </row>
    <row r="91" spans="1:8" ht="13.5" x14ac:dyDescent="0.25">
      <c r="A91" s="35" t="s">
        <v>1</v>
      </c>
      <c r="B91" s="36"/>
      <c r="C91" s="36"/>
      <c r="D91" s="36"/>
      <c r="E91" s="36"/>
      <c r="F91" s="36"/>
      <c r="G91" s="36"/>
      <c r="H91" s="37"/>
    </row>
    <row r="92" spans="1:8" x14ac:dyDescent="0.2">
      <c r="A92" s="38"/>
      <c r="B92" s="39"/>
      <c r="C92" s="39"/>
      <c r="D92" s="39"/>
      <c r="E92" s="39"/>
      <c r="F92" s="39"/>
      <c r="G92" s="39"/>
      <c r="H92" s="40"/>
    </row>
    <row r="93" spans="1:8" ht="13.5" thickBot="1" x14ac:dyDescent="0.25">
      <c r="A93" s="41" t="s">
        <v>2</v>
      </c>
      <c r="B93" s="42"/>
      <c r="C93" s="43"/>
      <c r="D93" s="43"/>
      <c r="E93" s="43"/>
      <c r="F93" s="43"/>
      <c r="G93" s="43"/>
      <c r="H93" s="44"/>
    </row>
  </sheetData>
  <sheetProtection password="C724" sheet="1" objects="1" scenarios="1" selectLockedCells="1"/>
  <protectedRanges>
    <protectedRange sqref="B7:H10 B11:C11 G11:H11 B15 C18 F18 B17:B21 E15:E21 B25 B38 E23:E25" name="Range1"/>
  </protectedRanges>
  <mergeCells count="82">
    <mergeCell ref="B8:H8"/>
    <mergeCell ref="A67:E67"/>
    <mergeCell ref="A1:H1"/>
    <mergeCell ref="A2:H2"/>
    <mergeCell ref="A3:H3"/>
    <mergeCell ref="A4:H4"/>
    <mergeCell ref="B7:H7"/>
    <mergeCell ref="B9:H9"/>
    <mergeCell ref="B10:H10"/>
    <mergeCell ref="B11:C11"/>
    <mergeCell ref="G11:H11"/>
    <mergeCell ref="B86:C86"/>
    <mergeCell ref="A89:H89"/>
    <mergeCell ref="A28:H28"/>
    <mergeCell ref="A48:H48"/>
    <mergeCell ref="A51:H51"/>
    <mergeCell ref="A54:H54"/>
    <mergeCell ref="A56:H56"/>
    <mergeCell ref="A59:H59"/>
    <mergeCell ref="A35:E35"/>
    <mergeCell ref="A21:E21"/>
    <mergeCell ref="A22:E22"/>
    <mergeCell ref="A32:E32"/>
    <mergeCell ref="A62:H62"/>
    <mergeCell ref="A40:E40"/>
    <mergeCell ref="A41:E41"/>
    <mergeCell ref="A42:E42"/>
    <mergeCell ref="A34:E34"/>
    <mergeCell ref="A26:H26"/>
    <mergeCell ref="A39:E39"/>
    <mergeCell ref="A36:E36"/>
    <mergeCell ref="A30:E30"/>
    <mergeCell ref="A29:E29"/>
    <mergeCell ref="A64:H64"/>
    <mergeCell ref="A43:E43"/>
    <mergeCell ref="A66:E66"/>
    <mergeCell ref="A69:E69"/>
    <mergeCell ref="A80:E80"/>
    <mergeCell ref="A79:E79"/>
    <mergeCell ref="A78:H78"/>
    <mergeCell ref="A74:H74"/>
    <mergeCell ref="A65:E65"/>
    <mergeCell ref="A15:E15"/>
    <mergeCell ref="A16:E16"/>
    <mergeCell ref="A13:E13"/>
    <mergeCell ref="A17:E17"/>
    <mergeCell ref="A19:E19"/>
    <mergeCell ref="A14:H14"/>
    <mergeCell ref="A23:E23"/>
    <mergeCell ref="A24:E24"/>
    <mergeCell ref="A25:E25"/>
    <mergeCell ref="A18:E18"/>
    <mergeCell ref="A71:E71"/>
    <mergeCell ref="A20:E20"/>
    <mergeCell ref="A31:E31"/>
    <mergeCell ref="A33:E33"/>
    <mergeCell ref="A50:E50"/>
    <mergeCell ref="A52:E52"/>
    <mergeCell ref="A37:E37"/>
    <mergeCell ref="A27:E27"/>
    <mergeCell ref="A60:E60"/>
    <mergeCell ref="A61:E61"/>
    <mergeCell ref="A38:E38"/>
    <mergeCell ref="A68:H68"/>
    <mergeCell ref="A44:E44"/>
    <mergeCell ref="A63:E63"/>
    <mergeCell ref="A46:E46"/>
    <mergeCell ref="A47:E47"/>
    <mergeCell ref="A49:E49"/>
    <mergeCell ref="A55:E55"/>
    <mergeCell ref="A57:E57"/>
    <mergeCell ref="A58:E58"/>
    <mergeCell ref="A53:E53"/>
    <mergeCell ref="A45:E45"/>
    <mergeCell ref="A75:E75"/>
    <mergeCell ref="A76:E76"/>
    <mergeCell ref="A70:E70"/>
    <mergeCell ref="A82:E82"/>
    <mergeCell ref="A77:E77"/>
    <mergeCell ref="A72:E72"/>
    <mergeCell ref="A73:E73"/>
    <mergeCell ref="A81:H81"/>
  </mergeCells>
  <phoneticPr fontId="0" type="noConversion"/>
  <pageMargins left="0.5" right="0.5" top="0.5" bottom="0.5" header="0.3" footer="0.3"/>
  <pageSetup scale="70" orientation="portrait" r:id="rId1"/>
  <headerFooter alignWithMargins="0">
    <oddFooter>&amp;CPage &amp;P of &amp;N</oddFooter>
  </headerFooter>
  <rowBreaks count="1" manualBreakCount="1">
    <brk id="73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55"/>
  <sheetViews>
    <sheetView view="pageBreakPreview" zoomScaleNormal="100" zoomScaleSheetLayoutView="100" workbookViewId="0">
      <selection activeCell="E27" sqref="E27"/>
    </sheetView>
  </sheetViews>
  <sheetFormatPr defaultRowHeight="12.75" x14ac:dyDescent="0.2"/>
  <cols>
    <col min="1" max="1" width="49.85546875" style="45" customWidth="1"/>
    <col min="2" max="2" width="11.85546875" style="45" customWidth="1"/>
    <col min="3" max="3" width="12.7109375" style="45" customWidth="1"/>
    <col min="4" max="7" width="11.85546875" style="45" customWidth="1"/>
    <col min="8" max="8" width="15.5703125" style="45" customWidth="1"/>
    <col min="9" max="16384" width="9.140625" style="45"/>
  </cols>
  <sheetData>
    <row r="1" spans="1:8" ht="18.75" x14ac:dyDescent="0.3">
      <c r="A1" s="166" t="s">
        <v>9</v>
      </c>
      <c r="B1" s="167"/>
      <c r="C1" s="167"/>
      <c r="D1" s="167"/>
      <c r="E1" s="167"/>
      <c r="F1" s="167"/>
      <c r="G1" s="167"/>
      <c r="H1" s="167"/>
    </row>
    <row r="2" spans="1:8" ht="18.75" x14ac:dyDescent="0.3">
      <c r="A2" s="166" t="s">
        <v>49</v>
      </c>
      <c r="B2" s="167"/>
      <c r="C2" s="167"/>
      <c r="D2" s="167"/>
      <c r="E2" s="167"/>
      <c r="F2" s="167"/>
      <c r="G2" s="167"/>
      <c r="H2" s="167"/>
    </row>
    <row r="3" spans="1:8" ht="18.75" x14ac:dyDescent="0.3">
      <c r="A3" s="166" t="s">
        <v>50</v>
      </c>
      <c r="B3" s="167"/>
      <c r="C3" s="167"/>
      <c r="D3" s="167"/>
      <c r="E3" s="167"/>
      <c r="F3" s="167"/>
      <c r="G3" s="167"/>
      <c r="H3" s="167"/>
    </row>
    <row r="4" spans="1:8" ht="15.75" x14ac:dyDescent="0.25">
      <c r="A4" s="168" t="s">
        <v>39</v>
      </c>
      <c r="B4" s="168"/>
      <c r="C4" s="168"/>
      <c r="D4" s="168"/>
      <c r="E4" s="168"/>
      <c r="F4" s="168"/>
      <c r="G4" s="168"/>
      <c r="H4" s="168"/>
    </row>
    <row r="5" spans="1:8" ht="15.75" x14ac:dyDescent="0.25">
      <c r="B5" s="46"/>
      <c r="C5" s="46"/>
      <c r="D5" s="46"/>
      <c r="E5" s="46"/>
      <c r="F5" s="47"/>
      <c r="G5" s="215"/>
      <c r="H5" s="138" t="s">
        <v>53</v>
      </c>
    </row>
    <row r="6" spans="1:8" ht="9.75" customHeight="1" thickBot="1" x14ac:dyDescent="0.4">
      <c r="A6" s="48"/>
      <c r="B6" s="48"/>
      <c r="C6" s="48"/>
      <c r="D6" s="48"/>
      <c r="E6" s="48"/>
      <c r="F6" s="48"/>
      <c r="G6" s="48"/>
      <c r="H6" s="48"/>
    </row>
    <row r="7" spans="1:8" ht="15.75" x14ac:dyDescent="0.25">
      <c r="A7" s="49" t="s">
        <v>7</v>
      </c>
      <c r="B7" s="193"/>
      <c r="C7" s="194"/>
      <c r="D7" s="194"/>
      <c r="E7" s="194"/>
      <c r="F7" s="194"/>
      <c r="G7" s="194"/>
      <c r="H7" s="195"/>
    </row>
    <row r="8" spans="1:8" ht="15.75" x14ac:dyDescent="0.25">
      <c r="A8" s="50" t="s">
        <v>3</v>
      </c>
      <c r="B8" s="196"/>
      <c r="C8" s="196"/>
      <c r="D8" s="196"/>
      <c r="E8" s="196"/>
      <c r="F8" s="196"/>
      <c r="G8" s="196"/>
      <c r="H8" s="197"/>
    </row>
    <row r="9" spans="1:8" ht="15.75" x14ac:dyDescent="0.25">
      <c r="A9" s="50" t="s">
        <v>5</v>
      </c>
      <c r="B9" s="196"/>
      <c r="C9" s="196"/>
      <c r="D9" s="196"/>
      <c r="E9" s="196"/>
      <c r="F9" s="196"/>
      <c r="G9" s="196"/>
      <c r="H9" s="197"/>
    </row>
    <row r="10" spans="1:8" ht="15.75" x14ac:dyDescent="0.25">
      <c r="A10" s="50" t="s">
        <v>4</v>
      </c>
      <c r="B10" s="196"/>
      <c r="C10" s="196"/>
      <c r="D10" s="196"/>
      <c r="E10" s="196"/>
      <c r="F10" s="196"/>
      <c r="G10" s="196"/>
      <c r="H10" s="197"/>
    </row>
    <row r="11" spans="1:8" ht="16.5" thickBot="1" x14ac:dyDescent="0.3">
      <c r="A11" s="51" t="s">
        <v>38</v>
      </c>
      <c r="B11" s="198"/>
      <c r="C11" s="198"/>
      <c r="D11" s="52"/>
      <c r="E11" s="52"/>
      <c r="F11" s="53" t="s">
        <v>6</v>
      </c>
      <c r="G11" s="199"/>
      <c r="H11" s="200"/>
    </row>
    <row r="12" spans="1:8" x14ac:dyDescent="0.2">
      <c r="A12" s="54"/>
      <c r="B12" s="54"/>
      <c r="C12" s="54"/>
      <c r="D12" s="54"/>
      <c r="E12" s="54"/>
      <c r="F12" s="54"/>
      <c r="G12" s="54"/>
      <c r="H12" s="54"/>
    </row>
    <row r="13" spans="1:8" ht="67.5" customHeight="1" x14ac:dyDescent="0.2">
      <c r="A13" s="55" t="s">
        <v>40</v>
      </c>
      <c r="B13" s="55" t="s">
        <v>45</v>
      </c>
      <c r="C13" s="55" t="s">
        <v>44</v>
      </c>
      <c r="D13" s="55" t="s">
        <v>36</v>
      </c>
      <c r="E13" s="55" t="s">
        <v>46</v>
      </c>
      <c r="F13" s="55" t="s">
        <v>47</v>
      </c>
      <c r="G13" s="55" t="s">
        <v>48</v>
      </c>
      <c r="H13" s="55" t="s">
        <v>52</v>
      </c>
    </row>
    <row r="14" spans="1:8" s="56" customFormat="1" x14ac:dyDescent="0.2">
      <c r="A14" s="230" t="s">
        <v>10</v>
      </c>
      <c r="B14" s="231"/>
      <c r="C14" s="231"/>
      <c r="D14" s="231"/>
      <c r="E14" s="231"/>
      <c r="F14" s="231"/>
      <c r="G14" s="231"/>
      <c r="H14" s="232"/>
    </row>
    <row r="15" spans="1:8" s="56" customFormat="1" x14ac:dyDescent="0.2">
      <c r="A15" s="57" t="s">
        <v>11</v>
      </c>
      <c r="B15" s="216"/>
      <c r="C15" s="58">
        <v>600</v>
      </c>
      <c r="D15" s="58">
        <f>B15*C15</f>
        <v>0</v>
      </c>
      <c r="E15" s="201"/>
      <c r="F15" s="58">
        <v>600</v>
      </c>
      <c r="G15" s="58">
        <f t="shared" ref="G15:G20" si="0">E15*F15</f>
        <v>0</v>
      </c>
      <c r="H15" s="219">
        <f t="shared" ref="H15:H20" si="1">D15+G15</f>
        <v>0</v>
      </c>
    </row>
    <row r="16" spans="1:8" s="56" customFormat="1" ht="51.75" customHeight="1" x14ac:dyDescent="0.2">
      <c r="A16" s="57" t="s">
        <v>12</v>
      </c>
      <c r="B16" s="217"/>
      <c r="C16" s="58" t="s">
        <v>37</v>
      </c>
      <c r="D16" s="218"/>
      <c r="E16" s="201"/>
      <c r="F16" s="58">
        <v>600</v>
      </c>
      <c r="G16" s="58">
        <f t="shared" si="0"/>
        <v>0</v>
      </c>
      <c r="H16" s="219">
        <f t="shared" si="1"/>
        <v>0</v>
      </c>
    </row>
    <row r="17" spans="1:8" s="56" customFormat="1" x14ac:dyDescent="0.2">
      <c r="A17" s="57" t="s">
        <v>13</v>
      </c>
      <c r="B17" s="216"/>
      <c r="C17" s="58">
        <v>1000</v>
      </c>
      <c r="D17" s="58">
        <f>B17*C17</f>
        <v>0</v>
      </c>
      <c r="E17" s="201"/>
      <c r="F17" s="58">
        <v>500</v>
      </c>
      <c r="G17" s="58">
        <f t="shared" si="0"/>
        <v>0</v>
      </c>
      <c r="H17" s="219">
        <f t="shared" si="1"/>
        <v>0</v>
      </c>
    </row>
    <row r="18" spans="1:8" s="56" customFormat="1" x14ac:dyDescent="0.2">
      <c r="A18" s="57" t="s">
        <v>14</v>
      </c>
      <c r="B18" s="216"/>
      <c r="C18" s="201"/>
      <c r="D18" s="58">
        <f>B18*C18</f>
        <v>0</v>
      </c>
      <c r="E18" s="201"/>
      <c r="F18" s="201"/>
      <c r="G18" s="58">
        <f t="shared" si="0"/>
        <v>0</v>
      </c>
      <c r="H18" s="219">
        <f t="shared" si="1"/>
        <v>0</v>
      </c>
    </row>
    <row r="19" spans="1:8" s="56" customFormat="1" x14ac:dyDescent="0.2">
      <c r="A19" s="57" t="s">
        <v>15</v>
      </c>
      <c r="B19" s="216"/>
      <c r="C19" s="58">
        <v>600</v>
      </c>
      <c r="D19" s="58">
        <f>B19*C19</f>
        <v>0</v>
      </c>
      <c r="E19" s="201"/>
      <c r="F19" s="58">
        <v>600</v>
      </c>
      <c r="G19" s="58">
        <f t="shared" si="0"/>
        <v>0</v>
      </c>
      <c r="H19" s="219">
        <f t="shared" si="1"/>
        <v>0</v>
      </c>
    </row>
    <row r="20" spans="1:8" s="56" customFormat="1" x14ac:dyDescent="0.2">
      <c r="A20" s="57" t="s">
        <v>16</v>
      </c>
      <c r="B20" s="216"/>
      <c r="C20" s="58">
        <v>1000</v>
      </c>
      <c r="D20" s="58">
        <f>B20*C20</f>
        <v>0</v>
      </c>
      <c r="E20" s="201"/>
      <c r="F20" s="58">
        <v>500</v>
      </c>
      <c r="G20" s="58">
        <f t="shared" si="0"/>
        <v>0</v>
      </c>
      <c r="H20" s="219">
        <f t="shared" si="1"/>
        <v>0</v>
      </c>
    </row>
    <row r="21" spans="1:8" s="56" customFormat="1" x14ac:dyDescent="0.2">
      <c r="A21" s="230" t="s">
        <v>17</v>
      </c>
      <c r="B21" s="231"/>
      <c r="C21" s="231"/>
      <c r="D21" s="231"/>
      <c r="E21" s="231"/>
      <c r="F21" s="231"/>
      <c r="G21" s="231"/>
      <c r="H21" s="232"/>
    </row>
    <row r="22" spans="1:8" s="56" customFormat="1" x14ac:dyDescent="0.2">
      <c r="A22" s="57" t="s">
        <v>18</v>
      </c>
      <c r="B22" s="216"/>
      <c r="C22" s="59">
        <v>600</v>
      </c>
      <c r="D22" s="58">
        <f>B22*C22</f>
        <v>0</v>
      </c>
      <c r="E22" s="202"/>
      <c r="F22" s="59">
        <v>600</v>
      </c>
      <c r="G22" s="59">
        <f>E22*F22</f>
        <v>0</v>
      </c>
      <c r="H22" s="219">
        <f>D22+G22</f>
        <v>0</v>
      </c>
    </row>
    <row r="23" spans="1:8" s="60" customFormat="1" x14ac:dyDescent="0.2">
      <c r="A23" s="57" t="s">
        <v>51</v>
      </c>
      <c r="B23" s="223"/>
      <c r="C23" s="228"/>
      <c r="D23" s="218"/>
      <c r="E23" s="228"/>
      <c r="F23" s="226"/>
      <c r="G23" s="228"/>
      <c r="H23" s="219"/>
    </row>
    <row r="24" spans="1:8" s="63" customFormat="1" x14ac:dyDescent="0.2">
      <c r="A24" s="61" t="s">
        <v>19</v>
      </c>
      <c r="B24" s="217"/>
      <c r="C24" s="59">
        <v>0</v>
      </c>
      <c r="D24" s="58">
        <v>0</v>
      </c>
      <c r="E24" s="202"/>
      <c r="F24" s="62">
        <v>300</v>
      </c>
      <c r="G24" s="59">
        <f>E24*F24</f>
        <v>0</v>
      </c>
      <c r="H24" s="219">
        <f>D24+G24</f>
        <v>0</v>
      </c>
    </row>
    <row r="25" spans="1:8" s="63" customFormat="1" x14ac:dyDescent="0.2">
      <c r="A25" s="61" t="s">
        <v>20</v>
      </c>
      <c r="B25" s="217"/>
      <c r="C25" s="59">
        <v>0</v>
      </c>
      <c r="D25" s="58">
        <v>0</v>
      </c>
      <c r="E25" s="202"/>
      <c r="F25" s="62">
        <v>300</v>
      </c>
      <c r="G25" s="59">
        <f>E25*F25</f>
        <v>0</v>
      </c>
      <c r="H25" s="219">
        <f>D25+G25</f>
        <v>0</v>
      </c>
    </row>
    <row r="26" spans="1:8" s="63" customFormat="1" x14ac:dyDescent="0.2">
      <c r="A26" s="57" t="s">
        <v>21</v>
      </c>
      <c r="B26" s="216"/>
      <c r="C26" s="62">
        <v>600</v>
      </c>
      <c r="D26" s="58">
        <f>B26*C26</f>
        <v>0</v>
      </c>
      <c r="E26" s="203"/>
      <c r="F26" s="62">
        <v>300</v>
      </c>
      <c r="G26" s="59">
        <f>E26*F26</f>
        <v>0</v>
      </c>
      <c r="H26" s="219">
        <f>D26+G26</f>
        <v>0</v>
      </c>
    </row>
    <row r="27" spans="1:8" s="63" customFormat="1" ht="25.5" x14ac:dyDescent="0.2">
      <c r="A27" s="57" t="s">
        <v>400</v>
      </c>
      <c r="B27" s="216"/>
      <c r="C27" s="62">
        <v>300</v>
      </c>
      <c r="D27" s="58">
        <f>B27*C27</f>
        <v>0</v>
      </c>
      <c r="E27" s="203"/>
      <c r="F27" s="62">
        <v>300</v>
      </c>
      <c r="G27" s="59">
        <f>E27*F27</f>
        <v>0</v>
      </c>
      <c r="H27" s="219">
        <f>D27+G27</f>
        <v>0</v>
      </c>
    </row>
    <row r="28" spans="1:8" s="63" customFormat="1" ht="50.25" customHeight="1" x14ac:dyDescent="0.2">
      <c r="A28" s="57" t="s">
        <v>22</v>
      </c>
      <c r="B28" s="217"/>
      <c r="C28" s="59" t="s">
        <v>37</v>
      </c>
      <c r="D28" s="58">
        <v>0</v>
      </c>
      <c r="E28" s="202"/>
      <c r="F28" s="62">
        <v>300</v>
      </c>
      <c r="G28" s="59">
        <f>E28*F28</f>
        <v>0</v>
      </c>
      <c r="H28" s="219">
        <f>D28+G28</f>
        <v>0</v>
      </c>
    </row>
    <row r="29" spans="1:8" s="60" customFormat="1" ht="25.5" x14ac:dyDescent="0.2">
      <c r="A29" s="64" t="s">
        <v>23</v>
      </c>
      <c r="B29" s="220"/>
      <c r="C29" s="220"/>
      <c r="D29" s="220"/>
      <c r="E29" s="220"/>
      <c r="F29" s="220"/>
      <c r="G29" s="220"/>
      <c r="H29" s="220"/>
    </row>
    <row r="30" spans="1:8" s="60" customFormat="1" x14ac:dyDescent="0.2">
      <c r="A30" s="61" t="s">
        <v>24</v>
      </c>
      <c r="B30" s="216"/>
      <c r="C30" s="62">
        <v>600</v>
      </c>
      <c r="D30" s="58">
        <f>B30*C30</f>
        <v>0</v>
      </c>
      <c r="E30" s="203"/>
      <c r="F30" s="62">
        <v>300</v>
      </c>
      <c r="G30" s="62">
        <f>E30*F30</f>
        <v>0</v>
      </c>
      <c r="H30" s="221">
        <f t="shared" ref="H30:H35" si="2">D30+G30</f>
        <v>0</v>
      </c>
    </row>
    <row r="31" spans="1:8" s="60" customFormat="1" x14ac:dyDescent="0.2">
      <c r="A31" s="61" t="s">
        <v>25</v>
      </c>
      <c r="B31" s="216"/>
      <c r="C31" s="62">
        <v>500</v>
      </c>
      <c r="D31" s="58">
        <f>B31*C31</f>
        <v>0</v>
      </c>
      <c r="E31" s="203"/>
      <c r="F31" s="62">
        <v>250</v>
      </c>
      <c r="G31" s="62">
        <f>E31*F31</f>
        <v>0</v>
      </c>
      <c r="H31" s="221">
        <f t="shared" si="2"/>
        <v>0</v>
      </c>
    </row>
    <row r="32" spans="1:8" s="60" customFormat="1" x14ac:dyDescent="0.2">
      <c r="A32" s="61" t="s">
        <v>26</v>
      </c>
      <c r="B32" s="216"/>
      <c r="C32" s="62">
        <v>400</v>
      </c>
      <c r="D32" s="58">
        <f>B32*C32</f>
        <v>0</v>
      </c>
      <c r="E32" s="203"/>
      <c r="F32" s="62">
        <v>200</v>
      </c>
      <c r="G32" s="62">
        <f>E32*F32</f>
        <v>0</v>
      </c>
      <c r="H32" s="221">
        <f t="shared" si="2"/>
        <v>0</v>
      </c>
    </row>
    <row r="33" spans="1:8" s="60" customFormat="1" x14ac:dyDescent="0.2">
      <c r="A33" s="57" t="s">
        <v>14</v>
      </c>
      <c r="B33" s="216"/>
      <c r="C33" s="203"/>
      <c r="D33" s="58">
        <f>B33*C33</f>
        <v>0</v>
      </c>
      <c r="E33" s="203"/>
      <c r="F33" s="203"/>
      <c r="G33" s="62">
        <f>E33*F33</f>
        <v>0</v>
      </c>
      <c r="H33" s="221">
        <f t="shared" si="2"/>
        <v>0</v>
      </c>
    </row>
    <row r="34" spans="1:8" s="60" customFormat="1" x14ac:dyDescent="0.2">
      <c r="A34" s="57" t="s">
        <v>27</v>
      </c>
      <c r="B34" s="223"/>
      <c r="C34" s="226"/>
      <c r="D34" s="218"/>
      <c r="E34" s="226"/>
      <c r="F34" s="226"/>
      <c r="G34" s="226"/>
      <c r="H34" s="221">
        <f t="shared" si="2"/>
        <v>0</v>
      </c>
    </row>
    <row r="35" spans="1:8" s="60" customFormat="1" x14ac:dyDescent="0.2">
      <c r="A35" s="57" t="s">
        <v>15</v>
      </c>
      <c r="B35" s="216"/>
      <c r="C35" s="62">
        <v>600</v>
      </c>
      <c r="D35" s="58">
        <f>B35*C35</f>
        <v>0</v>
      </c>
      <c r="E35" s="203"/>
      <c r="F35" s="62">
        <v>300</v>
      </c>
      <c r="G35" s="62">
        <f>E35*F35</f>
        <v>0</v>
      </c>
      <c r="H35" s="221">
        <f t="shared" si="2"/>
        <v>0</v>
      </c>
    </row>
    <row r="36" spans="1:8" s="60" customFormat="1" x14ac:dyDescent="0.2">
      <c r="A36" s="230" t="s">
        <v>28</v>
      </c>
      <c r="B36" s="231"/>
      <c r="C36" s="231"/>
      <c r="D36" s="231"/>
      <c r="E36" s="231"/>
      <c r="F36" s="231"/>
      <c r="G36" s="231"/>
      <c r="H36" s="232"/>
    </row>
    <row r="37" spans="1:8" s="60" customFormat="1" ht="38.25" x14ac:dyDescent="0.2">
      <c r="A37" s="57" t="s">
        <v>29</v>
      </c>
      <c r="B37" s="223"/>
      <c r="C37" s="59" t="s">
        <v>37</v>
      </c>
      <c r="D37" s="58">
        <v>0</v>
      </c>
      <c r="E37" s="202"/>
      <c r="F37" s="62">
        <v>500</v>
      </c>
      <c r="G37" s="62">
        <f>E37*F37</f>
        <v>0</v>
      </c>
      <c r="H37" s="221">
        <f t="shared" ref="H37:H42" si="3">D37+G37</f>
        <v>0</v>
      </c>
    </row>
    <row r="38" spans="1:8" s="60" customFormat="1" x14ac:dyDescent="0.2">
      <c r="A38" s="57" t="s">
        <v>30</v>
      </c>
      <c r="B38" s="216"/>
      <c r="C38" s="62">
        <v>1000</v>
      </c>
      <c r="D38" s="65">
        <f>B38*C38</f>
        <v>0</v>
      </c>
      <c r="E38" s="203"/>
      <c r="F38" s="62">
        <v>500</v>
      </c>
      <c r="G38" s="62">
        <f>E38*F38</f>
        <v>0</v>
      </c>
      <c r="H38" s="221">
        <f t="shared" si="3"/>
        <v>0</v>
      </c>
    </row>
    <row r="39" spans="1:8" s="60" customFormat="1" x14ac:dyDescent="0.2">
      <c r="A39" s="57" t="s">
        <v>31</v>
      </c>
      <c r="B39" s="216"/>
      <c r="C39" s="62">
        <v>1500</v>
      </c>
      <c r="D39" s="65">
        <f>B39*C39</f>
        <v>0</v>
      </c>
      <c r="E39" s="203"/>
      <c r="F39" s="62">
        <v>750</v>
      </c>
      <c r="G39" s="62">
        <f>E39*F39</f>
        <v>0</v>
      </c>
      <c r="H39" s="221">
        <f t="shared" si="3"/>
        <v>0</v>
      </c>
    </row>
    <row r="40" spans="1:8" s="60" customFormat="1" x14ac:dyDescent="0.2">
      <c r="A40" s="57" t="s">
        <v>14</v>
      </c>
      <c r="B40" s="216"/>
      <c r="C40" s="203"/>
      <c r="D40" s="65">
        <f>B40*C40</f>
        <v>0</v>
      </c>
      <c r="E40" s="203"/>
      <c r="F40" s="203"/>
      <c r="G40" s="62">
        <f>E40*F40</f>
        <v>0</v>
      </c>
      <c r="H40" s="221">
        <f t="shared" si="3"/>
        <v>0</v>
      </c>
    </row>
    <row r="41" spans="1:8" s="60" customFormat="1" ht="25.5" x14ac:dyDescent="0.2">
      <c r="A41" s="57" t="s">
        <v>32</v>
      </c>
      <c r="B41" s="223"/>
      <c r="C41" s="226"/>
      <c r="D41" s="227"/>
      <c r="E41" s="226"/>
      <c r="F41" s="226"/>
      <c r="G41" s="226"/>
      <c r="H41" s="221">
        <f t="shared" si="3"/>
        <v>0</v>
      </c>
    </row>
    <row r="42" spans="1:8" s="60" customFormat="1" x14ac:dyDescent="0.2">
      <c r="A42" s="57" t="s">
        <v>16</v>
      </c>
      <c r="B42" s="216"/>
      <c r="C42" s="62">
        <v>1000</v>
      </c>
      <c r="D42" s="65">
        <f>B42*C42</f>
        <v>0</v>
      </c>
      <c r="E42" s="203"/>
      <c r="F42" s="62">
        <v>500</v>
      </c>
      <c r="G42" s="62">
        <f>E42*F42</f>
        <v>0</v>
      </c>
      <c r="H42" s="221">
        <f t="shared" si="3"/>
        <v>0</v>
      </c>
    </row>
    <row r="43" spans="1:8" s="60" customFormat="1" x14ac:dyDescent="0.2">
      <c r="A43" s="230" t="s">
        <v>33</v>
      </c>
      <c r="B43" s="231"/>
      <c r="C43" s="231"/>
      <c r="D43" s="231"/>
      <c r="E43" s="231"/>
      <c r="F43" s="231"/>
      <c r="G43" s="231"/>
      <c r="H43" s="232"/>
    </row>
    <row r="44" spans="1:8" s="60" customFormat="1" ht="39" thickBot="1" x14ac:dyDescent="0.25">
      <c r="A44" s="57" t="s">
        <v>35</v>
      </c>
      <c r="B44" s="223"/>
      <c r="C44" s="224"/>
      <c r="D44" s="225"/>
      <c r="E44" s="224"/>
      <c r="F44" s="62" t="s">
        <v>34</v>
      </c>
      <c r="G44" s="203"/>
      <c r="H44" s="221">
        <f>G44</f>
        <v>0</v>
      </c>
    </row>
    <row r="45" spans="1:8" s="56" customFormat="1" x14ac:dyDescent="0.2">
      <c r="A45" s="66"/>
      <c r="B45" s="67"/>
      <c r="C45" s="68"/>
      <c r="D45" s="68"/>
      <c r="E45" s="68"/>
      <c r="F45" s="68"/>
      <c r="G45" s="69" t="s">
        <v>41</v>
      </c>
      <c r="H45" s="222">
        <f>SUM(H14:H44)</f>
        <v>0</v>
      </c>
    </row>
    <row r="46" spans="1:8" s="56" customFormat="1" x14ac:dyDescent="0.2">
      <c r="A46" s="70"/>
      <c r="B46" s="71"/>
      <c r="C46" s="72"/>
      <c r="D46" s="72"/>
      <c r="E46" s="72"/>
      <c r="F46" s="72"/>
      <c r="G46" s="72"/>
      <c r="H46" s="73"/>
    </row>
    <row r="47" spans="1:8" s="56" customFormat="1" x14ac:dyDescent="0.2">
      <c r="A47" s="70"/>
      <c r="B47" s="71"/>
      <c r="C47" s="60"/>
      <c r="D47" s="60"/>
      <c r="E47" s="60"/>
      <c r="F47" s="60"/>
      <c r="G47" s="72" t="s">
        <v>42</v>
      </c>
      <c r="H47" s="205"/>
    </row>
    <row r="48" spans="1:8" s="56" customFormat="1" x14ac:dyDescent="0.2">
      <c r="A48" s="74" t="s">
        <v>6</v>
      </c>
      <c r="B48" s="229">
        <f>G11</f>
        <v>0</v>
      </c>
      <c r="C48" s="229"/>
      <c r="D48" s="75"/>
      <c r="E48" s="75"/>
      <c r="F48" s="75"/>
      <c r="G48" s="75"/>
      <c r="H48" s="76"/>
    </row>
    <row r="49" spans="1:8" s="56" customFormat="1" ht="13.5" thickBot="1" x14ac:dyDescent="0.25">
      <c r="A49" s="70"/>
      <c r="B49" s="71"/>
      <c r="C49" s="60"/>
      <c r="D49" s="60"/>
      <c r="E49" s="60"/>
      <c r="F49" s="60"/>
      <c r="G49" s="77" t="s">
        <v>43</v>
      </c>
      <c r="H49" s="204"/>
    </row>
    <row r="50" spans="1:8" x14ac:dyDescent="0.2">
      <c r="A50" s="78"/>
      <c r="B50" s="79"/>
      <c r="C50" s="79"/>
      <c r="D50" s="79"/>
      <c r="E50" s="79"/>
      <c r="F50" s="79"/>
      <c r="G50" s="79"/>
      <c r="H50" s="80"/>
    </row>
    <row r="51" spans="1:8" s="2" customFormat="1" ht="13.5" x14ac:dyDescent="0.2">
      <c r="A51" s="160" t="s">
        <v>399</v>
      </c>
      <c r="B51" s="161"/>
      <c r="C51" s="161"/>
      <c r="D51" s="161"/>
      <c r="E51" s="161"/>
      <c r="F51" s="161"/>
      <c r="G51" s="161"/>
      <c r="H51" s="162"/>
    </row>
    <row r="52" spans="1:8" ht="13.5" x14ac:dyDescent="0.25">
      <c r="A52" s="81"/>
      <c r="B52" s="82"/>
      <c r="C52" s="82"/>
      <c r="D52" s="82"/>
      <c r="E52" s="82"/>
      <c r="F52" s="82"/>
      <c r="G52" s="82"/>
      <c r="H52" s="83"/>
    </row>
    <row r="53" spans="1:8" ht="13.5" x14ac:dyDescent="0.25">
      <c r="A53" s="81" t="s">
        <v>1</v>
      </c>
      <c r="B53" s="82"/>
      <c r="C53" s="82"/>
      <c r="D53" s="82"/>
      <c r="E53" s="82"/>
      <c r="F53" s="82"/>
      <c r="G53" s="82"/>
      <c r="H53" s="83"/>
    </row>
    <row r="54" spans="1:8" x14ac:dyDescent="0.2">
      <c r="A54" s="84"/>
      <c r="B54" s="85"/>
      <c r="C54" s="85"/>
      <c r="D54" s="85"/>
      <c r="E54" s="85"/>
      <c r="F54" s="85"/>
      <c r="G54" s="85"/>
      <c r="H54" s="86"/>
    </row>
    <row r="55" spans="1:8" ht="13.5" thickBot="1" x14ac:dyDescent="0.25">
      <c r="A55" s="87" t="s">
        <v>2</v>
      </c>
      <c r="B55" s="88"/>
      <c r="C55" s="89"/>
      <c r="D55" s="89"/>
      <c r="E55" s="89"/>
      <c r="F55" s="89"/>
      <c r="G55" s="89"/>
      <c r="H55" s="90"/>
    </row>
  </sheetData>
  <sheetProtection password="C724" sheet="1" objects="1" scenarios="1" selectLockedCells="1"/>
  <protectedRanges>
    <protectedRange sqref="B7:H10 B11:C11 G11:H11 B15 C18 F18 B17:B20 E15:E20 B22 E22 B26:B27 E24:E28 B30:B33 C33 E30:E33 F33 E35 B35 B38" name="Range1"/>
  </protectedRanges>
  <mergeCells count="16">
    <mergeCell ref="A1:H1"/>
    <mergeCell ref="B8:H8"/>
    <mergeCell ref="B10:H10"/>
    <mergeCell ref="B9:H9"/>
    <mergeCell ref="A4:H4"/>
    <mergeCell ref="A2:H2"/>
    <mergeCell ref="A3:H3"/>
    <mergeCell ref="A51:H51"/>
    <mergeCell ref="B7:H7"/>
    <mergeCell ref="A14:H14"/>
    <mergeCell ref="A21:H21"/>
    <mergeCell ref="A36:H36"/>
    <mergeCell ref="A43:H43"/>
    <mergeCell ref="G11:H11"/>
    <mergeCell ref="B48:C48"/>
    <mergeCell ref="B11:C11"/>
  </mergeCells>
  <phoneticPr fontId="3" type="noConversion"/>
  <pageMargins left="0.5" right="0.5" top="0.5" bottom="0.5" header="0.3" footer="0.3"/>
  <pageSetup scale="70" orientation="portrait" r:id="rId1"/>
  <headerFooter alignWithMargins="0">
    <oddFooter>&amp;C&amp;"Arial,Bold"Page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view="pageBreakPreview" zoomScaleNormal="110" zoomScaleSheetLayoutView="100" workbookViewId="0">
      <selection activeCell="B7" sqref="B7:G7"/>
    </sheetView>
  </sheetViews>
  <sheetFormatPr defaultRowHeight="15" x14ac:dyDescent="0.25"/>
  <cols>
    <col min="1" max="1" width="47.7109375" style="1" customWidth="1"/>
    <col min="2" max="2" width="7.140625" style="1" customWidth="1"/>
    <col min="3" max="3" width="8.5703125" style="1" customWidth="1"/>
    <col min="4" max="4" width="9.5703125" style="1" customWidth="1"/>
    <col min="5" max="5" width="9.5703125" style="125" customWidth="1"/>
    <col min="6" max="6" width="9.5703125" style="1" customWidth="1"/>
    <col min="7" max="7" width="10.7109375" style="125" customWidth="1"/>
    <col min="8" max="16384" width="9.140625" style="1"/>
  </cols>
  <sheetData>
    <row r="1" spans="1:7" s="2" customFormat="1" ht="18.75" x14ac:dyDescent="0.3">
      <c r="A1" s="163" t="s">
        <v>9</v>
      </c>
      <c r="B1" s="164"/>
      <c r="C1" s="164"/>
      <c r="D1" s="164"/>
      <c r="E1" s="164"/>
      <c r="F1" s="164"/>
      <c r="G1" s="164"/>
    </row>
    <row r="2" spans="1:7" s="2" customFormat="1" ht="18.75" x14ac:dyDescent="0.3">
      <c r="A2" s="163" t="s">
        <v>49</v>
      </c>
      <c r="B2" s="164"/>
      <c r="C2" s="164"/>
      <c r="D2" s="164"/>
      <c r="E2" s="164"/>
      <c r="F2" s="164"/>
      <c r="G2" s="164"/>
    </row>
    <row r="3" spans="1:7" s="2" customFormat="1" ht="18.75" x14ac:dyDescent="0.3">
      <c r="A3" s="163" t="s">
        <v>398</v>
      </c>
      <c r="B3" s="164"/>
      <c r="C3" s="164"/>
      <c r="D3" s="164"/>
      <c r="E3" s="164"/>
      <c r="F3" s="164"/>
      <c r="G3" s="164"/>
    </row>
    <row r="4" spans="1:7" s="2" customFormat="1" ht="15.75" x14ac:dyDescent="0.25">
      <c r="A4" s="165" t="s">
        <v>39</v>
      </c>
      <c r="B4" s="165"/>
      <c r="C4" s="165"/>
      <c r="D4" s="165"/>
      <c r="E4" s="165"/>
      <c r="F4" s="165"/>
      <c r="G4" s="165"/>
    </row>
    <row r="5" spans="1:7" s="2" customFormat="1" ht="15.75" x14ac:dyDescent="0.25">
      <c r="B5" s="3"/>
      <c r="C5" s="3"/>
      <c r="D5" s="3"/>
      <c r="E5" s="3"/>
      <c r="F5" s="192"/>
      <c r="G5" s="140" t="s">
        <v>53</v>
      </c>
    </row>
    <row r="6" spans="1:7" s="2" customFormat="1" ht="9" customHeight="1" thickBot="1" x14ac:dyDescent="0.4">
      <c r="A6" s="5"/>
      <c r="B6" s="5"/>
      <c r="C6" s="5"/>
      <c r="D6" s="5"/>
      <c r="E6" s="5"/>
      <c r="F6" s="5"/>
      <c r="G6" s="5"/>
    </row>
    <row r="7" spans="1:7" s="2" customFormat="1" ht="15.75" x14ac:dyDescent="0.25">
      <c r="A7" s="6" t="s">
        <v>7</v>
      </c>
      <c r="B7" s="193"/>
      <c r="C7" s="193"/>
      <c r="D7" s="193"/>
      <c r="E7" s="193"/>
      <c r="F7" s="193"/>
      <c r="G7" s="233"/>
    </row>
    <row r="8" spans="1:7" s="2" customFormat="1" ht="15.75" x14ac:dyDescent="0.25">
      <c r="A8" s="7" t="s">
        <v>3</v>
      </c>
      <c r="B8" s="234"/>
      <c r="C8" s="234"/>
      <c r="D8" s="234"/>
      <c r="E8" s="234"/>
      <c r="F8" s="234"/>
      <c r="G8" s="235"/>
    </row>
    <row r="9" spans="1:7" s="2" customFormat="1" ht="15.75" x14ac:dyDescent="0.25">
      <c r="A9" s="7" t="s">
        <v>5</v>
      </c>
      <c r="B9" s="234"/>
      <c r="C9" s="234"/>
      <c r="D9" s="234"/>
      <c r="E9" s="234"/>
      <c r="F9" s="234"/>
      <c r="G9" s="235"/>
    </row>
    <row r="10" spans="1:7" s="2" customFormat="1" ht="15.75" x14ac:dyDescent="0.25">
      <c r="A10" s="7" t="s">
        <v>4</v>
      </c>
      <c r="B10" s="234"/>
      <c r="C10" s="234"/>
      <c r="D10" s="234"/>
      <c r="E10" s="234"/>
      <c r="F10" s="234"/>
      <c r="G10" s="235"/>
    </row>
    <row r="11" spans="1:7" s="2" customFormat="1" ht="16.5" thickBot="1" x14ac:dyDescent="0.3">
      <c r="A11" s="8" t="s">
        <v>38</v>
      </c>
      <c r="B11" s="198"/>
      <c r="C11" s="198"/>
      <c r="D11" s="9"/>
      <c r="E11" s="104"/>
      <c r="F11" s="10" t="s">
        <v>6</v>
      </c>
      <c r="G11" s="236"/>
    </row>
    <row r="12" spans="1:7" ht="11.1" customHeight="1" thickBot="1" x14ac:dyDescent="0.3">
      <c r="A12" s="105"/>
      <c r="B12" s="106"/>
      <c r="C12" s="106"/>
      <c r="D12" s="107"/>
      <c r="E12" s="108"/>
      <c r="F12" s="107"/>
      <c r="G12" s="108"/>
    </row>
    <row r="13" spans="1:7" s="127" customFormat="1" ht="12.75" x14ac:dyDescent="0.2">
      <c r="A13" s="126"/>
      <c r="B13" s="126"/>
      <c r="C13" s="134"/>
      <c r="D13" s="177" t="s">
        <v>276</v>
      </c>
      <c r="E13" s="178"/>
      <c r="F13" s="177" t="s">
        <v>277</v>
      </c>
      <c r="G13" s="178"/>
    </row>
    <row r="14" spans="1:7" s="127" customFormat="1" ht="13.5" thickBot="1" x14ac:dyDescent="0.25">
      <c r="A14" s="109" t="s">
        <v>278</v>
      </c>
      <c r="B14" s="109" t="s">
        <v>279</v>
      </c>
      <c r="C14" s="135" t="s">
        <v>280</v>
      </c>
      <c r="D14" s="136" t="s">
        <v>281</v>
      </c>
      <c r="E14" s="137" t="s">
        <v>0</v>
      </c>
      <c r="F14" s="136" t="s">
        <v>281</v>
      </c>
      <c r="G14" s="137" t="s">
        <v>0</v>
      </c>
    </row>
    <row r="15" spans="1:7" s="127" customFormat="1" ht="12.75" x14ac:dyDescent="0.2">
      <c r="A15" s="243" t="s">
        <v>282</v>
      </c>
      <c r="B15" s="244"/>
      <c r="C15" s="244"/>
      <c r="D15" s="245"/>
      <c r="E15" s="245"/>
      <c r="F15" s="245"/>
      <c r="G15" s="246"/>
    </row>
    <row r="16" spans="1:7" s="127" customFormat="1" ht="12.75" x14ac:dyDescent="0.2">
      <c r="A16" s="110" t="s">
        <v>283</v>
      </c>
      <c r="B16" s="111"/>
      <c r="C16" s="112">
        <v>50</v>
      </c>
      <c r="D16" s="237"/>
      <c r="E16" s="283">
        <f>D16*C16</f>
        <v>0</v>
      </c>
      <c r="F16" s="237"/>
      <c r="G16" s="283">
        <f>F16*C16</f>
        <v>0</v>
      </c>
    </row>
    <row r="17" spans="1:7" s="127" customFormat="1" ht="12.75" x14ac:dyDescent="0.2">
      <c r="A17" s="113" t="s">
        <v>284</v>
      </c>
      <c r="B17" s="111" t="s">
        <v>285</v>
      </c>
      <c r="C17" s="112">
        <v>290</v>
      </c>
      <c r="D17" s="237"/>
      <c r="E17" s="283">
        <f t="shared" ref="E17:E23" si="0">D17*C17</f>
        <v>0</v>
      </c>
      <c r="F17" s="237"/>
      <c r="G17" s="283">
        <f>F17*C17</f>
        <v>0</v>
      </c>
    </row>
    <row r="18" spans="1:7" s="127" customFormat="1" ht="12.75" x14ac:dyDescent="0.2">
      <c r="A18" s="113" t="s">
        <v>286</v>
      </c>
      <c r="B18" s="111" t="s">
        <v>287</v>
      </c>
      <c r="C18" s="112">
        <v>242</v>
      </c>
      <c r="D18" s="237"/>
      <c r="E18" s="283">
        <f t="shared" si="0"/>
        <v>0</v>
      </c>
      <c r="F18" s="237"/>
      <c r="G18" s="283">
        <f t="shared" ref="G18:G23" si="1">F18*C18</f>
        <v>0</v>
      </c>
    </row>
    <row r="19" spans="1:7" s="127" customFormat="1" ht="12.75" x14ac:dyDescent="0.2">
      <c r="A19" s="113" t="s">
        <v>288</v>
      </c>
      <c r="B19" s="111" t="s">
        <v>285</v>
      </c>
      <c r="C19" s="112">
        <v>193</v>
      </c>
      <c r="D19" s="237"/>
      <c r="E19" s="283">
        <f t="shared" si="0"/>
        <v>0</v>
      </c>
      <c r="F19" s="237"/>
      <c r="G19" s="283">
        <f t="shared" si="1"/>
        <v>0</v>
      </c>
    </row>
    <row r="20" spans="1:7" s="127" customFormat="1" ht="12.75" x14ac:dyDescent="0.2">
      <c r="A20" s="113" t="s">
        <v>289</v>
      </c>
      <c r="B20" s="111" t="s">
        <v>285</v>
      </c>
      <c r="C20" s="112">
        <v>145</v>
      </c>
      <c r="D20" s="237"/>
      <c r="E20" s="283">
        <f t="shared" si="0"/>
        <v>0</v>
      </c>
      <c r="F20" s="237"/>
      <c r="G20" s="283">
        <f t="shared" si="1"/>
        <v>0</v>
      </c>
    </row>
    <row r="21" spans="1:7" s="127" customFormat="1" ht="12.75" x14ac:dyDescent="0.2">
      <c r="A21" s="113" t="s">
        <v>290</v>
      </c>
      <c r="B21" s="111" t="s">
        <v>285</v>
      </c>
      <c r="C21" s="112">
        <v>97</v>
      </c>
      <c r="D21" s="237"/>
      <c r="E21" s="283">
        <f t="shared" si="0"/>
        <v>0</v>
      </c>
      <c r="F21" s="237"/>
      <c r="G21" s="283">
        <f t="shared" si="1"/>
        <v>0</v>
      </c>
    </row>
    <row r="22" spans="1:7" s="127" customFormat="1" ht="12.75" x14ac:dyDescent="0.2">
      <c r="A22" s="113" t="s">
        <v>291</v>
      </c>
      <c r="B22" s="111" t="s">
        <v>285</v>
      </c>
      <c r="C22" s="112">
        <v>48.4</v>
      </c>
      <c r="D22" s="237"/>
      <c r="E22" s="283">
        <f t="shared" si="0"/>
        <v>0</v>
      </c>
      <c r="F22" s="237"/>
      <c r="G22" s="283">
        <f t="shared" si="1"/>
        <v>0</v>
      </c>
    </row>
    <row r="23" spans="1:7" s="127" customFormat="1" ht="12.75" x14ac:dyDescent="0.2">
      <c r="A23" s="110" t="s">
        <v>292</v>
      </c>
      <c r="B23" s="111" t="s">
        <v>293</v>
      </c>
      <c r="C23" s="112">
        <v>65</v>
      </c>
      <c r="D23" s="237"/>
      <c r="E23" s="283">
        <f t="shared" si="0"/>
        <v>0</v>
      </c>
      <c r="F23" s="237"/>
      <c r="G23" s="283">
        <f t="shared" si="1"/>
        <v>0</v>
      </c>
    </row>
    <row r="24" spans="1:7" s="127" customFormat="1" ht="12.75" x14ac:dyDescent="0.2">
      <c r="A24" s="243" t="s">
        <v>294</v>
      </c>
      <c r="B24" s="244"/>
      <c r="C24" s="244"/>
      <c r="D24" s="244"/>
      <c r="E24" s="244"/>
      <c r="F24" s="244"/>
      <c r="G24" s="247"/>
    </row>
    <row r="25" spans="1:7" s="127" customFormat="1" ht="12.75" x14ac:dyDescent="0.2">
      <c r="A25" s="110" t="s">
        <v>295</v>
      </c>
      <c r="B25" s="111"/>
      <c r="C25" s="112">
        <v>50</v>
      </c>
      <c r="D25" s="237"/>
      <c r="E25" s="283">
        <f t="shared" ref="E25:E36" si="2">D25*C25</f>
        <v>0</v>
      </c>
      <c r="F25" s="237"/>
      <c r="G25" s="283">
        <f>F25*C25</f>
        <v>0</v>
      </c>
    </row>
    <row r="26" spans="1:7" s="127" customFormat="1" ht="12.75" x14ac:dyDescent="0.2">
      <c r="A26" s="113" t="s">
        <v>296</v>
      </c>
      <c r="B26" s="111" t="s">
        <v>297</v>
      </c>
      <c r="C26" s="112">
        <v>1.1000000000000001</v>
      </c>
      <c r="D26" s="237"/>
      <c r="E26" s="283">
        <f t="shared" si="2"/>
        <v>0</v>
      </c>
      <c r="F26" s="237"/>
      <c r="G26" s="283">
        <f>F26*C26*0.8</f>
        <v>0</v>
      </c>
    </row>
    <row r="27" spans="1:7" s="127" customFormat="1" ht="12.75" x14ac:dyDescent="0.2">
      <c r="A27" s="113" t="s">
        <v>298</v>
      </c>
      <c r="B27" s="111" t="s">
        <v>293</v>
      </c>
      <c r="C27" s="112">
        <v>80</v>
      </c>
      <c r="D27" s="237"/>
      <c r="E27" s="283">
        <f t="shared" si="2"/>
        <v>0</v>
      </c>
      <c r="F27" s="237"/>
      <c r="G27" s="283">
        <f t="shared" ref="G27:G36" si="3">F27*C27*0.8</f>
        <v>0</v>
      </c>
    </row>
    <row r="28" spans="1:7" s="127" customFormat="1" ht="12.75" x14ac:dyDescent="0.2">
      <c r="A28" s="113" t="s">
        <v>299</v>
      </c>
      <c r="B28" s="111" t="s">
        <v>300</v>
      </c>
      <c r="C28" s="112">
        <v>0.3</v>
      </c>
      <c r="D28" s="237"/>
      <c r="E28" s="283">
        <f t="shared" si="2"/>
        <v>0</v>
      </c>
      <c r="F28" s="237"/>
      <c r="G28" s="283">
        <f t="shared" si="3"/>
        <v>0</v>
      </c>
    </row>
    <row r="29" spans="1:7" s="127" customFormat="1" ht="12.75" x14ac:dyDescent="0.2">
      <c r="A29" s="113" t="s">
        <v>301</v>
      </c>
      <c r="B29" s="111" t="s">
        <v>293</v>
      </c>
      <c r="C29" s="112">
        <v>80</v>
      </c>
      <c r="D29" s="237"/>
      <c r="E29" s="283">
        <f t="shared" si="2"/>
        <v>0</v>
      </c>
      <c r="F29" s="237"/>
      <c r="G29" s="283">
        <f t="shared" si="3"/>
        <v>0</v>
      </c>
    </row>
    <row r="30" spans="1:7" s="127" customFormat="1" ht="12.75" x14ac:dyDescent="0.2">
      <c r="A30" s="113" t="s">
        <v>302</v>
      </c>
      <c r="B30" s="111" t="s">
        <v>293</v>
      </c>
      <c r="C30" s="112">
        <v>120</v>
      </c>
      <c r="D30" s="237"/>
      <c r="E30" s="283">
        <f t="shared" si="2"/>
        <v>0</v>
      </c>
      <c r="F30" s="237"/>
      <c r="G30" s="283">
        <f t="shared" si="3"/>
        <v>0</v>
      </c>
    </row>
    <row r="31" spans="1:7" s="127" customFormat="1" ht="12.75" x14ac:dyDescent="0.2">
      <c r="A31" s="113" t="s">
        <v>303</v>
      </c>
      <c r="B31" s="111" t="s">
        <v>293</v>
      </c>
      <c r="C31" s="112">
        <v>120</v>
      </c>
      <c r="D31" s="237"/>
      <c r="E31" s="283">
        <f t="shared" si="2"/>
        <v>0</v>
      </c>
      <c r="F31" s="237"/>
      <c r="G31" s="283">
        <f t="shared" si="3"/>
        <v>0</v>
      </c>
    </row>
    <row r="32" spans="1:7" s="127" customFormat="1" ht="12.75" x14ac:dyDescent="0.2">
      <c r="A32" s="113" t="s">
        <v>304</v>
      </c>
      <c r="B32" s="111" t="s">
        <v>293</v>
      </c>
      <c r="C32" s="112">
        <v>65</v>
      </c>
      <c r="D32" s="237"/>
      <c r="E32" s="283">
        <f t="shared" si="2"/>
        <v>0</v>
      </c>
      <c r="F32" s="237"/>
      <c r="G32" s="283">
        <f t="shared" si="3"/>
        <v>0</v>
      </c>
    </row>
    <row r="33" spans="1:7" s="127" customFormat="1" ht="25.5" x14ac:dyDescent="0.2">
      <c r="A33" s="113" t="s">
        <v>305</v>
      </c>
      <c r="B33" s="111" t="s">
        <v>293</v>
      </c>
      <c r="C33" s="112">
        <v>500</v>
      </c>
      <c r="D33" s="237"/>
      <c r="E33" s="283">
        <f t="shared" si="2"/>
        <v>0</v>
      </c>
      <c r="F33" s="237"/>
      <c r="G33" s="283">
        <f t="shared" si="3"/>
        <v>0</v>
      </c>
    </row>
    <row r="34" spans="1:7" s="127" customFormat="1" ht="14.25" customHeight="1" x14ac:dyDescent="0.2">
      <c r="A34" s="113" t="s">
        <v>306</v>
      </c>
      <c r="B34" s="111" t="s">
        <v>293</v>
      </c>
      <c r="C34" s="112">
        <v>1000</v>
      </c>
      <c r="D34" s="237"/>
      <c r="E34" s="283">
        <f t="shared" si="2"/>
        <v>0</v>
      </c>
      <c r="F34" s="237"/>
      <c r="G34" s="283">
        <f t="shared" si="3"/>
        <v>0</v>
      </c>
    </row>
    <row r="35" spans="1:7" s="127" customFormat="1" ht="12.75" x14ac:dyDescent="0.2">
      <c r="A35" s="113" t="s">
        <v>307</v>
      </c>
      <c r="B35" s="111" t="s">
        <v>293</v>
      </c>
      <c r="C35" s="112">
        <v>500</v>
      </c>
      <c r="D35" s="237"/>
      <c r="E35" s="283">
        <f t="shared" si="2"/>
        <v>0</v>
      </c>
      <c r="F35" s="237"/>
      <c r="G35" s="283">
        <f t="shared" si="3"/>
        <v>0</v>
      </c>
    </row>
    <row r="36" spans="1:7" s="127" customFormat="1" ht="14.25" customHeight="1" x14ac:dyDescent="0.2">
      <c r="A36" s="113" t="s">
        <v>308</v>
      </c>
      <c r="B36" s="111" t="s">
        <v>309</v>
      </c>
      <c r="C36" s="112">
        <v>0.65</v>
      </c>
      <c r="D36" s="237"/>
      <c r="E36" s="283">
        <f t="shared" si="2"/>
        <v>0</v>
      </c>
      <c r="F36" s="237"/>
      <c r="G36" s="283">
        <f t="shared" si="3"/>
        <v>0</v>
      </c>
    </row>
    <row r="37" spans="1:7" s="128" customFormat="1" ht="12.75" x14ac:dyDescent="0.2">
      <c r="A37" s="186" t="s">
        <v>310</v>
      </c>
      <c r="B37" s="187"/>
      <c r="C37" s="187"/>
      <c r="D37" s="187"/>
      <c r="E37" s="187"/>
      <c r="F37" s="187"/>
      <c r="G37" s="188"/>
    </row>
    <row r="38" spans="1:7" s="127" customFormat="1" ht="12.75" x14ac:dyDescent="0.2">
      <c r="A38" s="243" t="s">
        <v>311</v>
      </c>
      <c r="B38" s="244"/>
      <c r="C38" s="244"/>
      <c r="D38" s="244"/>
      <c r="E38" s="244"/>
      <c r="F38" s="244"/>
      <c r="G38" s="247"/>
    </row>
    <row r="39" spans="1:7" s="127" customFormat="1" ht="12.75" x14ac:dyDescent="0.2">
      <c r="A39" s="110" t="s">
        <v>295</v>
      </c>
      <c r="B39" s="111"/>
      <c r="C39" s="112">
        <v>50</v>
      </c>
      <c r="D39" s="237"/>
      <c r="E39" s="283">
        <f t="shared" ref="E39:E50" si="4">D39*C39</f>
        <v>0</v>
      </c>
      <c r="F39" s="237"/>
      <c r="G39" s="283">
        <f>F39*C39</f>
        <v>0</v>
      </c>
    </row>
    <row r="40" spans="1:7" s="127" customFormat="1" ht="12.75" x14ac:dyDescent="0.2">
      <c r="A40" s="113" t="s">
        <v>312</v>
      </c>
      <c r="B40" s="111" t="s">
        <v>297</v>
      </c>
      <c r="C40" s="112">
        <v>1.1000000000000001</v>
      </c>
      <c r="D40" s="237"/>
      <c r="E40" s="283">
        <f t="shared" si="4"/>
        <v>0</v>
      </c>
      <c r="F40" s="237"/>
      <c r="G40" s="283">
        <f t="shared" ref="G40:G50" si="5">F40*C40*0.8</f>
        <v>0</v>
      </c>
    </row>
    <row r="41" spans="1:7" s="127" customFormat="1" ht="12.75" x14ac:dyDescent="0.2">
      <c r="A41" s="113" t="s">
        <v>313</v>
      </c>
      <c r="B41" s="111" t="s">
        <v>293</v>
      </c>
      <c r="C41" s="112">
        <v>23</v>
      </c>
      <c r="D41" s="237"/>
      <c r="E41" s="283">
        <f t="shared" si="4"/>
        <v>0</v>
      </c>
      <c r="F41" s="237"/>
      <c r="G41" s="283">
        <f t="shared" si="5"/>
        <v>0</v>
      </c>
    </row>
    <row r="42" spans="1:7" s="127" customFormat="1" ht="12.75" x14ac:dyDescent="0.2">
      <c r="A42" s="113" t="s">
        <v>314</v>
      </c>
      <c r="B42" s="111" t="s">
        <v>293</v>
      </c>
      <c r="C42" s="112">
        <v>185</v>
      </c>
      <c r="D42" s="237"/>
      <c r="E42" s="283">
        <f t="shared" si="4"/>
        <v>0</v>
      </c>
      <c r="F42" s="237"/>
      <c r="G42" s="283">
        <f t="shared" si="5"/>
        <v>0</v>
      </c>
    </row>
    <row r="43" spans="1:7" s="127" customFormat="1" ht="12.75" x14ac:dyDescent="0.2">
      <c r="A43" s="113" t="s">
        <v>315</v>
      </c>
      <c r="B43" s="111" t="s">
        <v>297</v>
      </c>
      <c r="C43" s="112">
        <v>1.5</v>
      </c>
      <c r="D43" s="237"/>
      <c r="E43" s="283">
        <f t="shared" si="4"/>
        <v>0</v>
      </c>
      <c r="F43" s="237"/>
      <c r="G43" s="283">
        <f t="shared" si="5"/>
        <v>0</v>
      </c>
    </row>
    <row r="44" spans="1:7" s="127" customFormat="1" ht="12.75" x14ac:dyDescent="0.2">
      <c r="A44" s="113" t="s">
        <v>316</v>
      </c>
      <c r="B44" s="111" t="s">
        <v>293</v>
      </c>
      <c r="C44" s="112">
        <v>50</v>
      </c>
      <c r="D44" s="237"/>
      <c r="E44" s="283">
        <f t="shared" si="4"/>
        <v>0</v>
      </c>
      <c r="F44" s="237"/>
      <c r="G44" s="283">
        <f t="shared" si="5"/>
        <v>0</v>
      </c>
    </row>
    <row r="45" spans="1:7" s="127" customFormat="1" ht="12.75" x14ac:dyDescent="0.2">
      <c r="A45" s="113" t="s">
        <v>317</v>
      </c>
      <c r="B45" s="111" t="s">
        <v>293</v>
      </c>
      <c r="C45" s="112">
        <v>60</v>
      </c>
      <c r="D45" s="237"/>
      <c r="E45" s="283">
        <f t="shared" si="4"/>
        <v>0</v>
      </c>
      <c r="F45" s="237"/>
      <c r="G45" s="283">
        <f t="shared" si="5"/>
        <v>0</v>
      </c>
    </row>
    <row r="46" spans="1:7" s="127" customFormat="1" ht="12.75" x14ac:dyDescent="0.2">
      <c r="A46" s="113" t="s">
        <v>318</v>
      </c>
      <c r="B46" s="111" t="s">
        <v>297</v>
      </c>
      <c r="C46" s="112">
        <v>30</v>
      </c>
      <c r="D46" s="237"/>
      <c r="E46" s="283">
        <f t="shared" si="4"/>
        <v>0</v>
      </c>
      <c r="F46" s="237"/>
      <c r="G46" s="283">
        <f t="shared" si="5"/>
        <v>0</v>
      </c>
    </row>
    <row r="47" spans="1:7" s="127" customFormat="1" ht="12.75" x14ac:dyDescent="0.2">
      <c r="A47" s="113" t="s">
        <v>319</v>
      </c>
      <c r="B47" s="111" t="s">
        <v>293</v>
      </c>
      <c r="C47" s="112">
        <v>350</v>
      </c>
      <c r="D47" s="237"/>
      <c r="E47" s="283">
        <f t="shared" si="4"/>
        <v>0</v>
      </c>
      <c r="F47" s="237"/>
      <c r="G47" s="283">
        <f t="shared" si="5"/>
        <v>0</v>
      </c>
    </row>
    <row r="48" spans="1:7" s="127" customFormat="1" ht="12.75" x14ac:dyDescent="0.2">
      <c r="A48" s="113" t="s">
        <v>320</v>
      </c>
      <c r="B48" s="111" t="s">
        <v>293</v>
      </c>
      <c r="C48" s="112">
        <v>400</v>
      </c>
      <c r="D48" s="237"/>
      <c r="E48" s="283">
        <f t="shared" si="4"/>
        <v>0</v>
      </c>
      <c r="F48" s="237"/>
      <c r="G48" s="283">
        <f t="shared" si="5"/>
        <v>0</v>
      </c>
    </row>
    <row r="49" spans="1:7" s="127" customFormat="1" ht="15.75" customHeight="1" x14ac:dyDescent="0.2">
      <c r="A49" s="113" t="s">
        <v>321</v>
      </c>
      <c r="B49" s="111" t="s">
        <v>293</v>
      </c>
      <c r="C49" s="112">
        <v>600</v>
      </c>
      <c r="D49" s="237"/>
      <c r="E49" s="283">
        <f t="shared" si="4"/>
        <v>0</v>
      </c>
      <c r="F49" s="237"/>
      <c r="G49" s="283">
        <f t="shared" si="5"/>
        <v>0</v>
      </c>
    </row>
    <row r="50" spans="1:7" s="127" customFormat="1" ht="12.75" x14ac:dyDescent="0.2">
      <c r="A50" s="113" t="s">
        <v>322</v>
      </c>
      <c r="B50" s="111" t="s">
        <v>293</v>
      </c>
      <c r="C50" s="112">
        <v>1500</v>
      </c>
      <c r="D50" s="237"/>
      <c r="E50" s="283">
        <f t="shared" si="4"/>
        <v>0</v>
      </c>
      <c r="F50" s="237"/>
      <c r="G50" s="283">
        <f t="shared" si="5"/>
        <v>0</v>
      </c>
    </row>
    <row r="51" spans="1:7" s="127" customFormat="1" ht="12.75" x14ac:dyDescent="0.2">
      <c r="A51" s="186" t="s">
        <v>310</v>
      </c>
      <c r="B51" s="187"/>
      <c r="C51" s="187"/>
      <c r="D51" s="187"/>
      <c r="E51" s="187"/>
      <c r="F51" s="187"/>
      <c r="G51" s="188"/>
    </row>
    <row r="52" spans="1:7" s="127" customFormat="1" ht="12.75" x14ac:dyDescent="0.2">
      <c r="A52" s="243" t="s">
        <v>323</v>
      </c>
      <c r="B52" s="244"/>
      <c r="C52" s="244"/>
      <c r="D52" s="244"/>
      <c r="E52" s="244"/>
      <c r="F52" s="244"/>
      <c r="G52" s="247"/>
    </row>
    <row r="53" spans="1:7" s="127" customFormat="1" ht="12.75" x14ac:dyDescent="0.2">
      <c r="A53" s="110" t="s">
        <v>295</v>
      </c>
      <c r="B53" s="111"/>
      <c r="C53" s="112">
        <v>50</v>
      </c>
      <c r="D53" s="237"/>
      <c r="E53" s="283">
        <f t="shared" ref="E53:E64" si="6">D53*C53</f>
        <v>0</v>
      </c>
      <c r="F53" s="237"/>
      <c r="G53" s="283">
        <f>F53*C53</f>
        <v>0</v>
      </c>
    </row>
    <row r="54" spans="1:7" s="127" customFormat="1" ht="12.75" x14ac:dyDescent="0.2">
      <c r="A54" s="113" t="s">
        <v>324</v>
      </c>
      <c r="B54" s="111" t="s">
        <v>297</v>
      </c>
      <c r="C54" s="112">
        <v>1.1000000000000001</v>
      </c>
      <c r="D54" s="237"/>
      <c r="E54" s="283">
        <f t="shared" si="6"/>
        <v>0</v>
      </c>
      <c r="F54" s="237"/>
      <c r="G54" s="283">
        <f t="shared" ref="G54:G64" si="7">F54*C54*0.8</f>
        <v>0</v>
      </c>
    </row>
    <row r="55" spans="1:7" s="127" customFormat="1" ht="12.75" x14ac:dyDescent="0.2">
      <c r="A55" s="113" t="s">
        <v>325</v>
      </c>
      <c r="B55" s="111" t="s">
        <v>293</v>
      </c>
      <c r="C55" s="112">
        <v>23</v>
      </c>
      <c r="D55" s="237"/>
      <c r="E55" s="283">
        <f t="shared" si="6"/>
        <v>0</v>
      </c>
      <c r="F55" s="237"/>
      <c r="G55" s="283">
        <f t="shared" si="7"/>
        <v>0</v>
      </c>
    </row>
    <row r="56" spans="1:7" s="127" customFormat="1" ht="12.75" x14ac:dyDescent="0.2">
      <c r="A56" s="113" t="s">
        <v>326</v>
      </c>
      <c r="B56" s="111" t="s">
        <v>293</v>
      </c>
      <c r="C56" s="112">
        <v>25</v>
      </c>
      <c r="D56" s="237"/>
      <c r="E56" s="283">
        <f t="shared" si="6"/>
        <v>0</v>
      </c>
      <c r="F56" s="237"/>
      <c r="G56" s="283">
        <f t="shared" si="7"/>
        <v>0</v>
      </c>
    </row>
    <row r="57" spans="1:7" s="127" customFormat="1" ht="12.75" x14ac:dyDescent="0.2">
      <c r="A57" s="113" t="s">
        <v>327</v>
      </c>
      <c r="B57" s="111" t="s">
        <v>297</v>
      </c>
      <c r="C57" s="112">
        <v>1.1000000000000001</v>
      </c>
      <c r="D57" s="237"/>
      <c r="E57" s="283">
        <f t="shared" si="6"/>
        <v>0</v>
      </c>
      <c r="F57" s="237"/>
      <c r="G57" s="283">
        <f t="shared" si="7"/>
        <v>0</v>
      </c>
    </row>
    <row r="58" spans="1:7" s="127" customFormat="1" ht="12.75" x14ac:dyDescent="0.2">
      <c r="A58" s="113" t="s">
        <v>328</v>
      </c>
      <c r="B58" s="111" t="s">
        <v>293</v>
      </c>
      <c r="C58" s="112">
        <v>60</v>
      </c>
      <c r="D58" s="237"/>
      <c r="E58" s="283">
        <f t="shared" si="6"/>
        <v>0</v>
      </c>
      <c r="F58" s="237"/>
      <c r="G58" s="283">
        <f t="shared" si="7"/>
        <v>0</v>
      </c>
    </row>
    <row r="59" spans="1:7" s="127" customFormat="1" ht="12.75" x14ac:dyDescent="0.2">
      <c r="A59" s="113" t="s">
        <v>329</v>
      </c>
      <c r="B59" s="111" t="s">
        <v>293</v>
      </c>
      <c r="C59" s="112">
        <v>80</v>
      </c>
      <c r="D59" s="237"/>
      <c r="E59" s="283">
        <f t="shared" si="6"/>
        <v>0</v>
      </c>
      <c r="F59" s="237"/>
      <c r="G59" s="283">
        <f t="shared" si="7"/>
        <v>0</v>
      </c>
    </row>
    <row r="60" spans="1:7" s="127" customFormat="1" ht="12.75" x14ac:dyDescent="0.2">
      <c r="A60" s="113" t="s">
        <v>330</v>
      </c>
      <c r="B60" s="111" t="s">
        <v>293</v>
      </c>
      <c r="C60" s="112">
        <v>150</v>
      </c>
      <c r="D60" s="237"/>
      <c r="E60" s="283">
        <f t="shared" si="6"/>
        <v>0</v>
      </c>
      <c r="F60" s="237"/>
      <c r="G60" s="283">
        <f t="shared" si="7"/>
        <v>0</v>
      </c>
    </row>
    <row r="61" spans="1:7" s="127" customFormat="1" ht="12.75" x14ac:dyDescent="0.2">
      <c r="A61" s="113" t="s">
        <v>331</v>
      </c>
      <c r="B61" s="111" t="s">
        <v>293</v>
      </c>
      <c r="C61" s="112">
        <v>90</v>
      </c>
      <c r="D61" s="237"/>
      <c r="E61" s="283">
        <f t="shared" si="6"/>
        <v>0</v>
      </c>
      <c r="F61" s="237"/>
      <c r="G61" s="283">
        <f t="shared" si="7"/>
        <v>0</v>
      </c>
    </row>
    <row r="62" spans="1:7" s="127" customFormat="1" ht="12.75" x14ac:dyDescent="0.2">
      <c r="A62" s="113" t="s">
        <v>332</v>
      </c>
      <c r="B62" s="111" t="s">
        <v>293</v>
      </c>
      <c r="C62" s="112">
        <v>300</v>
      </c>
      <c r="D62" s="238"/>
      <c r="E62" s="283">
        <f t="shared" si="6"/>
        <v>0</v>
      </c>
      <c r="F62" s="238"/>
      <c r="G62" s="283">
        <f t="shared" si="7"/>
        <v>0</v>
      </c>
    </row>
    <row r="63" spans="1:7" s="127" customFormat="1" ht="12.75" x14ac:dyDescent="0.2">
      <c r="A63" s="113" t="s">
        <v>333</v>
      </c>
      <c r="B63" s="111" t="s">
        <v>293</v>
      </c>
      <c r="C63" s="112">
        <v>30</v>
      </c>
      <c r="D63" s="238"/>
      <c r="E63" s="283">
        <f t="shared" si="6"/>
        <v>0</v>
      </c>
      <c r="F63" s="238"/>
      <c r="G63" s="283">
        <f t="shared" si="7"/>
        <v>0</v>
      </c>
    </row>
    <row r="64" spans="1:7" s="127" customFormat="1" ht="12.75" x14ac:dyDescent="0.2">
      <c r="A64" s="113" t="s">
        <v>334</v>
      </c>
      <c r="B64" s="111" t="s">
        <v>293</v>
      </c>
      <c r="C64" s="112">
        <v>600</v>
      </c>
      <c r="D64" s="238"/>
      <c r="E64" s="283">
        <f t="shared" si="6"/>
        <v>0</v>
      </c>
      <c r="F64" s="238"/>
      <c r="G64" s="283">
        <f t="shared" si="7"/>
        <v>0</v>
      </c>
    </row>
    <row r="65" spans="1:7" s="127" customFormat="1" ht="12.75" x14ac:dyDescent="0.2">
      <c r="A65" s="186" t="s">
        <v>310</v>
      </c>
      <c r="B65" s="187"/>
      <c r="C65" s="187"/>
      <c r="D65" s="187"/>
      <c r="E65" s="187"/>
      <c r="F65" s="187"/>
      <c r="G65" s="188"/>
    </row>
    <row r="66" spans="1:7" s="127" customFormat="1" ht="12.75" x14ac:dyDescent="0.2">
      <c r="A66" s="243" t="s">
        <v>335</v>
      </c>
      <c r="B66" s="244"/>
      <c r="C66" s="244"/>
      <c r="D66" s="244"/>
      <c r="E66" s="244"/>
      <c r="F66" s="244"/>
      <c r="G66" s="247"/>
    </row>
    <row r="67" spans="1:7" s="127" customFormat="1" ht="12.75" x14ac:dyDescent="0.2">
      <c r="A67" s="114" t="s">
        <v>295</v>
      </c>
      <c r="B67" s="111"/>
      <c r="C67" s="112">
        <v>50</v>
      </c>
      <c r="D67" s="239"/>
      <c r="E67" s="283">
        <f>D67*C67</f>
        <v>0</v>
      </c>
      <c r="F67" s="257"/>
      <c r="G67" s="258"/>
    </row>
    <row r="68" spans="1:7" s="127" customFormat="1" ht="12.75" x14ac:dyDescent="0.2">
      <c r="A68" s="113" t="s">
        <v>336</v>
      </c>
      <c r="B68" s="111" t="s">
        <v>293</v>
      </c>
      <c r="C68" s="112">
        <v>50</v>
      </c>
      <c r="D68" s="239"/>
      <c r="E68" s="283">
        <f>D68*C68</f>
        <v>0</v>
      </c>
      <c r="F68" s="267"/>
      <c r="G68" s="266"/>
    </row>
    <row r="69" spans="1:7" s="127" customFormat="1" ht="12.75" x14ac:dyDescent="0.2">
      <c r="A69" s="243" t="s">
        <v>337</v>
      </c>
      <c r="B69" s="244"/>
      <c r="C69" s="244"/>
      <c r="D69" s="244"/>
      <c r="E69" s="244"/>
      <c r="F69" s="244"/>
      <c r="G69" s="247"/>
    </row>
    <row r="70" spans="1:7" s="127" customFormat="1" ht="12.75" x14ac:dyDescent="0.2">
      <c r="A70" s="110" t="s">
        <v>295</v>
      </c>
      <c r="B70" s="111"/>
      <c r="C70" s="112">
        <v>50</v>
      </c>
      <c r="D70" s="239"/>
      <c r="E70" s="283">
        <f t="shared" ref="E70:E77" si="8">D70*C70</f>
        <v>0</v>
      </c>
      <c r="F70" s="239"/>
      <c r="G70" s="283">
        <f>F70*C70</f>
        <v>0</v>
      </c>
    </row>
    <row r="71" spans="1:7" s="127" customFormat="1" ht="12.75" x14ac:dyDescent="0.2">
      <c r="A71" s="113" t="s">
        <v>338</v>
      </c>
      <c r="B71" s="111" t="s">
        <v>339</v>
      </c>
      <c r="C71" s="112">
        <v>0.05</v>
      </c>
      <c r="D71" s="239"/>
      <c r="E71" s="283">
        <f t="shared" si="8"/>
        <v>0</v>
      </c>
      <c r="F71" s="239"/>
      <c r="G71" s="283">
        <f t="shared" ref="G71:G77" si="9">F71*C71*0.8</f>
        <v>0</v>
      </c>
    </row>
    <row r="72" spans="1:7" s="127" customFormat="1" ht="12.75" x14ac:dyDescent="0.2">
      <c r="A72" s="113" t="s">
        <v>340</v>
      </c>
      <c r="B72" s="111" t="s">
        <v>293</v>
      </c>
      <c r="C72" s="112">
        <v>80</v>
      </c>
      <c r="D72" s="239"/>
      <c r="E72" s="283">
        <f t="shared" si="8"/>
        <v>0</v>
      </c>
      <c r="F72" s="239"/>
      <c r="G72" s="283">
        <f t="shared" si="9"/>
        <v>0</v>
      </c>
    </row>
    <row r="73" spans="1:7" s="127" customFormat="1" ht="12.75" x14ac:dyDescent="0.2">
      <c r="A73" s="113" t="s">
        <v>341</v>
      </c>
      <c r="B73" s="111" t="s">
        <v>297</v>
      </c>
      <c r="C73" s="115">
        <v>0.25</v>
      </c>
      <c r="D73" s="239"/>
      <c r="E73" s="283">
        <f t="shared" si="8"/>
        <v>0</v>
      </c>
      <c r="F73" s="239"/>
      <c r="G73" s="283">
        <f t="shared" si="9"/>
        <v>0</v>
      </c>
    </row>
    <row r="74" spans="1:7" s="127" customFormat="1" ht="12.75" x14ac:dyDescent="0.2">
      <c r="A74" s="113" t="s">
        <v>342</v>
      </c>
      <c r="B74" s="111" t="s">
        <v>339</v>
      </c>
      <c r="C74" s="112">
        <v>0.4</v>
      </c>
      <c r="D74" s="239"/>
      <c r="E74" s="283">
        <f t="shared" si="8"/>
        <v>0</v>
      </c>
      <c r="F74" s="239"/>
      <c r="G74" s="283">
        <f t="shared" si="9"/>
        <v>0</v>
      </c>
    </row>
    <row r="75" spans="1:7" s="127" customFormat="1" ht="12.75" x14ac:dyDescent="0.2">
      <c r="A75" s="113" t="s">
        <v>343</v>
      </c>
      <c r="B75" s="111" t="s">
        <v>293</v>
      </c>
      <c r="C75" s="112">
        <v>55</v>
      </c>
      <c r="D75" s="239"/>
      <c r="E75" s="283">
        <f t="shared" si="8"/>
        <v>0</v>
      </c>
      <c r="F75" s="239"/>
      <c r="G75" s="283">
        <f t="shared" si="9"/>
        <v>0</v>
      </c>
    </row>
    <row r="76" spans="1:7" s="127" customFormat="1" ht="12.75" x14ac:dyDescent="0.2">
      <c r="A76" s="113" t="s">
        <v>344</v>
      </c>
      <c r="B76" s="111" t="s">
        <v>339</v>
      </c>
      <c r="C76" s="112">
        <v>0.3</v>
      </c>
      <c r="D76" s="239"/>
      <c r="E76" s="283">
        <f t="shared" si="8"/>
        <v>0</v>
      </c>
      <c r="F76" s="239"/>
      <c r="G76" s="283">
        <f t="shared" si="9"/>
        <v>0</v>
      </c>
    </row>
    <row r="77" spans="1:7" s="127" customFormat="1" ht="12.75" x14ac:dyDescent="0.2">
      <c r="A77" s="113" t="s">
        <v>345</v>
      </c>
      <c r="B77" s="111" t="s">
        <v>297</v>
      </c>
      <c r="C77" s="112">
        <v>1.5</v>
      </c>
      <c r="D77" s="239"/>
      <c r="E77" s="283">
        <f t="shared" si="8"/>
        <v>0</v>
      </c>
      <c r="F77" s="239"/>
      <c r="G77" s="283">
        <f t="shared" si="9"/>
        <v>0</v>
      </c>
    </row>
    <row r="78" spans="1:7" s="127" customFormat="1" ht="12.75" x14ac:dyDescent="0.2">
      <c r="A78" s="186" t="s">
        <v>310</v>
      </c>
      <c r="B78" s="187"/>
      <c r="C78" s="187"/>
      <c r="D78" s="187"/>
      <c r="E78" s="187"/>
      <c r="F78" s="187"/>
      <c r="G78" s="188"/>
    </row>
    <row r="79" spans="1:7" s="127" customFormat="1" ht="12.75" x14ac:dyDescent="0.2">
      <c r="A79" s="243" t="s">
        <v>346</v>
      </c>
      <c r="B79" s="244"/>
      <c r="C79" s="244"/>
      <c r="D79" s="244"/>
      <c r="E79" s="244"/>
      <c r="F79" s="244"/>
      <c r="G79" s="247"/>
    </row>
    <row r="80" spans="1:7" s="127" customFormat="1" ht="12.75" x14ac:dyDescent="0.2">
      <c r="A80" s="110" t="s">
        <v>295</v>
      </c>
      <c r="B80" s="111"/>
      <c r="C80" s="112">
        <v>50</v>
      </c>
      <c r="D80" s="238"/>
      <c r="E80" s="283">
        <f t="shared" ref="E80:E91" si="10">D80*C80</f>
        <v>0</v>
      </c>
      <c r="F80" s="238"/>
      <c r="G80" s="283">
        <f>F80*C80</f>
        <v>0</v>
      </c>
    </row>
    <row r="81" spans="1:7" s="127" customFormat="1" ht="12.75" x14ac:dyDescent="0.2">
      <c r="A81" s="113" t="s">
        <v>347</v>
      </c>
      <c r="B81" s="111" t="s">
        <v>309</v>
      </c>
      <c r="C81" s="115">
        <v>0.45</v>
      </c>
      <c r="D81" s="238"/>
      <c r="E81" s="283">
        <f t="shared" si="10"/>
        <v>0</v>
      </c>
      <c r="F81" s="238"/>
      <c r="G81" s="283">
        <f>F81*C81*0.8</f>
        <v>0</v>
      </c>
    </row>
    <row r="82" spans="1:7" s="127" customFormat="1" ht="12.75" x14ac:dyDescent="0.2">
      <c r="A82" s="113" t="s">
        <v>348</v>
      </c>
      <c r="B82" s="111" t="s">
        <v>309</v>
      </c>
      <c r="C82" s="112">
        <v>0.5</v>
      </c>
      <c r="D82" s="238"/>
      <c r="E82" s="283">
        <f t="shared" si="10"/>
        <v>0</v>
      </c>
      <c r="F82" s="238"/>
      <c r="G82" s="283">
        <f>F82*C82*0.8</f>
        <v>0</v>
      </c>
    </row>
    <row r="83" spans="1:7" s="127" customFormat="1" ht="12.75" x14ac:dyDescent="0.2">
      <c r="A83" s="113" t="s">
        <v>349</v>
      </c>
      <c r="B83" s="111" t="s">
        <v>309</v>
      </c>
      <c r="C83" s="112">
        <v>0.3</v>
      </c>
      <c r="D83" s="238"/>
      <c r="E83" s="283">
        <f t="shared" si="10"/>
        <v>0</v>
      </c>
      <c r="F83" s="238"/>
      <c r="G83" s="283">
        <f>F83*C83*0.8</f>
        <v>0</v>
      </c>
    </row>
    <row r="84" spans="1:7" s="127" customFormat="1" ht="12.75" x14ac:dyDescent="0.2">
      <c r="A84" s="113" t="s">
        <v>350</v>
      </c>
      <c r="B84" s="111" t="s">
        <v>309</v>
      </c>
      <c r="C84" s="112">
        <v>0.1</v>
      </c>
      <c r="D84" s="238"/>
      <c r="E84" s="283">
        <f t="shared" si="10"/>
        <v>0</v>
      </c>
      <c r="F84" s="238"/>
      <c r="G84" s="283">
        <f>F84*C84*0.8</f>
        <v>0</v>
      </c>
    </row>
    <row r="85" spans="1:7" s="127" customFormat="1" ht="38.25" x14ac:dyDescent="0.2">
      <c r="A85" s="113" t="s">
        <v>351</v>
      </c>
      <c r="B85" s="111" t="s">
        <v>293</v>
      </c>
      <c r="C85" s="112">
        <v>60</v>
      </c>
      <c r="D85" s="238"/>
      <c r="E85" s="283">
        <f t="shared" si="10"/>
        <v>0</v>
      </c>
      <c r="F85" s="238"/>
      <c r="G85" s="283">
        <f>F85*C85*0.8</f>
        <v>0</v>
      </c>
    </row>
    <row r="86" spans="1:7" s="127" customFormat="1" ht="12.75" x14ac:dyDescent="0.2">
      <c r="A86" s="113" t="s">
        <v>352</v>
      </c>
      <c r="B86" s="189"/>
      <c r="C86" s="190"/>
      <c r="D86" s="190"/>
      <c r="E86" s="190"/>
      <c r="F86" s="190"/>
      <c r="G86" s="191"/>
    </row>
    <row r="87" spans="1:7" s="127" customFormat="1" ht="12.75" x14ac:dyDescent="0.2">
      <c r="A87" s="116" t="s">
        <v>353</v>
      </c>
      <c r="B87" s="111" t="s">
        <v>293</v>
      </c>
      <c r="C87" s="112">
        <v>25</v>
      </c>
      <c r="D87" s="238"/>
      <c r="E87" s="283">
        <f t="shared" si="10"/>
        <v>0</v>
      </c>
      <c r="F87" s="238"/>
      <c r="G87" s="283">
        <f>F87*C87*0.8</f>
        <v>0</v>
      </c>
    </row>
    <row r="88" spans="1:7" s="127" customFormat="1" ht="12.75" x14ac:dyDescent="0.2">
      <c r="A88" s="116" t="s">
        <v>354</v>
      </c>
      <c r="B88" s="111" t="s">
        <v>293</v>
      </c>
      <c r="C88" s="112">
        <v>15</v>
      </c>
      <c r="D88" s="238"/>
      <c r="E88" s="283">
        <f t="shared" si="10"/>
        <v>0</v>
      </c>
      <c r="F88" s="238"/>
      <c r="G88" s="283">
        <f>F88*C88*0.8</f>
        <v>0</v>
      </c>
    </row>
    <row r="89" spans="1:7" s="127" customFormat="1" ht="12.75" x14ac:dyDescent="0.2">
      <c r="A89" s="113" t="s">
        <v>355</v>
      </c>
      <c r="B89" s="111" t="s">
        <v>293</v>
      </c>
      <c r="C89" s="115">
        <v>25</v>
      </c>
      <c r="D89" s="238"/>
      <c r="E89" s="283">
        <f t="shared" si="10"/>
        <v>0</v>
      </c>
      <c r="F89" s="238"/>
      <c r="G89" s="283">
        <f>F89*C89*0.8</f>
        <v>0</v>
      </c>
    </row>
    <row r="90" spans="1:7" s="127" customFormat="1" ht="12.75" x14ac:dyDescent="0.2">
      <c r="A90" s="113" t="s">
        <v>356</v>
      </c>
      <c r="B90" s="111" t="s">
        <v>297</v>
      </c>
      <c r="C90" s="112">
        <v>4</v>
      </c>
      <c r="D90" s="238"/>
      <c r="E90" s="283">
        <f t="shared" si="10"/>
        <v>0</v>
      </c>
      <c r="F90" s="238"/>
      <c r="G90" s="283">
        <f>F90*C90*0.8</f>
        <v>0</v>
      </c>
    </row>
    <row r="91" spans="1:7" s="127" customFormat="1" ht="12.75" x14ac:dyDescent="0.2">
      <c r="A91" s="113" t="s">
        <v>357</v>
      </c>
      <c r="B91" s="111" t="s">
        <v>293</v>
      </c>
      <c r="C91" s="112">
        <v>65</v>
      </c>
      <c r="D91" s="238"/>
      <c r="E91" s="283">
        <f t="shared" si="10"/>
        <v>0</v>
      </c>
      <c r="F91" s="238"/>
      <c r="G91" s="283">
        <f>F91*C91*0.8</f>
        <v>0</v>
      </c>
    </row>
    <row r="92" spans="1:7" s="127" customFormat="1" ht="12.75" x14ac:dyDescent="0.2">
      <c r="A92" s="186" t="s">
        <v>310</v>
      </c>
      <c r="B92" s="187"/>
      <c r="C92" s="187"/>
      <c r="D92" s="187"/>
      <c r="E92" s="187"/>
      <c r="F92" s="187"/>
      <c r="G92" s="188"/>
    </row>
    <row r="93" spans="1:7" s="127" customFormat="1" ht="12.75" x14ac:dyDescent="0.2">
      <c r="A93" s="243" t="s">
        <v>358</v>
      </c>
      <c r="B93" s="244"/>
      <c r="C93" s="244"/>
      <c r="D93" s="244"/>
      <c r="E93" s="244"/>
      <c r="F93" s="244"/>
      <c r="G93" s="247"/>
    </row>
    <row r="94" spans="1:7" s="127" customFormat="1" ht="12.75" x14ac:dyDescent="0.2">
      <c r="A94" s="113" t="s">
        <v>359</v>
      </c>
      <c r="B94" s="111" t="s">
        <v>293</v>
      </c>
      <c r="C94" s="115">
        <v>95</v>
      </c>
      <c r="D94" s="239"/>
      <c r="E94" s="284">
        <f>D94*C94</f>
        <v>0</v>
      </c>
      <c r="F94" s="280"/>
      <c r="G94" s="258"/>
    </row>
    <row r="95" spans="1:7" s="127" customFormat="1" ht="12.75" x14ac:dyDescent="0.2">
      <c r="A95" s="113" t="s">
        <v>360</v>
      </c>
      <c r="B95" s="111" t="s">
        <v>293</v>
      </c>
      <c r="C95" s="112">
        <v>75</v>
      </c>
      <c r="D95" s="239"/>
      <c r="E95" s="284">
        <f>D95*C95</f>
        <v>0</v>
      </c>
      <c r="F95" s="281"/>
      <c r="G95" s="260"/>
    </row>
    <row r="96" spans="1:7" s="127" customFormat="1" ht="12.75" x14ac:dyDescent="0.2">
      <c r="A96" s="113" t="s">
        <v>361</v>
      </c>
      <c r="B96" s="111" t="s">
        <v>293</v>
      </c>
      <c r="C96" s="112">
        <v>30</v>
      </c>
      <c r="D96" s="239"/>
      <c r="E96" s="284">
        <f>D96*C96</f>
        <v>0</v>
      </c>
      <c r="F96" s="281"/>
      <c r="G96" s="260"/>
    </row>
    <row r="97" spans="1:8" s="127" customFormat="1" ht="12.75" x14ac:dyDescent="0.2">
      <c r="A97" s="113" t="s">
        <v>362</v>
      </c>
      <c r="B97" s="111" t="s">
        <v>297</v>
      </c>
      <c r="C97" s="112">
        <v>0.8</v>
      </c>
      <c r="D97" s="239"/>
      <c r="E97" s="284">
        <f>D97*C97</f>
        <v>0</v>
      </c>
      <c r="F97" s="282"/>
      <c r="G97" s="266"/>
    </row>
    <row r="98" spans="1:8" s="127" customFormat="1" ht="12.75" x14ac:dyDescent="0.2">
      <c r="A98" s="248" t="s">
        <v>363</v>
      </c>
      <c r="B98" s="249"/>
      <c r="C98" s="249"/>
      <c r="D98" s="249"/>
      <c r="E98" s="249"/>
      <c r="F98" s="249"/>
      <c r="G98" s="250"/>
    </row>
    <row r="99" spans="1:8" s="127" customFormat="1" ht="38.25" x14ac:dyDescent="0.2">
      <c r="A99" s="114" t="s">
        <v>364</v>
      </c>
      <c r="B99" s="111" t="s">
        <v>396</v>
      </c>
      <c r="C99" s="112">
        <v>0.03</v>
      </c>
      <c r="D99" s="239"/>
      <c r="E99" s="284">
        <f>D99*C99</f>
        <v>0</v>
      </c>
      <c r="F99" s="240"/>
      <c r="G99" s="283">
        <f>F99*C99</f>
        <v>0</v>
      </c>
    </row>
    <row r="100" spans="1:8" s="127" customFormat="1" ht="25.5" x14ac:dyDescent="0.2">
      <c r="A100" s="110" t="s">
        <v>365</v>
      </c>
      <c r="B100" s="111" t="s">
        <v>396</v>
      </c>
      <c r="C100" s="115">
        <v>0.03</v>
      </c>
      <c r="D100" s="239"/>
      <c r="E100" s="283">
        <f>D100*C100</f>
        <v>0</v>
      </c>
      <c r="F100" s="239"/>
      <c r="G100" s="283">
        <f>F100*C100</f>
        <v>0</v>
      </c>
    </row>
    <row r="101" spans="1:8" s="127" customFormat="1" ht="12.75" x14ac:dyDescent="0.2">
      <c r="A101" s="114" t="s">
        <v>366</v>
      </c>
      <c r="B101" s="111" t="s">
        <v>396</v>
      </c>
      <c r="C101" s="112">
        <v>0.03</v>
      </c>
      <c r="D101" s="239"/>
      <c r="E101" s="283">
        <f>D101*C101</f>
        <v>0</v>
      </c>
      <c r="F101" s="239"/>
      <c r="G101" s="283">
        <f>F101*C101</f>
        <v>0</v>
      </c>
    </row>
    <row r="102" spans="1:8" s="127" customFormat="1" ht="12.75" x14ac:dyDescent="0.2">
      <c r="A102" s="114" t="s">
        <v>367</v>
      </c>
      <c r="B102" s="111" t="s">
        <v>396</v>
      </c>
      <c r="C102" s="112">
        <v>0.03</v>
      </c>
      <c r="D102" s="239"/>
      <c r="E102" s="283">
        <f>D102*C102</f>
        <v>0</v>
      </c>
      <c r="F102" s="239"/>
      <c r="G102" s="283">
        <f>F102*C102</f>
        <v>0</v>
      </c>
    </row>
    <row r="103" spans="1:8" s="127" customFormat="1" ht="12.75" x14ac:dyDescent="0.2">
      <c r="A103" s="110" t="s">
        <v>368</v>
      </c>
      <c r="B103" s="111" t="s">
        <v>396</v>
      </c>
      <c r="C103" s="112">
        <v>0.03</v>
      </c>
      <c r="D103" s="239"/>
      <c r="E103" s="283">
        <f>D103*C103</f>
        <v>0</v>
      </c>
      <c r="F103" s="239"/>
      <c r="G103" s="283">
        <f>F103*C103</f>
        <v>0</v>
      </c>
    </row>
    <row r="104" spans="1:8" s="127" customFormat="1" ht="12.75" x14ac:dyDescent="0.2">
      <c r="A104" s="243" t="s">
        <v>369</v>
      </c>
      <c r="B104" s="244"/>
      <c r="C104" s="244"/>
      <c r="D104" s="244"/>
      <c r="E104" s="244"/>
      <c r="F104" s="244"/>
      <c r="G104" s="247"/>
    </row>
    <row r="105" spans="1:8" s="129" customFormat="1" ht="12.75" x14ac:dyDescent="0.2">
      <c r="A105" s="117"/>
      <c r="B105" s="118"/>
      <c r="C105" s="119" t="s">
        <v>370</v>
      </c>
      <c r="D105" s="241"/>
      <c r="E105" s="120">
        <f>ROUND(D105,0)</f>
        <v>0</v>
      </c>
      <c r="F105" s="179"/>
      <c r="G105" s="180"/>
    </row>
    <row r="106" spans="1:8" s="127" customFormat="1" ht="12.75" x14ac:dyDescent="0.2">
      <c r="A106" s="114" t="s">
        <v>371</v>
      </c>
      <c r="B106" s="111" t="s">
        <v>309</v>
      </c>
      <c r="C106" s="115">
        <v>26</v>
      </c>
      <c r="D106" s="285">
        <f>IF(E105&lt;100,E105,99)</f>
        <v>0</v>
      </c>
      <c r="E106" s="283">
        <f>D106*C106</f>
        <v>0</v>
      </c>
      <c r="F106" s="181"/>
      <c r="G106" s="182"/>
    </row>
    <row r="107" spans="1:8" s="127" customFormat="1" ht="12.75" x14ac:dyDescent="0.2">
      <c r="A107" s="114" t="s">
        <v>372</v>
      </c>
      <c r="B107" s="111" t="s">
        <v>309</v>
      </c>
      <c r="C107" s="115">
        <v>7</v>
      </c>
      <c r="D107" s="285">
        <f>IF((AND(100&lt;=E105,E105&lt;=499)),E105-99,IF(E105&gt;499,400,0))</f>
        <v>0</v>
      </c>
      <c r="E107" s="283">
        <f>D107*C107</f>
        <v>0</v>
      </c>
      <c r="F107" s="181"/>
      <c r="G107" s="182"/>
      <c r="H107" s="127" t="s">
        <v>373</v>
      </c>
    </row>
    <row r="108" spans="1:8" s="127" customFormat="1" ht="12.75" x14ac:dyDescent="0.2">
      <c r="A108" s="114" t="s">
        <v>374</v>
      </c>
      <c r="B108" s="111" t="s">
        <v>309</v>
      </c>
      <c r="C108" s="115">
        <v>2</v>
      </c>
      <c r="D108" s="285">
        <f>IF(AND(500&lt;=E105,E105&lt;=1759),E105-499,IF(E105&gt;1759,1260,0))</f>
        <v>0</v>
      </c>
      <c r="E108" s="283">
        <f>D108*C108</f>
        <v>0</v>
      </c>
      <c r="F108" s="181"/>
      <c r="G108" s="182"/>
    </row>
    <row r="109" spans="1:8" s="127" customFormat="1" ht="12.75" x14ac:dyDescent="0.2">
      <c r="A109" s="114" t="s">
        <v>375</v>
      </c>
      <c r="B109" s="111" t="s">
        <v>309</v>
      </c>
      <c r="C109" s="115">
        <v>0.8</v>
      </c>
      <c r="D109" s="285">
        <f>IF(E105&gt;=1760,E105-1759,0)</f>
        <v>0</v>
      </c>
      <c r="E109" s="283">
        <f>D109*C109</f>
        <v>0</v>
      </c>
      <c r="F109" s="181"/>
      <c r="G109" s="182"/>
    </row>
    <row r="110" spans="1:8" s="127" customFormat="1" ht="12.75" x14ac:dyDescent="0.2">
      <c r="A110" s="183" t="s">
        <v>376</v>
      </c>
      <c r="B110" s="184"/>
      <c r="C110" s="184"/>
      <c r="D110" s="184"/>
      <c r="E110" s="184"/>
      <c r="F110" s="184"/>
      <c r="G110" s="185"/>
    </row>
    <row r="111" spans="1:8" s="127" customFormat="1" ht="12.75" x14ac:dyDescent="0.2">
      <c r="A111" s="243" t="s">
        <v>377</v>
      </c>
      <c r="B111" s="244"/>
      <c r="C111" s="244"/>
      <c r="D111" s="244"/>
      <c r="E111" s="244"/>
      <c r="F111" s="244"/>
      <c r="G111" s="247"/>
    </row>
    <row r="112" spans="1:8" s="127" customFormat="1" ht="12.75" x14ac:dyDescent="0.2">
      <c r="A112" s="251" t="s">
        <v>378</v>
      </c>
      <c r="B112" s="252"/>
      <c r="C112" s="252"/>
      <c r="D112" s="252"/>
      <c r="E112" s="252"/>
      <c r="F112" s="252"/>
      <c r="G112" s="253"/>
    </row>
    <row r="113" spans="1:7" s="127" customFormat="1" ht="12.75" x14ac:dyDescent="0.2">
      <c r="A113" s="113" t="s">
        <v>379</v>
      </c>
      <c r="B113" s="111"/>
      <c r="C113" s="121" t="s">
        <v>216</v>
      </c>
      <c r="D113" s="240"/>
      <c r="E113" s="284">
        <v>0</v>
      </c>
      <c r="F113" s="279"/>
      <c r="G113" s="278"/>
    </row>
    <row r="114" spans="1:7" s="127" customFormat="1" ht="24.75" customHeight="1" x14ac:dyDescent="0.2">
      <c r="A114" s="254" t="s">
        <v>380</v>
      </c>
      <c r="B114" s="255"/>
      <c r="C114" s="255"/>
      <c r="D114" s="255"/>
      <c r="E114" s="255"/>
      <c r="F114" s="255"/>
      <c r="G114" s="256"/>
    </row>
    <row r="115" spans="1:7" s="127" customFormat="1" ht="12.75" x14ac:dyDescent="0.2">
      <c r="A115" s="113" t="s">
        <v>379</v>
      </c>
      <c r="B115" s="111" t="s">
        <v>293</v>
      </c>
      <c r="C115" s="121">
        <v>160</v>
      </c>
      <c r="D115" s="240"/>
      <c r="E115" s="284">
        <f>D115*C115</f>
        <v>0</v>
      </c>
      <c r="F115" s="279"/>
      <c r="G115" s="278"/>
    </row>
    <row r="116" spans="1:7" s="127" customFormat="1" ht="13.5" customHeight="1" x14ac:dyDescent="0.2">
      <c r="A116" s="254" t="s">
        <v>381</v>
      </c>
      <c r="B116" s="255"/>
      <c r="C116" s="255"/>
      <c r="D116" s="255"/>
      <c r="E116" s="255"/>
      <c r="F116" s="255"/>
      <c r="G116" s="256"/>
    </row>
    <row r="117" spans="1:7" s="127" customFormat="1" ht="12.75" x14ac:dyDescent="0.2">
      <c r="A117" s="113" t="s">
        <v>379</v>
      </c>
      <c r="B117" s="111" t="s">
        <v>293</v>
      </c>
      <c r="C117" s="121">
        <v>160</v>
      </c>
      <c r="D117" s="240"/>
      <c r="E117" s="284">
        <f>D117*C117</f>
        <v>0</v>
      </c>
      <c r="F117" s="279"/>
      <c r="G117" s="278"/>
    </row>
    <row r="118" spans="1:7" s="127" customFormat="1" ht="12.75" x14ac:dyDescent="0.2">
      <c r="A118" s="251" t="s">
        <v>382</v>
      </c>
      <c r="B118" s="252"/>
      <c r="C118" s="252"/>
      <c r="D118" s="252"/>
      <c r="E118" s="252"/>
      <c r="F118" s="252"/>
      <c r="G118" s="253"/>
    </row>
    <row r="119" spans="1:7" s="127" customFormat="1" ht="12.75" x14ac:dyDescent="0.2">
      <c r="A119" s="113" t="s">
        <v>379</v>
      </c>
      <c r="B119" s="111" t="s">
        <v>293</v>
      </c>
      <c r="C119" s="121">
        <v>160</v>
      </c>
      <c r="D119" s="240"/>
      <c r="E119" s="283">
        <f>D119*C119</f>
        <v>0</v>
      </c>
      <c r="F119" s="277"/>
      <c r="G119" s="278"/>
    </row>
    <row r="120" spans="1:7" s="127" customFormat="1" ht="12.75" x14ac:dyDescent="0.2">
      <c r="A120" s="251" t="s">
        <v>383</v>
      </c>
      <c r="B120" s="252"/>
      <c r="C120" s="252"/>
      <c r="D120" s="252"/>
      <c r="E120" s="252"/>
      <c r="F120" s="252"/>
      <c r="G120" s="253"/>
    </row>
    <row r="121" spans="1:7" s="127" customFormat="1" ht="12.75" x14ac:dyDescent="0.2">
      <c r="A121" s="113" t="s">
        <v>384</v>
      </c>
      <c r="B121" s="111" t="s">
        <v>293</v>
      </c>
      <c r="C121" s="112">
        <v>160</v>
      </c>
      <c r="D121" s="239"/>
      <c r="E121" s="283">
        <f>D121*C121</f>
        <v>0</v>
      </c>
      <c r="F121" s="274"/>
      <c r="G121" s="269"/>
    </row>
    <row r="122" spans="1:7" s="127" customFormat="1" ht="12.75" x14ac:dyDescent="0.2">
      <c r="A122" s="113" t="s">
        <v>385</v>
      </c>
      <c r="B122" s="111" t="s">
        <v>386</v>
      </c>
      <c r="C122" s="112">
        <v>100</v>
      </c>
      <c r="D122" s="239"/>
      <c r="E122" s="283">
        <f>D122*C122</f>
        <v>0</v>
      </c>
      <c r="F122" s="275"/>
      <c r="G122" s="271"/>
    </row>
    <row r="123" spans="1:7" s="127" customFormat="1" ht="12.75" x14ac:dyDescent="0.2">
      <c r="A123" s="113" t="s">
        <v>387</v>
      </c>
      <c r="B123" s="111" t="s">
        <v>293</v>
      </c>
      <c r="C123" s="112">
        <v>160</v>
      </c>
      <c r="D123" s="239"/>
      <c r="E123" s="283">
        <f>D123*C123</f>
        <v>0</v>
      </c>
      <c r="F123" s="275"/>
      <c r="G123" s="271"/>
    </row>
    <row r="124" spans="1:7" s="127" customFormat="1" ht="25.5" x14ac:dyDescent="0.2">
      <c r="A124" s="113" t="s">
        <v>388</v>
      </c>
      <c r="B124" s="111" t="s">
        <v>386</v>
      </c>
      <c r="C124" s="112">
        <v>100</v>
      </c>
      <c r="D124" s="239"/>
      <c r="E124" s="283">
        <f>D124*C124</f>
        <v>0</v>
      </c>
      <c r="F124" s="275"/>
      <c r="G124" s="271"/>
    </row>
    <row r="125" spans="1:7" s="127" customFormat="1" ht="12.75" x14ac:dyDescent="0.2">
      <c r="A125" s="113" t="s">
        <v>389</v>
      </c>
      <c r="B125" s="169" t="s">
        <v>390</v>
      </c>
      <c r="C125" s="170"/>
      <c r="D125" s="170"/>
      <c r="E125" s="176"/>
      <c r="F125" s="276"/>
      <c r="G125" s="273"/>
    </row>
    <row r="126" spans="1:7" s="127" customFormat="1" ht="26.25" customHeight="1" x14ac:dyDescent="0.2">
      <c r="A126" s="254" t="s">
        <v>391</v>
      </c>
      <c r="B126" s="255"/>
      <c r="C126" s="255"/>
      <c r="D126" s="255"/>
      <c r="E126" s="255"/>
      <c r="F126" s="255"/>
      <c r="G126" s="256"/>
    </row>
    <row r="127" spans="1:7" s="127" customFormat="1" ht="12.75" x14ac:dyDescent="0.2">
      <c r="A127" s="113" t="s">
        <v>384</v>
      </c>
      <c r="B127" s="111" t="s">
        <v>293</v>
      </c>
      <c r="C127" s="112">
        <v>160</v>
      </c>
      <c r="D127" s="239"/>
      <c r="E127" s="283">
        <f>D127*C127</f>
        <v>0</v>
      </c>
      <c r="F127" s="268"/>
      <c r="G127" s="269"/>
    </row>
    <row r="128" spans="1:7" s="127" customFormat="1" ht="12.75" x14ac:dyDescent="0.2">
      <c r="A128" s="113" t="s">
        <v>385</v>
      </c>
      <c r="B128" s="111" t="s">
        <v>386</v>
      </c>
      <c r="C128" s="112">
        <v>100</v>
      </c>
      <c r="D128" s="239"/>
      <c r="E128" s="283">
        <f>D128*C128</f>
        <v>0</v>
      </c>
      <c r="F128" s="270"/>
      <c r="G128" s="271"/>
    </row>
    <row r="129" spans="1:7" s="127" customFormat="1" ht="12.75" x14ac:dyDescent="0.2">
      <c r="A129" s="113" t="s">
        <v>387</v>
      </c>
      <c r="B129" s="111" t="s">
        <v>293</v>
      </c>
      <c r="C129" s="112">
        <v>160</v>
      </c>
      <c r="D129" s="239"/>
      <c r="E129" s="283">
        <f>D129*C129</f>
        <v>0</v>
      </c>
      <c r="F129" s="270"/>
      <c r="G129" s="271"/>
    </row>
    <row r="130" spans="1:7" s="127" customFormat="1" ht="25.5" x14ac:dyDescent="0.2">
      <c r="A130" s="113" t="s">
        <v>388</v>
      </c>
      <c r="B130" s="111" t="s">
        <v>386</v>
      </c>
      <c r="C130" s="112">
        <v>100</v>
      </c>
      <c r="D130" s="239"/>
      <c r="E130" s="283">
        <f>D130*C130</f>
        <v>0</v>
      </c>
      <c r="F130" s="270"/>
      <c r="G130" s="271"/>
    </row>
    <row r="131" spans="1:7" s="127" customFormat="1" ht="12.75" x14ac:dyDescent="0.2">
      <c r="A131" s="113" t="s">
        <v>389</v>
      </c>
      <c r="B131" s="169" t="s">
        <v>390</v>
      </c>
      <c r="C131" s="170"/>
      <c r="D131" s="170"/>
      <c r="E131" s="176"/>
      <c r="F131" s="272"/>
      <c r="G131" s="273"/>
    </row>
    <row r="132" spans="1:7" s="127" customFormat="1" ht="12.75" x14ac:dyDescent="0.2">
      <c r="A132" s="251" t="s">
        <v>392</v>
      </c>
      <c r="B132" s="252"/>
      <c r="C132" s="252"/>
      <c r="D132" s="252"/>
      <c r="E132" s="252"/>
      <c r="F132" s="252"/>
      <c r="G132" s="253"/>
    </row>
    <row r="133" spans="1:7" s="127" customFormat="1" ht="12.75" x14ac:dyDescent="0.2">
      <c r="A133" s="113" t="s">
        <v>387</v>
      </c>
      <c r="B133" s="111" t="s">
        <v>293</v>
      </c>
      <c r="C133" s="112">
        <v>160</v>
      </c>
      <c r="D133" s="239"/>
      <c r="E133" s="283">
        <f>D133*C133</f>
        <v>0</v>
      </c>
      <c r="F133" s="257"/>
      <c r="G133" s="258"/>
    </row>
    <row r="134" spans="1:7" s="127" customFormat="1" ht="25.5" x14ac:dyDescent="0.2">
      <c r="A134" s="113" t="s">
        <v>388</v>
      </c>
      <c r="B134" s="111" t="s">
        <v>386</v>
      </c>
      <c r="C134" s="112">
        <v>100</v>
      </c>
      <c r="D134" s="239"/>
      <c r="E134" s="283">
        <f>D134*C134</f>
        <v>0</v>
      </c>
      <c r="F134" s="259"/>
      <c r="G134" s="260"/>
    </row>
    <row r="135" spans="1:7" s="127" customFormat="1" ht="12.75" x14ac:dyDescent="0.2">
      <c r="A135" s="113" t="s">
        <v>389</v>
      </c>
      <c r="B135" s="169" t="s">
        <v>390</v>
      </c>
      <c r="C135" s="170"/>
      <c r="D135" s="170"/>
      <c r="E135" s="176"/>
      <c r="F135" s="267"/>
      <c r="G135" s="266"/>
    </row>
    <row r="136" spans="1:7" s="127" customFormat="1" ht="12.75" x14ac:dyDescent="0.2">
      <c r="A136" s="251" t="s">
        <v>393</v>
      </c>
      <c r="B136" s="252"/>
      <c r="C136" s="252"/>
      <c r="D136" s="252"/>
      <c r="E136" s="252"/>
      <c r="F136" s="252"/>
      <c r="G136" s="253"/>
    </row>
    <row r="137" spans="1:7" s="127" customFormat="1" ht="12.75" x14ac:dyDescent="0.2">
      <c r="A137" s="113" t="s">
        <v>387</v>
      </c>
      <c r="B137" s="111" t="s">
        <v>293</v>
      </c>
      <c r="C137" s="112">
        <v>160</v>
      </c>
      <c r="D137" s="239"/>
      <c r="E137" s="283">
        <f>D137*C137</f>
        <v>0</v>
      </c>
      <c r="F137" s="263"/>
      <c r="G137" s="258"/>
    </row>
    <row r="138" spans="1:7" s="127" customFormat="1" ht="25.5" x14ac:dyDescent="0.2">
      <c r="A138" s="113" t="s">
        <v>388</v>
      </c>
      <c r="B138" s="111" t="s">
        <v>386</v>
      </c>
      <c r="C138" s="112">
        <v>100</v>
      </c>
      <c r="D138" s="239"/>
      <c r="E138" s="283">
        <f>D138*C138</f>
        <v>0</v>
      </c>
      <c r="F138" s="264"/>
      <c r="G138" s="260"/>
    </row>
    <row r="139" spans="1:7" s="127" customFormat="1" ht="12.75" x14ac:dyDescent="0.2">
      <c r="A139" s="113" t="s">
        <v>389</v>
      </c>
      <c r="B139" s="169" t="s">
        <v>390</v>
      </c>
      <c r="C139" s="170"/>
      <c r="D139" s="170"/>
      <c r="E139" s="176"/>
      <c r="F139" s="265"/>
      <c r="G139" s="266"/>
    </row>
    <row r="140" spans="1:7" s="127" customFormat="1" ht="12.75" x14ac:dyDescent="0.2">
      <c r="A140" s="251" t="s">
        <v>394</v>
      </c>
      <c r="B140" s="252"/>
      <c r="C140" s="252"/>
      <c r="D140" s="252"/>
      <c r="E140" s="252"/>
      <c r="F140" s="252"/>
      <c r="G140" s="253"/>
    </row>
    <row r="141" spans="1:7" s="127" customFormat="1" ht="12.75" x14ac:dyDescent="0.2">
      <c r="A141" s="113" t="s">
        <v>387</v>
      </c>
      <c r="B141" s="111" t="s">
        <v>293</v>
      </c>
      <c r="C141" s="112">
        <v>160</v>
      </c>
      <c r="D141" s="239"/>
      <c r="E141" s="283">
        <f>D141*C141</f>
        <v>0</v>
      </c>
      <c r="F141" s="257"/>
      <c r="G141" s="258"/>
    </row>
    <row r="142" spans="1:7" s="127" customFormat="1" ht="25.5" x14ac:dyDescent="0.2">
      <c r="A142" s="113" t="s">
        <v>388</v>
      </c>
      <c r="B142" s="122" t="s">
        <v>386</v>
      </c>
      <c r="C142" s="123">
        <v>100</v>
      </c>
      <c r="D142" s="242"/>
      <c r="E142" s="286">
        <f>D142*C142</f>
        <v>0</v>
      </c>
      <c r="F142" s="259"/>
      <c r="G142" s="260"/>
    </row>
    <row r="143" spans="1:7" s="127" customFormat="1" ht="13.5" thickBot="1" x14ac:dyDescent="0.25">
      <c r="A143" s="124" t="s">
        <v>389</v>
      </c>
      <c r="B143" s="169" t="s">
        <v>390</v>
      </c>
      <c r="C143" s="170"/>
      <c r="D143" s="171"/>
      <c r="E143" s="172"/>
      <c r="F143" s="261"/>
      <c r="G143" s="262"/>
    </row>
    <row r="144" spans="1:7" s="127" customFormat="1" ht="13.5" thickBot="1" x14ac:dyDescent="0.25">
      <c r="A144" s="173" t="s">
        <v>395</v>
      </c>
      <c r="B144" s="174"/>
      <c r="C144" s="175"/>
      <c r="D144" s="287">
        <f>SUM(E16:E143)</f>
        <v>0</v>
      </c>
      <c r="E144" s="288"/>
      <c r="F144" s="287">
        <f>SUM(G16:G103)</f>
        <v>0</v>
      </c>
      <c r="G144" s="288"/>
    </row>
    <row r="145" spans="1:8" s="127" customFormat="1" ht="13.5" thickBot="1" x14ac:dyDescent="0.25">
      <c r="E145" s="130"/>
      <c r="G145" s="130"/>
    </row>
    <row r="146" spans="1:8" s="127" customFormat="1" ht="13.5" thickBot="1" x14ac:dyDescent="0.25">
      <c r="A146" s="131"/>
      <c r="B146" s="126"/>
      <c r="C146" s="126"/>
      <c r="D146" s="132" t="s">
        <v>275</v>
      </c>
      <c r="E146" s="133"/>
      <c r="F146" s="289">
        <f>D144+F144</f>
        <v>0</v>
      </c>
      <c r="G146" s="290"/>
    </row>
    <row r="147" spans="1:8" s="45" customFormat="1" ht="12.75" x14ac:dyDescent="0.2">
      <c r="A147" s="78"/>
      <c r="B147" s="79"/>
      <c r="C147" s="79"/>
      <c r="D147" s="79"/>
      <c r="E147" s="79"/>
      <c r="F147" s="79"/>
      <c r="G147" s="80"/>
      <c r="H147" s="85"/>
    </row>
    <row r="148" spans="1:8" s="2" customFormat="1" ht="28.5" customHeight="1" x14ac:dyDescent="0.2">
      <c r="A148" s="160" t="s">
        <v>399</v>
      </c>
      <c r="B148" s="161"/>
      <c r="C148" s="161"/>
      <c r="D148" s="161"/>
      <c r="E148" s="161"/>
      <c r="F148" s="161"/>
      <c r="G148" s="162"/>
      <c r="H148" s="141"/>
    </row>
    <row r="149" spans="1:8" s="45" customFormat="1" ht="13.5" x14ac:dyDescent="0.25">
      <c r="A149" s="142"/>
      <c r="B149" s="82"/>
      <c r="C149" s="82"/>
      <c r="D149" s="82"/>
      <c r="E149" s="82"/>
      <c r="F149" s="82"/>
      <c r="G149" s="83"/>
      <c r="H149" s="82"/>
    </row>
    <row r="150" spans="1:8" s="45" customFormat="1" ht="13.5" x14ac:dyDescent="0.25">
      <c r="A150" s="142" t="s">
        <v>1</v>
      </c>
      <c r="B150" s="82"/>
      <c r="C150" s="82"/>
      <c r="D150" s="82"/>
      <c r="E150" s="82"/>
      <c r="F150" s="82"/>
      <c r="G150" s="83"/>
      <c r="H150" s="82"/>
    </row>
    <row r="151" spans="1:8" s="45" customFormat="1" ht="12.75" x14ac:dyDescent="0.2">
      <c r="A151" s="143"/>
      <c r="B151" s="85"/>
      <c r="C151" s="85"/>
      <c r="D151" s="85"/>
      <c r="E151" s="85"/>
      <c r="F151" s="85"/>
      <c r="G151" s="86"/>
      <c r="H151" s="85"/>
    </row>
    <row r="152" spans="1:8" s="45" customFormat="1" ht="13.5" thickBot="1" x14ac:dyDescent="0.25">
      <c r="A152" s="144" t="s">
        <v>2</v>
      </c>
      <c r="B152" s="88"/>
      <c r="C152" s="89"/>
      <c r="D152" s="89"/>
      <c r="E152" s="89"/>
      <c r="F152" s="89"/>
      <c r="G152" s="90"/>
      <c r="H152" s="85"/>
    </row>
  </sheetData>
  <sheetProtection password="C724" sheet="1" objects="1" scenarios="1" selectLockedCells="1"/>
  <protectedRanges>
    <protectedRange sqref="G11 B11:C11 B7:G10" name="Range1"/>
  </protectedRanges>
  <mergeCells count="60">
    <mergeCell ref="A93:G93"/>
    <mergeCell ref="A69:G69"/>
    <mergeCell ref="A78:G78"/>
    <mergeCell ref="A79:G79"/>
    <mergeCell ref="B86:G86"/>
    <mergeCell ref="A92:G92"/>
    <mergeCell ref="A148:G148"/>
    <mergeCell ref="F146:G146"/>
    <mergeCell ref="F94:G97"/>
    <mergeCell ref="A98:G98"/>
    <mergeCell ref="A104:G104"/>
    <mergeCell ref="B11:C11"/>
    <mergeCell ref="A52:G52"/>
    <mergeCell ref="A65:G65"/>
    <mergeCell ref="A66:G66"/>
    <mergeCell ref="D13:E13"/>
    <mergeCell ref="A24:G24"/>
    <mergeCell ref="A37:G37"/>
    <mergeCell ref="A51:G51"/>
    <mergeCell ref="A38:G38"/>
    <mergeCell ref="F13:G13"/>
    <mergeCell ref="A15:G15"/>
    <mergeCell ref="B131:E131"/>
    <mergeCell ref="F113:G113"/>
    <mergeCell ref="A114:G114"/>
    <mergeCell ref="A126:G126"/>
    <mergeCell ref="F117:G117"/>
    <mergeCell ref="A118:G118"/>
    <mergeCell ref="F115:G115"/>
    <mergeCell ref="A116:G116"/>
    <mergeCell ref="F105:G109"/>
    <mergeCell ref="A110:G110"/>
    <mergeCell ref="F121:G125"/>
    <mergeCell ref="A112:G112"/>
    <mergeCell ref="A111:G111"/>
    <mergeCell ref="F67:G68"/>
    <mergeCell ref="A136:G136"/>
    <mergeCell ref="F119:G119"/>
    <mergeCell ref="A120:G120"/>
    <mergeCell ref="F137:G139"/>
    <mergeCell ref="B139:E139"/>
    <mergeCell ref="A132:G132"/>
    <mergeCell ref="F133:G135"/>
    <mergeCell ref="B135:E135"/>
    <mergeCell ref="B125:E125"/>
    <mergeCell ref="F127:G131"/>
    <mergeCell ref="A140:G140"/>
    <mergeCell ref="F141:G143"/>
    <mergeCell ref="B143:E143"/>
    <mergeCell ref="D144:E144"/>
    <mergeCell ref="F144:G144"/>
    <mergeCell ref="A144:C144"/>
    <mergeCell ref="B9:G9"/>
    <mergeCell ref="B10:G10"/>
    <mergeCell ref="A1:G1"/>
    <mergeCell ref="A2:G2"/>
    <mergeCell ref="A3:G3"/>
    <mergeCell ref="A4:G4"/>
    <mergeCell ref="B7:G7"/>
    <mergeCell ref="B8:G8"/>
  </mergeCells>
  <phoneticPr fontId="0" type="noConversion"/>
  <pageMargins left="0.5" right="0.5" top="0.5" bottom="0.5" header="0.3" footer="0.3"/>
  <pageSetup scale="93" fitToWidth="0" fitToHeight="0" orientation="portrait" r:id="rId1"/>
  <headerFooter>
    <oddFooter>Page &amp;P of &amp;N</oddFooter>
  </headerFooter>
  <rowBreaks count="2" manualBreakCount="2">
    <brk id="51" max="6" man="1"/>
    <brk id="10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8"/>
  <sheetViews>
    <sheetView view="pageBreakPreview" zoomScaleNormal="100" zoomScaleSheetLayoutView="100" workbookViewId="0">
      <selection activeCell="F17" sqref="F17"/>
    </sheetView>
  </sheetViews>
  <sheetFormatPr defaultRowHeight="12.75" x14ac:dyDescent="0.2"/>
  <cols>
    <col min="1" max="1" width="49.85546875" style="2" customWidth="1"/>
    <col min="2" max="2" width="11.85546875" style="2" customWidth="1"/>
    <col min="3" max="3" width="12.7109375" style="2" customWidth="1"/>
    <col min="4" max="7" width="11.85546875" style="2" customWidth="1"/>
    <col min="8" max="8" width="15.5703125" style="2" customWidth="1"/>
    <col min="9" max="16384" width="9.140625" style="2"/>
  </cols>
  <sheetData>
    <row r="1" spans="1:8" ht="18.75" x14ac:dyDescent="0.3">
      <c r="A1" s="163" t="s">
        <v>9</v>
      </c>
      <c r="B1" s="164"/>
      <c r="C1" s="164"/>
      <c r="D1" s="164"/>
      <c r="E1" s="164"/>
      <c r="F1" s="164"/>
      <c r="G1" s="164"/>
      <c r="H1" s="164"/>
    </row>
    <row r="2" spans="1:8" ht="18.75" x14ac:dyDescent="0.3">
      <c r="A2" s="163" t="s">
        <v>49</v>
      </c>
      <c r="B2" s="164"/>
      <c r="C2" s="164"/>
      <c r="D2" s="164"/>
      <c r="E2" s="164"/>
      <c r="F2" s="164"/>
      <c r="G2" s="164"/>
      <c r="H2" s="164"/>
    </row>
    <row r="3" spans="1:8" ht="18.75" x14ac:dyDescent="0.3">
      <c r="A3" s="163" t="s">
        <v>122</v>
      </c>
      <c r="B3" s="164"/>
      <c r="C3" s="164"/>
      <c r="D3" s="164"/>
      <c r="E3" s="164"/>
      <c r="F3" s="164"/>
      <c r="G3" s="164"/>
      <c r="H3" s="164"/>
    </row>
    <row r="4" spans="1:8" ht="15.75" x14ac:dyDescent="0.25">
      <c r="A4" s="165" t="s">
        <v>39</v>
      </c>
      <c r="B4" s="165"/>
      <c r="C4" s="165"/>
      <c r="D4" s="165"/>
      <c r="E4" s="165"/>
      <c r="F4" s="165"/>
      <c r="G4" s="165"/>
      <c r="H4" s="165"/>
    </row>
    <row r="5" spans="1:8" ht="15.75" x14ac:dyDescent="0.25">
      <c r="B5" s="3"/>
      <c r="C5" s="3"/>
      <c r="D5" s="3"/>
      <c r="E5" s="3"/>
      <c r="F5" s="4"/>
      <c r="G5" s="192"/>
      <c r="H5" s="139" t="s">
        <v>53</v>
      </c>
    </row>
    <row r="6" spans="1:8" ht="20.25" thickBot="1" x14ac:dyDescent="0.4">
      <c r="A6" s="5"/>
      <c r="B6" s="5"/>
      <c r="C6" s="5"/>
      <c r="D6" s="5"/>
      <c r="E6" s="5"/>
      <c r="F6" s="5"/>
      <c r="G6" s="5"/>
      <c r="H6" s="5"/>
    </row>
    <row r="7" spans="1:8" ht="15.75" x14ac:dyDescent="0.25">
      <c r="A7" s="6" t="s">
        <v>7</v>
      </c>
      <c r="B7" s="193"/>
      <c r="C7" s="194"/>
      <c r="D7" s="194"/>
      <c r="E7" s="194"/>
      <c r="F7" s="194"/>
      <c r="G7" s="194"/>
      <c r="H7" s="195"/>
    </row>
    <row r="8" spans="1:8" ht="15.75" x14ac:dyDescent="0.25">
      <c r="A8" s="7" t="s">
        <v>3</v>
      </c>
      <c r="B8" s="196"/>
      <c r="C8" s="196"/>
      <c r="D8" s="196"/>
      <c r="E8" s="196"/>
      <c r="F8" s="196"/>
      <c r="G8" s="196"/>
      <c r="H8" s="197"/>
    </row>
    <row r="9" spans="1:8" ht="15.75" x14ac:dyDescent="0.25">
      <c r="A9" s="7" t="s">
        <v>5</v>
      </c>
      <c r="B9" s="196"/>
      <c r="C9" s="196"/>
      <c r="D9" s="196"/>
      <c r="E9" s="196"/>
      <c r="F9" s="196"/>
      <c r="G9" s="196"/>
      <c r="H9" s="197"/>
    </row>
    <row r="10" spans="1:8" ht="15.75" x14ac:dyDescent="0.25">
      <c r="A10" s="7" t="s">
        <v>4</v>
      </c>
      <c r="B10" s="196"/>
      <c r="C10" s="196"/>
      <c r="D10" s="196"/>
      <c r="E10" s="196"/>
      <c r="F10" s="196"/>
      <c r="G10" s="196"/>
      <c r="H10" s="197"/>
    </row>
    <row r="11" spans="1:8" ht="16.5" thickBot="1" x14ac:dyDescent="0.3">
      <c r="A11" s="8" t="s">
        <v>38</v>
      </c>
      <c r="B11" s="198"/>
      <c r="C11" s="198"/>
      <c r="D11" s="9"/>
      <c r="E11" s="9"/>
      <c r="F11" s="10" t="s">
        <v>6</v>
      </c>
      <c r="G11" s="199"/>
      <c r="H11" s="200"/>
    </row>
    <row r="12" spans="1:8" x14ac:dyDescent="0.2">
      <c r="A12" s="11"/>
      <c r="B12" s="11"/>
      <c r="C12" s="11"/>
      <c r="D12" s="11"/>
      <c r="E12" s="11"/>
      <c r="F12" s="11"/>
      <c r="G12" s="11"/>
      <c r="H12" s="11"/>
    </row>
    <row r="13" spans="1:8" x14ac:dyDescent="0.2">
      <c r="A13" s="157" t="s">
        <v>134</v>
      </c>
      <c r="B13" s="158"/>
      <c r="C13" s="158"/>
      <c r="D13" s="158"/>
      <c r="E13" s="159"/>
      <c r="F13" s="12" t="s">
        <v>58</v>
      </c>
      <c r="G13" s="12" t="s">
        <v>0</v>
      </c>
      <c r="H13" s="12" t="s">
        <v>52</v>
      </c>
    </row>
    <row r="14" spans="1:8" s="13" customFormat="1" x14ac:dyDescent="0.2">
      <c r="A14" s="211" t="s">
        <v>133</v>
      </c>
      <c r="B14" s="212"/>
      <c r="C14" s="212"/>
      <c r="D14" s="212"/>
      <c r="E14" s="212"/>
      <c r="F14" s="212"/>
      <c r="G14" s="212"/>
      <c r="H14" s="213"/>
    </row>
    <row r="15" spans="1:8" s="13" customFormat="1" ht="12.75" customHeight="1" x14ac:dyDescent="0.2">
      <c r="A15" s="91" t="s">
        <v>123</v>
      </c>
      <c r="B15" s="92"/>
      <c r="C15" s="92"/>
      <c r="D15" s="92"/>
      <c r="E15" s="93"/>
      <c r="F15" s="210"/>
      <c r="G15" s="210"/>
      <c r="H15" s="209"/>
    </row>
    <row r="16" spans="1:8" s="13" customFormat="1" x14ac:dyDescent="0.2">
      <c r="A16" s="91" t="s">
        <v>124</v>
      </c>
      <c r="B16" s="92"/>
      <c r="C16" s="92"/>
      <c r="D16" s="92"/>
      <c r="E16" s="93"/>
      <c r="F16" s="201"/>
      <c r="G16" s="14">
        <v>1100</v>
      </c>
      <c r="H16" s="209">
        <f>F16*G16</f>
        <v>0</v>
      </c>
    </row>
    <row r="17" spans="1:8" s="13" customFormat="1" x14ac:dyDescent="0.2">
      <c r="A17" s="91" t="s">
        <v>125</v>
      </c>
      <c r="B17" s="92"/>
      <c r="C17" s="92"/>
      <c r="D17" s="92"/>
      <c r="E17" s="93"/>
      <c r="F17" s="201"/>
      <c r="G17" s="14">
        <v>500</v>
      </c>
      <c r="H17" s="209">
        <f t="shared" ref="H17:H25" si="0">F17*G17</f>
        <v>0</v>
      </c>
    </row>
    <row r="18" spans="1:8" s="13" customFormat="1" ht="12.75" customHeight="1" x14ac:dyDescent="0.2">
      <c r="A18" s="91" t="s">
        <v>126</v>
      </c>
      <c r="B18" s="92"/>
      <c r="C18" s="92"/>
      <c r="D18" s="92"/>
      <c r="E18" s="93"/>
      <c r="F18" s="201"/>
      <c r="G18" s="14">
        <v>225</v>
      </c>
      <c r="H18" s="209">
        <f t="shared" si="0"/>
        <v>0</v>
      </c>
    </row>
    <row r="19" spans="1:8" s="13" customFormat="1" x14ac:dyDescent="0.2">
      <c r="A19" s="91" t="s">
        <v>127</v>
      </c>
      <c r="B19" s="92"/>
      <c r="C19" s="92"/>
      <c r="D19" s="92"/>
      <c r="E19" s="93"/>
      <c r="F19" s="201"/>
      <c r="G19" s="14">
        <v>400</v>
      </c>
      <c r="H19" s="209">
        <f t="shared" si="0"/>
        <v>0</v>
      </c>
    </row>
    <row r="20" spans="1:8" s="13" customFormat="1" x14ac:dyDescent="0.2">
      <c r="A20" s="91" t="s">
        <v>128</v>
      </c>
      <c r="B20" s="92"/>
      <c r="C20" s="92"/>
      <c r="D20" s="92"/>
      <c r="E20" s="93"/>
      <c r="F20" s="201"/>
      <c r="G20" s="14">
        <v>55</v>
      </c>
      <c r="H20" s="209">
        <f t="shared" si="0"/>
        <v>0</v>
      </c>
    </row>
    <row r="21" spans="1:8" s="13" customFormat="1" x14ac:dyDescent="0.2">
      <c r="A21" s="91" t="s">
        <v>129</v>
      </c>
      <c r="B21" s="92"/>
      <c r="C21" s="92"/>
      <c r="D21" s="92"/>
      <c r="E21" s="93"/>
      <c r="F21" s="202"/>
      <c r="G21" s="15">
        <v>150</v>
      </c>
      <c r="H21" s="209">
        <f t="shared" si="0"/>
        <v>0</v>
      </c>
    </row>
    <row r="22" spans="1:8" s="16" customFormat="1" x14ac:dyDescent="0.2">
      <c r="A22" s="91" t="s">
        <v>130</v>
      </c>
      <c r="B22" s="92"/>
      <c r="C22" s="92"/>
      <c r="D22" s="92"/>
      <c r="E22" s="93"/>
      <c r="F22" s="203"/>
      <c r="G22" s="15">
        <v>75</v>
      </c>
      <c r="H22" s="209">
        <f t="shared" si="0"/>
        <v>0</v>
      </c>
    </row>
    <row r="23" spans="1:8" s="17" customFormat="1" x14ac:dyDescent="0.2">
      <c r="A23" s="91" t="s">
        <v>131</v>
      </c>
      <c r="B23" s="92"/>
      <c r="C23" s="92"/>
      <c r="D23" s="92"/>
      <c r="E23" s="93"/>
      <c r="F23" s="203"/>
      <c r="G23" s="15">
        <v>110</v>
      </c>
      <c r="H23" s="209">
        <f t="shared" si="0"/>
        <v>0</v>
      </c>
    </row>
    <row r="24" spans="1:8" s="17" customFormat="1" x14ac:dyDescent="0.2">
      <c r="A24" s="91" t="s">
        <v>132</v>
      </c>
      <c r="B24" s="92"/>
      <c r="C24" s="92"/>
      <c r="D24" s="92"/>
      <c r="E24" s="93"/>
      <c r="F24" s="203"/>
      <c r="G24" s="15">
        <v>20</v>
      </c>
      <c r="H24" s="209">
        <f t="shared" si="0"/>
        <v>0</v>
      </c>
    </row>
    <row r="25" spans="1:8" s="17" customFormat="1" x14ac:dyDescent="0.2">
      <c r="A25" s="94" t="s">
        <v>67</v>
      </c>
      <c r="B25" s="92"/>
      <c r="C25" s="92"/>
      <c r="D25" s="92"/>
      <c r="E25" s="93"/>
      <c r="F25" s="203"/>
      <c r="G25" s="15">
        <v>330</v>
      </c>
      <c r="H25" s="209">
        <f t="shared" si="0"/>
        <v>0</v>
      </c>
    </row>
    <row r="26" spans="1:8" s="16" customFormat="1" x14ac:dyDescent="0.2">
      <c r="A26" s="211" t="s">
        <v>135</v>
      </c>
      <c r="B26" s="212"/>
      <c r="C26" s="212"/>
      <c r="D26" s="212"/>
      <c r="E26" s="212"/>
      <c r="F26" s="212"/>
      <c r="G26" s="212"/>
      <c r="H26" s="213"/>
    </row>
    <row r="27" spans="1:8" s="16" customFormat="1" x14ac:dyDescent="0.2">
      <c r="A27" s="91" t="s">
        <v>136</v>
      </c>
      <c r="B27" s="92"/>
      <c r="C27" s="92"/>
      <c r="D27" s="92"/>
      <c r="E27" s="93"/>
      <c r="F27" s="203"/>
      <c r="G27" s="18">
        <v>300</v>
      </c>
      <c r="H27" s="206">
        <f t="shared" ref="H27:H55" si="1">F27*G27</f>
        <v>0</v>
      </c>
    </row>
    <row r="28" spans="1:8" s="16" customFormat="1" x14ac:dyDescent="0.2">
      <c r="A28" s="95" t="s">
        <v>137</v>
      </c>
      <c r="B28" s="92"/>
      <c r="C28" s="92"/>
      <c r="D28" s="92"/>
      <c r="E28" s="93"/>
      <c r="F28" s="203"/>
      <c r="G28" s="18">
        <v>185</v>
      </c>
      <c r="H28" s="206">
        <f t="shared" si="1"/>
        <v>0</v>
      </c>
    </row>
    <row r="29" spans="1:8" s="16" customFormat="1" x14ac:dyDescent="0.2">
      <c r="A29" s="91" t="s">
        <v>138</v>
      </c>
      <c r="B29" s="92"/>
      <c r="C29" s="92"/>
      <c r="D29" s="92"/>
      <c r="E29" s="93"/>
      <c r="F29" s="208"/>
      <c r="G29" s="208"/>
      <c r="H29" s="206"/>
    </row>
    <row r="30" spans="1:8" s="16" customFormat="1" x14ac:dyDescent="0.2">
      <c r="A30" s="95" t="s">
        <v>137</v>
      </c>
      <c r="B30" s="92"/>
      <c r="C30" s="92"/>
      <c r="D30" s="92"/>
      <c r="E30" s="93"/>
      <c r="F30" s="203"/>
      <c r="G30" s="18">
        <v>235</v>
      </c>
      <c r="H30" s="206">
        <f t="shared" si="1"/>
        <v>0</v>
      </c>
    </row>
    <row r="31" spans="1:8" s="16" customFormat="1" x14ac:dyDescent="0.2">
      <c r="A31" s="95" t="s">
        <v>139</v>
      </c>
      <c r="B31" s="92"/>
      <c r="C31" s="92"/>
      <c r="D31" s="92"/>
      <c r="E31" s="93"/>
      <c r="F31" s="203"/>
      <c r="G31" s="18">
        <v>250</v>
      </c>
      <c r="H31" s="206">
        <f t="shared" si="1"/>
        <v>0</v>
      </c>
    </row>
    <row r="32" spans="1:8" s="16" customFormat="1" x14ac:dyDescent="0.2">
      <c r="A32" s="95" t="s">
        <v>140</v>
      </c>
      <c r="B32" s="92"/>
      <c r="C32" s="92"/>
      <c r="D32" s="92"/>
      <c r="E32" s="93"/>
      <c r="F32" s="203"/>
      <c r="G32" s="18">
        <v>250</v>
      </c>
      <c r="H32" s="206">
        <f t="shared" si="1"/>
        <v>0</v>
      </c>
    </row>
    <row r="33" spans="1:8" s="16" customFormat="1" x14ac:dyDescent="0.2">
      <c r="A33" s="95" t="s">
        <v>141</v>
      </c>
      <c r="B33" s="92"/>
      <c r="C33" s="92"/>
      <c r="D33" s="92"/>
      <c r="E33" s="93"/>
      <c r="F33" s="203"/>
      <c r="G33" s="18">
        <v>575</v>
      </c>
      <c r="H33" s="206">
        <f t="shared" si="1"/>
        <v>0</v>
      </c>
    </row>
    <row r="34" spans="1:8" s="16" customFormat="1" x14ac:dyDescent="0.2">
      <c r="A34" s="95" t="s">
        <v>142</v>
      </c>
      <c r="B34" s="92"/>
      <c r="C34" s="92"/>
      <c r="D34" s="92"/>
      <c r="E34" s="93"/>
      <c r="F34" s="203"/>
      <c r="G34" s="18">
        <v>900</v>
      </c>
      <c r="H34" s="206">
        <f t="shared" si="1"/>
        <v>0</v>
      </c>
    </row>
    <row r="35" spans="1:8" s="16" customFormat="1" x14ac:dyDescent="0.2">
      <c r="A35" s="95" t="s">
        <v>143</v>
      </c>
      <c r="B35" s="92"/>
      <c r="C35" s="92"/>
      <c r="D35" s="92"/>
      <c r="E35" s="93"/>
      <c r="F35" s="203"/>
      <c r="G35" s="18">
        <v>1250</v>
      </c>
      <c r="H35" s="206">
        <f t="shared" si="1"/>
        <v>0</v>
      </c>
    </row>
    <row r="36" spans="1:8" s="16" customFormat="1" x14ac:dyDescent="0.2">
      <c r="A36" s="91" t="s">
        <v>144</v>
      </c>
      <c r="B36" s="92"/>
      <c r="C36" s="92"/>
      <c r="D36" s="92"/>
      <c r="E36" s="93"/>
      <c r="F36" s="203"/>
      <c r="G36" s="18">
        <v>225</v>
      </c>
      <c r="H36" s="206">
        <f t="shared" si="1"/>
        <v>0</v>
      </c>
    </row>
    <row r="37" spans="1:8" s="16" customFormat="1" x14ac:dyDescent="0.2">
      <c r="A37" s="91" t="s">
        <v>145</v>
      </c>
      <c r="B37" s="92"/>
      <c r="C37" s="92"/>
      <c r="D37" s="92"/>
      <c r="E37" s="93"/>
      <c r="F37" s="203"/>
      <c r="G37" s="18">
        <v>200</v>
      </c>
      <c r="H37" s="206">
        <f t="shared" si="1"/>
        <v>0</v>
      </c>
    </row>
    <row r="38" spans="1:8" s="16" customFormat="1" x14ac:dyDescent="0.2">
      <c r="A38" s="91" t="s">
        <v>146</v>
      </c>
      <c r="B38" s="92"/>
      <c r="C38" s="92"/>
      <c r="D38" s="92"/>
      <c r="E38" s="93"/>
      <c r="F38" s="208"/>
      <c r="G38" s="208"/>
      <c r="H38" s="206"/>
    </row>
    <row r="39" spans="1:8" s="16" customFormat="1" x14ac:dyDescent="0.2">
      <c r="A39" s="95" t="s">
        <v>147</v>
      </c>
      <c r="B39" s="92"/>
      <c r="C39" s="92"/>
      <c r="D39" s="92"/>
      <c r="E39" s="93"/>
      <c r="F39" s="203"/>
      <c r="G39" s="18">
        <v>200</v>
      </c>
      <c r="H39" s="206">
        <f t="shared" si="1"/>
        <v>0</v>
      </c>
    </row>
    <row r="40" spans="1:8" s="16" customFormat="1" x14ac:dyDescent="0.2">
      <c r="A40" s="95" t="s">
        <v>148</v>
      </c>
      <c r="B40" s="92"/>
      <c r="C40" s="92"/>
      <c r="D40" s="92"/>
      <c r="E40" s="92"/>
      <c r="F40" s="203"/>
      <c r="G40" s="18">
        <v>260</v>
      </c>
      <c r="H40" s="206">
        <f t="shared" si="1"/>
        <v>0</v>
      </c>
    </row>
    <row r="41" spans="1:8" s="16" customFormat="1" x14ac:dyDescent="0.2">
      <c r="A41" s="96" t="s">
        <v>149</v>
      </c>
      <c r="B41" s="92"/>
      <c r="C41" s="92"/>
      <c r="D41" s="92"/>
      <c r="E41" s="92"/>
      <c r="F41" s="203"/>
      <c r="G41" s="18">
        <v>275</v>
      </c>
      <c r="H41" s="206">
        <f t="shared" si="1"/>
        <v>0</v>
      </c>
    </row>
    <row r="42" spans="1:8" s="16" customFormat="1" x14ac:dyDescent="0.2">
      <c r="A42" s="96" t="s">
        <v>150</v>
      </c>
      <c r="B42" s="92"/>
      <c r="C42" s="92"/>
      <c r="D42" s="92"/>
      <c r="E42" s="92"/>
      <c r="F42" s="203"/>
      <c r="G42" s="18">
        <v>200</v>
      </c>
      <c r="H42" s="206">
        <f t="shared" si="1"/>
        <v>0</v>
      </c>
    </row>
    <row r="43" spans="1:8" s="16" customFormat="1" x14ac:dyDescent="0.2">
      <c r="A43" s="96" t="s">
        <v>151</v>
      </c>
      <c r="B43" s="92"/>
      <c r="C43" s="92"/>
      <c r="D43" s="92"/>
      <c r="E43" s="92"/>
      <c r="F43" s="203"/>
      <c r="G43" s="18">
        <v>500</v>
      </c>
      <c r="H43" s="206">
        <f t="shared" si="1"/>
        <v>0</v>
      </c>
    </row>
    <row r="44" spans="1:8" s="16" customFormat="1" x14ac:dyDescent="0.2">
      <c r="A44" s="96" t="s">
        <v>152</v>
      </c>
      <c r="B44" s="92"/>
      <c r="C44" s="92"/>
      <c r="D44" s="92"/>
      <c r="E44" s="92"/>
      <c r="F44" s="203"/>
      <c r="G44" s="18">
        <v>225</v>
      </c>
      <c r="H44" s="206">
        <f t="shared" si="1"/>
        <v>0</v>
      </c>
    </row>
    <row r="45" spans="1:8" s="16" customFormat="1" x14ac:dyDescent="0.2">
      <c r="A45" s="96" t="s">
        <v>153</v>
      </c>
      <c r="B45" s="92"/>
      <c r="C45" s="92"/>
      <c r="D45" s="92"/>
      <c r="E45" s="92"/>
      <c r="F45" s="208"/>
      <c r="G45" s="208"/>
      <c r="H45" s="206"/>
    </row>
    <row r="46" spans="1:8" s="16" customFormat="1" x14ac:dyDescent="0.2">
      <c r="A46" s="95" t="s">
        <v>154</v>
      </c>
      <c r="B46" s="92"/>
      <c r="C46" s="92"/>
      <c r="D46" s="92"/>
      <c r="E46" s="92"/>
      <c r="F46" s="203"/>
      <c r="G46" s="18">
        <v>100</v>
      </c>
      <c r="H46" s="206">
        <f t="shared" si="1"/>
        <v>0</v>
      </c>
    </row>
    <row r="47" spans="1:8" s="16" customFormat="1" x14ac:dyDescent="0.2">
      <c r="A47" s="95" t="s">
        <v>155</v>
      </c>
      <c r="B47" s="92"/>
      <c r="C47" s="92"/>
      <c r="D47" s="92"/>
      <c r="E47" s="92"/>
      <c r="F47" s="203"/>
      <c r="G47" s="18">
        <v>100</v>
      </c>
      <c r="H47" s="206">
        <f t="shared" si="1"/>
        <v>0</v>
      </c>
    </row>
    <row r="48" spans="1:8" s="16" customFormat="1" x14ac:dyDescent="0.2">
      <c r="A48" s="95" t="s">
        <v>156</v>
      </c>
      <c r="B48" s="92"/>
      <c r="C48" s="92"/>
      <c r="D48" s="92"/>
      <c r="E48" s="92"/>
      <c r="F48" s="203"/>
      <c r="G48" s="18">
        <v>175</v>
      </c>
      <c r="H48" s="206">
        <f t="shared" si="1"/>
        <v>0</v>
      </c>
    </row>
    <row r="49" spans="1:10" s="16" customFormat="1" x14ac:dyDescent="0.2">
      <c r="A49" s="95" t="s">
        <v>157</v>
      </c>
      <c r="B49" s="92"/>
      <c r="C49" s="92"/>
      <c r="D49" s="92"/>
      <c r="E49" s="92"/>
      <c r="F49" s="203"/>
      <c r="G49" s="18">
        <v>250</v>
      </c>
      <c r="H49" s="206">
        <f t="shared" si="1"/>
        <v>0</v>
      </c>
    </row>
    <row r="50" spans="1:10" s="16" customFormat="1" x14ac:dyDescent="0.2">
      <c r="A50" s="95" t="s">
        <v>158</v>
      </c>
      <c r="B50" s="92"/>
      <c r="C50" s="92"/>
      <c r="D50" s="92"/>
      <c r="E50" s="92"/>
      <c r="F50" s="203"/>
      <c r="G50" s="18">
        <v>100</v>
      </c>
      <c r="H50" s="206">
        <f t="shared" si="1"/>
        <v>0</v>
      </c>
    </row>
    <row r="51" spans="1:10" s="16" customFormat="1" x14ac:dyDescent="0.2">
      <c r="A51" s="96" t="s">
        <v>159</v>
      </c>
      <c r="B51" s="92"/>
      <c r="C51" s="92"/>
      <c r="D51" s="92"/>
      <c r="E51" s="92"/>
      <c r="F51" s="203"/>
      <c r="G51" s="18">
        <v>175</v>
      </c>
      <c r="H51" s="206">
        <f t="shared" si="1"/>
        <v>0</v>
      </c>
    </row>
    <row r="52" spans="1:10" s="16" customFormat="1" ht="12.75" customHeight="1" x14ac:dyDescent="0.2">
      <c r="A52" s="96" t="s">
        <v>160</v>
      </c>
      <c r="B52" s="92"/>
      <c r="C52" s="92"/>
      <c r="D52" s="92"/>
      <c r="E52" s="92"/>
      <c r="F52" s="203"/>
      <c r="G52" s="18">
        <v>175</v>
      </c>
      <c r="H52" s="206">
        <f t="shared" si="1"/>
        <v>0</v>
      </c>
    </row>
    <row r="53" spans="1:10" s="16" customFormat="1" x14ac:dyDescent="0.2">
      <c r="A53" s="96" t="s">
        <v>161</v>
      </c>
      <c r="B53" s="92"/>
      <c r="C53" s="92"/>
      <c r="D53" s="92"/>
      <c r="E53" s="92"/>
      <c r="F53" s="208"/>
      <c r="G53" s="208"/>
      <c r="H53" s="206"/>
    </row>
    <row r="54" spans="1:10" s="16" customFormat="1" ht="12.75" customHeight="1" x14ac:dyDescent="0.2">
      <c r="A54" s="95" t="s">
        <v>162</v>
      </c>
      <c r="B54" s="92"/>
      <c r="C54" s="92"/>
      <c r="D54" s="92"/>
      <c r="E54" s="92"/>
      <c r="F54" s="203"/>
      <c r="G54" s="18">
        <v>100</v>
      </c>
      <c r="H54" s="206">
        <f t="shared" si="1"/>
        <v>0</v>
      </c>
    </row>
    <row r="55" spans="1:10" s="16" customFormat="1" x14ac:dyDescent="0.2">
      <c r="A55" s="95" t="s">
        <v>163</v>
      </c>
      <c r="B55" s="92"/>
      <c r="C55" s="92"/>
      <c r="D55" s="92"/>
      <c r="E55" s="92"/>
      <c r="F55" s="203"/>
      <c r="G55" s="18">
        <v>250</v>
      </c>
      <c r="H55" s="206">
        <f t="shared" si="1"/>
        <v>0</v>
      </c>
    </row>
    <row r="56" spans="1:10" s="16" customFormat="1" x14ac:dyDescent="0.2">
      <c r="A56" s="211" t="s">
        <v>164</v>
      </c>
      <c r="B56" s="212"/>
      <c r="C56" s="212"/>
      <c r="D56" s="212"/>
      <c r="E56" s="212"/>
      <c r="F56" s="212"/>
      <c r="G56" s="212"/>
      <c r="H56" s="213"/>
    </row>
    <row r="57" spans="1:10" s="16" customFormat="1" x14ac:dyDescent="0.2">
      <c r="A57" s="91" t="s">
        <v>165</v>
      </c>
      <c r="B57" s="92"/>
      <c r="C57" s="92"/>
      <c r="D57" s="92"/>
      <c r="E57" s="93"/>
      <c r="F57" s="203"/>
      <c r="G57" s="18" t="s">
        <v>170</v>
      </c>
      <c r="H57" s="206">
        <f>F57</f>
        <v>0</v>
      </c>
    </row>
    <row r="58" spans="1:10" s="16" customFormat="1" x14ac:dyDescent="0.2">
      <c r="A58" s="91" t="s">
        <v>166</v>
      </c>
      <c r="B58" s="92"/>
      <c r="C58" s="92"/>
      <c r="D58" s="92"/>
      <c r="E58" s="93"/>
      <c r="F58" s="203"/>
      <c r="G58" s="18">
        <v>450</v>
      </c>
      <c r="H58" s="206">
        <f>F58*G58</f>
        <v>0</v>
      </c>
    </row>
    <row r="59" spans="1:10" s="16" customFormat="1" x14ac:dyDescent="0.2">
      <c r="A59" s="95" t="s">
        <v>167</v>
      </c>
      <c r="B59" s="97"/>
      <c r="C59" s="97"/>
      <c r="D59" s="97"/>
      <c r="E59" s="97"/>
      <c r="F59" s="203"/>
      <c r="G59" s="18">
        <v>1</v>
      </c>
      <c r="H59" s="206">
        <f>F59*G59</f>
        <v>0</v>
      </c>
    </row>
    <row r="60" spans="1:10" s="16" customFormat="1" x14ac:dyDescent="0.2">
      <c r="A60" s="96" t="s">
        <v>168</v>
      </c>
      <c r="B60" s="97"/>
      <c r="C60" s="97"/>
      <c r="D60" s="97"/>
      <c r="E60" s="97"/>
      <c r="F60" s="203"/>
      <c r="G60" s="18">
        <v>225</v>
      </c>
      <c r="H60" s="206">
        <f>F60*G60</f>
        <v>0</v>
      </c>
    </row>
    <row r="61" spans="1:10" s="16" customFormat="1" x14ac:dyDescent="0.2">
      <c r="A61" s="95" t="s">
        <v>169</v>
      </c>
      <c r="B61" s="97"/>
      <c r="C61" s="97"/>
      <c r="D61" s="97"/>
      <c r="E61" s="97"/>
      <c r="F61" s="203"/>
      <c r="G61" s="18">
        <v>1</v>
      </c>
      <c r="H61" s="206">
        <f>F61*G61</f>
        <v>0</v>
      </c>
    </row>
    <row r="62" spans="1:10" s="16" customFormat="1" x14ac:dyDescent="0.2">
      <c r="A62" s="211" t="s">
        <v>171</v>
      </c>
      <c r="B62" s="212"/>
      <c r="C62" s="212"/>
      <c r="D62" s="212"/>
      <c r="E62" s="212"/>
      <c r="F62" s="212"/>
      <c r="G62" s="212"/>
      <c r="H62" s="213"/>
      <c r="J62" s="19"/>
    </row>
    <row r="63" spans="1:10" s="16" customFormat="1" x14ac:dyDescent="0.2">
      <c r="A63" s="91" t="s">
        <v>172</v>
      </c>
      <c r="B63" s="92"/>
      <c r="C63" s="92"/>
      <c r="D63" s="92"/>
      <c r="E63" s="93"/>
      <c r="F63" s="203"/>
      <c r="G63" s="18" t="s">
        <v>170</v>
      </c>
      <c r="H63" s="206">
        <f>F63</f>
        <v>0</v>
      </c>
    </row>
    <row r="64" spans="1:10" s="16" customFormat="1" x14ac:dyDescent="0.2">
      <c r="A64" s="91" t="s">
        <v>173</v>
      </c>
      <c r="B64" s="92"/>
      <c r="C64" s="92"/>
      <c r="D64" s="92"/>
      <c r="E64" s="93"/>
      <c r="F64" s="203"/>
      <c r="G64" s="18" t="s">
        <v>170</v>
      </c>
      <c r="H64" s="206">
        <f t="shared" ref="H64:H75" si="2">F64</f>
        <v>0</v>
      </c>
    </row>
    <row r="65" spans="1:8" s="16" customFormat="1" x14ac:dyDescent="0.2">
      <c r="A65" s="96" t="s">
        <v>174</v>
      </c>
      <c r="B65" s="97"/>
      <c r="C65" s="97"/>
      <c r="D65" s="97"/>
      <c r="E65" s="97"/>
      <c r="F65" s="203"/>
      <c r="G65" s="18" t="s">
        <v>170</v>
      </c>
      <c r="H65" s="206">
        <f t="shared" si="2"/>
        <v>0</v>
      </c>
    </row>
    <row r="66" spans="1:8" s="16" customFormat="1" x14ac:dyDescent="0.2">
      <c r="A66" s="96" t="s">
        <v>175</v>
      </c>
      <c r="B66" s="97"/>
      <c r="C66" s="97"/>
      <c r="D66" s="97"/>
      <c r="E66" s="97"/>
      <c r="F66" s="203"/>
      <c r="G66" s="18" t="s">
        <v>170</v>
      </c>
      <c r="H66" s="206">
        <f t="shared" si="2"/>
        <v>0</v>
      </c>
    </row>
    <row r="67" spans="1:8" s="16" customFormat="1" x14ac:dyDescent="0.2">
      <c r="A67" s="96" t="s">
        <v>176</v>
      </c>
      <c r="B67" s="97"/>
      <c r="C67" s="97"/>
      <c r="D67" s="97"/>
      <c r="E67" s="97"/>
      <c r="F67" s="203"/>
      <c r="G67" s="18" t="s">
        <v>170</v>
      </c>
      <c r="H67" s="206">
        <f t="shared" si="2"/>
        <v>0</v>
      </c>
    </row>
    <row r="68" spans="1:8" s="16" customFormat="1" x14ac:dyDescent="0.2">
      <c r="A68" s="96" t="s">
        <v>177</v>
      </c>
      <c r="B68" s="97"/>
      <c r="C68" s="97"/>
      <c r="D68" s="97"/>
      <c r="E68" s="97"/>
      <c r="F68" s="203"/>
      <c r="G68" s="18" t="s">
        <v>170</v>
      </c>
      <c r="H68" s="206">
        <f t="shared" si="2"/>
        <v>0</v>
      </c>
    </row>
    <row r="69" spans="1:8" s="16" customFormat="1" x14ac:dyDescent="0.2">
      <c r="A69" s="95" t="s">
        <v>184</v>
      </c>
      <c r="B69" s="97"/>
      <c r="C69" s="97"/>
      <c r="D69" s="97"/>
      <c r="E69" s="97"/>
      <c r="F69" s="203"/>
      <c r="G69" s="18" t="s">
        <v>170</v>
      </c>
      <c r="H69" s="206">
        <f t="shared" si="2"/>
        <v>0</v>
      </c>
    </row>
    <row r="70" spans="1:8" s="16" customFormat="1" x14ac:dyDescent="0.2">
      <c r="A70" s="96" t="s">
        <v>178</v>
      </c>
      <c r="B70" s="97"/>
      <c r="C70" s="97"/>
      <c r="D70" s="97"/>
      <c r="E70" s="97"/>
      <c r="F70" s="203"/>
      <c r="G70" s="18" t="s">
        <v>185</v>
      </c>
      <c r="H70" s="206">
        <f t="shared" si="2"/>
        <v>0</v>
      </c>
    </row>
    <row r="71" spans="1:8" s="16" customFormat="1" x14ac:dyDescent="0.2">
      <c r="A71" s="96" t="s">
        <v>179</v>
      </c>
      <c r="B71" s="97"/>
      <c r="C71" s="97"/>
      <c r="D71" s="97"/>
      <c r="E71" s="97"/>
      <c r="F71" s="203"/>
      <c r="G71" s="18" t="s">
        <v>170</v>
      </c>
      <c r="H71" s="206">
        <f t="shared" si="2"/>
        <v>0</v>
      </c>
    </row>
    <row r="72" spans="1:8" s="16" customFormat="1" x14ac:dyDescent="0.2">
      <c r="A72" s="96" t="s">
        <v>180</v>
      </c>
      <c r="B72" s="97"/>
      <c r="C72" s="97"/>
      <c r="D72" s="97"/>
      <c r="E72" s="97"/>
      <c r="F72" s="203"/>
      <c r="G72" s="18" t="s">
        <v>170</v>
      </c>
      <c r="H72" s="206">
        <f t="shared" si="2"/>
        <v>0</v>
      </c>
    </row>
    <row r="73" spans="1:8" s="16" customFormat="1" x14ac:dyDescent="0.2">
      <c r="A73" s="96" t="s">
        <v>181</v>
      </c>
      <c r="B73" s="97"/>
      <c r="C73" s="97"/>
      <c r="D73" s="97"/>
      <c r="E73" s="97"/>
      <c r="F73" s="203"/>
      <c r="G73" s="18" t="s">
        <v>170</v>
      </c>
      <c r="H73" s="206">
        <f t="shared" si="2"/>
        <v>0</v>
      </c>
    </row>
    <row r="74" spans="1:8" s="16" customFormat="1" x14ac:dyDescent="0.2">
      <c r="A74" s="96" t="s">
        <v>182</v>
      </c>
      <c r="B74" s="97"/>
      <c r="C74" s="97"/>
      <c r="D74" s="97"/>
      <c r="E74" s="97"/>
      <c r="F74" s="203"/>
      <c r="G74" s="18" t="s">
        <v>170</v>
      </c>
      <c r="H74" s="206">
        <f t="shared" si="2"/>
        <v>0</v>
      </c>
    </row>
    <row r="75" spans="1:8" s="16" customFormat="1" x14ac:dyDescent="0.2">
      <c r="A75" s="96" t="s">
        <v>183</v>
      </c>
      <c r="B75" s="97"/>
      <c r="C75" s="97"/>
      <c r="D75" s="97"/>
      <c r="E75" s="97"/>
      <c r="F75" s="203"/>
      <c r="G75" s="18" t="s">
        <v>170</v>
      </c>
      <c r="H75" s="206">
        <f t="shared" si="2"/>
        <v>0</v>
      </c>
    </row>
    <row r="76" spans="1:8" s="16" customFormat="1" x14ac:dyDescent="0.2">
      <c r="A76" s="211" t="s">
        <v>186</v>
      </c>
      <c r="B76" s="212"/>
      <c r="C76" s="212"/>
      <c r="D76" s="212"/>
      <c r="E76" s="212"/>
      <c r="F76" s="212"/>
      <c r="G76" s="212"/>
      <c r="H76" s="213"/>
    </row>
    <row r="77" spans="1:8" s="16" customFormat="1" x14ac:dyDescent="0.2">
      <c r="A77" s="91" t="s">
        <v>187</v>
      </c>
      <c r="B77" s="98"/>
      <c r="C77" s="98"/>
      <c r="D77" s="98"/>
      <c r="E77" s="98"/>
      <c r="F77" s="203"/>
      <c r="G77" s="18">
        <v>100</v>
      </c>
      <c r="H77" s="206">
        <f>F77*G77</f>
        <v>0</v>
      </c>
    </row>
    <row r="78" spans="1:8" s="16" customFormat="1" ht="12.75" customHeight="1" x14ac:dyDescent="0.2">
      <c r="A78" s="96" t="s">
        <v>188</v>
      </c>
      <c r="B78" s="97"/>
      <c r="C78" s="97"/>
      <c r="D78" s="97"/>
      <c r="E78" s="97"/>
      <c r="F78" s="203"/>
      <c r="G78" s="18">
        <v>200</v>
      </c>
      <c r="H78" s="206">
        <f t="shared" ref="H78:H84" si="3">F78*G78</f>
        <v>0</v>
      </c>
    </row>
    <row r="79" spans="1:8" s="16" customFormat="1" ht="12.75" customHeight="1" x14ac:dyDescent="0.2">
      <c r="A79" s="96" t="s">
        <v>189</v>
      </c>
      <c r="B79" s="97"/>
      <c r="C79" s="97"/>
      <c r="D79" s="97"/>
      <c r="E79" s="97"/>
      <c r="F79" s="203"/>
      <c r="G79" s="18">
        <v>200</v>
      </c>
      <c r="H79" s="206">
        <f t="shared" si="3"/>
        <v>0</v>
      </c>
    </row>
    <row r="80" spans="1:8" s="16" customFormat="1" ht="12.75" customHeight="1" x14ac:dyDescent="0.2">
      <c r="A80" s="96" t="s">
        <v>190</v>
      </c>
      <c r="B80" s="97"/>
      <c r="C80" s="97"/>
      <c r="D80" s="97"/>
      <c r="E80" s="97"/>
      <c r="F80" s="203"/>
      <c r="G80" s="18">
        <v>500</v>
      </c>
      <c r="H80" s="206">
        <f t="shared" si="3"/>
        <v>0</v>
      </c>
    </row>
    <row r="81" spans="1:8" s="16" customFormat="1" x14ac:dyDescent="0.2">
      <c r="A81" s="96" t="s">
        <v>191</v>
      </c>
      <c r="B81" s="97"/>
      <c r="C81" s="97"/>
      <c r="D81" s="97"/>
      <c r="E81" s="97"/>
      <c r="F81" s="203"/>
      <c r="G81" s="18">
        <v>3000</v>
      </c>
      <c r="H81" s="206">
        <f t="shared" si="3"/>
        <v>0</v>
      </c>
    </row>
    <row r="82" spans="1:8" s="16" customFormat="1" ht="12.75" customHeight="1" x14ac:dyDescent="0.2">
      <c r="A82" s="96" t="s">
        <v>192</v>
      </c>
      <c r="B82" s="97"/>
      <c r="C82" s="97"/>
      <c r="D82" s="97"/>
      <c r="E82" s="97"/>
      <c r="F82" s="203"/>
      <c r="G82" s="18">
        <v>200</v>
      </c>
      <c r="H82" s="206">
        <f t="shared" si="3"/>
        <v>0</v>
      </c>
    </row>
    <row r="83" spans="1:8" s="16" customFormat="1" x14ac:dyDescent="0.2">
      <c r="A83" s="96" t="s">
        <v>193</v>
      </c>
      <c r="B83" s="97"/>
      <c r="C83" s="97"/>
      <c r="D83" s="97"/>
      <c r="E83" s="97"/>
      <c r="F83" s="203"/>
      <c r="G83" s="18">
        <v>200</v>
      </c>
      <c r="H83" s="206">
        <f t="shared" si="3"/>
        <v>0</v>
      </c>
    </row>
    <row r="84" spans="1:8" s="16" customFormat="1" x14ac:dyDescent="0.2">
      <c r="A84" s="96" t="s">
        <v>62</v>
      </c>
      <c r="B84" s="97"/>
      <c r="C84" s="97"/>
      <c r="D84" s="97"/>
      <c r="E84" s="97"/>
      <c r="F84" s="203"/>
      <c r="G84" s="18">
        <v>175</v>
      </c>
      <c r="H84" s="206">
        <f t="shared" si="3"/>
        <v>0</v>
      </c>
    </row>
    <row r="85" spans="1:8" s="16" customFormat="1" x14ac:dyDescent="0.2">
      <c r="A85" s="91" t="s">
        <v>194</v>
      </c>
      <c r="B85" s="98"/>
      <c r="C85" s="98"/>
      <c r="D85" s="98"/>
      <c r="E85" s="99"/>
      <c r="F85" s="203"/>
      <c r="G85" s="18">
        <v>100</v>
      </c>
      <c r="H85" s="206">
        <f>F85*G85</f>
        <v>0</v>
      </c>
    </row>
    <row r="86" spans="1:8" s="16" customFormat="1" x14ac:dyDescent="0.2">
      <c r="A86" s="96" t="s">
        <v>195</v>
      </c>
      <c r="B86" s="97"/>
      <c r="C86" s="97"/>
      <c r="D86" s="97"/>
      <c r="E86" s="97"/>
      <c r="F86" s="203"/>
      <c r="G86" s="18">
        <v>225</v>
      </c>
      <c r="H86" s="206">
        <f t="shared" ref="H86:H97" si="4">F86*G86</f>
        <v>0</v>
      </c>
    </row>
    <row r="87" spans="1:8" s="16" customFormat="1" x14ac:dyDescent="0.2">
      <c r="A87" s="95" t="s">
        <v>217</v>
      </c>
      <c r="B87" s="97"/>
      <c r="C87" s="97"/>
      <c r="D87" s="97"/>
      <c r="E87" s="97"/>
      <c r="F87" s="203"/>
      <c r="G87" s="18">
        <v>200</v>
      </c>
      <c r="H87" s="206">
        <f t="shared" si="4"/>
        <v>0</v>
      </c>
    </row>
    <row r="88" spans="1:8" s="16" customFormat="1" x14ac:dyDescent="0.2">
      <c r="A88" s="95" t="s">
        <v>218</v>
      </c>
      <c r="B88" s="97"/>
      <c r="C88" s="97"/>
      <c r="D88" s="97"/>
      <c r="E88" s="97"/>
      <c r="F88" s="203"/>
      <c r="G88" s="18">
        <v>200</v>
      </c>
      <c r="H88" s="206">
        <f t="shared" si="4"/>
        <v>0</v>
      </c>
    </row>
    <row r="89" spans="1:8" s="16" customFormat="1" ht="12.75" customHeight="1" x14ac:dyDescent="0.2">
      <c r="A89" s="96" t="s">
        <v>196</v>
      </c>
      <c r="B89" s="97"/>
      <c r="C89" s="97"/>
      <c r="D89" s="97"/>
      <c r="E89" s="97"/>
      <c r="F89" s="203"/>
      <c r="G89" s="18">
        <v>100</v>
      </c>
      <c r="H89" s="206">
        <f t="shared" si="4"/>
        <v>0</v>
      </c>
    </row>
    <row r="90" spans="1:8" s="16" customFormat="1" x14ac:dyDescent="0.2">
      <c r="A90" s="95" t="s">
        <v>219</v>
      </c>
      <c r="B90" s="97"/>
      <c r="C90" s="97"/>
      <c r="D90" s="97"/>
      <c r="E90" s="97"/>
      <c r="F90" s="203"/>
      <c r="G90" s="18">
        <v>1</v>
      </c>
      <c r="H90" s="206">
        <f t="shared" si="4"/>
        <v>0</v>
      </c>
    </row>
    <row r="91" spans="1:8" s="16" customFormat="1" x14ac:dyDescent="0.2">
      <c r="A91" s="96" t="s">
        <v>197</v>
      </c>
      <c r="B91" s="97"/>
      <c r="C91" s="97"/>
      <c r="D91" s="97"/>
      <c r="E91" s="97"/>
      <c r="F91" s="203"/>
      <c r="G91" s="18">
        <v>275</v>
      </c>
      <c r="H91" s="206">
        <f t="shared" si="4"/>
        <v>0</v>
      </c>
    </row>
    <row r="92" spans="1:8" s="16" customFormat="1" x14ac:dyDescent="0.2">
      <c r="A92" s="96" t="s">
        <v>198</v>
      </c>
      <c r="B92" s="97"/>
      <c r="C92" s="97"/>
      <c r="D92" s="97"/>
      <c r="E92" s="97"/>
      <c r="F92" s="203"/>
      <c r="G92" s="18">
        <v>200</v>
      </c>
      <c r="H92" s="206">
        <f t="shared" si="4"/>
        <v>0</v>
      </c>
    </row>
    <row r="93" spans="1:8" s="16" customFormat="1" x14ac:dyDescent="0.2">
      <c r="A93" s="96" t="s">
        <v>199</v>
      </c>
      <c r="B93" s="97"/>
      <c r="C93" s="97"/>
      <c r="D93" s="97"/>
      <c r="E93" s="97"/>
      <c r="F93" s="203"/>
      <c r="G93" s="18">
        <v>175</v>
      </c>
      <c r="H93" s="206">
        <f t="shared" si="4"/>
        <v>0</v>
      </c>
    </row>
    <row r="94" spans="1:8" s="16" customFormat="1" x14ac:dyDescent="0.2">
      <c r="A94" s="96" t="s">
        <v>200</v>
      </c>
      <c r="B94" s="97"/>
      <c r="C94" s="97"/>
      <c r="D94" s="97"/>
      <c r="E94" s="97"/>
      <c r="F94" s="203"/>
      <c r="G94" s="18">
        <v>250</v>
      </c>
      <c r="H94" s="206">
        <f t="shared" si="4"/>
        <v>0</v>
      </c>
    </row>
    <row r="95" spans="1:8" s="16" customFormat="1" x14ac:dyDescent="0.2">
      <c r="A95" s="96" t="s">
        <v>201</v>
      </c>
      <c r="B95" s="97"/>
      <c r="C95" s="97"/>
      <c r="D95" s="97"/>
      <c r="E95" s="97"/>
      <c r="F95" s="203"/>
      <c r="G95" s="18">
        <v>250</v>
      </c>
      <c r="H95" s="206">
        <f t="shared" si="4"/>
        <v>0</v>
      </c>
    </row>
    <row r="96" spans="1:8" s="16" customFormat="1" x14ac:dyDescent="0.2">
      <c r="A96" s="96" t="s">
        <v>202</v>
      </c>
      <c r="B96" s="97"/>
      <c r="C96" s="97"/>
      <c r="D96" s="97"/>
      <c r="E96" s="97"/>
      <c r="F96" s="208"/>
      <c r="G96" s="208"/>
      <c r="H96" s="206"/>
    </row>
    <row r="97" spans="1:8" s="16" customFormat="1" x14ac:dyDescent="0.2">
      <c r="A97" s="95" t="s">
        <v>203</v>
      </c>
      <c r="B97" s="97"/>
      <c r="C97" s="97"/>
      <c r="D97" s="97"/>
      <c r="E97" s="97"/>
      <c r="F97" s="203"/>
      <c r="G97" s="18">
        <v>175</v>
      </c>
      <c r="H97" s="206">
        <f t="shared" si="4"/>
        <v>0</v>
      </c>
    </row>
    <row r="98" spans="1:8" s="16" customFormat="1" x14ac:dyDescent="0.2">
      <c r="A98" s="95" t="s">
        <v>204</v>
      </c>
      <c r="B98" s="97"/>
      <c r="C98" s="97"/>
      <c r="D98" s="97"/>
      <c r="E98" s="97"/>
      <c r="F98" s="208"/>
      <c r="G98" s="208"/>
      <c r="H98" s="206"/>
    </row>
    <row r="99" spans="1:8" s="16" customFormat="1" x14ac:dyDescent="0.2">
      <c r="A99" s="100" t="s">
        <v>205</v>
      </c>
      <c r="B99" s="97"/>
      <c r="C99" s="97"/>
      <c r="D99" s="97"/>
      <c r="E99" s="97"/>
      <c r="F99" s="203"/>
      <c r="G99" s="18">
        <v>275</v>
      </c>
      <c r="H99" s="206">
        <f t="shared" ref="H99:H109" si="5">F99*G99</f>
        <v>0</v>
      </c>
    </row>
    <row r="100" spans="1:8" s="16" customFormat="1" x14ac:dyDescent="0.2">
      <c r="A100" s="100" t="s">
        <v>206</v>
      </c>
      <c r="B100" s="97"/>
      <c r="C100" s="97"/>
      <c r="D100" s="97"/>
      <c r="E100" s="97"/>
      <c r="F100" s="203"/>
      <c r="G100" s="18">
        <v>475</v>
      </c>
      <c r="H100" s="206">
        <f t="shared" si="5"/>
        <v>0</v>
      </c>
    </row>
    <row r="101" spans="1:8" s="16" customFormat="1" x14ac:dyDescent="0.2">
      <c r="A101" s="95" t="s">
        <v>207</v>
      </c>
      <c r="B101" s="97"/>
      <c r="C101" s="97"/>
      <c r="D101" s="97"/>
      <c r="E101" s="97"/>
      <c r="F101" s="203"/>
      <c r="G101" s="18">
        <v>500</v>
      </c>
      <c r="H101" s="206">
        <f t="shared" si="5"/>
        <v>0</v>
      </c>
    </row>
    <row r="102" spans="1:8" s="16" customFormat="1" ht="12.75" customHeight="1" x14ac:dyDescent="0.2">
      <c r="A102" s="95" t="s">
        <v>208</v>
      </c>
      <c r="B102" s="97"/>
      <c r="C102" s="97"/>
      <c r="D102" s="97"/>
      <c r="E102" s="97"/>
      <c r="F102" s="203"/>
      <c r="G102" s="18">
        <v>600</v>
      </c>
      <c r="H102" s="206">
        <f t="shared" si="5"/>
        <v>0</v>
      </c>
    </row>
    <row r="103" spans="1:8" s="16" customFormat="1" ht="12.75" customHeight="1" x14ac:dyDescent="0.2">
      <c r="A103" s="95" t="s">
        <v>209</v>
      </c>
      <c r="B103" s="97"/>
      <c r="C103" s="97"/>
      <c r="D103" s="97"/>
      <c r="E103" s="97"/>
      <c r="F103" s="203"/>
      <c r="G103" s="18">
        <v>675</v>
      </c>
      <c r="H103" s="206">
        <f t="shared" si="5"/>
        <v>0</v>
      </c>
    </row>
    <row r="104" spans="1:8" s="16" customFormat="1" ht="12.75" customHeight="1" x14ac:dyDescent="0.2">
      <c r="A104" s="95" t="s">
        <v>210</v>
      </c>
      <c r="B104" s="97"/>
      <c r="C104" s="97"/>
      <c r="D104" s="97"/>
      <c r="E104" s="97"/>
      <c r="F104" s="203"/>
      <c r="G104" s="18">
        <v>775</v>
      </c>
      <c r="H104" s="206">
        <f t="shared" si="5"/>
        <v>0</v>
      </c>
    </row>
    <row r="105" spans="1:8" s="16" customFormat="1" x14ac:dyDescent="0.2">
      <c r="A105" s="95" t="s">
        <v>211</v>
      </c>
      <c r="B105" s="97"/>
      <c r="C105" s="97"/>
      <c r="D105" s="97"/>
      <c r="E105" s="97"/>
      <c r="F105" s="203"/>
      <c r="G105" s="18">
        <v>200</v>
      </c>
      <c r="H105" s="206">
        <f t="shared" si="5"/>
        <v>0</v>
      </c>
    </row>
    <row r="106" spans="1:8" s="16" customFormat="1" x14ac:dyDescent="0.2">
      <c r="A106" s="95" t="s">
        <v>212</v>
      </c>
      <c r="B106" s="97"/>
      <c r="C106" s="97"/>
      <c r="D106" s="97"/>
      <c r="E106" s="97"/>
      <c r="F106" s="203"/>
      <c r="G106" s="18">
        <v>75</v>
      </c>
      <c r="H106" s="206">
        <f t="shared" si="5"/>
        <v>0</v>
      </c>
    </row>
    <row r="107" spans="1:8" s="16" customFormat="1" ht="12.75" customHeight="1" x14ac:dyDescent="0.2">
      <c r="A107" s="96" t="s">
        <v>213</v>
      </c>
      <c r="B107" s="97"/>
      <c r="C107" s="97"/>
      <c r="D107" s="97"/>
      <c r="E107" s="97"/>
      <c r="F107" s="203"/>
      <c r="G107" s="18">
        <v>310</v>
      </c>
      <c r="H107" s="206">
        <f t="shared" si="5"/>
        <v>0</v>
      </c>
    </row>
    <row r="108" spans="1:8" s="16" customFormat="1" x14ac:dyDescent="0.2">
      <c r="A108" s="96" t="s">
        <v>214</v>
      </c>
      <c r="B108" s="97"/>
      <c r="C108" s="97"/>
      <c r="D108" s="97"/>
      <c r="E108" s="97"/>
      <c r="F108" s="203"/>
      <c r="G108" s="18" t="s">
        <v>216</v>
      </c>
      <c r="H108" s="206">
        <v>0</v>
      </c>
    </row>
    <row r="109" spans="1:8" s="16" customFormat="1" ht="12.75" customHeight="1" x14ac:dyDescent="0.2">
      <c r="A109" s="96" t="s">
        <v>215</v>
      </c>
      <c r="B109" s="97"/>
      <c r="C109" s="97"/>
      <c r="D109" s="97"/>
      <c r="E109" s="97"/>
      <c r="F109" s="203"/>
      <c r="G109" s="18">
        <v>100</v>
      </c>
      <c r="H109" s="206">
        <f t="shared" si="5"/>
        <v>0</v>
      </c>
    </row>
    <row r="110" spans="1:8" s="16" customFormat="1" x14ac:dyDescent="0.2">
      <c r="A110" s="211" t="s">
        <v>220</v>
      </c>
      <c r="B110" s="212"/>
      <c r="C110" s="212"/>
      <c r="D110" s="212"/>
      <c r="E110" s="212"/>
      <c r="F110" s="212"/>
      <c r="G110" s="212"/>
      <c r="H110" s="213"/>
    </row>
    <row r="111" spans="1:8" s="16" customFormat="1" x14ac:dyDescent="0.2">
      <c r="A111" s="91" t="s">
        <v>221</v>
      </c>
      <c r="B111" s="98"/>
      <c r="C111" s="98"/>
      <c r="D111" s="98"/>
      <c r="E111" s="98"/>
      <c r="F111" s="203"/>
      <c r="G111" s="18">
        <v>100</v>
      </c>
      <c r="H111" s="206">
        <f>F111*G111</f>
        <v>0</v>
      </c>
    </row>
    <row r="112" spans="1:8" s="16" customFormat="1" x14ac:dyDescent="0.2">
      <c r="A112" s="91" t="s">
        <v>222</v>
      </c>
      <c r="B112" s="98"/>
      <c r="C112" s="98"/>
      <c r="D112" s="98"/>
      <c r="E112" s="98"/>
      <c r="F112" s="203"/>
      <c r="G112" s="18">
        <v>100</v>
      </c>
      <c r="H112" s="206">
        <f t="shared" ref="H112:H120" si="6">F112*G112</f>
        <v>0</v>
      </c>
    </row>
    <row r="113" spans="1:8" s="16" customFormat="1" x14ac:dyDescent="0.2">
      <c r="A113" s="96" t="s">
        <v>223</v>
      </c>
      <c r="B113" s="97"/>
      <c r="C113" s="97"/>
      <c r="D113" s="97"/>
      <c r="E113" s="97"/>
      <c r="F113" s="203"/>
      <c r="G113" s="18">
        <v>100</v>
      </c>
      <c r="H113" s="206">
        <f t="shared" si="6"/>
        <v>0</v>
      </c>
    </row>
    <row r="114" spans="1:8" s="16" customFormat="1" x14ac:dyDescent="0.2">
      <c r="A114" s="96" t="s">
        <v>224</v>
      </c>
      <c r="B114" s="97"/>
      <c r="C114" s="97"/>
      <c r="D114" s="97"/>
      <c r="E114" s="97"/>
      <c r="F114" s="203"/>
      <c r="G114" s="18">
        <v>100</v>
      </c>
      <c r="H114" s="206">
        <f t="shared" si="6"/>
        <v>0</v>
      </c>
    </row>
    <row r="115" spans="1:8" s="16" customFormat="1" x14ac:dyDescent="0.2">
      <c r="A115" s="96" t="s">
        <v>225</v>
      </c>
      <c r="B115" s="97"/>
      <c r="C115" s="97"/>
      <c r="D115" s="97"/>
      <c r="E115" s="97"/>
      <c r="F115" s="203"/>
      <c r="G115" s="18">
        <v>200</v>
      </c>
      <c r="H115" s="206">
        <f t="shared" si="6"/>
        <v>0</v>
      </c>
    </row>
    <row r="116" spans="1:8" s="16" customFormat="1" x14ac:dyDescent="0.2">
      <c r="A116" s="96" t="s">
        <v>226</v>
      </c>
      <c r="B116" s="97"/>
      <c r="C116" s="97"/>
      <c r="D116" s="97"/>
      <c r="E116" s="97"/>
      <c r="F116" s="208"/>
      <c r="G116" s="208"/>
      <c r="H116" s="206"/>
    </row>
    <row r="117" spans="1:8" s="16" customFormat="1" x14ac:dyDescent="0.2">
      <c r="A117" s="95" t="s">
        <v>227</v>
      </c>
      <c r="B117" s="97"/>
      <c r="C117" s="97"/>
      <c r="D117" s="97"/>
      <c r="E117" s="97"/>
      <c r="F117" s="203"/>
      <c r="G117" s="203"/>
      <c r="H117" s="206">
        <f t="shared" si="6"/>
        <v>0</v>
      </c>
    </row>
    <row r="118" spans="1:8" s="16" customFormat="1" ht="12.75" customHeight="1" x14ac:dyDescent="0.2">
      <c r="A118" s="95" t="s">
        <v>229</v>
      </c>
      <c r="B118" s="97"/>
      <c r="C118" s="97"/>
      <c r="D118" s="97"/>
      <c r="E118" s="97"/>
      <c r="F118" s="203"/>
      <c r="G118" s="203"/>
      <c r="H118" s="206">
        <f t="shared" si="6"/>
        <v>0</v>
      </c>
    </row>
    <row r="119" spans="1:8" s="16" customFormat="1" ht="12.75" customHeight="1" x14ac:dyDescent="0.2">
      <c r="A119" s="95" t="s">
        <v>230</v>
      </c>
      <c r="B119" s="97"/>
      <c r="C119" s="97"/>
      <c r="D119" s="97"/>
      <c r="E119" s="97"/>
      <c r="F119" s="203"/>
      <c r="G119" s="203"/>
      <c r="H119" s="206">
        <f t="shared" si="6"/>
        <v>0</v>
      </c>
    </row>
    <row r="120" spans="1:8" s="16" customFormat="1" ht="12.75" customHeight="1" x14ac:dyDescent="0.2">
      <c r="A120" s="95" t="s">
        <v>231</v>
      </c>
      <c r="B120" s="97"/>
      <c r="C120" s="97"/>
      <c r="D120" s="97"/>
      <c r="E120" s="97"/>
      <c r="F120" s="203"/>
      <c r="G120" s="203"/>
      <c r="H120" s="206">
        <f t="shared" si="6"/>
        <v>0</v>
      </c>
    </row>
    <row r="121" spans="1:8" s="16" customFormat="1" x14ac:dyDescent="0.2">
      <c r="A121" s="211" t="s">
        <v>228</v>
      </c>
      <c r="B121" s="212"/>
      <c r="C121" s="212"/>
      <c r="D121" s="212"/>
      <c r="E121" s="212"/>
      <c r="F121" s="212"/>
      <c r="G121" s="212"/>
      <c r="H121" s="213"/>
    </row>
    <row r="122" spans="1:8" s="16" customFormat="1" x14ac:dyDescent="0.2">
      <c r="A122" s="91" t="s">
        <v>232</v>
      </c>
      <c r="B122" s="98"/>
      <c r="C122" s="98"/>
      <c r="D122" s="98"/>
      <c r="E122" s="98"/>
      <c r="F122" s="203"/>
      <c r="G122" s="18">
        <v>175</v>
      </c>
      <c r="H122" s="206">
        <f>F122*G122</f>
        <v>0</v>
      </c>
    </row>
    <row r="123" spans="1:8" s="16" customFormat="1" x14ac:dyDescent="0.2">
      <c r="A123" s="101" t="s">
        <v>233</v>
      </c>
      <c r="B123" s="97"/>
      <c r="C123" s="97"/>
      <c r="D123" s="97"/>
      <c r="E123" s="97"/>
      <c r="F123" s="203"/>
      <c r="G123" s="18">
        <v>500</v>
      </c>
      <c r="H123" s="206">
        <f t="shared" ref="H123:H132" si="7">F123*G123</f>
        <v>0</v>
      </c>
    </row>
    <row r="124" spans="1:8" s="16" customFormat="1" x14ac:dyDescent="0.2">
      <c r="A124" s="96" t="s">
        <v>234</v>
      </c>
      <c r="B124" s="97"/>
      <c r="C124" s="97"/>
      <c r="D124" s="97"/>
      <c r="E124" s="97"/>
      <c r="F124" s="203"/>
      <c r="G124" s="18">
        <v>150</v>
      </c>
      <c r="H124" s="206">
        <f t="shared" si="7"/>
        <v>0</v>
      </c>
    </row>
    <row r="125" spans="1:8" s="16" customFormat="1" x14ac:dyDescent="0.2">
      <c r="A125" s="96" t="s">
        <v>235</v>
      </c>
      <c r="B125" s="97"/>
      <c r="C125" s="97"/>
      <c r="D125" s="97"/>
      <c r="E125" s="97"/>
      <c r="F125" s="203"/>
      <c r="G125" s="18">
        <v>200</v>
      </c>
      <c r="H125" s="206">
        <f t="shared" si="7"/>
        <v>0</v>
      </c>
    </row>
    <row r="126" spans="1:8" s="16" customFormat="1" x14ac:dyDescent="0.2">
      <c r="A126" s="96" t="s">
        <v>236</v>
      </c>
      <c r="B126" s="97"/>
      <c r="C126" s="97"/>
      <c r="D126" s="97"/>
      <c r="E126" s="97"/>
      <c r="F126" s="203"/>
      <c r="G126" s="18">
        <v>375</v>
      </c>
      <c r="H126" s="206">
        <f t="shared" si="7"/>
        <v>0</v>
      </c>
    </row>
    <row r="127" spans="1:8" s="16" customFormat="1" x14ac:dyDescent="0.2">
      <c r="A127" s="96" t="s">
        <v>237</v>
      </c>
      <c r="B127" s="97"/>
      <c r="C127" s="97"/>
      <c r="D127" s="97"/>
      <c r="E127" s="97"/>
      <c r="F127" s="203"/>
      <c r="G127" s="18">
        <v>200</v>
      </c>
      <c r="H127" s="206">
        <f t="shared" si="7"/>
        <v>0</v>
      </c>
    </row>
    <row r="128" spans="1:8" s="16" customFormat="1" x14ac:dyDescent="0.2">
      <c r="A128" s="96" t="s">
        <v>238</v>
      </c>
      <c r="B128" s="97"/>
      <c r="C128" s="97"/>
      <c r="D128" s="97"/>
      <c r="E128" s="97"/>
      <c r="F128" s="203"/>
      <c r="G128" s="18" t="s">
        <v>170</v>
      </c>
      <c r="H128" s="206">
        <f>F128</f>
        <v>0</v>
      </c>
    </row>
    <row r="129" spans="1:8" s="16" customFormat="1" x14ac:dyDescent="0.2">
      <c r="A129" s="96" t="s">
        <v>239</v>
      </c>
      <c r="B129" s="97"/>
      <c r="C129" s="97"/>
      <c r="D129" s="97"/>
      <c r="E129" s="97"/>
      <c r="F129" s="203"/>
      <c r="G129" s="18">
        <v>100</v>
      </c>
      <c r="H129" s="206">
        <f t="shared" si="7"/>
        <v>0</v>
      </c>
    </row>
    <row r="130" spans="1:8" s="16" customFormat="1" x14ac:dyDescent="0.2">
      <c r="A130" s="96" t="s">
        <v>240</v>
      </c>
      <c r="B130" s="97"/>
      <c r="C130" s="97"/>
      <c r="D130" s="97"/>
      <c r="E130" s="97"/>
      <c r="F130" s="203"/>
      <c r="G130" s="18" t="s">
        <v>170</v>
      </c>
      <c r="H130" s="206">
        <f>F130</f>
        <v>0</v>
      </c>
    </row>
    <row r="131" spans="1:8" s="16" customFormat="1" x14ac:dyDescent="0.2">
      <c r="A131" s="96" t="s">
        <v>241</v>
      </c>
      <c r="B131" s="97"/>
      <c r="C131" s="97"/>
      <c r="D131" s="97"/>
      <c r="E131" s="97"/>
      <c r="F131" s="203"/>
      <c r="G131" s="18" t="s">
        <v>170</v>
      </c>
      <c r="H131" s="206">
        <f>F131</f>
        <v>0</v>
      </c>
    </row>
    <row r="132" spans="1:8" s="16" customFormat="1" x14ac:dyDescent="0.2">
      <c r="A132" s="96" t="s">
        <v>242</v>
      </c>
      <c r="B132" s="97"/>
      <c r="C132" s="97"/>
      <c r="D132" s="97"/>
      <c r="E132" s="97"/>
      <c r="F132" s="203"/>
      <c r="G132" s="18">
        <v>150</v>
      </c>
      <c r="H132" s="206">
        <f t="shared" si="7"/>
        <v>0</v>
      </c>
    </row>
    <row r="133" spans="1:8" s="16" customFormat="1" x14ac:dyDescent="0.2">
      <c r="A133" s="211" t="s">
        <v>243</v>
      </c>
      <c r="B133" s="212"/>
      <c r="C133" s="212"/>
      <c r="D133" s="212"/>
      <c r="E133" s="212"/>
      <c r="F133" s="212"/>
      <c r="G133" s="212"/>
      <c r="H133" s="213"/>
    </row>
    <row r="134" spans="1:8" s="16" customFormat="1" x14ac:dyDescent="0.2">
      <c r="A134" s="91" t="s">
        <v>246</v>
      </c>
      <c r="B134" s="98"/>
      <c r="C134" s="98"/>
      <c r="D134" s="98"/>
      <c r="E134" s="99"/>
      <c r="F134" s="203"/>
      <c r="G134" s="18">
        <v>100</v>
      </c>
      <c r="H134" s="206">
        <f>F134*G134</f>
        <v>0</v>
      </c>
    </row>
    <row r="135" spans="1:8" s="16" customFormat="1" x14ac:dyDescent="0.2">
      <c r="A135" s="91" t="s">
        <v>244</v>
      </c>
      <c r="B135" s="98"/>
      <c r="C135" s="98"/>
      <c r="D135" s="98"/>
      <c r="E135" s="99"/>
      <c r="F135" s="203"/>
      <c r="G135" s="208"/>
      <c r="H135" s="206">
        <f>F135</f>
        <v>0</v>
      </c>
    </row>
    <row r="136" spans="1:8" s="16" customFormat="1" x14ac:dyDescent="0.2">
      <c r="A136" s="91" t="s">
        <v>245</v>
      </c>
      <c r="B136" s="98"/>
      <c r="C136" s="98"/>
      <c r="D136" s="98"/>
      <c r="E136" s="99"/>
      <c r="F136" s="203"/>
      <c r="G136" s="208"/>
      <c r="H136" s="206">
        <f>F136</f>
        <v>0</v>
      </c>
    </row>
    <row r="137" spans="1:8" s="16" customFormat="1" x14ac:dyDescent="0.2">
      <c r="A137" s="211" t="s">
        <v>247</v>
      </c>
      <c r="B137" s="212"/>
      <c r="C137" s="212"/>
      <c r="D137" s="212"/>
      <c r="E137" s="212"/>
      <c r="F137" s="212"/>
      <c r="G137" s="212"/>
      <c r="H137" s="213"/>
    </row>
    <row r="138" spans="1:8" s="16" customFormat="1" x14ac:dyDescent="0.2">
      <c r="A138" s="94" t="s">
        <v>248</v>
      </c>
      <c r="B138" s="92"/>
      <c r="C138" s="92"/>
      <c r="D138" s="92"/>
      <c r="E138" s="93"/>
      <c r="F138" s="203"/>
      <c r="G138" s="18">
        <v>30</v>
      </c>
      <c r="H138" s="206">
        <f>F138*G138</f>
        <v>0</v>
      </c>
    </row>
    <row r="139" spans="1:8" s="16" customFormat="1" x14ac:dyDescent="0.2">
      <c r="A139" s="94" t="s">
        <v>249</v>
      </c>
      <c r="B139" s="92"/>
      <c r="C139" s="92"/>
      <c r="D139" s="92"/>
      <c r="E139" s="93"/>
      <c r="F139" s="203"/>
      <c r="G139" s="18" t="s">
        <v>170</v>
      </c>
      <c r="H139" s="206">
        <f>F139</f>
        <v>0</v>
      </c>
    </row>
    <row r="140" spans="1:8" s="16" customFormat="1" ht="25.5" x14ac:dyDescent="0.2">
      <c r="A140" s="94" t="s">
        <v>250</v>
      </c>
      <c r="B140" s="92"/>
      <c r="C140" s="92"/>
      <c r="D140" s="92"/>
      <c r="E140" s="93"/>
      <c r="F140" s="208"/>
      <c r="G140" s="208"/>
      <c r="H140" s="206"/>
    </row>
    <row r="141" spans="1:8" s="16" customFormat="1" x14ac:dyDescent="0.2">
      <c r="A141" s="102" t="s">
        <v>251</v>
      </c>
      <c r="B141" s="92"/>
      <c r="C141" s="92"/>
      <c r="D141" s="92"/>
      <c r="E141" s="93"/>
      <c r="F141" s="203"/>
      <c r="G141" s="18" t="s">
        <v>170</v>
      </c>
      <c r="H141" s="206">
        <f>F141</f>
        <v>0</v>
      </c>
    </row>
    <row r="142" spans="1:8" s="16" customFormat="1" x14ac:dyDescent="0.2">
      <c r="A142" s="102" t="s">
        <v>252</v>
      </c>
      <c r="B142" s="92"/>
      <c r="C142" s="92"/>
      <c r="D142" s="92"/>
      <c r="E142" s="93"/>
      <c r="F142" s="203"/>
      <c r="G142" s="18" t="s">
        <v>170</v>
      </c>
      <c r="H142" s="206">
        <f>F142</f>
        <v>0</v>
      </c>
    </row>
    <row r="143" spans="1:8" s="16" customFormat="1" x14ac:dyDescent="0.2">
      <c r="A143" s="211" t="s">
        <v>253</v>
      </c>
      <c r="B143" s="212"/>
      <c r="C143" s="212"/>
      <c r="D143" s="212"/>
      <c r="E143" s="212"/>
      <c r="F143" s="212"/>
      <c r="G143" s="212"/>
      <c r="H143" s="213"/>
    </row>
    <row r="144" spans="1:8" s="16" customFormat="1" x14ac:dyDescent="0.2">
      <c r="A144" s="91" t="s">
        <v>254</v>
      </c>
      <c r="B144" s="92"/>
      <c r="C144" s="92"/>
      <c r="D144" s="92"/>
      <c r="E144" s="93"/>
      <c r="F144" s="208"/>
      <c r="G144" s="208"/>
      <c r="H144" s="206"/>
    </row>
    <row r="145" spans="1:8" s="16" customFormat="1" x14ac:dyDescent="0.2">
      <c r="A145" s="95" t="s">
        <v>251</v>
      </c>
      <c r="B145" s="92"/>
      <c r="C145" s="92"/>
      <c r="D145" s="92"/>
      <c r="E145" s="93"/>
      <c r="F145" s="203"/>
      <c r="G145" s="18" t="s">
        <v>170</v>
      </c>
      <c r="H145" s="206">
        <f>F145</f>
        <v>0</v>
      </c>
    </row>
    <row r="146" spans="1:8" s="16" customFormat="1" x14ac:dyDescent="0.2">
      <c r="A146" s="95" t="s">
        <v>252</v>
      </c>
      <c r="B146" s="92"/>
      <c r="C146" s="92"/>
      <c r="D146" s="92"/>
      <c r="E146" s="93"/>
      <c r="F146" s="203"/>
      <c r="G146" s="18" t="s">
        <v>170</v>
      </c>
      <c r="H146" s="206">
        <f>F146</f>
        <v>0</v>
      </c>
    </row>
    <row r="147" spans="1:8" s="16" customFormat="1" x14ac:dyDescent="0.2">
      <c r="A147" s="96" t="s">
        <v>255</v>
      </c>
      <c r="B147" s="97"/>
      <c r="C147" s="97"/>
      <c r="D147" s="97"/>
      <c r="E147" s="97"/>
      <c r="F147" s="203"/>
      <c r="G147" s="18" t="s">
        <v>261</v>
      </c>
      <c r="H147" s="206">
        <f>F147</f>
        <v>0</v>
      </c>
    </row>
    <row r="148" spans="1:8" s="16" customFormat="1" x14ac:dyDescent="0.2">
      <c r="A148" s="96" t="s">
        <v>256</v>
      </c>
      <c r="B148" s="97"/>
      <c r="C148" s="97"/>
      <c r="D148" s="97"/>
      <c r="E148" s="97"/>
      <c r="F148" s="203"/>
      <c r="G148" s="18">
        <v>150</v>
      </c>
      <c r="H148" s="206">
        <f t="shared" ref="H148:H155" si="8">F148*G148</f>
        <v>0</v>
      </c>
    </row>
    <row r="149" spans="1:8" s="16" customFormat="1" x14ac:dyDescent="0.2">
      <c r="A149" s="96" t="s">
        <v>257</v>
      </c>
      <c r="B149" s="97"/>
      <c r="C149" s="97"/>
      <c r="D149" s="97"/>
      <c r="E149" s="97"/>
      <c r="F149" s="203"/>
      <c r="G149" s="18">
        <v>100</v>
      </c>
      <c r="H149" s="206">
        <f t="shared" si="8"/>
        <v>0</v>
      </c>
    </row>
    <row r="150" spans="1:8" s="16" customFormat="1" x14ac:dyDescent="0.2">
      <c r="A150" s="96" t="s">
        <v>258</v>
      </c>
      <c r="B150" s="97"/>
      <c r="C150" s="97"/>
      <c r="D150" s="97"/>
      <c r="E150" s="97"/>
      <c r="F150" s="208"/>
      <c r="G150" s="208"/>
      <c r="H150" s="206"/>
    </row>
    <row r="151" spans="1:8" s="16" customFormat="1" x14ac:dyDescent="0.2">
      <c r="A151" s="95" t="s">
        <v>251</v>
      </c>
      <c r="B151" s="97"/>
      <c r="C151" s="97"/>
      <c r="D151" s="97"/>
      <c r="E151" s="97"/>
      <c r="F151" s="203"/>
      <c r="G151" s="18" t="s">
        <v>170</v>
      </c>
      <c r="H151" s="206">
        <f>F151</f>
        <v>0</v>
      </c>
    </row>
    <row r="152" spans="1:8" s="16" customFormat="1" x14ac:dyDescent="0.2">
      <c r="A152" s="95" t="s">
        <v>252</v>
      </c>
      <c r="B152" s="97"/>
      <c r="C152" s="97"/>
      <c r="D152" s="97"/>
      <c r="E152" s="97"/>
      <c r="F152" s="203"/>
      <c r="G152" s="18" t="s">
        <v>170</v>
      </c>
      <c r="H152" s="206">
        <f>F152</f>
        <v>0</v>
      </c>
    </row>
    <row r="153" spans="1:8" s="16" customFormat="1" x14ac:dyDescent="0.2">
      <c r="A153" s="96" t="s">
        <v>259</v>
      </c>
      <c r="B153" s="97"/>
      <c r="C153" s="97"/>
      <c r="D153" s="97"/>
      <c r="E153" s="97"/>
      <c r="F153" s="203"/>
      <c r="G153" s="18" t="s">
        <v>262</v>
      </c>
      <c r="H153" s="206">
        <f>F153</f>
        <v>0</v>
      </c>
    </row>
    <row r="154" spans="1:8" s="16" customFormat="1" x14ac:dyDescent="0.2">
      <c r="A154" s="96" t="s">
        <v>256</v>
      </c>
      <c r="B154" s="97"/>
      <c r="C154" s="97"/>
      <c r="D154" s="97"/>
      <c r="E154" s="97"/>
      <c r="F154" s="203"/>
      <c r="G154" s="18">
        <v>150</v>
      </c>
      <c r="H154" s="206">
        <f t="shared" si="8"/>
        <v>0</v>
      </c>
    </row>
    <row r="155" spans="1:8" s="16" customFormat="1" x14ac:dyDescent="0.2">
      <c r="A155" s="96" t="s">
        <v>260</v>
      </c>
      <c r="B155" s="97"/>
      <c r="C155" s="97"/>
      <c r="D155" s="97"/>
      <c r="E155" s="97"/>
      <c r="F155" s="203"/>
      <c r="G155" s="18">
        <v>100</v>
      </c>
      <c r="H155" s="206">
        <f t="shared" si="8"/>
        <v>0</v>
      </c>
    </row>
    <row r="156" spans="1:8" s="16" customFormat="1" x14ac:dyDescent="0.2">
      <c r="A156" s="211" t="s">
        <v>263</v>
      </c>
      <c r="B156" s="212"/>
      <c r="C156" s="212"/>
      <c r="D156" s="212"/>
      <c r="E156" s="212"/>
      <c r="F156" s="212"/>
      <c r="G156" s="212"/>
      <c r="H156" s="213"/>
    </row>
    <row r="157" spans="1:8" s="16" customFormat="1" x14ac:dyDescent="0.2">
      <c r="A157" s="91" t="s">
        <v>264</v>
      </c>
      <c r="B157" s="92"/>
      <c r="C157" s="92"/>
      <c r="D157" s="92"/>
      <c r="E157" s="93"/>
      <c r="F157" s="208"/>
      <c r="G157" s="208"/>
      <c r="H157" s="206"/>
    </row>
    <row r="158" spans="1:8" s="16" customFormat="1" x14ac:dyDescent="0.2">
      <c r="A158" s="95" t="s">
        <v>265</v>
      </c>
      <c r="B158" s="92"/>
      <c r="C158" s="92"/>
      <c r="D158" s="92"/>
      <c r="E158" s="93"/>
      <c r="F158" s="203"/>
      <c r="G158" s="18" t="s">
        <v>170</v>
      </c>
      <c r="H158" s="206">
        <f>F158</f>
        <v>0</v>
      </c>
    </row>
    <row r="159" spans="1:8" s="16" customFormat="1" x14ac:dyDescent="0.2">
      <c r="A159" s="95" t="s">
        <v>266</v>
      </c>
      <c r="B159" s="103"/>
      <c r="C159" s="103"/>
      <c r="D159" s="103"/>
      <c r="E159" s="103"/>
      <c r="F159" s="203"/>
      <c r="G159" s="18" t="s">
        <v>170</v>
      </c>
      <c r="H159" s="206">
        <f>F159</f>
        <v>0</v>
      </c>
    </row>
    <row r="160" spans="1:8" s="16" customFormat="1" x14ac:dyDescent="0.2">
      <c r="A160" s="96" t="s">
        <v>267</v>
      </c>
      <c r="B160" s="103"/>
      <c r="C160" s="103"/>
      <c r="D160" s="103"/>
      <c r="E160" s="103"/>
      <c r="F160" s="203"/>
      <c r="G160" s="18" t="s">
        <v>170</v>
      </c>
      <c r="H160" s="206">
        <f>F160</f>
        <v>0</v>
      </c>
    </row>
    <row r="161" spans="1:8" s="16" customFormat="1" x14ac:dyDescent="0.2">
      <c r="A161" s="96" t="s">
        <v>268</v>
      </c>
      <c r="B161" s="103"/>
      <c r="C161" s="103"/>
      <c r="D161" s="103"/>
      <c r="E161" s="103"/>
      <c r="F161" s="203"/>
      <c r="G161" s="18" t="s">
        <v>170</v>
      </c>
      <c r="H161" s="206">
        <f>F161</f>
        <v>0</v>
      </c>
    </row>
    <row r="162" spans="1:8" s="16" customFormat="1" x14ac:dyDescent="0.2">
      <c r="A162" s="96" t="s">
        <v>269</v>
      </c>
      <c r="B162" s="103"/>
      <c r="C162" s="103"/>
      <c r="D162" s="103"/>
      <c r="E162" s="103"/>
      <c r="F162" s="203"/>
      <c r="G162" s="18">
        <v>150</v>
      </c>
      <c r="H162" s="206">
        <f>F162*G162</f>
        <v>0</v>
      </c>
    </row>
    <row r="163" spans="1:8" s="16" customFormat="1" x14ac:dyDescent="0.2">
      <c r="A163" s="96" t="s">
        <v>270</v>
      </c>
      <c r="B163" s="103"/>
      <c r="C163" s="103"/>
      <c r="D163" s="103"/>
      <c r="E163" s="103"/>
      <c r="F163" s="203"/>
      <c r="G163" s="18">
        <v>150</v>
      </c>
      <c r="H163" s="206">
        <f>F163*G163</f>
        <v>0</v>
      </c>
    </row>
    <row r="164" spans="1:8" s="16" customFormat="1" x14ac:dyDescent="0.2">
      <c r="A164" s="96" t="s">
        <v>271</v>
      </c>
      <c r="B164" s="103"/>
      <c r="C164" s="103"/>
      <c r="D164" s="103"/>
      <c r="E164" s="103"/>
      <c r="F164" s="203"/>
      <c r="G164" s="18">
        <v>175</v>
      </c>
      <c r="H164" s="206">
        <f>F164*G164</f>
        <v>0</v>
      </c>
    </row>
    <row r="165" spans="1:8" s="16" customFormat="1" x14ac:dyDescent="0.2">
      <c r="A165" s="96" t="s">
        <v>272</v>
      </c>
      <c r="B165" s="103"/>
      <c r="C165" s="103"/>
      <c r="D165" s="103"/>
      <c r="E165" s="103"/>
      <c r="F165" s="203"/>
      <c r="G165" s="18">
        <v>175</v>
      </c>
      <c r="H165" s="206">
        <f>F165*G165</f>
        <v>0</v>
      </c>
    </row>
    <row r="166" spans="1:8" s="16" customFormat="1" x14ac:dyDescent="0.2">
      <c r="A166" s="96" t="s">
        <v>273</v>
      </c>
      <c r="B166" s="103"/>
      <c r="C166" s="103"/>
      <c r="D166" s="103"/>
      <c r="E166" s="103"/>
      <c r="F166" s="203"/>
      <c r="G166" s="18">
        <v>175</v>
      </c>
      <c r="H166" s="206">
        <f>F166*G166</f>
        <v>0</v>
      </c>
    </row>
    <row r="167" spans="1:8" s="16" customFormat="1" ht="13.5" thickBot="1" x14ac:dyDescent="0.25">
      <c r="A167" s="96" t="s">
        <v>274</v>
      </c>
      <c r="B167" s="103"/>
      <c r="C167" s="103"/>
      <c r="D167" s="103"/>
      <c r="E167" s="103"/>
      <c r="F167" s="203"/>
      <c r="G167" s="18" t="s">
        <v>170</v>
      </c>
      <c r="H167" s="206">
        <f>F167</f>
        <v>0</v>
      </c>
    </row>
    <row r="168" spans="1:8" s="13" customFormat="1" x14ac:dyDescent="0.2">
      <c r="A168" s="20"/>
      <c r="B168" s="21"/>
      <c r="C168" s="22"/>
      <c r="D168" s="22"/>
      <c r="E168" s="22"/>
      <c r="F168" s="22"/>
      <c r="G168" s="23" t="s">
        <v>41</v>
      </c>
      <c r="H168" s="207">
        <f>SUM(H14:H167)</f>
        <v>0</v>
      </c>
    </row>
    <row r="169" spans="1:8" s="13" customFormat="1" x14ac:dyDescent="0.2">
      <c r="A169" s="24"/>
      <c r="B169" s="25"/>
      <c r="C169" s="26"/>
      <c r="D169" s="26"/>
      <c r="E169" s="26"/>
      <c r="F169" s="26"/>
      <c r="G169" s="26"/>
      <c r="H169" s="27"/>
    </row>
    <row r="170" spans="1:8" s="13" customFormat="1" x14ac:dyDescent="0.2">
      <c r="A170" s="24"/>
      <c r="B170" s="25"/>
      <c r="C170" s="16"/>
      <c r="D170" s="16"/>
      <c r="E170" s="16"/>
      <c r="F170" s="16"/>
      <c r="G170" s="26" t="s">
        <v>42</v>
      </c>
      <c r="H170" s="205"/>
    </row>
    <row r="171" spans="1:8" s="13" customFormat="1" x14ac:dyDescent="0.2">
      <c r="A171" s="28" t="s">
        <v>6</v>
      </c>
      <c r="B171" s="214">
        <f>G11</f>
        <v>0</v>
      </c>
      <c r="C171" s="214"/>
      <c r="D171" s="29"/>
      <c r="E171" s="29"/>
      <c r="F171" s="29"/>
      <c r="G171" s="29"/>
      <c r="H171" s="30"/>
    </row>
    <row r="172" spans="1:8" s="13" customFormat="1" ht="13.5" thickBot="1" x14ac:dyDescent="0.25">
      <c r="A172" s="24"/>
      <c r="B172" s="25"/>
      <c r="C172" s="16"/>
      <c r="D172" s="16"/>
      <c r="E172" s="16"/>
      <c r="F172" s="16"/>
      <c r="G172" s="31" t="s">
        <v>43</v>
      </c>
      <c r="H172" s="204"/>
    </row>
    <row r="173" spans="1:8" x14ac:dyDescent="0.2">
      <c r="A173" s="32"/>
      <c r="B173" s="33"/>
      <c r="C173" s="33"/>
      <c r="D173" s="33"/>
      <c r="E173" s="33"/>
      <c r="F173" s="33"/>
      <c r="G173" s="33"/>
      <c r="H173" s="34"/>
    </row>
    <row r="174" spans="1:8" ht="13.5" x14ac:dyDescent="0.2">
      <c r="A174" s="160" t="s">
        <v>399</v>
      </c>
      <c r="B174" s="161"/>
      <c r="C174" s="161"/>
      <c r="D174" s="161"/>
      <c r="E174" s="161"/>
      <c r="F174" s="161"/>
      <c r="G174" s="161"/>
      <c r="H174" s="162"/>
    </row>
    <row r="175" spans="1:8" ht="13.5" x14ac:dyDescent="0.25">
      <c r="A175" s="35"/>
      <c r="B175" s="36"/>
      <c r="C175" s="36"/>
      <c r="D175" s="36"/>
      <c r="E175" s="36"/>
      <c r="F175" s="36"/>
      <c r="G175" s="36"/>
      <c r="H175" s="37"/>
    </row>
    <row r="176" spans="1:8" ht="13.5" x14ac:dyDescent="0.25">
      <c r="A176" s="35" t="s">
        <v>1</v>
      </c>
      <c r="B176" s="36"/>
      <c r="C176" s="36"/>
      <c r="D176" s="36"/>
      <c r="E176" s="36"/>
      <c r="F176" s="36"/>
      <c r="G176" s="36"/>
      <c r="H176" s="37"/>
    </row>
    <row r="177" spans="1:8" x14ac:dyDescent="0.2">
      <c r="A177" s="38"/>
      <c r="B177" s="39"/>
      <c r="C177" s="39"/>
      <c r="D177" s="39"/>
      <c r="E177" s="39"/>
      <c r="F177" s="39"/>
      <c r="G177" s="39"/>
      <c r="H177" s="40"/>
    </row>
    <row r="178" spans="1:8" ht="13.5" thickBot="1" x14ac:dyDescent="0.25">
      <c r="A178" s="41" t="s">
        <v>2</v>
      </c>
      <c r="B178" s="42"/>
      <c r="C178" s="43"/>
      <c r="D178" s="43"/>
      <c r="E178" s="43"/>
      <c r="F178" s="43"/>
      <c r="G178" s="43"/>
      <c r="H178" s="44"/>
    </row>
  </sheetData>
  <sheetProtection password="C724" sheet="1" objects="1" scenarios="1" selectLockedCells="1"/>
  <protectedRanges>
    <protectedRange sqref="B7:H10 B11:C11 G11:H11 B15 C18 F18 B17:B21 E15:E21 B25 B36 E23:E25" name="Range1"/>
  </protectedRanges>
  <mergeCells count="24">
    <mergeCell ref="B9:H9"/>
    <mergeCell ref="B10:H10"/>
    <mergeCell ref="B8:H8"/>
    <mergeCell ref="A1:H1"/>
    <mergeCell ref="A2:H2"/>
    <mergeCell ref="A3:H3"/>
    <mergeCell ref="A4:H4"/>
    <mergeCell ref="B7:H7"/>
    <mergeCell ref="A174:H174"/>
    <mergeCell ref="A156:H156"/>
    <mergeCell ref="A143:H143"/>
    <mergeCell ref="B11:C11"/>
    <mergeCell ref="G11:H11"/>
    <mergeCell ref="A62:H62"/>
    <mergeCell ref="A76:H76"/>
    <mergeCell ref="A56:H56"/>
    <mergeCell ref="A26:H26"/>
    <mergeCell ref="A13:E13"/>
    <mergeCell ref="B171:C171"/>
    <mergeCell ref="A14:H14"/>
    <mergeCell ref="A133:H133"/>
    <mergeCell ref="A137:H137"/>
    <mergeCell ref="A110:H110"/>
    <mergeCell ref="A121:H121"/>
  </mergeCells>
  <phoneticPr fontId="0" type="noConversion"/>
  <pageMargins left="0.5" right="0.5" top="0.5" bottom="0.5" header="0.3" footer="0.3"/>
  <pageSetup scale="70" orientation="portrait" r:id="rId1"/>
  <headerFooter alignWithMargins="0">
    <oddFooter>&amp;CPage &amp;P of &amp;N</oddFooter>
  </headerFooter>
  <rowBreaks count="2" manualBreakCount="2">
    <brk id="75" max="7" man="1"/>
    <brk id="140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S1 Entitlement Process</vt:lpstr>
      <vt:lpstr>S2 Civil Eng Review</vt:lpstr>
      <vt:lpstr>S3 Civil Inspection</vt:lpstr>
      <vt:lpstr>S4 Building Safety</vt:lpstr>
      <vt:lpstr>'S1 Entitlement Process'!Print_Area</vt:lpstr>
      <vt:lpstr>'S2 Civil Eng Review'!Print_Area</vt:lpstr>
      <vt:lpstr>'S3 Civil Inspection'!Print_Area</vt:lpstr>
      <vt:lpstr>'S4 Building Safety'!Print_Area</vt:lpstr>
      <vt:lpstr>'S2 Civil Eng Review'!Print_Titles</vt:lpstr>
      <vt:lpstr>'S3 Civil Inspection'!Print_Titles</vt:lpstr>
      <vt:lpstr>'S4 Building Safety'!Print_Titles</vt:lpstr>
    </vt:vector>
  </TitlesOfParts>
  <Company>Town of Buckeye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keri compton</dc:creator>
  <cp:lastModifiedBy>Keri Hegwald</cp:lastModifiedBy>
  <cp:lastPrinted>2013-03-20T15:41:13Z</cp:lastPrinted>
  <dcterms:created xsi:type="dcterms:W3CDTF">2005-10-26T21:22:15Z</dcterms:created>
  <dcterms:modified xsi:type="dcterms:W3CDTF">2013-03-20T15:45:51Z</dcterms:modified>
</cp:coreProperties>
</file>