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60" windowWidth="15225" windowHeight="8280" activeTab="1"/>
  </bookViews>
  <sheets>
    <sheet name="Credits" sheetId="4" r:id="rId1"/>
    <sheet name="Nitrate Intake Calculator" sheetId="1" r:id="rId2"/>
    <sheet name="Nitrate Conversions" sheetId="3" r:id="rId3"/>
    <sheet name="max meal intake" sheetId="2" r:id="rId4"/>
  </sheets>
  <calcPr calcId="125725"/>
</workbook>
</file>

<file path=xl/calcChain.xml><?xml version="1.0" encoding="utf-8"?>
<calcChain xmlns="http://schemas.openxmlformats.org/spreadsheetml/2006/main">
  <c r="H44" i="3"/>
  <c r="G44"/>
  <c r="F44"/>
  <c r="E44"/>
  <c r="D44"/>
  <c r="C44"/>
  <c r="H45"/>
  <c r="G45"/>
  <c r="F45"/>
  <c r="E45"/>
  <c r="D45"/>
  <c r="C45"/>
  <c r="H43"/>
  <c r="G43"/>
  <c r="F43"/>
  <c r="E43"/>
  <c r="D43"/>
  <c r="C43"/>
  <c r="H42"/>
  <c r="G42"/>
  <c r="F42"/>
  <c r="E42"/>
  <c r="D42"/>
  <c r="C42"/>
  <c r="H41"/>
  <c r="G41"/>
  <c r="F41"/>
  <c r="E41"/>
  <c r="D41"/>
  <c r="C41"/>
  <c r="H40"/>
  <c r="G40"/>
  <c r="F40"/>
  <c r="E40"/>
  <c r="D40"/>
  <c r="C40"/>
  <c r="B31"/>
  <c r="B23"/>
  <c r="B16"/>
  <c r="B9"/>
  <c r="F37" i="1"/>
  <c r="E56"/>
  <c r="E57" s="1"/>
  <c r="A58" s="1"/>
  <c r="G97" i="2"/>
  <c r="H97"/>
  <c r="I97" s="1"/>
  <c r="G98"/>
  <c r="H98" s="1"/>
  <c r="I98" s="1"/>
  <c r="G99"/>
  <c r="H99"/>
  <c r="I99" s="1"/>
  <c r="G100"/>
  <c r="H100" s="1"/>
  <c r="I100" s="1"/>
  <c r="G101"/>
  <c r="H101"/>
  <c r="I101" s="1"/>
  <c r="G102"/>
  <c r="H102" s="1"/>
  <c r="I102" s="1"/>
  <c r="G103"/>
  <c r="H103"/>
  <c r="I103" s="1"/>
  <c r="G104"/>
  <c r="H104" s="1"/>
  <c r="I104" s="1"/>
  <c r="G105"/>
  <c r="H105"/>
  <c r="I105" s="1"/>
  <c r="G106"/>
  <c r="H106" s="1"/>
  <c r="I106" s="1"/>
  <c r="G96"/>
  <c r="H96" s="1"/>
  <c r="I96" s="1"/>
  <c r="G86"/>
  <c r="H86" s="1"/>
  <c r="I86" s="1"/>
  <c r="G87"/>
  <c r="H87"/>
  <c r="I87" s="1"/>
  <c r="G88"/>
  <c r="H88" s="1"/>
  <c r="I88" s="1"/>
  <c r="G89"/>
  <c r="H89"/>
  <c r="I89" s="1"/>
  <c r="G90"/>
  <c r="H90" s="1"/>
  <c r="I90" s="1"/>
  <c r="G91"/>
  <c r="H91"/>
  <c r="I91" s="1"/>
  <c r="G92"/>
  <c r="H92" s="1"/>
  <c r="I92" s="1"/>
  <c r="G93"/>
  <c r="H93"/>
  <c r="I93" s="1"/>
  <c r="G94"/>
  <c r="H94" s="1"/>
  <c r="I94" s="1"/>
  <c r="G85"/>
  <c r="H85" s="1"/>
  <c r="I85" s="1"/>
  <c r="G75"/>
  <c r="H75" s="1"/>
  <c r="I75" s="1"/>
  <c r="G76"/>
  <c r="H76"/>
  <c r="I76" s="1"/>
  <c r="G77"/>
  <c r="H77" s="1"/>
  <c r="I77" s="1"/>
  <c r="G78"/>
  <c r="H78"/>
  <c r="I78" s="1"/>
  <c r="G79"/>
  <c r="H79" s="1"/>
  <c r="I79" s="1"/>
  <c r="G80"/>
  <c r="H80"/>
  <c r="I80" s="1"/>
  <c r="G81"/>
  <c r="H81" s="1"/>
  <c r="I81" s="1"/>
  <c r="G82"/>
  <c r="H82"/>
  <c r="I82" s="1"/>
  <c r="G83"/>
  <c r="H83" s="1"/>
  <c r="I83" s="1"/>
  <c r="G74"/>
  <c r="H74" s="1"/>
  <c r="I74" s="1"/>
  <c r="G63"/>
  <c r="H63" s="1"/>
  <c r="I63" s="1"/>
  <c r="G64"/>
  <c r="H64"/>
  <c r="I64" s="1"/>
  <c r="G65"/>
  <c r="H65" s="1"/>
  <c r="I65" s="1"/>
  <c r="G66"/>
  <c r="H66"/>
  <c r="I66" s="1"/>
  <c r="G67"/>
  <c r="H67" s="1"/>
  <c r="I67" s="1"/>
  <c r="G68"/>
  <c r="H68"/>
  <c r="I68" s="1"/>
  <c r="G69"/>
  <c r="H69" s="1"/>
  <c r="I69" s="1"/>
  <c r="G70"/>
  <c r="H70"/>
  <c r="I70" s="1"/>
  <c r="G71"/>
  <c r="H71" s="1"/>
  <c r="I71" s="1"/>
  <c r="G72"/>
  <c r="H72"/>
  <c r="I72" s="1"/>
  <c r="H62"/>
  <c r="G62"/>
  <c r="I62"/>
  <c r="G58"/>
  <c r="H58"/>
  <c r="I58" s="1"/>
  <c r="G59"/>
  <c r="H59" s="1"/>
  <c r="I59" s="1"/>
  <c r="G60"/>
  <c r="H60"/>
  <c r="I60" s="1"/>
  <c r="H57"/>
  <c r="G57"/>
  <c r="I57"/>
  <c r="G52"/>
  <c r="H52"/>
  <c r="I52" s="1"/>
  <c r="G53"/>
  <c r="H53" s="1"/>
  <c r="I53" s="1"/>
  <c r="G54"/>
  <c r="H54"/>
  <c r="I54" s="1"/>
  <c r="G55"/>
  <c r="H55" s="1"/>
  <c r="I55" s="1"/>
  <c r="G51"/>
  <c r="H51" s="1"/>
  <c r="I51" s="1"/>
  <c r="G46"/>
  <c r="H46" s="1"/>
  <c r="I46" s="1"/>
  <c r="G47"/>
  <c r="H47"/>
  <c r="I47" s="1"/>
  <c r="G48"/>
  <c r="H48" s="1"/>
  <c r="I48" s="1"/>
  <c r="G49"/>
  <c r="H49"/>
  <c r="I49" s="1"/>
  <c r="H45"/>
  <c r="G45"/>
  <c r="I45"/>
  <c r="G40"/>
  <c r="H40"/>
  <c r="I40" s="1"/>
  <c r="G41"/>
  <c r="H41" s="1"/>
  <c r="I41" s="1"/>
  <c r="G42"/>
  <c r="H42"/>
  <c r="I42" s="1"/>
  <c r="G43"/>
  <c r="H43" s="1"/>
  <c r="I43" s="1"/>
  <c r="G39"/>
  <c r="H39" s="1"/>
  <c r="I39" s="1"/>
  <c r="G35"/>
  <c r="H35" s="1"/>
  <c r="I35" s="1"/>
  <c r="G36"/>
  <c r="H36"/>
  <c r="I36" s="1"/>
  <c r="G37"/>
  <c r="H37" s="1"/>
  <c r="I37" s="1"/>
  <c r="G34"/>
  <c r="H34" s="1"/>
  <c r="I34" s="1"/>
  <c r="G29"/>
  <c r="H29" s="1"/>
  <c r="I29" s="1"/>
  <c r="G30"/>
  <c r="H30"/>
  <c r="I30" s="1"/>
  <c r="G31"/>
  <c r="H31" s="1"/>
  <c r="I31" s="1"/>
  <c r="G32"/>
  <c r="H32"/>
  <c r="I32" s="1"/>
  <c r="H28"/>
  <c r="G28"/>
  <c r="I28"/>
  <c r="G23"/>
  <c r="H23"/>
  <c r="I23" s="1"/>
  <c r="G24"/>
  <c r="H24" s="1"/>
  <c r="I24" s="1"/>
  <c r="G25"/>
  <c r="H25"/>
  <c r="I25" s="1"/>
  <c r="G26"/>
  <c r="H26" s="1"/>
  <c r="I26" s="1"/>
  <c r="G22"/>
  <c r="H22" s="1"/>
  <c r="I22" s="1"/>
  <c r="G18"/>
  <c r="H18" s="1"/>
  <c r="I18" s="1"/>
  <c r="G19"/>
  <c r="H19"/>
  <c r="I19" s="1"/>
  <c r="G20"/>
  <c r="H20" s="1"/>
  <c r="I20" s="1"/>
  <c r="G17"/>
  <c r="H17" s="1"/>
  <c r="I17" s="1"/>
  <c r="G12"/>
  <c r="H12" s="1"/>
  <c r="I12" s="1"/>
  <c r="G13"/>
  <c r="H13"/>
  <c r="I13" s="1"/>
  <c r="G14"/>
  <c r="H14" s="1"/>
  <c r="I14" s="1"/>
  <c r="G15"/>
  <c r="H15"/>
  <c r="I15" s="1"/>
  <c r="H11"/>
  <c r="G11"/>
  <c r="I11"/>
  <c r="G6"/>
  <c r="H6" s="1"/>
  <c r="I6" s="1"/>
  <c r="G7"/>
  <c r="H7" s="1"/>
  <c r="I7" s="1"/>
  <c r="G8"/>
  <c r="H8" s="1"/>
  <c r="I8" s="1"/>
  <c r="G9"/>
  <c r="H9" s="1"/>
  <c r="I9" s="1"/>
  <c r="G5"/>
  <c r="H5" s="1"/>
  <c r="I5" s="1"/>
  <c r="G37" i="1"/>
  <c r="A54" s="1"/>
  <c r="F38"/>
  <c r="G38" s="1"/>
  <c r="G52" s="1"/>
  <c r="D7"/>
  <c r="E7" s="1"/>
  <c r="D8"/>
  <c r="E8"/>
  <c r="H8" s="1"/>
  <c r="D9"/>
  <c r="E9" s="1"/>
  <c r="H9" s="1"/>
  <c r="D10"/>
  <c r="E10"/>
  <c r="H10" s="1"/>
  <c r="D12"/>
  <c r="E12" s="1"/>
  <c r="H12" s="1"/>
  <c r="D13"/>
  <c r="E13"/>
  <c r="H13" s="1"/>
  <c r="D14"/>
  <c r="E14" s="1"/>
  <c r="H14" s="1"/>
  <c r="D15"/>
  <c r="E15"/>
  <c r="H15" s="1"/>
  <c r="E21"/>
  <c r="F7"/>
  <c r="F8"/>
  <c r="F9"/>
  <c r="F10"/>
  <c r="F12"/>
  <c r="F13"/>
  <c r="F14"/>
  <c r="F15"/>
  <c r="F16"/>
  <c r="E22" s="1"/>
  <c r="E24" s="1"/>
  <c r="F32"/>
  <c r="F49"/>
  <c r="F50"/>
  <c r="F45"/>
  <c r="F44" l="1"/>
  <c r="H7"/>
  <c r="H16" s="1"/>
  <c r="E26" s="1"/>
  <c r="E27" s="1"/>
  <c r="F34" s="1"/>
  <c r="E16"/>
  <c r="F39"/>
  <c r="F40" s="1"/>
  <c r="G47"/>
  <c r="F35" l="1"/>
  <c r="F42" s="1"/>
  <c r="F51" s="1"/>
  <c r="F52" s="1"/>
  <c r="F46" l="1"/>
  <c r="F47" l="1"/>
</calcChain>
</file>

<file path=xl/sharedStrings.xml><?xml version="1.0" encoding="utf-8"?>
<sst xmlns="http://schemas.openxmlformats.org/spreadsheetml/2006/main" count="99" uniqueCount="87">
  <si>
    <t>Daily Intake</t>
  </si>
  <si>
    <t>lb as fed</t>
  </si>
  <si>
    <t>Moisture</t>
  </si>
  <si>
    <t>%</t>
  </si>
  <si>
    <t>Dry Matter</t>
  </si>
  <si>
    <t>Daily DMI</t>
  </si>
  <si>
    <t>Feed Water</t>
  </si>
  <si>
    <t>lb</t>
  </si>
  <si>
    <t>ppm</t>
  </si>
  <si>
    <t>mg</t>
  </si>
  <si>
    <t>Ration Total</t>
  </si>
  <si>
    <t>CONTRIBUTION FROM FEED</t>
  </si>
  <si>
    <t>CONTRIBUTION FROM DRINKING WATER</t>
  </si>
  <si>
    <t>Average daily milk production (lb)</t>
  </si>
  <si>
    <t>cool</t>
  </si>
  <si>
    <t>Amount to be reduced</t>
  </si>
  <si>
    <t>Content to be reduced (% DM)</t>
  </si>
  <si>
    <t>Forages</t>
  </si>
  <si>
    <t>Concentrates</t>
  </si>
  <si>
    <t>Difference between high and low (ppm)</t>
  </si>
  <si>
    <t>Difference between high and low (% DM)</t>
  </si>
  <si>
    <t>Forage dry matter to be exchanged (lb)</t>
  </si>
  <si>
    <t>Current temperatures: enter cool or hot</t>
  </si>
  <si>
    <t>Maximum intake of stored forage dry matter in a single meal at various forage nitrate contents to avoid nitrate toxicity</t>
  </si>
  <si>
    <t>ppm (mg/kg)</t>
  </si>
  <si>
    <t>Forage NO3-N (DM basis)</t>
  </si>
  <si>
    <t>Single Meal Max Intake of Forage NO3-N</t>
  </si>
  <si>
    <t>mg/cwt BW</t>
  </si>
  <si>
    <t>Single Meal Max Forage DMI</t>
  </si>
  <si>
    <t>lb/cwt BW</t>
  </si>
  <si>
    <t>Interpolation Factors for Forage NO3-N Intake</t>
  </si>
  <si>
    <t>mg/ppm change in column A</t>
  </si>
  <si>
    <t>Average cow body weight (lb)</t>
  </si>
  <si>
    <t>Maximum intake (lb/cwt BW; table value)</t>
  </si>
  <si>
    <t>Single meal maximum forage DMI (lb)</t>
  </si>
  <si>
    <t>Calculation of Total Nitrate Intake for Dairy Cattle</t>
  </si>
  <si>
    <r>
      <t>Feed NO</t>
    </r>
    <r>
      <rPr>
        <vertAlign val="subscript"/>
        <sz val="10"/>
        <rFont val="Arial"/>
        <family val="2"/>
      </rPr>
      <t>3</t>
    </r>
    <r>
      <rPr>
        <sz val="10"/>
        <rFont val="Arial"/>
        <family val="2"/>
      </rPr>
      <t>-N</t>
    </r>
  </si>
  <si>
    <r>
      <t>NO</t>
    </r>
    <r>
      <rPr>
        <vertAlign val="subscript"/>
        <sz val="10"/>
        <rFont val="Arial"/>
        <family val="2"/>
      </rPr>
      <t>3</t>
    </r>
    <r>
      <rPr>
        <sz val="10"/>
        <rFont val="Arial"/>
        <family val="2"/>
      </rPr>
      <t>-N Intake</t>
    </r>
  </si>
  <si>
    <r>
      <t>NO</t>
    </r>
    <r>
      <rPr>
        <b/>
        <vertAlign val="subscript"/>
        <sz val="10"/>
        <color indexed="17"/>
        <rFont val="Arial"/>
        <family val="2"/>
      </rPr>
      <t>3</t>
    </r>
    <r>
      <rPr>
        <b/>
        <sz val="10"/>
        <color indexed="17"/>
        <rFont val="Arial"/>
        <family val="2"/>
      </rPr>
      <t>-N from drinking water (mg)</t>
    </r>
  </si>
  <si>
    <t>Expected total water intake (lb/d)</t>
  </si>
  <si>
    <t>Expected drinking water intake (lb/d; total - feed water)</t>
  </si>
  <si>
    <r>
      <t>Water NO</t>
    </r>
    <r>
      <rPr>
        <vertAlign val="subscript"/>
        <sz val="10"/>
        <rFont val="Arial"/>
        <family val="2"/>
      </rPr>
      <t>3</t>
    </r>
    <r>
      <rPr>
        <sz val="10"/>
        <rFont val="Arial"/>
        <family val="2"/>
      </rPr>
      <t>-N content (ppm)</t>
    </r>
  </si>
  <si>
    <r>
      <t>TOTAL DAILY INTAKE OF NO</t>
    </r>
    <r>
      <rPr>
        <b/>
        <vertAlign val="subscript"/>
        <sz val="10"/>
        <rFont val="Arial"/>
        <family val="2"/>
      </rPr>
      <t>3</t>
    </r>
    <r>
      <rPr>
        <b/>
        <sz val="10"/>
        <rFont val="Arial"/>
        <family val="2"/>
      </rPr>
      <t>-N (mg)</t>
    </r>
  </si>
  <si>
    <r>
      <t>NO</t>
    </r>
    <r>
      <rPr>
        <b/>
        <vertAlign val="subscript"/>
        <sz val="10"/>
        <rFont val="Arial"/>
        <family val="2"/>
      </rPr>
      <t>3</t>
    </r>
    <r>
      <rPr>
        <b/>
        <sz val="10"/>
        <rFont val="Arial"/>
        <family val="2"/>
      </rPr>
      <t>-N CONTENT OF DIET (% DM)</t>
    </r>
  </si>
  <si>
    <r>
      <t>ADJUSTMENT OF RATION TO CONTROL NO</t>
    </r>
    <r>
      <rPr>
        <b/>
        <vertAlign val="subscript"/>
        <sz val="10"/>
        <rFont val="Arial"/>
        <family val="2"/>
      </rPr>
      <t>3</t>
    </r>
    <r>
      <rPr>
        <b/>
        <sz val="10"/>
        <rFont val="Arial"/>
        <family val="2"/>
      </rPr>
      <t>-N CONTENT</t>
    </r>
  </si>
  <si>
    <r>
      <t>Desired NO</t>
    </r>
    <r>
      <rPr>
        <vertAlign val="subscript"/>
        <sz val="10"/>
        <rFont val="Arial"/>
        <family val="2"/>
      </rPr>
      <t>3</t>
    </r>
    <r>
      <rPr>
        <sz val="10"/>
        <rFont val="Arial"/>
        <family val="2"/>
      </rPr>
      <t>-N level in total ration, including water (ppm)</t>
    </r>
  </si>
  <si>
    <r>
      <t>Desired NO</t>
    </r>
    <r>
      <rPr>
        <vertAlign val="subscript"/>
        <sz val="10"/>
        <rFont val="Arial"/>
        <family val="2"/>
      </rPr>
      <t>3</t>
    </r>
    <r>
      <rPr>
        <sz val="10"/>
        <rFont val="Arial"/>
        <family val="2"/>
      </rPr>
      <t>-N level in total ration, including water (% DM)</t>
    </r>
  </si>
  <si>
    <r>
      <t>Highest NO</t>
    </r>
    <r>
      <rPr>
        <vertAlign val="subscript"/>
        <sz val="10"/>
        <rFont val="Arial"/>
        <family val="2"/>
      </rPr>
      <t>3</t>
    </r>
    <r>
      <rPr>
        <sz val="10"/>
        <rFont val="Arial"/>
        <family val="2"/>
      </rPr>
      <t>-N in forage (ppm)</t>
    </r>
  </si>
  <si>
    <r>
      <t>Lowest NO</t>
    </r>
    <r>
      <rPr>
        <vertAlign val="subscript"/>
        <sz val="10"/>
        <rFont val="Arial"/>
        <family val="2"/>
      </rPr>
      <t>3</t>
    </r>
    <r>
      <rPr>
        <sz val="10"/>
        <rFont val="Arial"/>
        <family val="2"/>
      </rPr>
      <t>-N in forage (ppm)</t>
    </r>
  </si>
  <si>
    <r>
      <t>Old intake level for high NO</t>
    </r>
    <r>
      <rPr>
        <vertAlign val="subscript"/>
        <sz val="10"/>
        <rFont val="Arial"/>
        <family val="2"/>
      </rPr>
      <t>3</t>
    </r>
    <r>
      <rPr>
        <sz val="10"/>
        <rFont val="Arial"/>
        <family val="2"/>
      </rPr>
      <t>-N forage (lb DM)</t>
    </r>
  </si>
  <si>
    <r>
      <t>Dry matter % of high NO</t>
    </r>
    <r>
      <rPr>
        <vertAlign val="subscript"/>
        <sz val="10"/>
        <rFont val="Arial"/>
        <family val="2"/>
      </rPr>
      <t>3</t>
    </r>
    <r>
      <rPr>
        <sz val="10"/>
        <rFont val="Arial"/>
        <family val="2"/>
      </rPr>
      <t>-N forage</t>
    </r>
  </si>
  <si>
    <r>
      <t>New intake level for high NO</t>
    </r>
    <r>
      <rPr>
        <vertAlign val="subscript"/>
        <sz val="10"/>
        <rFont val="Arial"/>
        <family val="2"/>
      </rPr>
      <t>3</t>
    </r>
    <r>
      <rPr>
        <sz val="10"/>
        <rFont val="Arial"/>
        <family val="2"/>
      </rPr>
      <t>-N forage (lb DM)</t>
    </r>
  </si>
  <si>
    <r>
      <t>New as fed intake level for high NO</t>
    </r>
    <r>
      <rPr>
        <b/>
        <vertAlign val="subscript"/>
        <sz val="10"/>
        <color indexed="17"/>
        <rFont val="Arial"/>
        <family val="2"/>
      </rPr>
      <t>3</t>
    </r>
    <r>
      <rPr>
        <b/>
        <sz val="10"/>
        <color indexed="17"/>
        <rFont val="Arial"/>
        <family val="2"/>
      </rPr>
      <t>-N forage (lb)</t>
    </r>
  </si>
  <si>
    <r>
      <t>Old intake level for low NO</t>
    </r>
    <r>
      <rPr>
        <vertAlign val="subscript"/>
        <sz val="10"/>
        <rFont val="Arial"/>
        <family val="2"/>
      </rPr>
      <t>3</t>
    </r>
    <r>
      <rPr>
        <sz val="10"/>
        <rFont val="Arial"/>
        <family val="2"/>
      </rPr>
      <t>-N forage (lb DM)</t>
    </r>
  </si>
  <si>
    <r>
      <t>Dry matter % of low NO</t>
    </r>
    <r>
      <rPr>
        <vertAlign val="subscript"/>
        <sz val="10"/>
        <rFont val="Arial"/>
        <family val="2"/>
      </rPr>
      <t>3</t>
    </r>
    <r>
      <rPr>
        <sz val="10"/>
        <rFont val="Arial"/>
        <family val="2"/>
      </rPr>
      <t>-N forage</t>
    </r>
  </si>
  <si>
    <r>
      <t>New intake level for low NO</t>
    </r>
    <r>
      <rPr>
        <vertAlign val="subscript"/>
        <sz val="10"/>
        <rFont val="Arial"/>
        <family val="2"/>
      </rPr>
      <t>3</t>
    </r>
    <r>
      <rPr>
        <sz val="10"/>
        <rFont val="Arial"/>
        <family val="2"/>
      </rPr>
      <t>-N forage (lb DM)</t>
    </r>
  </si>
  <si>
    <r>
      <t>New as fed intake level for low NO</t>
    </r>
    <r>
      <rPr>
        <b/>
        <vertAlign val="subscript"/>
        <sz val="10"/>
        <color indexed="17"/>
        <rFont val="Arial"/>
        <family val="2"/>
      </rPr>
      <t>3</t>
    </r>
    <r>
      <rPr>
        <b/>
        <sz val="10"/>
        <color indexed="17"/>
        <rFont val="Arial"/>
        <family val="2"/>
      </rPr>
      <t>-N forage (lb)</t>
    </r>
  </si>
  <si>
    <t>Interpolated values for concentrations in 100 ppm increments using column D</t>
  </si>
  <si>
    <t>Corn Silage</t>
  </si>
  <si>
    <t>MML Haylage</t>
  </si>
  <si>
    <t>Grain Mix</t>
  </si>
  <si>
    <r>
      <t>Nitrate-nitrogen (NO</t>
    </r>
    <r>
      <rPr>
        <vertAlign val="subscript"/>
        <sz val="10"/>
        <rFont val="Arial"/>
        <family val="2"/>
      </rPr>
      <t>3</t>
    </r>
    <r>
      <rPr>
        <sz val="10"/>
        <rFont val="Arial"/>
      </rPr>
      <t>-N)</t>
    </r>
  </si>
  <si>
    <r>
      <t>Nitrate (NO</t>
    </r>
    <r>
      <rPr>
        <vertAlign val="subscript"/>
        <sz val="10"/>
        <rFont val="Arial"/>
        <family val="2"/>
      </rPr>
      <t>3</t>
    </r>
    <r>
      <rPr>
        <sz val="10"/>
        <rFont val="Arial"/>
        <family val="2"/>
      </rPr>
      <t>)</t>
    </r>
  </si>
  <si>
    <r>
      <t>Nitrite (NO</t>
    </r>
    <r>
      <rPr>
        <vertAlign val="subscript"/>
        <sz val="10"/>
        <rFont val="Arial"/>
        <family val="2"/>
      </rPr>
      <t>2</t>
    </r>
    <r>
      <rPr>
        <sz val="10"/>
        <rFont val="Arial"/>
        <family val="2"/>
      </rPr>
      <t>)</t>
    </r>
  </si>
  <si>
    <t>enter value either in percent or ppm</t>
  </si>
  <si>
    <t>result is in the same units</t>
  </si>
  <si>
    <t>Convert from ppm to percent</t>
  </si>
  <si>
    <t>percent</t>
  </si>
  <si>
    <t>Convert from percent to ppm</t>
  </si>
  <si>
    <r>
      <t>Convert Nitrate-nitrogen (NO</t>
    </r>
    <r>
      <rPr>
        <b/>
        <vertAlign val="subscript"/>
        <sz val="10"/>
        <rFont val="Arial"/>
        <family val="2"/>
      </rPr>
      <t>3</t>
    </r>
    <r>
      <rPr>
        <b/>
        <sz val="10"/>
        <rFont val="Arial"/>
        <family val="2"/>
      </rPr>
      <t>-N) to Nitrate (NO</t>
    </r>
    <r>
      <rPr>
        <b/>
        <vertAlign val="subscript"/>
        <sz val="10"/>
        <rFont val="Arial"/>
        <family val="2"/>
      </rPr>
      <t>3</t>
    </r>
    <r>
      <rPr>
        <b/>
        <sz val="10"/>
        <rFont val="Arial"/>
        <family val="2"/>
      </rPr>
      <t>)</t>
    </r>
  </si>
  <si>
    <r>
      <t>Convert Nitrate (NO</t>
    </r>
    <r>
      <rPr>
        <b/>
        <vertAlign val="subscript"/>
        <sz val="10"/>
        <rFont val="Arial"/>
        <family val="2"/>
      </rPr>
      <t>3</t>
    </r>
    <r>
      <rPr>
        <b/>
        <sz val="10"/>
        <rFont val="Arial"/>
        <family val="2"/>
      </rPr>
      <t>) to Nitrate-nitrogen (NO</t>
    </r>
    <r>
      <rPr>
        <b/>
        <vertAlign val="subscript"/>
        <sz val="10"/>
        <rFont val="Arial"/>
        <family val="2"/>
      </rPr>
      <t>3</t>
    </r>
    <r>
      <rPr>
        <b/>
        <sz val="10"/>
        <rFont val="Arial"/>
        <family val="2"/>
      </rPr>
      <t>-N)</t>
    </r>
  </si>
  <si>
    <r>
      <t>Nitrite-nitrogen (NO</t>
    </r>
    <r>
      <rPr>
        <vertAlign val="subscript"/>
        <sz val="10"/>
        <rFont val="Arial"/>
        <family val="2"/>
      </rPr>
      <t>2</t>
    </r>
    <r>
      <rPr>
        <sz val="10"/>
        <rFont val="Arial"/>
      </rPr>
      <t>-N)</t>
    </r>
  </si>
  <si>
    <r>
      <t>Sodium nitrate (NaNO</t>
    </r>
    <r>
      <rPr>
        <vertAlign val="subscript"/>
        <sz val="10"/>
        <rFont val="Arial"/>
        <family val="2"/>
      </rPr>
      <t>3</t>
    </r>
    <r>
      <rPr>
        <sz val="10"/>
        <rFont val="Arial"/>
      </rPr>
      <t>)</t>
    </r>
  </si>
  <si>
    <r>
      <t>Potassium nitrate (KNO</t>
    </r>
    <r>
      <rPr>
        <vertAlign val="subscript"/>
        <sz val="10"/>
        <rFont val="Arial"/>
        <family val="2"/>
      </rPr>
      <t>3</t>
    </r>
    <r>
      <rPr>
        <sz val="10"/>
        <rFont val="Arial"/>
      </rPr>
      <t>)</t>
    </r>
  </si>
  <si>
    <r>
      <t>NO</t>
    </r>
    <r>
      <rPr>
        <vertAlign val="subscript"/>
        <sz val="10"/>
        <rFont val="Arial"/>
        <family val="2"/>
      </rPr>
      <t>3</t>
    </r>
    <r>
      <rPr>
        <sz val="10"/>
        <rFont val="Arial"/>
      </rPr>
      <t>-N</t>
    </r>
  </si>
  <si>
    <r>
      <t>NO</t>
    </r>
    <r>
      <rPr>
        <vertAlign val="subscript"/>
        <sz val="10"/>
        <rFont val="Arial"/>
        <family val="2"/>
      </rPr>
      <t>2</t>
    </r>
    <r>
      <rPr>
        <sz val="10"/>
        <rFont val="Arial"/>
      </rPr>
      <t>-N</t>
    </r>
  </si>
  <si>
    <r>
      <t>NO</t>
    </r>
    <r>
      <rPr>
        <vertAlign val="subscript"/>
        <sz val="10"/>
        <rFont val="Arial"/>
        <family val="2"/>
      </rPr>
      <t>3</t>
    </r>
  </si>
  <si>
    <r>
      <t>NO</t>
    </r>
    <r>
      <rPr>
        <vertAlign val="subscript"/>
        <sz val="10"/>
        <rFont val="Arial"/>
        <family val="2"/>
      </rPr>
      <t>2</t>
    </r>
  </si>
  <si>
    <r>
      <t>NaNO</t>
    </r>
    <r>
      <rPr>
        <vertAlign val="subscript"/>
        <sz val="10"/>
        <rFont val="Arial"/>
        <family val="2"/>
      </rPr>
      <t>3</t>
    </r>
  </si>
  <si>
    <r>
      <t>KNO</t>
    </r>
    <r>
      <rPr>
        <vertAlign val="subscript"/>
        <sz val="10"/>
        <rFont val="Arial"/>
        <family val="2"/>
      </rPr>
      <t>3</t>
    </r>
  </si>
  <si>
    <t>Molecular weight</t>
  </si>
  <si>
    <r>
      <rPr>
        <b/>
        <sz val="10"/>
        <rFont val="Arial"/>
        <family val="2"/>
      </rPr>
      <t>Other Nitrate Conversions</t>
    </r>
    <r>
      <rPr>
        <sz val="10"/>
        <rFont val="Arial"/>
        <family val="2"/>
      </rPr>
      <t xml:space="preserve"> (enter either as percent or ppm, result will be in the same units)</t>
    </r>
  </si>
  <si>
    <t>Nitrate Calculator Spreadsheet</t>
  </si>
  <si>
    <t>This spreadsheet was designed to automate the calculations detailed in DAS 92-107, Prevention and Control of Nitrate Toxicity in Cattle. Full explanation of the calculations is provided in that publication by Richard S. Adams, Thomas R. McCarty, and Lawrence J. Hutchinson. Spreadsheet developed by Coleen M. Jones.</t>
  </si>
  <si>
    <t>Spreadsheet updated: 7/8/2010</t>
  </si>
  <si>
    <t>enter values in cells with blue text; all other values are calculated</t>
  </si>
  <si>
    <t>Nitrate Conversions Assistant</t>
  </si>
</sst>
</file>

<file path=xl/styles.xml><?xml version="1.0" encoding="utf-8"?>
<styleSheet xmlns="http://schemas.openxmlformats.org/spreadsheetml/2006/main">
  <numFmts count="3">
    <numFmt numFmtId="164" formatCode="0.0000"/>
    <numFmt numFmtId="165" formatCode="0.000"/>
    <numFmt numFmtId="166" formatCode="0.0"/>
  </numFmts>
  <fonts count="15">
    <font>
      <sz val="10"/>
      <name val="Arial"/>
    </font>
    <font>
      <sz val="8"/>
      <name val="Arial"/>
      <family val="2"/>
    </font>
    <font>
      <b/>
      <sz val="12"/>
      <name val="Arial"/>
      <family val="2"/>
    </font>
    <font>
      <b/>
      <sz val="10"/>
      <name val="Arial"/>
      <family val="2"/>
    </font>
    <font>
      <vertAlign val="subscript"/>
      <sz val="10"/>
      <name val="Arial"/>
      <family val="2"/>
    </font>
    <font>
      <sz val="10"/>
      <color indexed="12"/>
      <name val="Arial"/>
      <family val="2"/>
    </font>
    <font>
      <b/>
      <sz val="10"/>
      <color indexed="17"/>
      <name val="Arial"/>
      <family val="2"/>
    </font>
    <font>
      <b/>
      <vertAlign val="subscript"/>
      <sz val="10"/>
      <color indexed="17"/>
      <name val="Arial"/>
      <family val="2"/>
    </font>
    <font>
      <b/>
      <vertAlign val="subscript"/>
      <sz val="10"/>
      <name val="Arial"/>
      <family val="2"/>
    </font>
    <font>
      <b/>
      <sz val="10"/>
      <color indexed="9"/>
      <name val="Arial"/>
      <family val="2"/>
    </font>
    <font>
      <sz val="10"/>
      <color rgb="FF0000FF"/>
      <name val="Arial"/>
      <family val="2"/>
    </font>
    <font>
      <sz val="10"/>
      <name val="Arial"/>
      <family val="2"/>
    </font>
    <font>
      <b/>
      <sz val="10"/>
      <color rgb="FF0000FF"/>
      <name val="Arial"/>
      <family val="2"/>
    </font>
    <font>
      <b/>
      <sz val="14"/>
      <name val="Arial"/>
      <family val="2"/>
    </font>
    <font>
      <sz val="12"/>
      <name val="Arial"/>
      <family val="2"/>
    </font>
  </fonts>
  <fills count="7">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41"/>
        <bgColor indexed="64"/>
      </patternFill>
    </fill>
    <fill>
      <patternFill patternType="solid">
        <fgColor indexed="50"/>
        <bgColor indexed="64"/>
      </patternFill>
    </fill>
    <fill>
      <patternFill patternType="solid">
        <fgColor theme="4" tint="0.79998168889431442"/>
        <bgColor indexed="64"/>
      </patternFill>
    </fill>
  </fills>
  <borders count="17">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02">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xf>
    <xf numFmtId="3" fontId="0" fillId="0" borderId="0" xfId="0" applyNumberFormat="1"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0" fontId="0" fillId="0" borderId="1" xfId="0" applyBorder="1"/>
    <xf numFmtId="0" fontId="0" fillId="0" borderId="0" xfId="0" applyBorder="1" applyAlignment="1">
      <alignment horizontal="center"/>
    </xf>
    <xf numFmtId="0" fontId="0" fillId="0" borderId="2" xfId="0" applyBorder="1"/>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0" borderId="1" xfId="0" applyFont="1" applyBorder="1"/>
    <xf numFmtId="0" fontId="3" fillId="0" borderId="2" xfId="0" applyFont="1" applyBorder="1"/>
    <xf numFmtId="0" fontId="5" fillId="0" borderId="0" xfId="0" applyFont="1" applyBorder="1" applyAlignment="1">
      <alignment horizontal="center"/>
    </xf>
    <xf numFmtId="0" fontId="5" fillId="0" borderId="3" xfId="0" applyFont="1" applyBorder="1" applyAlignment="1">
      <alignment horizontal="center"/>
    </xf>
    <xf numFmtId="0" fontId="6" fillId="0" borderId="2" xfId="0" applyFont="1" applyBorder="1"/>
    <xf numFmtId="166" fontId="0" fillId="0" borderId="0" xfId="0" applyNumberFormat="1" applyBorder="1" applyAlignment="1">
      <alignment horizontal="center"/>
    </xf>
    <xf numFmtId="166" fontId="0" fillId="0" borderId="3" xfId="0" applyNumberFormat="1" applyBorder="1" applyAlignment="1">
      <alignment horizontal="center"/>
    </xf>
    <xf numFmtId="166" fontId="6" fillId="0" borderId="3" xfId="0" applyNumberFormat="1" applyFont="1" applyBorder="1" applyAlignment="1">
      <alignment horizontal="center"/>
    </xf>
    <xf numFmtId="1" fontId="0" fillId="0" borderId="9" xfId="0" applyNumberFormat="1" applyBorder="1" applyAlignment="1">
      <alignment horizontal="center"/>
    </xf>
    <xf numFmtId="1" fontId="0" fillId="0" borderId="10" xfId="0" applyNumberFormat="1" applyBorder="1" applyAlignment="1">
      <alignment horizontal="center"/>
    </xf>
    <xf numFmtId="0" fontId="0" fillId="0" borderId="0" xfId="0" applyBorder="1"/>
    <xf numFmtId="0" fontId="0" fillId="0" borderId="9" xfId="0" applyBorder="1"/>
    <xf numFmtId="0" fontId="0" fillId="0" borderId="3" xfId="0" applyBorder="1"/>
    <xf numFmtId="0" fontId="0" fillId="0" borderId="10" xfId="0" applyBorder="1"/>
    <xf numFmtId="0" fontId="0" fillId="0" borderId="0" xfId="0" applyBorder="1" applyAlignment="1">
      <alignment horizontal="right"/>
    </xf>
    <xf numFmtId="1" fontId="0" fillId="0" borderId="0" xfId="0" applyNumberFormat="1" applyBorder="1" applyAlignment="1">
      <alignment horizontal="right"/>
    </xf>
    <xf numFmtId="0" fontId="5" fillId="0" borderId="0" xfId="0" applyFont="1" applyBorder="1" applyAlignment="1">
      <alignment horizontal="right"/>
    </xf>
    <xf numFmtId="0" fontId="6" fillId="0" borderId="3" xfId="0" applyFont="1" applyBorder="1"/>
    <xf numFmtId="1" fontId="6" fillId="0" borderId="3" xfId="0" applyNumberFormat="1" applyFont="1" applyBorder="1" applyAlignment="1">
      <alignment horizontal="right"/>
    </xf>
    <xf numFmtId="0" fontId="5" fillId="0" borderId="3" xfId="0" applyFont="1" applyBorder="1" applyAlignment="1">
      <alignment horizontal="right"/>
    </xf>
    <xf numFmtId="0" fontId="0" fillId="0" borderId="5" xfId="0" applyBorder="1"/>
    <xf numFmtId="0" fontId="0" fillId="0" borderId="6" xfId="0" applyBorder="1"/>
    <xf numFmtId="0" fontId="3" fillId="0" borderId="4" xfId="0" applyFont="1" applyBorder="1"/>
    <xf numFmtId="3" fontId="3" fillId="0" borderId="5" xfId="0" applyNumberFormat="1" applyFont="1" applyBorder="1"/>
    <xf numFmtId="165" fontId="3" fillId="0" borderId="3" xfId="0" applyNumberFormat="1" applyFont="1" applyBorder="1"/>
    <xf numFmtId="0" fontId="5" fillId="0" borderId="0" xfId="0" applyFont="1" applyBorder="1"/>
    <xf numFmtId="2" fontId="0" fillId="0" borderId="0" xfId="0" applyNumberFormat="1" applyBorder="1"/>
    <xf numFmtId="164" fontId="0" fillId="0" borderId="0" xfId="0" applyNumberFormat="1" applyBorder="1"/>
    <xf numFmtId="165" fontId="0" fillId="0" borderId="0" xfId="0" applyNumberFormat="1" applyBorder="1"/>
    <xf numFmtId="166" fontId="0" fillId="0" borderId="0" xfId="0" applyNumberFormat="1" applyBorder="1"/>
    <xf numFmtId="0" fontId="0" fillId="0" borderId="0" xfId="0" applyBorder="1" applyAlignment="1">
      <alignment horizontal="left" indent="1"/>
    </xf>
    <xf numFmtId="0" fontId="3" fillId="0" borderId="0" xfId="0" applyFont="1" applyBorder="1"/>
    <xf numFmtId="0" fontId="6" fillId="0" borderId="1" xfId="0" applyFont="1" applyBorder="1"/>
    <xf numFmtId="0" fontId="6" fillId="0" borderId="0" xfId="0" applyFont="1" applyBorder="1"/>
    <xf numFmtId="166" fontId="6" fillId="0" borderId="0" xfId="0" applyNumberFormat="1" applyFont="1" applyBorder="1"/>
    <xf numFmtId="0" fontId="6" fillId="0" borderId="0" xfId="0" applyFont="1" applyBorder="1" applyAlignment="1">
      <alignment horizontal="left" indent="1"/>
    </xf>
    <xf numFmtId="0" fontId="6" fillId="0" borderId="9" xfId="0" applyFont="1" applyBorder="1"/>
    <xf numFmtId="0" fontId="6" fillId="0" borderId="3" xfId="0" applyFont="1" applyBorder="1" applyAlignment="1">
      <alignment horizontal="left" indent="1"/>
    </xf>
    <xf numFmtId="0" fontId="6" fillId="0" borderId="10" xfId="0" applyFont="1" applyBorder="1"/>
    <xf numFmtId="166" fontId="6" fillId="0" borderId="3" xfId="0" applyNumberFormat="1" applyFont="1" applyBorder="1"/>
    <xf numFmtId="3" fontId="6" fillId="0" borderId="10" xfId="0" applyNumberFormat="1" applyFont="1" applyBorder="1" applyAlignment="1">
      <alignment horizontal="center"/>
    </xf>
    <xf numFmtId="165" fontId="3" fillId="0" borderId="0" xfId="0" applyNumberFormat="1" applyFont="1" applyBorder="1"/>
    <xf numFmtId="3" fontId="0" fillId="0" borderId="0" xfId="0" applyNumberFormat="1"/>
    <xf numFmtId="2" fontId="0" fillId="0" borderId="0" xfId="0" applyNumberFormat="1"/>
    <xf numFmtId="0" fontId="10" fillId="0" borderId="0" xfId="0" applyFont="1" applyBorder="1"/>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0" xfId="0" applyFont="1" applyBorder="1" applyAlignment="1">
      <alignment horizontal="center" vertical="center" wrapText="1"/>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2" fillId="0" borderId="0" xfId="0" applyFont="1" applyAlignment="1">
      <alignment horizontal="center"/>
    </xf>
    <xf numFmtId="0" fontId="3" fillId="4" borderId="11" xfId="0" applyFont="1" applyFill="1" applyBorder="1" applyAlignment="1">
      <alignment horizontal="center"/>
    </xf>
    <xf numFmtId="0" fontId="3" fillId="4" borderId="12" xfId="0" applyFont="1" applyFill="1" applyBorder="1" applyAlignment="1">
      <alignment horizontal="center"/>
    </xf>
    <xf numFmtId="0" fontId="3" fillId="4" borderId="13" xfId="0" applyFont="1" applyFill="1" applyBorder="1" applyAlignment="1">
      <alignment horizontal="center"/>
    </xf>
    <xf numFmtId="0" fontId="3" fillId="5" borderId="11" xfId="0" applyFont="1" applyFill="1" applyBorder="1" applyAlignment="1">
      <alignment horizontal="center"/>
    </xf>
    <xf numFmtId="0" fontId="3" fillId="5" borderId="12" xfId="0" applyFont="1" applyFill="1" applyBorder="1" applyAlignment="1">
      <alignment horizontal="center"/>
    </xf>
    <xf numFmtId="0" fontId="3" fillId="5" borderId="13" xfId="0" applyFont="1" applyFill="1" applyBorder="1" applyAlignment="1">
      <alignment horizontal="center"/>
    </xf>
    <xf numFmtId="0" fontId="0" fillId="0" borderId="0" xfId="0" applyAlignment="1">
      <alignment horizontal="center" vertical="center" wrapText="1"/>
    </xf>
    <xf numFmtId="0" fontId="11" fillId="0" borderId="0" xfId="0" applyFont="1"/>
    <xf numFmtId="0" fontId="11" fillId="0" borderId="5" xfId="0" applyFont="1" applyBorder="1"/>
    <xf numFmtId="0" fontId="11" fillId="0" borderId="6" xfId="0" applyFont="1" applyBorder="1"/>
    <xf numFmtId="0" fontId="11" fillId="0" borderId="1" xfId="0" applyFont="1" applyBorder="1"/>
    <xf numFmtId="0" fontId="12" fillId="6" borderId="0" xfId="0" applyFont="1" applyFill="1" applyBorder="1"/>
    <xf numFmtId="0" fontId="11" fillId="0" borderId="0" xfId="0" applyFont="1" applyBorder="1"/>
    <xf numFmtId="0" fontId="11" fillId="0" borderId="2" xfId="0" applyFont="1" applyBorder="1"/>
    <xf numFmtId="0" fontId="3" fillId="0" borderId="0" xfId="0" applyFont="1"/>
    <xf numFmtId="0" fontId="0" fillId="0" borderId="0" xfId="0" applyFill="1" applyBorder="1"/>
    <xf numFmtId="0" fontId="12" fillId="6" borderId="0" xfId="0" applyFont="1" applyFill="1" applyBorder="1" applyAlignment="1">
      <alignment horizontal="center"/>
    </xf>
    <xf numFmtId="2" fontId="0" fillId="0" borderId="9" xfId="0" applyNumberFormat="1" applyBorder="1"/>
    <xf numFmtId="0" fontId="0" fillId="0" borderId="14" xfId="0" applyBorder="1"/>
    <xf numFmtId="0" fontId="0" fillId="0" borderId="15" xfId="0" applyBorder="1"/>
    <xf numFmtId="0" fontId="11" fillId="0" borderId="15" xfId="0" applyFont="1" applyBorder="1" applyAlignment="1">
      <alignment horizontal="center"/>
    </xf>
    <xf numFmtId="0" fontId="0" fillId="0" borderId="15" xfId="0" applyFont="1" applyFill="1" applyBorder="1"/>
    <xf numFmtId="0" fontId="0" fillId="0" borderId="16" xfId="0" applyBorder="1"/>
    <xf numFmtId="0" fontId="13" fillId="0" borderId="0" xfId="0" applyFont="1" applyAlignment="1">
      <alignment horizontal="center"/>
    </xf>
    <xf numFmtId="0" fontId="11" fillId="0" borderId="0" xfId="0" applyFont="1" applyAlignment="1">
      <alignment horizontal="right"/>
    </xf>
    <xf numFmtId="0" fontId="14" fillId="0" borderId="0" xfId="0" applyFont="1" applyAlignment="1">
      <alignment horizontal="center" vertical="center" wrapText="1"/>
    </xf>
    <xf numFmtId="0" fontId="12" fillId="0" borderId="3" xfId="0" applyFont="1" applyBorder="1" applyAlignment="1">
      <alignment horizontal="center"/>
    </xf>
    <xf numFmtId="0" fontId="12" fillId="0" borderId="0" xfId="0" applyFont="1" applyBorder="1" applyAlignment="1">
      <alignment horizontal="center"/>
    </xf>
    <xf numFmtId="0" fontId="12" fillId="0" borderId="0" xfId="0" applyFont="1" applyAlignment="1">
      <alignment horizontal="center"/>
    </xf>
    <xf numFmtId="0" fontId="12" fillId="0" borderId="0" xfId="0" applyFont="1" applyAlignment="1">
      <alignment horizontal="center"/>
    </xf>
    <xf numFmtId="0" fontId="12" fillId="0" borderId="0" xfId="0" applyFont="1" applyAlignment="1"/>
  </cellXfs>
  <cellStyles count="1">
    <cellStyle name="Normal" xfId="0" builtinId="0"/>
  </cellStyles>
  <dxfs count="0"/>
  <tableStyles count="0" defaultTableStyle="TableStyleMedium9" defaultPivotStyle="PivotStyleLight16"/>
  <colors>
    <mruColors>
      <color rgb="FF0000FF"/>
    </mru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J5"/>
  <sheetViews>
    <sheetView workbookViewId="0">
      <selection activeCell="D9" sqref="D9"/>
    </sheetView>
  </sheetViews>
  <sheetFormatPr defaultRowHeight="12.75"/>
  <sheetData>
    <row r="1" spans="1:10" ht="18">
      <c r="A1" s="94" t="s">
        <v>82</v>
      </c>
      <c r="B1" s="94"/>
      <c r="C1" s="94"/>
      <c r="D1" s="94"/>
      <c r="E1" s="94"/>
      <c r="F1" s="94"/>
      <c r="G1" s="94"/>
      <c r="H1" s="94"/>
      <c r="I1" s="94"/>
      <c r="J1" s="94"/>
    </row>
    <row r="3" spans="1:10" ht="71.25" customHeight="1">
      <c r="A3" s="96" t="s">
        <v>83</v>
      </c>
      <c r="B3" s="96"/>
      <c r="C3" s="96"/>
      <c r="D3" s="96"/>
      <c r="E3" s="96"/>
      <c r="F3" s="96"/>
      <c r="G3" s="96"/>
      <c r="H3" s="96"/>
      <c r="I3" s="96"/>
      <c r="J3" s="96"/>
    </row>
    <row r="5" spans="1:10">
      <c r="J5" s="95" t="s">
        <v>84</v>
      </c>
    </row>
  </sheetData>
  <mergeCells count="2">
    <mergeCell ref="A3:J3"/>
    <mergeCell ref="A1:J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sheetPr>
    <pageSetUpPr fitToPage="1"/>
  </sheetPr>
  <dimension ref="A1:H58"/>
  <sheetViews>
    <sheetView tabSelected="1" workbookViewId="0">
      <selection activeCell="K11" sqref="K11"/>
    </sheetView>
  </sheetViews>
  <sheetFormatPr defaultRowHeight="12.75"/>
  <cols>
    <col min="1" max="1" width="16" customWidth="1"/>
    <col min="2" max="2" width="11.28515625" customWidth="1"/>
    <col min="4" max="4" width="10" customWidth="1"/>
    <col min="5" max="5" width="9.28515625" customWidth="1"/>
    <col min="6" max="6" width="11.140625" customWidth="1"/>
    <col min="7" max="7" width="11.7109375" customWidth="1"/>
    <col min="8" max="8" width="12" customWidth="1"/>
  </cols>
  <sheetData>
    <row r="1" spans="1:8" ht="15.75">
      <c r="A1" s="70" t="s">
        <v>35</v>
      </c>
      <c r="B1" s="70"/>
      <c r="C1" s="70"/>
      <c r="D1" s="70"/>
      <c r="E1" s="70"/>
      <c r="F1" s="70"/>
      <c r="G1" s="70"/>
      <c r="H1" s="70"/>
    </row>
    <row r="2" spans="1:8" ht="13.5" thickBot="1">
      <c r="A2" s="97" t="s">
        <v>85</v>
      </c>
      <c r="B2" s="97"/>
      <c r="C2" s="97"/>
      <c r="D2" s="97"/>
      <c r="E2" s="97"/>
      <c r="F2" s="97"/>
      <c r="G2" s="97"/>
      <c r="H2" s="97"/>
    </row>
    <row r="3" spans="1:8" ht="13.5" thickBot="1">
      <c r="A3" s="98"/>
      <c r="B3" s="98"/>
      <c r="C3" s="98"/>
      <c r="D3" s="98"/>
      <c r="E3" s="98"/>
      <c r="F3" s="98"/>
      <c r="G3" s="98"/>
      <c r="H3" s="98"/>
    </row>
    <row r="4" spans="1:8" ht="13.5" thickBot="1">
      <c r="A4" s="67" t="s">
        <v>11</v>
      </c>
      <c r="B4" s="68"/>
      <c r="C4" s="68"/>
      <c r="D4" s="68"/>
      <c r="E4" s="68"/>
      <c r="F4" s="68"/>
      <c r="G4" s="68"/>
      <c r="H4" s="69"/>
    </row>
    <row r="5" spans="1:8" ht="15.75">
      <c r="A5" s="11"/>
      <c r="B5" s="12" t="s">
        <v>0</v>
      </c>
      <c r="C5" s="12" t="s">
        <v>2</v>
      </c>
      <c r="D5" s="12" t="s">
        <v>4</v>
      </c>
      <c r="E5" s="12" t="s">
        <v>5</v>
      </c>
      <c r="F5" s="12" t="s">
        <v>6</v>
      </c>
      <c r="G5" s="12" t="s">
        <v>36</v>
      </c>
      <c r="H5" s="13" t="s">
        <v>37</v>
      </c>
    </row>
    <row r="6" spans="1:8">
      <c r="A6" s="16" t="s">
        <v>17</v>
      </c>
      <c r="B6" s="14" t="s">
        <v>1</v>
      </c>
      <c r="C6" s="14" t="s">
        <v>3</v>
      </c>
      <c r="D6" s="14" t="s">
        <v>3</v>
      </c>
      <c r="E6" s="14" t="s">
        <v>7</v>
      </c>
      <c r="F6" s="14" t="s">
        <v>7</v>
      </c>
      <c r="G6" s="14" t="s">
        <v>8</v>
      </c>
      <c r="H6" s="15" t="s">
        <v>9</v>
      </c>
    </row>
    <row r="7" spans="1:8">
      <c r="A7" s="7" t="s">
        <v>58</v>
      </c>
      <c r="B7" s="18">
        <v>28.6</v>
      </c>
      <c r="C7" s="18">
        <v>65</v>
      </c>
      <c r="D7" s="8">
        <f>100-C7</f>
        <v>35</v>
      </c>
      <c r="E7" s="21">
        <f>B7*(D7/100)</f>
        <v>10.01</v>
      </c>
      <c r="F7" s="21">
        <f>B7*(C7/100)</f>
        <v>18.59</v>
      </c>
      <c r="G7" s="18">
        <v>1700</v>
      </c>
      <c r="H7" s="24">
        <f>E7*G7*0.454</f>
        <v>7725.7179999999998</v>
      </c>
    </row>
    <row r="8" spans="1:8">
      <c r="A8" s="7" t="s">
        <v>59</v>
      </c>
      <c r="B8" s="18">
        <v>26.8</v>
      </c>
      <c r="C8" s="18">
        <v>50</v>
      </c>
      <c r="D8" s="8">
        <f t="shared" ref="D8:D15" si="0">100-C8</f>
        <v>50</v>
      </c>
      <c r="E8" s="21">
        <f t="shared" ref="E8:E15" si="1">B8*(D8/100)</f>
        <v>13.4</v>
      </c>
      <c r="F8" s="21">
        <f t="shared" ref="F8:F15" si="2">B8*(C8/100)</f>
        <v>13.4</v>
      </c>
      <c r="G8" s="18">
        <v>460</v>
      </c>
      <c r="H8" s="24">
        <f t="shared" ref="H8:H15" si="3">E8*G8*0.454</f>
        <v>2798.4560000000001</v>
      </c>
    </row>
    <row r="9" spans="1:8">
      <c r="A9" s="7"/>
      <c r="B9" s="18"/>
      <c r="C9" s="18"/>
      <c r="D9" s="8">
        <f t="shared" si="0"/>
        <v>100</v>
      </c>
      <c r="E9" s="21">
        <f t="shared" si="1"/>
        <v>0</v>
      </c>
      <c r="F9" s="21">
        <f t="shared" si="2"/>
        <v>0</v>
      </c>
      <c r="G9" s="18"/>
      <c r="H9" s="24">
        <f t="shared" si="3"/>
        <v>0</v>
      </c>
    </row>
    <row r="10" spans="1:8">
      <c r="A10" s="7"/>
      <c r="B10" s="18"/>
      <c r="C10" s="18"/>
      <c r="D10" s="8">
        <f t="shared" si="0"/>
        <v>100</v>
      </c>
      <c r="E10" s="21">
        <f t="shared" si="1"/>
        <v>0</v>
      </c>
      <c r="F10" s="21">
        <f t="shared" si="2"/>
        <v>0</v>
      </c>
      <c r="G10" s="18"/>
      <c r="H10" s="24">
        <f t="shared" si="3"/>
        <v>0</v>
      </c>
    </row>
    <row r="11" spans="1:8">
      <c r="A11" s="16" t="s">
        <v>18</v>
      </c>
      <c r="B11" s="18"/>
      <c r="C11" s="18"/>
      <c r="D11" s="8"/>
      <c r="E11" s="21"/>
      <c r="F11" s="21"/>
      <c r="G11" s="18"/>
      <c r="H11" s="24"/>
    </row>
    <row r="12" spans="1:8">
      <c r="A12" s="7" t="s">
        <v>60</v>
      </c>
      <c r="B12" s="18">
        <v>20</v>
      </c>
      <c r="C12" s="18">
        <v>12</v>
      </c>
      <c r="D12" s="8">
        <f t="shared" si="0"/>
        <v>88</v>
      </c>
      <c r="E12" s="21">
        <f t="shared" si="1"/>
        <v>17.600000000000001</v>
      </c>
      <c r="F12" s="21">
        <f t="shared" si="2"/>
        <v>2.4</v>
      </c>
      <c r="G12" s="18">
        <v>48</v>
      </c>
      <c r="H12" s="24">
        <f t="shared" si="3"/>
        <v>383.53920000000005</v>
      </c>
    </row>
    <row r="13" spans="1:8">
      <c r="A13" s="7"/>
      <c r="B13" s="18"/>
      <c r="C13" s="18"/>
      <c r="D13" s="8">
        <f t="shared" si="0"/>
        <v>100</v>
      </c>
      <c r="E13" s="21">
        <f t="shared" si="1"/>
        <v>0</v>
      </c>
      <c r="F13" s="21">
        <f t="shared" si="2"/>
        <v>0</v>
      </c>
      <c r="G13" s="18"/>
      <c r="H13" s="24">
        <f t="shared" si="3"/>
        <v>0</v>
      </c>
    </row>
    <row r="14" spans="1:8">
      <c r="A14" s="7"/>
      <c r="B14" s="18"/>
      <c r="C14" s="18"/>
      <c r="D14" s="8">
        <f t="shared" si="0"/>
        <v>100</v>
      </c>
      <c r="E14" s="21">
        <f t="shared" si="1"/>
        <v>0</v>
      </c>
      <c r="F14" s="21">
        <f t="shared" si="2"/>
        <v>0</v>
      </c>
      <c r="G14" s="18"/>
      <c r="H14" s="24">
        <f t="shared" si="3"/>
        <v>0</v>
      </c>
    </row>
    <row r="15" spans="1:8" ht="13.5" thickBot="1">
      <c r="A15" s="9"/>
      <c r="B15" s="19"/>
      <c r="C15" s="19"/>
      <c r="D15" s="10">
        <f t="shared" si="0"/>
        <v>100</v>
      </c>
      <c r="E15" s="22">
        <f t="shared" si="1"/>
        <v>0</v>
      </c>
      <c r="F15" s="22">
        <f t="shared" si="2"/>
        <v>0</v>
      </c>
      <c r="G15" s="19"/>
      <c r="H15" s="25">
        <f t="shared" si="3"/>
        <v>0</v>
      </c>
    </row>
    <row r="16" spans="1:8" ht="13.5" thickBot="1">
      <c r="A16" s="20" t="s">
        <v>10</v>
      </c>
      <c r="B16" s="19"/>
      <c r="C16" s="19"/>
      <c r="D16" s="10"/>
      <c r="E16" s="23">
        <f>SUM(E7:E15)</f>
        <v>41.010000000000005</v>
      </c>
      <c r="F16" s="23">
        <f>SUM(F7:F15)</f>
        <v>34.39</v>
      </c>
      <c r="G16" s="19"/>
      <c r="H16" s="56">
        <f>SUM(H7:H15)</f>
        <v>10907.713199999998</v>
      </c>
    </row>
    <row r="17" spans="1:8" ht="13.5" thickBot="1"/>
    <row r="18" spans="1:8" ht="13.5" thickBot="1">
      <c r="A18" s="71" t="s">
        <v>12</v>
      </c>
      <c r="B18" s="72"/>
      <c r="C18" s="72"/>
      <c r="D18" s="72"/>
      <c r="E18" s="72"/>
      <c r="F18" s="72"/>
      <c r="G18" s="72"/>
      <c r="H18" s="73"/>
    </row>
    <row r="19" spans="1:8">
      <c r="A19" s="7" t="s">
        <v>13</v>
      </c>
      <c r="B19" s="26"/>
      <c r="C19" s="26"/>
      <c r="D19" s="26"/>
      <c r="E19" s="32">
        <v>60</v>
      </c>
      <c r="F19" s="26"/>
      <c r="G19" s="26"/>
      <c r="H19" s="27"/>
    </row>
    <row r="20" spans="1:8">
      <c r="A20" s="7" t="s">
        <v>22</v>
      </c>
      <c r="B20" s="26"/>
      <c r="C20" s="26"/>
      <c r="D20" s="26"/>
      <c r="E20" s="32" t="s">
        <v>14</v>
      </c>
      <c r="F20" s="26"/>
      <c r="G20" s="26"/>
      <c r="H20" s="27"/>
    </row>
    <row r="21" spans="1:8">
      <c r="A21" s="7" t="s">
        <v>39</v>
      </c>
      <c r="B21" s="26"/>
      <c r="C21" s="26"/>
      <c r="D21" s="26"/>
      <c r="E21" s="30">
        <f>IF(E20="cool",E19*4.5,E19*5)</f>
        <v>270</v>
      </c>
      <c r="F21" s="26"/>
      <c r="G21" s="26"/>
      <c r="H21" s="27"/>
    </row>
    <row r="22" spans="1:8">
      <c r="A22" s="7" t="s">
        <v>40</v>
      </c>
      <c r="B22" s="26"/>
      <c r="C22" s="26"/>
      <c r="D22" s="26"/>
      <c r="E22" s="31">
        <f>E21-F16</f>
        <v>235.61</v>
      </c>
      <c r="F22" s="26"/>
      <c r="G22" s="26"/>
      <c r="H22" s="27"/>
    </row>
    <row r="23" spans="1:8" ht="16.5" thickBot="1">
      <c r="A23" s="9" t="s">
        <v>41</v>
      </c>
      <c r="B23" s="28"/>
      <c r="C23" s="28"/>
      <c r="D23" s="28"/>
      <c r="E23" s="35">
        <v>8</v>
      </c>
      <c r="F23" s="28"/>
      <c r="G23" s="28"/>
      <c r="H23" s="29"/>
    </row>
    <row r="24" spans="1:8" ht="15" thickBot="1">
      <c r="A24" s="20" t="s">
        <v>38</v>
      </c>
      <c r="B24" s="33"/>
      <c r="C24" s="33"/>
      <c r="D24" s="33"/>
      <c r="E24" s="34">
        <f>E22*E23*0.454</f>
        <v>855.73552000000007</v>
      </c>
      <c r="F24" s="28"/>
      <c r="G24" s="28"/>
      <c r="H24" s="29"/>
    </row>
    <row r="25" spans="1:8" ht="13.5" thickBot="1"/>
    <row r="26" spans="1:8" ht="14.25">
      <c r="A26" s="38" t="s">
        <v>42</v>
      </c>
      <c r="B26" s="36"/>
      <c r="C26" s="36"/>
      <c r="D26" s="36"/>
      <c r="E26" s="39">
        <f>H16+E24</f>
        <v>11763.448719999999</v>
      </c>
      <c r="F26" s="36"/>
      <c r="G26" s="36"/>
      <c r="H26" s="37"/>
    </row>
    <row r="27" spans="1:8" ht="15" thickBot="1">
      <c r="A27" s="17" t="s">
        <v>43</v>
      </c>
      <c r="B27" s="28"/>
      <c r="C27" s="28"/>
      <c r="D27" s="28"/>
      <c r="E27" s="40">
        <f>(E26/454000)/(E16)*100</f>
        <v>6.3181370397464021E-2</v>
      </c>
      <c r="F27" s="28"/>
      <c r="G27" s="28"/>
      <c r="H27" s="29"/>
    </row>
    <row r="28" spans="1:8">
      <c r="A28" s="47"/>
      <c r="B28" s="26"/>
      <c r="C28" s="26"/>
      <c r="D28" s="26"/>
      <c r="E28" s="57"/>
      <c r="F28" s="26"/>
      <c r="G28" s="26"/>
      <c r="H28" s="26"/>
    </row>
    <row r="29" spans="1:8" ht="13.5" thickBot="1"/>
    <row r="30" spans="1:8" ht="15" thickBot="1">
      <c r="A30" s="74" t="s">
        <v>44</v>
      </c>
      <c r="B30" s="75"/>
      <c r="C30" s="75"/>
      <c r="D30" s="75"/>
      <c r="E30" s="75"/>
      <c r="F30" s="75"/>
      <c r="G30" s="75"/>
      <c r="H30" s="76"/>
    </row>
    <row r="31" spans="1:8" ht="15.75">
      <c r="A31" s="7" t="s">
        <v>45</v>
      </c>
      <c r="B31" s="26"/>
      <c r="C31" s="26"/>
      <c r="D31" s="26"/>
      <c r="E31" s="26"/>
      <c r="F31" s="41">
        <v>500</v>
      </c>
      <c r="G31" s="26"/>
      <c r="H31" s="27"/>
    </row>
    <row r="32" spans="1:8" ht="15.75">
      <c r="A32" s="7" t="s">
        <v>46</v>
      </c>
      <c r="B32" s="26"/>
      <c r="C32" s="26"/>
      <c r="D32" s="26"/>
      <c r="E32" s="26"/>
      <c r="F32" s="42">
        <f>F31/10000</f>
        <v>0.05</v>
      </c>
      <c r="G32" s="26"/>
      <c r="H32" s="27"/>
    </row>
    <row r="33" spans="1:8">
      <c r="A33" s="7"/>
      <c r="B33" s="26"/>
      <c r="C33" s="26"/>
      <c r="D33" s="26"/>
      <c r="E33" s="26"/>
      <c r="F33" s="26"/>
      <c r="G33" s="26"/>
      <c r="H33" s="27"/>
    </row>
    <row r="34" spans="1:8">
      <c r="A34" s="7" t="s">
        <v>16</v>
      </c>
      <c r="B34" s="26"/>
      <c r="C34" s="26"/>
      <c r="D34" s="26"/>
      <c r="E34" s="26"/>
      <c r="F34" s="44">
        <f>E27-F32</f>
        <v>1.3181370397464018E-2</v>
      </c>
      <c r="G34" s="26"/>
      <c r="H34" s="27"/>
    </row>
    <row r="35" spans="1:8">
      <c r="A35" s="7" t="s">
        <v>15</v>
      </c>
      <c r="B35" s="26"/>
      <c r="C35" s="26"/>
      <c r="D35" s="26"/>
      <c r="E35" s="26"/>
      <c r="F35" s="43">
        <f>(E16*F34)/100</f>
        <v>5.4056799999999952E-3</v>
      </c>
      <c r="G35" s="26"/>
      <c r="H35" s="27"/>
    </row>
    <row r="36" spans="1:8">
      <c r="A36" s="7"/>
      <c r="B36" s="26"/>
      <c r="C36" s="26"/>
      <c r="D36" s="26"/>
      <c r="E36" s="26"/>
      <c r="F36" s="26"/>
      <c r="G36" s="26"/>
      <c r="H36" s="27"/>
    </row>
    <row r="37" spans="1:8" ht="15.75">
      <c r="A37" s="7" t="s">
        <v>47</v>
      </c>
      <c r="B37" s="26"/>
      <c r="C37" s="26"/>
      <c r="D37" s="26"/>
      <c r="E37" s="26"/>
      <c r="F37" s="26">
        <f>MAX(G7:G10)</f>
        <v>1700</v>
      </c>
      <c r="G37" s="46" t="str">
        <f>IF(F37=G7,A7,(IF(F37=G8,A8,(IF(F37=G9,A9,A10)))))</f>
        <v>Corn Silage</v>
      </c>
      <c r="H37" s="27"/>
    </row>
    <row r="38" spans="1:8" ht="15.75">
      <c r="A38" s="7" t="s">
        <v>48</v>
      </c>
      <c r="B38" s="26"/>
      <c r="C38" s="26"/>
      <c r="D38" s="26"/>
      <c r="E38" s="26"/>
      <c r="F38" s="26">
        <f>MIN(G7:G10)</f>
        <v>460</v>
      </c>
      <c r="G38" s="46" t="str">
        <f>IF(F38=G7,A7,(IF(F38=G8,A8,(IF(F38=G9,A9,A10)))))</f>
        <v>MML Haylage</v>
      </c>
      <c r="H38" s="27"/>
    </row>
    <row r="39" spans="1:8">
      <c r="A39" s="7" t="s">
        <v>19</v>
      </c>
      <c r="B39" s="26"/>
      <c r="C39" s="26"/>
      <c r="D39" s="26"/>
      <c r="E39" s="26"/>
      <c r="F39" s="26">
        <f>F37-F38</f>
        <v>1240</v>
      </c>
      <c r="G39" s="26"/>
      <c r="H39" s="27"/>
    </row>
    <row r="40" spans="1:8">
      <c r="A40" s="7" t="s">
        <v>20</v>
      </c>
      <c r="B40" s="26"/>
      <c r="C40" s="26"/>
      <c r="D40" s="26"/>
      <c r="E40" s="26"/>
      <c r="F40" s="43">
        <f>F39/10000</f>
        <v>0.124</v>
      </c>
      <c r="G40" s="26"/>
      <c r="H40" s="27"/>
    </row>
    <row r="41" spans="1:8">
      <c r="A41" s="7"/>
      <c r="B41" s="26"/>
      <c r="C41" s="26"/>
      <c r="D41" s="26"/>
      <c r="E41" s="26"/>
      <c r="F41" s="26"/>
      <c r="G41" s="26"/>
      <c r="H41" s="27"/>
    </row>
    <row r="42" spans="1:8">
      <c r="A42" s="7" t="s">
        <v>21</v>
      </c>
      <c r="B42" s="26"/>
      <c r="C42" s="26"/>
      <c r="D42" s="26"/>
      <c r="E42" s="26"/>
      <c r="F42" s="45">
        <f>F35/(F40/100)</f>
        <v>4.3594193548387059</v>
      </c>
      <c r="G42" s="26"/>
      <c r="H42" s="27"/>
    </row>
    <row r="43" spans="1:8">
      <c r="A43" s="7"/>
      <c r="B43" s="26"/>
      <c r="C43" s="26"/>
      <c r="D43" s="26"/>
      <c r="E43" s="26"/>
      <c r="F43" s="26"/>
      <c r="G43" s="26"/>
      <c r="H43" s="27"/>
    </row>
    <row r="44" spans="1:8" ht="15.75">
      <c r="A44" s="7" t="s">
        <v>49</v>
      </c>
      <c r="B44" s="26"/>
      <c r="C44" s="26"/>
      <c r="D44" s="26"/>
      <c r="E44" s="26"/>
      <c r="F44" s="45">
        <f>IF(F37=G7,E7,(IF(F37=G8,E8,(IF(F37=G9,E9,E10)))))</f>
        <v>10.01</v>
      </c>
      <c r="G44" s="26"/>
      <c r="H44" s="27"/>
    </row>
    <row r="45" spans="1:8" ht="15.75">
      <c r="A45" s="7" t="s">
        <v>50</v>
      </c>
      <c r="B45" s="26"/>
      <c r="C45" s="26"/>
      <c r="D45" s="26"/>
      <c r="E45" s="26"/>
      <c r="F45" s="26">
        <f>IF(F37=G7,D7,(IF(F37=G8,D8,(IF(F37=G9,D9,D10)))))</f>
        <v>35</v>
      </c>
      <c r="G45" s="26"/>
      <c r="H45" s="27"/>
    </row>
    <row r="46" spans="1:8" ht="15.75">
      <c r="A46" s="7" t="s">
        <v>51</v>
      </c>
      <c r="B46" s="26"/>
      <c r="C46" s="26"/>
      <c r="D46" s="26"/>
      <c r="E46" s="26"/>
      <c r="F46" s="45">
        <f>F44-F42</f>
        <v>5.6505806451612939</v>
      </c>
      <c r="G46" s="26"/>
      <c r="H46" s="27"/>
    </row>
    <row r="47" spans="1:8" ht="14.25">
      <c r="A47" s="48" t="s">
        <v>52</v>
      </c>
      <c r="B47" s="49"/>
      <c r="C47" s="49"/>
      <c r="D47" s="49"/>
      <c r="E47" s="49"/>
      <c r="F47" s="50">
        <f>F46/(F45/100)</f>
        <v>16.144516129032269</v>
      </c>
      <c r="G47" s="51" t="str">
        <f>G37</f>
        <v>Corn Silage</v>
      </c>
      <c r="H47" s="52"/>
    </row>
    <row r="48" spans="1:8">
      <c r="A48" s="7"/>
      <c r="B48" s="26"/>
      <c r="C48" s="26"/>
      <c r="D48" s="26"/>
      <c r="E48" s="26"/>
      <c r="F48" s="26"/>
      <c r="G48" s="26"/>
      <c r="H48" s="27"/>
    </row>
    <row r="49" spans="1:8" ht="15.75">
      <c r="A49" s="7" t="s">
        <v>53</v>
      </c>
      <c r="B49" s="26"/>
      <c r="C49" s="26"/>
      <c r="D49" s="26"/>
      <c r="E49" s="26"/>
      <c r="F49" s="45">
        <f>IF(F38=G7,E7,(IF(F38=G8,E8,(IF(F38=G9,E9,E10)))))</f>
        <v>13.4</v>
      </c>
      <c r="G49" s="26"/>
      <c r="H49" s="27"/>
    </row>
    <row r="50" spans="1:8" ht="15.75">
      <c r="A50" s="7" t="s">
        <v>54</v>
      </c>
      <c r="B50" s="26"/>
      <c r="C50" s="26"/>
      <c r="D50" s="26"/>
      <c r="E50" s="26"/>
      <c r="F50" s="26">
        <f>IF(F38=G7,D7,(IF(F38=G8,D8,(IF(F38=G9,D9,D10)))))</f>
        <v>50</v>
      </c>
      <c r="G50" s="26"/>
      <c r="H50" s="27"/>
    </row>
    <row r="51" spans="1:8" ht="15.75">
      <c r="A51" s="7" t="s">
        <v>55</v>
      </c>
      <c r="B51" s="26"/>
      <c r="C51" s="26"/>
      <c r="D51" s="26"/>
      <c r="E51" s="26"/>
      <c r="F51" s="45">
        <f>F49+F42</f>
        <v>17.759419354838705</v>
      </c>
      <c r="G51" s="26"/>
      <c r="H51" s="27"/>
    </row>
    <row r="52" spans="1:8" ht="15" thickBot="1">
      <c r="A52" s="20" t="s">
        <v>56</v>
      </c>
      <c r="B52" s="33"/>
      <c r="C52" s="33"/>
      <c r="D52" s="33"/>
      <c r="E52" s="33"/>
      <c r="F52" s="55">
        <f>F51/(F50/100)</f>
        <v>35.518838709677411</v>
      </c>
      <c r="G52" s="53" t="str">
        <f>G38</f>
        <v>MML Haylage</v>
      </c>
      <c r="H52" s="54"/>
    </row>
    <row r="53" spans="1:8" ht="13.5" thickBot="1"/>
    <row r="54" spans="1:8" ht="13.5" thickBot="1">
      <c r="A54" s="61" t="str">
        <f>"RESTRICTION ON SINGLE MEAL INTAKE FOR HIGH NO3-N FORAGE:" &amp; " " &amp;G37</f>
        <v>RESTRICTION ON SINGLE MEAL INTAKE FOR HIGH NO3-N FORAGE: Corn Silage</v>
      </c>
      <c r="B54" s="62"/>
      <c r="C54" s="62"/>
      <c r="D54" s="62"/>
      <c r="E54" s="62"/>
      <c r="F54" s="62"/>
      <c r="G54" s="62"/>
      <c r="H54" s="63"/>
    </row>
    <row r="55" spans="1:8">
      <c r="A55" s="7" t="s">
        <v>32</v>
      </c>
      <c r="B55" s="26"/>
      <c r="C55" s="26"/>
      <c r="D55" s="26"/>
      <c r="E55" s="60">
        <v>1300</v>
      </c>
      <c r="F55" s="26"/>
      <c r="G55" s="26"/>
      <c r="H55" s="27"/>
    </row>
    <row r="56" spans="1:8">
      <c r="A56" s="7" t="s">
        <v>33</v>
      </c>
      <c r="B56" s="26"/>
      <c r="C56" s="26"/>
      <c r="D56" s="26"/>
      <c r="E56" s="42">
        <f>VLOOKUP(F37,'max meal intake'!F4:I107,4)</f>
        <v>0.67</v>
      </c>
      <c r="F56" s="26"/>
      <c r="G56" s="26"/>
      <c r="H56" s="27"/>
    </row>
    <row r="57" spans="1:8">
      <c r="A57" s="7" t="s">
        <v>34</v>
      </c>
      <c r="B57" s="26"/>
      <c r="C57" s="26"/>
      <c r="D57" s="26"/>
      <c r="E57" s="42">
        <f>E56*(E55/100)</f>
        <v>8.7100000000000009</v>
      </c>
      <c r="F57" s="26"/>
      <c r="G57" s="26"/>
      <c r="H57" s="27"/>
    </row>
    <row r="58" spans="1:8" ht="39" customHeight="1" thickBot="1">
      <c r="A58" s="64" t="str">
        <f>IF(E57&gt;=F46,"Safe to feed forage in a single meal.","Forage should be fed in more than one meal, with 2 to 3 hours between end of first meal and beginning of second.")</f>
        <v>Safe to feed forage in a single meal.</v>
      </c>
      <c r="B58" s="65"/>
      <c r="C58" s="65"/>
      <c r="D58" s="65"/>
      <c r="E58" s="65"/>
      <c r="F58" s="65"/>
      <c r="G58" s="65"/>
      <c r="H58" s="66"/>
    </row>
  </sheetData>
  <mergeCells count="7">
    <mergeCell ref="A54:H54"/>
    <mergeCell ref="A58:H58"/>
    <mergeCell ref="A4:H4"/>
    <mergeCell ref="A1:H1"/>
    <mergeCell ref="A18:H18"/>
    <mergeCell ref="A30:H30"/>
    <mergeCell ref="A2:H2"/>
  </mergeCells>
  <phoneticPr fontId="1" type="noConversion"/>
  <printOptions horizontalCentered="1" verticalCentered="1"/>
  <pageMargins left="0.75" right="0.75" top="0.5" bottom="0.5" header="0.5" footer="0.5"/>
  <pageSetup scale="89" orientation="portrait" verticalDpi="0"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P47"/>
  <sheetViews>
    <sheetView workbookViewId="0">
      <selection activeCell="L6" sqref="L6"/>
    </sheetView>
  </sheetViews>
  <sheetFormatPr defaultRowHeight="12.75"/>
  <cols>
    <col min="1" max="1" width="22" customWidth="1"/>
    <col min="9" max="9" width="2.7109375" customWidth="1"/>
    <col min="11" max="11" width="5.7109375" customWidth="1"/>
  </cols>
  <sheetData>
    <row r="1" spans="1:12" ht="15.75">
      <c r="A1" s="70" t="s">
        <v>86</v>
      </c>
      <c r="B1" s="70"/>
      <c r="C1" s="70"/>
      <c r="D1" s="70"/>
      <c r="E1" s="70"/>
      <c r="F1" s="70"/>
      <c r="G1" s="70"/>
      <c r="H1" s="70"/>
      <c r="I1" s="70"/>
      <c r="J1" s="70"/>
      <c r="K1" s="70"/>
    </row>
    <row r="2" spans="1:12">
      <c r="A2" s="100" t="s">
        <v>85</v>
      </c>
      <c r="B2" s="100"/>
      <c r="C2" s="100"/>
      <c r="D2" s="100"/>
      <c r="E2" s="100"/>
      <c r="F2" s="100"/>
      <c r="G2" s="100"/>
      <c r="H2" s="100"/>
      <c r="I2" s="100"/>
      <c r="J2" s="100"/>
      <c r="K2" s="100"/>
      <c r="L2" s="101"/>
    </row>
    <row r="3" spans="1:12">
      <c r="A3" s="99"/>
      <c r="B3" s="99"/>
      <c r="C3" s="99"/>
      <c r="D3" s="99"/>
      <c r="E3" s="99"/>
      <c r="F3" s="99"/>
      <c r="G3" s="99"/>
      <c r="H3" s="99"/>
      <c r="I3" s="99"/>
      <c r="J3" s="99"/>
      <c r="K3" s="99"/>
      <c r="L3" s="101"/>
    </row>
    <row r="5" spans="1:12" ht="15" thickBot="1">
      <c r="A5" s="85" t="s">
        <v>69</v>
      </c>
    </row>
    <row r="6" spans="1:12">
      <c r="A6" s="11"/>
      <c r="B6" s="36"/>
      <c r="C6" s="36"/>
      <c r="D6" s="79"/>
      <c r="E6" s="79"/>
      <c r="F6" s="80"/>
      <c r="G6" s="78"/>
      <c r="H6" s="78"/>
      <c r="I6" s="78"/>
    </row>
    <row r="7" spans="1:12" ht="15.75">
      <c r="A7" s="81" t="s">
        <v>61</v>
      </c>
      <c r="B7" s="82">
        <v>300</v>
      </c>
      <c r="C7" s="83" t="s">
        <v>64</v>
      </c>
      <c r="D7" s="26"/>
      <c r="E7" s="26"/>
      <c r="F7" s="27"/>
    </row>
    <row r="8" spans="1:12">
      <c r="A8" s="81"/>
      <c r="B8" s="26"/>
      <c r="C8" s="26"/>
      <c r="D8" s="26"/>
      <c r="E8" s="26"/>
      <c r="F8" s="27"/>
    </row>
    <row r="9" spans="1:12" ht="15.75">
      <c r="A9" s="81" t="s">
        <v>62</v>
      </c>
      <c r="B9" s="26">
        <f>B7*4.4</f>
        <v>1320</v>
      </c>
      <c r="C9" s="83" t="s">
        <v>65</v>
      </c>
      <c r="D9" s="26"/>
      <c r="E9" s="26"/>
      <c r="F9" s="27"/>
    </row>
    <row r="10" spans="1:12" ht="13.5" thickBot="1">
      <c r="A10" s="84"/>
      <c r="B10" s="28"/>
      <c r="C10" s="28"/>
      <c r="D10" s="28"/>
      <c r="E10" s="28"/>
      <c r="F10" s="29"/>
    </row>
    <row r="11" spans="1:12">
      <c r="A11" s="78"/>
    </row>
    <row r="12" spans="1:12" ht="15" thickBot="1">
      <c r="A12" s="85" t="s">
        <v>70</v>
      </c>
    </row>
    <row r="13" spans="1:12">
      <c r="A13" s="11"/>
      <c r="B13" s="36"/>
      <c r="C13" s="36"/>
      <c r="D13" s="36"/>
      <c r="E13" s="36"/>
      <c r="F13" s="37"/>
    </row>
    <row r="14" spans="1:12" ht="15.75">
      <c r="A14" s="81" t="s">
        <v>62</v>
      </c>
      <c r="B14" s="82">
        <v>0.4</v>
      </c>
      <c r="C14" s="83" t="s">
        <v>64</v>
      </c>
      <c r="D14" s="26"/>
      <c r="E14" s="26"/>
      <c r="F14" s="27"/>
    </row>
    <row r="15" spans="1:12">
      <c r="A15" s="7"/>
      <c r="B15" s="26"/>
      <c r="C15" s="26"/>
      <c r="D15" s="26"/>
      <c r="E15" s="26"/>
      <c r="F15" s="27"/>
    </row>
    <row r="16" spans="1:12" ht="15.75">
      <c r="A16" s="81" t="s">
        <v>61</v>
      </c>
      <c r="B16" s="26">
        <f>B14*0.23</f>
        <v>9.2000000000000012E-2</v>
      </c>
      <c r="C16" s="83" t="s">
        <v>65</v>
      </c>
      <c r="D16" s="26"/>
      <c r="E16" s="26"/>
      <c r="F16" s="27"/>
    </row>
    <row r="17" spans="1:6" ht="13.5" thickBot="1">
      <c r="A17" s="9"/>
      <c r="B17" s="28"/>
      <c r="C17" s="28"/>
      <c r="D17" s="28"/>
      <c r="E17" s="28"/>
      <c r="F17" s="29"/>
    </row>
    <row r="19" spans="1:6" ht="13.5" thickBot="1">
      <c r="A19" s="85" t="s">
        <v>66</v>
      </c>
    </row>
    <row r="20" spans="1:6">
      <c r="A20" s="11"/>
      <c r="B20" s="36"/>
      <c r="C20" s="37"/>
    </row>
    <row r="21" spans="1:6">
      <c r="A21" s="81" t="s">
        <v>8</v>
      </c>
      <c r="B21" s="82">
        <v>300</v>
      </c>
      <c r="C21" s="27"/>
    </row>
    <row r="22" spans="1:6">
      <c r="A22" s="7"/>
      <c r="B22" s="26"/>
      <c r="C22" s="27"/>
    </row>
    <row r="23" spans="1:6">
      <c r="A23" s="81" t="s">
        <v>67</v>
      </c>
      <c r="B23" s="26">
        <f>B21/10000</f>
        <v>0.03</v>
      </c>
      <c r="C23" s="27"/>
    </row>
    <row r="24" spans="1:6" ht="13.5" thickBot="1">
      <c r="A24" s="9"/>
      <c r="B24" s="28"/>
      <c r="C24" s="29"/>
    </row>
    <row r="27" spans="1:6" ht="13.5" thickBot="1">
      <c r="A27" s="85" t="s">
        <v>68</v>
      </c>
    </row>
    <row r="28" spans="1:6">
      <c r="A28" s="11"/>
      <c r="B28" s="36"/>
      <c r="C28" s="37"/>
    </row>
    <row r="29" spans="1:6">
      <c r="A29" s="81" t="s">
        <v>67</v>
      </c>
      <c r="B29" s="82">
        <v>0.02</v>
      </c>
      <c r="C29" s="27"/>
    </row>
    <row r="30" spans="1:6">
      <c r="A30" s="7"/>
      <c r="B30" s="26"/>
      <c r="C30" s="27"/>
    </row>
    <row r="31" spans="1:6">
      <c r="A31" s="81" t="s">
        <v>8</v>
      </c>
      <c r="B31" s="26">
        <f>B29*10000</f>
        <v>200</v>
      </c>
      <c r="C31" s="27"/>
    </row>
    <row r="32" spans="1:6" ht="13.5" thickBot="1">
      <c r="A32" s="9"/>
      <c r="B32" s="28"/>
      <c r="C32" s="29"/>
    </row>
    <row r="37" spans="1:16">
      <c r="A37" s="26"/>
      <c r="B37" s="26"/>
      <c r="C37" s="26"/>
      <c r="D37" s="26"/>
      <c r="E37" s="26"/>
      <c r="F37" s="26"/>
      <c r="G37" s="26"/>
      <c r="H37" s="26"/>
      <c r="I37" s="26"/>
      <c r="J37" s="26"/>
    </row>
    <row r="38" spans="1:16" ht="13.5" thickBot="1">
      <c r="A38" s="83" t="s">
        <v>81</v>
      </c>
      <c r="B38" s="26"/>
      <c r="C38" s="26"/>
      <c r="D38" s="26"/>
      <c r="E38" s="26"/>
      <c r="F38" s="26"/>
      <c r="G38" s="26"/>
      <c r="H38" s="26"/>
      <c r="I38" s="26"/>
      <c r="J38" s="83"/>
    </row>
    <row r="39" spans="1:16" ht="15.75">
      <c r="A39" s="89"/>
      <c r="B39" s="90"/>
      <c r="C39" s="91" t="s">
        <v>74</v>
      </c>
      <c r="D39" s="91" t="s">
        <v>75</v>
      </c>
      <c r="E39" s="91" t="s">
        <v>76</v>
      </c>
      <c r="F39" s="91" t="s">
        <v>77</v>
      </c>
      <c r="G39" s="91" t="s">
        <v>78</v>
      </c>
      <c r="H39" s="91" t="s">
        <v>79</v>
      </c>
      <c r="I39" s="90"/>
      <c r="J39" s="92" t="s">
        <v>80</v>
      </c>
      <c r="K39" s="93"/>
      <c r="L39" s="26"/>
      <c r="M39" s="26"/>
      <c r="N39" s="86"/>
      <c r="O39" s="86"/>
      <c r="P39" s="86"/>
    </row>
    <row r="40" spans="1:16" ht="15.75">
      <c r="A40" s="81" t="s">
        <v>61</v>
      </c>
      <c r="B40" s="87">
        <v>1</v>
      </c>
      <c r="C40" s="8">
        <f>B40</f>
        <v>1</v>
      </c>
      <c r="D40" s="8">
        <f>B40</f>
        <v>1</v>
      </c>
      <c r="E40" s="8">
        <f>B40*4.4</f>
        <v>4.4000000000000004</v>
      </c>
      <c r="F40" s="8">
        <f>B40*3.3</f>
        <v>3.3</v>
      </c>
      <c r="G40" s="8">
        <f>B40*6.1</f>
        <v>6.1</v>
      </c>
      <c r="H40" s="8">
        <f>B40*7.2</f>
        <v>7.2</v>
      </c>
      <c r="I40" s="26"/>
      <c r="J40" s="26">
        <v>14</v>
      </c>
      <c r="K40" s="88"/>
      <c r="L40" s="59"/>
      <c r="M40" s="59"/>
      <c r="N40" s="59"/>
      <c r="O40" s="59"/>
      <c r="P40" s="59"/>
    </row>
    <row r="41" spans="1:16" ht="15.75">
      <c r="A41" s="81" t="s">
        <v>71</v>
      </c>
      <c r="B41" s="87">
        <v>1</v>
      </c>
      <c r="C41" s="8">
        <f>B41</f>
        <v>1</v>
      </c>
      <c r="D41" s="8">
        <f>B41</f>
        <v>1</v>
      </c>
      <c r="E41" s="8">
        <f>B41*4.4</f>
        <v>4.4000000000000004</v>
      </c>
      <c r="F41" s="8">
        <f>B41*3.3</f>
        <v>3.3</v>
      </c>
      <c r="G41" s="8">
        <f>B41*6.1</f>
        <v>6.1</v>
      </c>
      <c r="H41" s="8">
        <f>B41*7.2</f>
        <v>7.2</v>
      </c>
      <c r="I41" s="26"/>
      <c r="J41" s="26">
        <v>14</v>
      </c>
      <c r="K41" s="88"/>
      <c r="L41" s="59"/>
      <c r="M41" s="59"/>
      <c r="N41" s="59"/>
      <c r="O41" s="59"/>
      <c r="P41" s="59"/>
    </row>
    <row r="42" spans="1:16" ht="15.75">
      <c r="A42" s="81" t="s">
        <v>62</v>
      </c>
      <c r="B42" s="87">
        <v>1</v>
      </c>
      <c r="C42" s="8">
        <f>B42*0.23</f>
        <v>0.23</v>
      </c>
      <c r="D42" s="8">
        <f>B42*0.23</f>
        <v>0.23</v>
      </c>
      <c r="E42" s="8">
        <f>B42</f>
        <v>1</v>
      </c>
      <c r="F42" s="8">
        <f>B42*0.74</f>
        <v>0.74</v>
      </c>
      <c r="G42" s="8">
        <f>B42*1.37</f>
        <v>1.37</v>
      </c>
      <c r="H42" s="8">
        <f>B42*1.63</f>
        <v>1.63</v>
      </c>
      <c r="I42" s="26"/>
      <c r="J42" s="26">
        <v>62</v>
      </c>
      <c r="K42" s="88"/>
      <c r="L42" s="59"/>
      <c r="M42" s="59"/>
      <c r="N42" s="59"/>
      <c r="O42" s="59"/>
      <c r="P42" s="59"/>
    </row>
    <row r="43" spans="1:16" ht="15.75">
      <c r="A43" s="81" t="s">
        <v>63</v>
      </c>
      <c r="B43" s="87">
        <v>1</v>
      </c>
      <c r="C43" s="8">
        <f>B43*0.3</f>
        <v>0.3</v>
      </c>
      <c r="D43" s="8">
        <f>B43*0.3</f>
        <v>0.3</v>
      </c>
      <c r="E43" s="8">
        <f>B43*1.34</f>
        <v>1.34</v>
      </c>
      <c r="F43" s="8">
        <f>B43</f>
        <v>1</v>
      </c>
      <c r="G43" s="8">
        <f>B43*1.85</f>
        <v>1.85</v>
      </c>
      <c r="H43" s="8">
        <f>B43*2.2</f>
        <v>2.2000000000000002</v>
      </c>
      <c r="I43" s="26"/>
      <c r="J43" s="86">
        <v>46</v>
      </c>
      <c r="K43" s="88"/>
      <c r="L43" s="59"/>
      <c r="M43" s="59"/>
      <c r="N43" s="59"/>
      <c r="O43" s="59"/>
      <c r="P43" s="59"/>
    </row>
    <row r="44" spans="1:16" ht="15.75">
      <c r="A44" s="81" t="s">
        <v>72</v>
      </c>
      <c r="B44" s="87">
        <v>1</v>
      </c>
      <c r="C44" s="8">
        <f>B44*0.16</f>
        <v>0.16</v>
      </c>
      <c r="D44" s="8">
        <f>B44*0.16</f>
        <v>0.16</v>
      </c>
      <c r="E44" s="8">
        <f>B44*0.73</f>
        <v>0.73</v>
      </c>
      <c r="F44" s="8">
        <f>B44*0.54</f>
        <v>0.54</v>
      </c>
      <c r="G44" s="8">
        <f>B44</f>
        <v>1</v>
      </c>
      <c r="H44" s="8">
        <f>B44*1.19</f>
        <v>1.19</v>
      </c>
      <c r="I44" s="26"/>
      <c r="J44" s="86">
        <v>85</v>
      </c>
      <c r="K44" s="88"/>
      <c r="L44" s="59"/>
      <c r="M44" s="59"/>
      <c r="N44" s="59"/>
      <c r="O44" s="59"/>
      <c r="P44" s="59"/>
    </row>
    <row r="45" spans="1:16" ht="15.75">
      <c r="A45" s="81" t="s">
        <v>73</v>
      </c>
      <c r="B45" s="87">
        <v>1</v>
      </c>
      <c r="C45" s="8">
        <f>B45*0.14</f>
        <v>0.14000000000000001</v>
      </c>
      <c r="D45" s="8">
        <f>B45*0.14</f>
        <v>0.14000000000000001</v>
      </c>
      <c r="E45" s="8">
        <f>B45*0.61</f>
        <v>0.61</v>
      </c>
      <c r="F45" s="8">
        <f>B45*0.46</f>
        <v>0.46</v>
      </c>
      <c r="G45" s="8">
        <f>B45*0.84</f>
        <v>0.84</v>
      </c>
      <c r="H45" s="8">
        <f>B45</f>
        <v>1</v>
      </c>
      <c r="I45" s="26"/>
      <c r="J45" s="86">
        <v>101</v>
      </c>
      <c r="K45" s="88"/>
      <c r="L45" s="59"/>
      <c r="M45" s="59"/>
      <c r="N45" s="59"/>
      <c r="O45" s="59"/>
      <c r="P45" s="59"/>
    </row>
    <row r="46" spans="1:16" ht="13.5" thickBot="1">
      <c r="A46" s="9"/>
      <c r="B46" s="28"/>
      <c r="C46" s="28"/>
      <c r="D46" s="28"/>
      <c r="E46" s="28"/>
      <c r="F46" s="28"/>
      <c r="G46" s="28"/>
      <c r="H46" s="28"/>
      <c r="I46" s="28"/>
      <c r="J46" s="28"/>
      <c r="K46" s="29"/>
    </row>
    <row r="47" spans="1:16">
      <c r="A47" s="26"/>
      <c r="B47" s="26"/>
      <c r="C47" s="26"/>
      <c r="D47" s="26"/>
      <c r="E47" s="26"/>
      <c r="F47" s="26"/>
      <c r="G47" s="26"/>
      <c r="H47" s="26"/>
      <c r="I47" s="26"/>
      <c r="J47" s="26"/>
    </row>
  </sheetData>
  <mergeCells count="2">
    <mergeCell ref="A1:K1"/>
    <mergeCell ref="A2:K2"/>
  </mergeCells>
  <phoneticPr fontId="1" type="noConversion"/>
  <printOptions horizontalCentered="1"/>
  <pageMargins left="0.75" right="0.75" top="0.75" bottom="0.75" header="0.5" footer="0.5"/>
  <pageSetup scale="87" orientation="portrait" horizontalDpi="0" verticalDpi="0" r:id="rId1"/>
  <headerFooter alignWithMargins="0"/>
</worksheet>
</file>

<file path=xl/worksheets/sheet4.xml><?xml version="1.0" encoding="utf-8"?>
<worksheet xmlns="http://schemas.openxmlformats.org/spreadsheetml/2006/main" xmlns:r="http://schemas.openxmlformats.org/officeDocument/2006/relationships">
  <dimension ref="A1:I107"/>
  <sheetViews>
    <sheetView workbookViewId="0">
      <selection activeCell="C23" sqref="C23"/>
    </sheetView>
  </sheetViews>
  <sheetFormatPr defaultRowHeight="12.75"/>
  <cols>
    <col min="1" max="1" width="13.28515625" customWidth="1"/>
    <col min="2" max="3" width="15.42578125" customWidth="1"/>
    <col min="4" max="4" width="16.42578125" customWidth="1"/>
  </cols>
  <sheetData>
    <row r="1" spans="1:9">
      <c r="A1" t="s">
        <v>23</v>
      </c>
    </row>
    <row r="2" spans="1:9" s="1" customFormat="1" ht="42" customHeight="1">
      <c r="A2" s="2" t="s">
        <v>25</v>
      </c>
      <c r="B2" s="2" t="s">
        <v>26</v>
      </c>
      <c r="C2" s="2" t="s">
        <v>28</v>
      </c>
      <c r="D2" s="2" t="s">
        <v>30</v>
      </c>
      <c r="F2" s="77" t="s">
        <v>57</v>
      </c>
      <c r="G2" s="77"/>
      <c r="H2" s="77"/>
      <c r="I2" s="77"/>
    </row>
    <row r="3" spans="1:9" s="1" customFormat="1" ht="24" customHeight="1">
      <c r="A3" s="2" t="s">
        <v>24</v>
      </c>
      <c r="B3" s="2" t="s">
        <v>27</v>
      </c>
      <c r="C3" s="2" t="s">
        <v>29</v>
      </c>
      <c r="D3" s="2" t="s">
        <v>31</v>
      </c>
      <c r="F3" s="77"/>
      <c r="G3" s="77"/>
      <c r="H3" s="77"/>
      <c r="I3" s="77"/>
    </row>
    <row r="4" spans="1:9">
      <c r="A4" s="4">
        <v>1100</v>
      </c>
      <c r="B4" s="3">
        <v>574</v>
      </c>
      <c r="C4" s="5">
        <v>1.1499999999999999</v>
      </c>
      <c r="D4" s="3"/>
      <c r="F4">
        <v>1100</v>
      </c>
      <c r="I4" s="59">
        <v>1.1499999999999999</v>
      </c>
    </row>
    <row r="5" spans="1:9">
      <c r="A5" s="4">
        <v>1700</v>
      </c>
      <c r="B5" s="3">
        <v>517</v>
      </c>
      <c r="C5" s="5">
        <v>0.67</v>
      </c>
      <c r="D5" s="6">
        <v>9.5000000000000001E-2</v>
      </c>
      <c r="F5">
        <v>1200</v>
      </c>
      <c r="G5" s="58">
        <f>F5-$A$4</f>
        <v>100</v>
      </c>
      <c r="H5">
        <f>$B$4-($D$5*G5)</f>
        <v>564.5</v>
      </c>
      <c r="I5" s="59">
        <f>H5/(F5*0.454)</f>
        <v>1.0361600587371511</v>
      </c>
    </row>
    <row r="6" spans="1:9">
      <c r="A6" s="4">
        <v>2300</v>
      </c>
      <c r="B6" s="3">
        <v>423</v>
      </c>
      <c r="C6" s="5">
        <v>0.41</v>
      </c>
      <c r="D6" s="6">
        <v>0.157</v>
      </c>
      <c r="F6">
        <v>1300</v>
      </c>
      <c r="G6" s="58">
        <f>F6-$A$4</f>
        <v>200</v>
      </c>
      <c r="H6">
        <f>$B$4-($D$5*G6)</f>
        <v>555</v>
      </c>
      <c r="I6" s="59">
        <f>H6/(F6*0.454)</f>
        <v>0.94035920027109443</v>
      </c>
    </row>
    <row r="7" spans="1:9">
      <c r="A7" s="4">
        <v>2800</v>
      </c>
      <c r="B7" s="3">
        <v>388</v>
      </c>
      <c r="C7" s="5">
        <v>0.31</v>
      </c>
      <c r="D7" s="6">
        <v>7.0000000000000007E-2</v>
      </c>
      <c r="F7">
        <v>1400</v>
      </c>
      <c r="G7" s="58">
        <f>F7-$A$4</f>
        <v>300</v>
      </c>
      <c r="H7">
        <f>$B$4-($D$5*G7)</f>
        <v>545.5</v>
      </c>
      <c r="I7" s="59">
        <f>H7/(F7*0.454)</f>
        <v>0.85824417872876024</v>
      </c>
    </row>
    <row r="8" spans="1:9">
      <c r="A8" s="4">
        <v>3400</v>
      </c>
      <c r="B8" s="3">
        <v>367</v>
      </c>
      <c r="C8" s="5">
        <v>0.24</v>
      </c>
      <c r="D8" s="6">
        <v>3.5000000000000003E-2</v>
      </c>
      <c r="F8">
        <v>1500</v>
      </c>
      <c r="G8" s="58">
        <f>F8-$A$4</f>
        <v>400</v>
      </c>
      <c r="H8">
        <f>$B$4-($D$5*G8)</f>
        <v>536</v>
      </c>
      <c r="I8" s="59">
        <f>H8/(F8*0.454)</f>
        <v>0.78707782672540383</v>
      </c>
    </row>
    <row r="9" spans="1:9">
      <c r="A9" s="4">
        <v>4000</v>
      </c>
      <c r="B9" s="3">
        <v>356</v>
      </c>
      <c r="C9" s="5">
        <v>0.2</v>
      </c>
      <c r="D9" s="6">
        <v>1.7999999999999999E-2</v>
      </c>
      <c r="F9">
        <v>1600</v>
      </c>
      <c r="G9" s="58">
        <f>F9-$A$4</f>
        <v>500</v>
      </c>
      <c r="H9">
        <f>$B$4-($D$5*G9)</f>
        <v>526.5</v>
      </c>
      <c r="I9" s="59">
        <f>H9/(F9*0.454)</f>
        <v>0.72480726872246704</v>
      </c>
    </row>
    <row r="10" spans="1:9">
      <c r="A10" s="4">
        <v>4500</v>
      </c>
      <c r="B10" s="3">
        <v>346</v>
      </c>
      <c r="C10" s="5">
        <v>0.17</v>
      </c>
      <c r="D10" s="6">
        <v>0.02</v>
      </c>
      <c r="F10">
        <v>1700</v>
      </c>
      <c r="I10" s="59">
        <v>0.67</v>
      </c>
    </row>
    <row r="11" spans="1:9">
      <c r="A11" s="4">
        <v>5100</v>
      </c>
      <c r="B11" s="3">
        <v>341</v>
      </c>
      <c r="C11" s="5">
        <v>0.15</v>
      </c>
      <c r="D11" s="6">
        <v>8.0000000000000002E-3</v>
      </c>
      <c r="F11">
        <v>1800</v>
      </c>
      <c r="G11" s="58">
        <f>F11-$A$5</f>
        <v>100</v>
      </c>
      <c r="H11">
        <f>$B$5-($D$6*G11)</f>
        <v>501.3</v>
      </c>
      <c r="I11" s="59">
        <f>H11/(F11*0.454)</f>
        <v>0.61343612334801756</v>
      </c>
    </row>
    <row r="12" spans="1:9">
      <c r="A12" s="4">
        <v>5700</v>
      </c>
      <c r="B12" s="3">
        <v>336</v>
      </c>
      <c r="C12" s="5">
        <v>0.13</v>
      </c>
      <c r="D12" s="6">
        <v>8.0000000000000002E-3</v>
      </c>
      <c r="F12">
        <v>1900</v>
      </c>
      <c r="G12" s="58">
        <f>F12-$A$5</f>
        <v>200</v>
      </c>
      <c r="H12">
        <f>$B$5-($D$6*G12)</f>
        <v>485.6</v>
      </c>
      <c r="I12" s="59">
        <f>H12/(F12*0.454)</f>
        <v>0.56294922327846053</v>
      </c>
    </row>
    <row r="13" spans="1:9">
      <c r="A13" s="4">
        <v>6300</v>
      </c>
      <c r="B13" s="3">
        <v>331</v>
      </c>
      <c r="C13" s="5">
        <v>0.12</v>
      </c>
      <c r="D13" s="6">
        <v>8.0000000000000002E-3</v>
      </c>
      <c r="F13">
        <v>2000</v>
      </c>
      <c r="G13" s="58">
        <f>F13-$A$5</f>
        <v>300</v>
      </c>
      <c r="H13">
        <f>$B$5-($D$6*G13)</f>
        <v>469.9</v>
      </c>
      <c r="I13" s="59">
        <f>H13/(F13*0.454)</f>
        <v>0.51751101321585902</v>
      </c>
    </row>
    <row r="14" spans="1:9">
      <c r="A14" s="4">
        <v>6800</v>
      </c>
      <c r="B14" s="3">
        <v>325</v>
      </c>
      <c r="C14" s="5">
        <v>0.11</v>
      </c>
      <c r="D14" s="6">
        <v>1.2E-2</v>
      </c>
      <c r="F14">
        <v>2100</v>
      </c>
      <c r="G14" s="58">
        <f>F14-$A$5</f>
        <v>400</v>
      </c>
      <c r="H14">
        <f>$B$5-($D$6*G14)</f>
        <v>454.2</v>
      </c>
      <c r="I14" s="59">
        <f>H14/(F14*0.454)</f>
        <v>0.47640025173064821</v>
      </c>
    </row>
    <row r="15" spans="1:9">
      <c r="A15" s="4">
        <v>8000</v>
      </c>
      <c r="B15" s="3">
        <v>318</v>
      </c>
      <c r="C15" s="5">
        <v>0.09</v>
      </c>
      <c r="D15" s="6">
        <v>6.0000000000000001E-3</v>
      </c>
      <c r="F15">
        <v>2200</v>
      </c>
      <c r="G15" s="58">
        <f>F15-$A$5</f>
        <v>500</v>
      </c>
      <c r="H15">
        <f>$B$5-($D$6*G15)</f>
        <v>438.5</v>
      </c>
      <c r="I15" s="59">
        <f>H15/(F15*0.454)</f>
        <v>0.43902683219863836</v>
      </c>
    </row>
    <row r="16" spans="1:9">
      <c r="A16" s="4">
        <v>9100</v>
      </c>
      <c r="B16" s="3">
        <v>315</v>
      </c>
      <c r="C16" s="5">
        <v>0.08</v>
      </c>
      <c r="D16" s="6">
        <v>3.0000000000000001E-3</v>
      </c>
      <c r="F16">
        <v>2300</v>
      </c>
      <c r="I16" s="59">
        <v>0.41</v>
      </c>
    </row>
    <row r="17" spans="1:9">
      <c r="A17" s="4">
        <v>10200</v>
      </c>
      <c r="B17" s="3">
        <v>313</v>
      </c>
      <c r="C17" s="5">
        <v>7.0000000000000007E-2</v>
      </c>
      <c r="D17" s="6">
        <v>2E-3</v>
      </c>
      <c r="F17">
        <v>2400</v>
      </c>
      <c r="G17" s="58">
        <f>F17-$A$6</f>
        <v>100</v>
      </c>
      <c r="H17">
        <f>$B$6-($D$7*G17)</f>
        <v>416</v>
      </c>
      <c r="I17" s="59">
        <f>H17/(F17*0.454)</f>
        <v>0.38179148311306899</v>
      </c>
    </row>
    <row r="18" spans="1:9">
      <c r="A18" s="4">
        <v>11400</v>
      </c>
      <c r="B18" s="3">
        <v>310</v>
      </c>
      <c r="C18" s="5">
        <v>0.06</v>
      </c>
      <c r="D18" s="6">
        <v>3.0000000000000001E-3</v>
      </c>
      <c r="F18">
        <v>2500</v>
      </c>
      <c r="G18" s="58">
        <f>F18-$A$6</f>
        <v>200</v>
      </c>
      <c r="H18">
        <f>$B$6-($D$7*G18)</f>
        <v>409</v>
      </c>
      <c r="I18" s="59">
        <f>H18/(F18*0.454)</f>
        <v>0.36035242290748898</v>
      </c>
    </row>
    <row r="19" spans="1:9">
      <c r="F19">
        <v>2600</v>
      </c>
      <c r="G19" s="58">
        <f>F19-$A$6</f>
        <v>300</v>
      </c>
      <c r="H19">
        <f>$B$6-($D$7*G19)</f>
        <v>402</v>
      </c>
      <c r="I19" s="59">
        <f>H19/(F19*0.454)</f>
        <v>0.34056252117926122</v>
      </c>
    </row>
    <row r="20" spans="1:9">
      <c r="F20">
        <v>2700</v>
      </c>
      <c r="G20" s="58">
        <f>F20-$A$6</f>
        <v>400</v>
      </c>
      <c r="H20">
        <f>$B$6-($D$7*G20)</f>
        <v>395</v>
      </c>
      <c r="I20" s="59">
        <f>H20/(F20*0.454)</f>
        <v>0.32223853809756897</v>
      </c>
    </row>
    <row r="21" spans="1:9">
      <c r="F21">
        <v>2800</v>
      </c>
      <c r="I21" s="59">
        <v>0.31</v>
      </c>
    </row>
    <row r="22" spans="1:9">
      <c r="F22">
        <v>2900</v>
      </c>
      <c r="G22" s="58">
        <f>F22-$A$7</f>
        <v>100</v>
      </c>
      <c r="H22">
        <f>$B$7-($D$8*G22)</f>
        <v>384.5</v>
      </c>
      <c r="I22" s="59">
        <f>H22/(F22*0.454)</f>
        <v>0.29204010329636942</v>
      </c>
    </row>
    <row r="23" spans="1:9">
      <c r="F23">
        <v>3000</v>
      </c>
      <c r="G23" s="58">
        <f>F23-$A$7</f>
        <v>200</v>
      </c>
      <c r="H23">
        <f>$B$7-($D$8*G23)</f>
        <v>381</v>
      </c>
      <c r="I23" s="59">
        <f>H23/(F23*0.454)</f>
        <v>0.27973568281938327</v>
      </c>
    </row>
    <row r="24" spans="1:9">
      <c r="F24">
        <v>3100</v>
      </c>
      <c r="G24" s="58">
        <f>F24-$A$7</f>
        <v>300</v>
      </c>
      <c r="H24">
        <f>$B$7-($D$8*G24)</f>
        <v>377.5</v>
      </c>
      <c r="I24" s="59">
        <f>H24/(F24*0.454)</f>
        <v>0.26822509592155747</v>
      </c>
    </row>
    <row r="25" spans="1:9">
      <c r="F25">
        <v>3200</v>
      </c>
      <c r="G25" s="58">
        <f>F25-$A$7</f>
        <v>400</v>
      </c>
      <c r="H25">
        <f>$B$7-($D$8*G25)</f>
        <v>374</v>
      </c>
      <c r="I25" s="59">
        <f>H25/(F25*0.454)</f>
        <v>0.25743392070484583</v>
      </c>
    </row>
    <row r="26" spans="1:9">
      <c r="F26">
        <v>3300</v>
      </c>
      <c r="G26" s="58">
        <f>F26-$A$7</f>
        <v>500</v>
      </c>
      <c r="H26">
        <f>$B$7-($D$8*G26)</f>
        <v>370.5</v>
      </c>
      <c r="I26" s="59">
        <f>H26/(F26*0.454)</f>
        <v>0.24729675610732879</v>
      </c>
    </row>
    <row r="27" spans="1:9">
      <c r="F27">
        <v>3400</v>
      </c>
      <c r="I27" s="59">
        <v>0.24</v>
      </c>
    </row>
    <row r="28" spans="1:9">
      <c r="F28">
        <v>3500</v>
      </c>
      <c r="G28" s="58">
        <f>F28-$A$8</f>
        <v>100</v>
      </c>
      <c r="H28">
        <f>$B$8-($D$9*G28)</f>
        <v>365.2</v>
      </c>
      <c r="I28" s="59">
        <f>H28/(F28*0.454)</f>
        <v>0.22983008181246067</v>
      </c>
    </row>
    <row r="29" spans="1:9">
      <c r="F29">
        <v>3600</v>
      </c>
      <c r="G29" s="58">
        <f>F29-$A$8</f>
        <v>200</v>
      </c>
      <c r="H29">
        <f>$B$8-($D$9*G29)</f>
        <v>363.4</v>
      </c>
      <c r="I29" s="59">
        <f>H29/(F29*0.454)</f>
        <v>0.22234459128732253</v>
      </c>
    </row>
    <row r="30" spans="1:9">
      <c r="F30">
        <v>3700</v>
      </c>
      <c r="G30" s="58">
        <f>F30-$A$8</f>
        <v>300</v>
      </c>
      <c r="H30">
        <f>$B$8-($D$9*G30)</f>
        <v>361.6</v>
      </c>
      <c r="I30" s="59">
        <f>H30/(F30*0.454)</f>
        <v>0.21526372187165141</v>
      </c>
    </row>
    <row r="31" spans="1:9">
      <c r="F31">
        <v>3800</v>
      </c>
      <c r="G31" s="58">
        <f>F31-$A$8</f>
        <v>400</v>
      </c>
      <c r="H31">
        <f>$B$8-($D$9*G31)</f>
        <v>359.8</v>
      </c>
      <c r="I31" s="59">
        <f>H31/(F31*0.454)</f>
        <v>0.20855552979364711</v>
      </c>
    </row>
    <row r="32" spans="1:9">
      <c r="F32">
        <v>3900</v>
      </c>
      <c r="G32" s="58">
        <f>F32-$A$8</f>
        <v>500</v>
      </c>
      <c r="H32">
        <f>$B$8-($D$9*G32)</f>
        <v>358</v>
      </c>
      <c r="I32" s="59">
        <f>H32/(F32*0.454)</f>
        <v>0.2021913475657969</v>
      </c>
    </row>
    <row r="33" spans="6:9">
      <c r="F33">
        <v>4000</v>
      </c>
      <c r="I33" s="59">
        <v>0.2</v>
      </c>
    </row>
    <row r="34" spans="6:9">
      <c r="F34">
        <v>4100</v>
      </c>
      <c r="G34" s="58">
        <f>F34-$A$9</f>
        <v>100</v>
      </c>
      <c r="H34">
        <f>$B$9-($D$10*G34)</f>
        <v>354</v>
      </c>
      <c r="I34" s="59">
        <f>H34/(F34*0.454)</f>
        <v>0.19017943483399591</v>
      </c>
    </row>
    <row r="35" spans="6:9">
      <c r="F35">
        <v>4200</v>
      </c>
      <c r="G35" s="58">
        <f>F35-$A$9</f>
        <v>200</v>
      </c>
      <c r="H35">
        <f>$B$9-($D$10*G35)</f>
        <v>352</v>
      </c>
      <c r="I35" s="59">
        <f>H35/(F35*0.454)</f>
        <v>0.18460247535137403</v>
      </c>
    </row>
    <row r="36" spans="6:9">
      <c r="F36">
        <v>4300</v>
      </c>
      <c r="G36" s="58">
        <f>F36-$A$9</f>
        <v>300</v>
      </c>
      <c r="H36">
        <f>$B$9-($D$10*G36)</f>
        <v>350</v>
      </c>
      <c r="I36" s="59">
        <f>H36/(F36*0.454)</f>
        <v>0.17928490933306013</v>
      </c>
    </row>
    <row r="37" spans="6:9">
      <c r="F37">
        <v>4400</v>
      </c>
      <c r="G37" s="58">
        <f>F37-$A$9</f>
        <v>400</v>
      </c>
      <c r="H37">
        <f>$B$9-($D$10*G37)</f>
        <v>348</v>
      </c>
      <c r="I37" s="59">
        <f>H37/(F37*0.454)</f>
        <v>0.17420905086103322</v>
      </c>
    </row>
    <row r="38" spans="6:9">
      <c r="F38">
        <v>4500</v>
      </c>
      <c r="I38" s="59">
        <v>0.17</v>
      </c>
    </row>
    <row r="39" spans="6:9">
      <c r="F39">
        <v>4600</v>
      </c>
      <c r="G39" s="58">
        <f>F39-$A$10</f>
        <v>100</v>
      </c>
      <c r="H39">
        <f>$B$10-($D$11*G39)</f>
        <v>345.2</v>
      </c>
      <c r="I39" s="59">
        <f>H39/(F39*0.454)</f>
        <v>0.16529400497988889</v>
      </c>
    </row>
    <row r="40" spans="6:9">
      <c r="F40">
        <v>4700</v>
      </c>
      <c r="G40" s="58">
        <f>F40-$A$10</f>
        <v>200</v>
      </c>
      <c r="H40">
        <f>$B$10-($D$11*G40)</f>
        <v>344.4</v>
      </c>
      <c r="I40" s="59">
        <f>H40/(F40*0.454)</f>
        <v>0.16140219327022212</v>
      </c>
    </row>
    <row r="41" spans="6:9">
      <c r="F41">
        <v>4800</v>
      </c>
      <c r="G41" s="58">
        <f>F41-$A$10</f>
        <v>300</v>
      </c>
      <c r="H41">
        <f>$B$10-($D$11*G41)</f>
        <v>343.6</v>
      </c>
      <c r="I41" s="59">
        <f>H41/(F41*0.454)</f>
        <v>0.15767254038179149</v>
      </c>
    </row>
    <row r="42" spans="6:9">
      <c r="F42">
        <v>4900</v>
      </c>
      <c r="G42" s="58">
        <f>F42-$A$10</f>
        <v>400</v>
      </c>
      <c r="H42">
        <f>$B$10-($D$11*G42)</f>
        <v>342.8</v>
      </c>
      <c r="I42" s="59">
        <f>H42/(F42*0.454)</f>
        <v>0.15409511822350086</v>
      </c>
    </row>
    <row r="43" spans="6:9">
      <c r="F43">
        <v>5000</v>
      </c>
      <c r="G43" s="58">
        <f>F43-$A$10</f>
        <v>500</v>
      </c>
      <c r="H43">
        <f>$B$10-($D$11*G43)</f>
        <v>342</v>
      </c>
      <c r="I43" s="59">
        <f>H43/(F43*0.454)</f>
        <v>0.15066079295154186</v>
      </c>
    </row>
    <row r="44" spans="6:9">
      <c r="F44">
        <v>5100</v>
      </c>
      <c r="I44" s="59">
        <v>0.15</v>
      </c>
    </row>
    <row r="45" spans="6:9">
      <c r="F45">
        <v>5200</v>
      </c>
      <c r="G45" s="58">
        <f>F45-$A$11</f>
        <v>100</v>
      </c>
      <c r="H45">
        <f>$B$11-($D$12*G45)</f>
        <v>340.2</v>
      </c>
      <c r="I45" s="59">
        <f>H45/(F45*0.454)</f>
        <v>0.144103693663165</v>
      </c>
    </row>
    <row r="46" spans="6:9">
      <c r="F46">
        <v>5300</v>
      </c>
      <c r="G46" s="58">
        <f>F46-$A$11</f>
        <v>200</v>
      </c>
      <c r="H46">
        <f>$B$11-($D$12*G46)</f>
        <v>339.4</v>
      </c>
      <c r="I46" s="59">
        <f>H46/(F46*0.454)</f>
        <v>0.14105228160585154</v>
      </c>
    </row>
    <row r="47" spans="6:9">
      <c r="F47">
        <v>5400</v>
      </c>
      <c r="G47" s="58">
        <f>F47-$A$11</f>
        <v>300</v>
      </c>
      <c r="H47">
        <f>$B$11-($D$12*G47)</f>
        <v>338.6</v>
      </c>
      <c r="I47" s="59">
        <f>H47/(F47*0.454)</f>
        <v>0.13811388480992007</v>
      </c>
    </row>
    <row r="48" spans="6:9">
      <c r="F48">
        <v>5500</v>
      </c>
      <c r="G48" s="58">
        <f>F48-$A$11</f>
        <v>400</v>
      </c>
      <c r="H48">
        <f>$B$11-($D$12*G48)</f>
        <v>337.8</v>
      </c>
      <c r="I48" s="59">
        <f>H48/(F48*0.454)</f>
        <v>0.1352823388065679</v>
      </c>
    </row>
    <row r="49" spans="6:9">
      <c r="F49">
        <v>5600</v>
      </c>
      <c r="G49" s="58">
        <f>F49-$A$11</f>
        <v>500</v>
      </c>
      <c r="H49">
        <f>$B$11-($D$12*G49)</f>
        <v>337</v>
      </c>
      <c r="I49" s="59">
        <f>H49/(F49*0.454)</f>
        <v>0.13255191944619257</v>
      </c>
    </row>
    <row r="50" spans="6:9">
      <c r="F50">
        <v>5700</v>
      </c>
      <c r="I50" s="59">
        <v>0.13</v>
      </c>
    </row>
    <row r="51" spans="6:9">
      <c r="F51">
        <v>5800</v>
      </c>
      <c r="G51" s="58">
        <f>F51-$A$12</f>
        <v>100</v>
      </c>
      <c r="H51">
        <f>$B$12-($D$13*G51)</f>
        <v>335.2</v>
      </c>
      <c r="I51" s="59">
        <f>H51/(F51*0.454)</f>
        <v>0.12729758468783228</v>
      </c>
    </row>
    <row r="52" spans="6:9">
      <c r="F52">
        <v>5900</v>
      </c>
      <c r="G52" s="58">
        <f>F52-$A$12</f>
        <v>200</v>
      </c>
      <c r="H52">
        <f>$B$12-($D$13*G52)</f>
        <v>334.4</v>
      </c>
      <c r="I52" s="59">
        <f>H52/(F52*0.454)</f>
        <v>0.12484133502575973</v>
      </c>
    </row>
    <row r="53" spans="6:9">
      <c r="F53">
        <v>6000</v>
      </c>
      <c r="G53" s="58">
        <f>F53-$A$12</f>
        <v>300</v>
      </c>
      <c r="H53">
        <f>$B$12-($D$13*G53)</f>
        <v>333.6</v>
      </c>
      <c r="I53" s="59">
        <f>H53/(F53*0.454)</f>
        <v>0.12246696035242291</v>
      </c>
    </row>
    <row r="54" spans="6:9">
      <c r="F54">
        <v>6100</v>
      </c>
      <c r="G54" s="58">
        <f>F54-$A$12</f>
        <v>400</v>
      </c>
      <c r="H54">
        <f>$B$12-($D$13*G54)</f>
        <v>332.8</v>
      </c>
      <c r="I54" s="59">
        <f>H54/(F54*0.454)</f>
        <v>0.12017043402903156</v>
      </c>
    </row>
    <row r="55" spans="6:9">
      <c r="F55">
        <v>6200</v>
      </c>
      <c r="G55" s="58">
        <f>F55-$A$12</f>
        <v>500</v>
      </c>
      <c r="H55">
        <f>$B$12-($D$13*G55)</f>
        <v>332</v>
      </c>
      <c r="I55" s="59">
        <f>H55/(F55*0.454)</f>
        <v>0.11794798919994315</v>
      </c>
    </row>
    <row r="56" spans="6:9">
      <c r="F56">
        <v>6300</v>
      </c>
      <c r="I56" s="59">
        <v>0.12</v>
      </c>
    </row>
    <row r="57" spans="6:9">
      <c r="F57">
        <v>6400</v>
      </c>
      <c r="G57" s="58">
        <f>F57-$A$13</f>
        <v>100</v>
      </c>
      <c r="H57">
        <f>$B$13-($D$14*G57)</f>
        <v>329.8</v>
      </c>
      <c r="I57" s="59">
        <f>H57/(F57*0.454)</f>
        <v>0.11350495594713657</v>
      </c>
    </row>
    <row r="58" spans="6:9">
      <c r="F58">
        <v>6500</v>
      </c>
      <c r="G58" s="58">
        <f>F58-$A$13</f>
        <v>200</v>
      </c>
      <c r="H58">
        <f>$B$13-($D$14*G58)</f>
        <v>328.6</v>
      </c>
      <c r="I58" s="59">
        <f>H58/(F58*0.454)</f>
        <v>0.11135208403930871</v>
      </c>
    </row>
    <row r="59" spans="6:9">
      <c r="F59">
        <v>6600</v>
      </c>
      <c r="G59" s="58">
        <f>F59-$A$13</f>
        <v>300</v>
      </c>
      <c r="H59">
        <f>$B$13-($D$14*G59)</f>
        <v>327.39999999999998</v>
      </c>
      <c r="I59" s="59">
        <f>H59/(F59*0.454)</f>
        <v>0.1092644506741423</v>
      </c>
    </row>
    <row r="60" spans="6:9">
      <c r="F60">
        <v>6700</v>
      </c>
      <c r="G60" s="58">
        <f>F60-$A$13</f>
        <v>400</v>
      </c>
      <c r="H60">
        <f>$B$13-($D$14*G60)</f>
        <v>326.2</v>
      </c>
      <c r="I60" s="59">
        <f>H60/(F60*0.454)</f>
        <v>0.10723913472286145</v>
      </c>
    </row>
    <row r="61" spans="6:9">
      <c r="F61">
        <v>6800</v>
      </c>
      <c r="I61" s="59">
        <v>0.11</v>
      </c>
    </row>
    <row r="62" spans="6:9">
      <c r="F62">
        <v>6900</v>
      </c>
      <c r="G62" s="58">
        <f>F62-$A$14</f>
        <v>100</v>
      </c>
      <c r="H62">
        <f>$B$14-($D$15*G62)</f>
        <v>324.39999999999998</v>
      </c>
      <c r="I62" s="59">
        <f>H62/(F62*0.454)</f>
        <v>0.10355615143969865</v>
      </c>
    </row>
    <row r="63" spans="6:9">
      <c r="F63">
        <v>7000</v>
      </c>
      <c r="G63" s="58">
        <f t="shared" ref="G63:G72" si="0">F63-$A$14</f>
        <v>200</v>
      </c>
      <c r="H63">
        <f t="shared" ref="H63:H72" si="1">$B$14-($D$15*G63)</f>
        <v>323.8</v>
      </c>
      <c r="I63" s="59">
        <f t="shared" ref="I63:I72" si="2">H63/(F63*0.454)</f>
        <v>0.10188797986154814</v>
      </c>
    </row>
    <row r="64" spans="6:9">
      <c r="F64">
        <v>7100</v>
      </c>
      <c r="G64" s="58">
        <f t="shared" si="0"/>
        <v>300</v>
      </c>
      <c r="H64">
        <f t="shared" si="1"/>
        <v>323.2</v>
      </c>
      <c r="I64" s="59">
        <f t="shared" si="2"/>
        <v>0.10026679903207793</v>
      </c>
    </row>
    <row r="65" spans="6:9">
      <c r="F65">
        <v>7200</v>
      </c>
      <c r="G65" s="58">
        <f t="shared" si="0"/>
        <v>400</v>
      </c>
      <c r="H65">
        <f t="shared" si="1"/>
        <v>322.60000000000002</v>
      </c>
      <c r="I65" s="59">
        <f t="shared" si="2"/>
        <v>9.8690651003426333E-2</v>
      </c>
    </row>
    <row r="66" spans="6:9">
      <c r="F66">
        <v>7300</v>
      </c>
      <c r="G66" s="58">
        <f t="shared" si="0"/>
        <v>500</v>
      </c>
      <c r="H66">
        <f t="shared" si="1"/>
        <v>322</v>
      </c>
      <c r="I66" s="59">
        <f t="shared" si="2"/>
        <v>9.7157685112546008E-2</v>
      </c>
    </row>
    <row r="67" spans="6:9">
      <c r="F67">
        <v>7400</v>
      </c>
      <c r="G67" s="58">
        <f t="shared" si="0"/>
        <v>600</v>
      </c>
      <c r="H67">
        <f t="shared" si="1"/>
        <v>321.39999999999998</v>
      </c>
      <c r="I67" s="59">
        <f t="shared" si="2"/>
        <v>9.5666150732230018E-2</v>
      </c>
    </row>
    <row r="68" spans="6:9">
      <c r="F68">
        <v>7500</v>
      </c>
      <c r="G68" s="58">
        <f t="shared" si="0"/>
        <v>700</v>
      </c>
      <c r="H68">
        <f t="shared" si="1"/>
        <v>320.8</v>
      </c>
      <c r="I68" s="59">
        <f t="shared" si="2"/>
        <v>9.4214390602055803E-2</v>
      </c>
    </row>
    <row r="69" spans="6:9">
      <c r="F69">
        <v>7600</v>
      </c>
      <c r="G69" s="58">
        <f t="shared" si="0"/>
        <v>800</v>
      </c>
      <c r="H69">
        <f t="shared" si="1"/>
        <v>320.2</v>
      </c>
      <c r="I69" s="59">
        <f t="shared" si="2"/>
        <v>9.2800834685833528E-2</v>
      </c>
    </row>
    <row r="70" spans="6:9">
      <c r="F70">
        <v>7700</v>
      </c>
      <c r="G70" s="58">
        <f t="shared" si="0"/>
        <v>900</v>
      </c>
      <c r="H70">
        <f t="shared" si="1"/>
        <v>319.60000000000002</v>
      </c>
      <c r="I70" s="59">
        <f t="shared" si="2"/>
        <v>9.142399450769495E-2</v>
      </c>
    </row>
    <row r="71" spans="6:9">
      <c r="F71">
        <v>7800</v>
      </c>
      <c r="G71" s="58">
        <f t="shared" si="0"/>
        <v>1000</v>
      </c>
      <c r="H71">
        <f t="shared" si="1"/>
        <v>319</v>
      </c>
      <c r="I71" s="59">
        <f t="shared" si="2"/>
        <v>9.0082457923867612E-2</v>
      </c>
    </row>
    <row r="72" spans="6:9">
      <c r="F72">
        <v>7900</v>
      </c>
      <c r="G72" s="58">
        <f t="shared" si="0"/>
        <v>1100</v>
      </c>
      <c r="H72">
        <f t="shared" si="1"/>
        <v>318.39999999999998</v>
      </c>
      <c r="I72" s="59">
        <f t="shared" si="2"/>
        <v>8.8774884291529577E-2</v>
      </c>
    </row>
    <row r="73" spans="6:9">
      <c r="F73">
        <v>8000</v>
      </c>
      <c r="I73" s="59">
        <v>0.09</v>
      </c>
    </row>
    <row r="74" spans="6:9">
      <c r="F74">
        <v>8100</v>
      </c>
      <c r="G74" s="58">
        <f>F74-$A$15</f>
        <v>100</v>
      </c>
      <c r="H74">
        <f>$B$15-($D$16*G74)</f>
        <v>317.7</v>
      </c>
      <c r="I74" s="59">
        <f>H74/(F74*0.454)</f>
        <v>8.63925599608419E-2</v>
      </c>
    </row>
    <row r="75" spans="6:9">
      <c r="F75">
        <v>8200</v>
      </c>
      <c r="G75" s="58">
        <f t="shared" ref="G75:G83" si="3">F75-$A$15</f>
        <v>200</v>
      </c>
      <c r="H75">
        <f t="shared" ref="H75:H83" si="4">$B$15-($D$16*G75)</f>
        <v>317.39999999999998</v>
      </c>
      <c r="I75" s="59">
        <f t="shared" ref="I75:I83" si="5">H75/(F75*0.454)</f>
        <v>8.5258407650155785E-2</v>
      </c>
    </row>
    <row r="76" spans="6:9">
      <c r="F76">
        <v>8300</v>
      </c>
      <c r="G76" s="58">
        <f t="shared" si="3"/>
        <v>300</v>
      </c>
      <c r="H76">
        <f t="shared" si="4"/>
        <v>317.10000000000002</v>
      </c>
      <c r="I76" s="59">
        <f t="shared" si="5"/>
        <v>8.4151584310811531E-2</v>
      </c>
    </row>
    <row r="77" spans="6:9">
      <c r="F77">
        <v>8400</v>
      </c>
      <c r="G77" s="58">
        <f t="shared" si="3"/>
        <v>400</v>
      </c>
      <c r="H77">
        <f t="shared" si="4"/>
        <v>316.8</v>
      </c>
      <c r="I77" s="59">
        <f t="shared" si="5"/>
        <v>8.3071113908118319E-2</v>
      </c>
    </row>
    <row r="78" spans="6:9">
      <c r="F78">
        <v>8500</v>
      </c>
      <c r="G78" s="58">
        <f t="shared" si="3"/>
        <v>500</v>
      </c>
      <c r="H78">
        <f t="shared" si="4"/>
        <v>316.5</v>
      </c>
      <c r="I78" s="59">
        <f t="shared" si="5"/>
        <v>8.2016066338429644E-2</v>
      </c>
    </row>
    <row r="79" spans="6:9">
      <c r="F79">
        <v>8600</v>
      </c>
      <c r="G79" s="58">
        <f t="shared" si="3"/>
        <v>600</v>
      </c>
      <c r="H79">
        <f t="shared" si="4"/>
        <v>316.2</v>
      </c>
      <c r="I79" s="59">
        <f t="shared" si="5"/>
        <v>8.098555475873373E-2</v>
      </c>
    </row>
    <row r="80" spans="6:9">
      <c r="F80">
        <v>8700</v>
      </c>
      <c r="G80" s="58">
        <f t="shared" si="3"/>
        <v>700</v>
      </c>
      <c r="H80">
        <f t="shared" si="4"/>
        <v>315.89999999999998</v>
      </c>
      <c r="I80" s="59">
        <f t="shared" si="5"/>
        <v>7.9978733100410135E-2</v>
      </c>
    </row>
    <row r="81" spans="6:9">
      <c r="F81">
        <v>8800</v>
      </c>
      <c r="G81" s="58">
        <f t="shared" si="3"/>
        <v>800</v>
      </c>
      <c r="H81">
        <f t="shared" si="4"/>
        <v>315.60000000000002</v>
      </c>
      <c r="I81" s="59">
        <f t="shared" si="5"/>
        <v>7.8994793752502998E-2</v>
      </c>
    </row>
    <row r="82" spans="6:9">
      <c r="F82">
        <v>8900</v>
      </c>
      <c r="G82" s="58">
        <f t="shared" si="3"/>
        <v>900</v>
      </c>
      <c r="H82">
        <f t="shared" si="4"/>
        <v>315.3</v>
      </c>
      <c r="I82" s="59">
        <f t="shared" si="5"/>
        <v>7.8032965401178045E-2</v>
      </c>
    </row>
    <row r="83" spans="6:9">
      <c r="F83">
        <v>9000</v>
      </c>
      <c r="G83" s="58">
        <f t="shared" si="3"/>
        <v>1000</v>
      </c>
      <c r="H83">
        <f t="shared" si="4"/>
        <v>315</v>
      </c>
      <c r="I83" s="59">
        <f t="shared" si="5"/>
        <v>7.7092511013215861E-2</v>
      </c>
    </row>
    <row r="84" spans="6:9">
      <c r="F84">
        <v>9100</v>
      </c>
      <c r="I84" s="59">
        <v>0.08</v>
      </c>
    </row>
    <row r="85" spans="6:9">
      <c r="F85">
        <v>9200</v>
      </c>
      <c r="G85" s="58">
        <f>F85-$A$16</f>
        <v>100</v>
      </c>
      <c r="H85">
        <f>$B$16-($D$17*G85)</f>
        <v>314.8</v>
      </c>
      <c r="I85" s="59">
        <f>H85/(F85*0.454)</f>
        <v>7.5368703313541466E-2</v>
      </c>
    </row>
    <row r="86" spans="6:9">
      <c r="F86">
        <v>9300</v>
      </c>
      <c r="G86" s="58">
        <f t="shared" ref="G86:G94" si="6">F86-$A$16</f>
        <v>200</v>
      </c>
      <c r="H86">
        <f t="shared" ref="H86:H94" si="7">$B$16-($D$17*G86)</f>
        <v>314.60000000000002</v>
      </c>
      <c r="I86" s="59">
        <f t="shared" ref="I86:I94" si="8">H86/(F86*0.454)</f>
        <v>7.4510918478518318E-2</v>
      </c>
    </row>
    <row r="87" spans="6:9">
      <c r="F87">
        <v>9400</v>
      </c>
      <c r="G87" s="58">
        <f t="shared" si="6"/>
        <v>300</v>
      </c>
      <c r="H87">
        <f t="shared" si="7"/>
        <v>314.39999999999998</v>
      </c>
      <c r="I87" s="59">
        <f t="shared" si="8"/>
        <v>7.3671384384665847E-2</v>
      </c>
    </row>
    <row r="88" spans="6:9">
      <c r="F88">
        <v>9500</v>
      </c>
      <c r="G88" s="58">
        <f t="shared" si="6"/>
        <v>400</v>
      </c>
      <c r="H88">
        <f t="shared" si="7"/>
        <v>314.2</v>
      </c>
      <c r="I88" s="59">
        <f t="shared" si="8"/>
        <v>7.2849524692789241E-2</v>
      </c>
    </row>
    <row r="89" spans="6:9">
      <c r="F89">
        <v>9600</v>
      </c>
      <c r="G89" s="58">
        <f t="shared" si="6"/>
        <v>500</v>
      </c>
      <c r="H89">
        <f t="shared" si="7"/>
        <v>314</v>
      </c>
      <c r="I89" s="59">
        <f t="shared" si="8"/>
        <v>7.2044787077826716E-2</v>
      </c>
    </row>
    <row r="90" spans="6:9">
      <c r="F90">
        <v>9700</v>
      </c>
      <c r="G90" s="58">
        <f t="shared" si="6"/>
        <v>600</v>
      </c>
      <c r="H90">
        <f t="shared" si="7"/>
        <v>313.8</v>
      </c>
      <c r="I90" s="59">
        <f t="shared" si="8"/>
        <v>7.1256641991007771E-2</v>
      </c>
    </row>
    <row r="91" spans="6:9">
      <c r="F91">
        <v>9800</v>
      </c>
      <c r="G91" s="58">
        <f t="shared" si="6"/>
        <v>700</v>
      </c>
      <c r="H91">
        <f t="shared" si="7"/>
        <v>313.60000000000002</v>
      </c>
      <c r="I91" s="59">
        <f t="shared" si="8"/>
        <v>7.0484581497797363E-2</v>
      </c>
    </row>
    <row r="92" spans="6:9">
      <c r="F92">
        <v>9900</v>
      </c>
      <c r="G92" s="58">
        <f t="shared" si="6"/>
        <v>800</v>
      </c>
      <c r="H92">
        <f t="shared" si="7"/>
        <v>313.39999999999998</v>
      </c>
      <c r="I92" s="59">
        <f t="shared" si="8"/>
        <v>6.9728118186267951E-2</v>
      </c>
    </row>
    <row r="93" spans="6:9">
      <c r="F93">
        <v>10000</v>
      </c>
      <c r="G93" s="58">
        <f t="shared" si="6"/>
        <v>900</v>
      </c>
      <c r="H93">
        <f t="shared" si="7"/>
        <v>313.2</v>
      </c>
      <c r="I93" s="59">
        <f t="shared" si="8"/>
        <v>6.8986784140969162E-2</v>
      </c>
    </row>
    <row r="94" spans="6:9">
      <c r="F94">
        <v>10100</v>
      </c>
      <c r="G94" s="58">
        <f t="shared" si="6"/>
        <v>1000</v>
      </c>
      <c r="H94">
        <f t="shared" si="7"/>
        <v>313</v>
      </c>
      <c r="I94" s="59">
        <f t="shared" si="8"/>
        <v>6.8260129977755477E-2</v>
      </c>
    </row>
    <row r="95" spans="6:9">
      <c r="F95">
        <v>10200</v>
      </c>
      <c r="I95" s="59">
        <v>7.0000000000000007E-2</v>
      </c>
    </row>
    <row r="96" spans="6:9">
      <c r="F96">
        <v>10300</v>
      </c>
      <c r="G96" s="58">
        <f>F96-$A$17</f>
        <v>100</v>
      </c>
      <c r="H96">
        <f>$B$17-($D$18*G96)</f>
        <v>312.7</v>
      </c>
      <c r="I96" s="59">
        <f>H96/(F96*0.454)</f>
        <v>6.6870535905222184E-2</v>
      </c>
    </row>
    <row r="97" spans="6:9">
      <c r="F97">
        <v>10400</v>
      </c>
      <c r="G97" s="58">
        <f t="shared" ref="G97:G106" si="9">F97-$A$17</f>
        <v>200</v>
      </c>
      <c r="H97">
        <f t="shared" ref="H97:H106" si="10">$B$17-($D$18*G97)</f>
        <v>312.39999999999998</v>
      </c>
      <c r="I97" s="59">
        <f t="shared" ref="I97:I106" si="11">H97/(F97*0.454)</f>
        <v>6.6164012199254482E-2</v>
      </c>
    </row>
    <row r="98" spans="6:9">
      <c r="F98">
        <v>10500</v>
      </c>
      <c r="G98" s="58">
        <f t="shared" si="9"/>
        <v>300</v>
      </c>
      <c r="H98">
        <f t="shared" si="10"/>
        <v>312.10000000000002</v>
      </c>
      <c r="I98" s="59">
        <f t="shared" si="11"/>
        <v>6.547094608768618E-2</v>
      </c>
    </row>
    <row r="99" spans="6:9">
      <c r="F99">
        <v>10600</v>
      </c>
      <c r="G99" s="58">
        <f t="shared" si="9"/>
        <v>400</v>
      </c>
      <c r="H99">
        <f t="shared" si="10"/>
        <v>311.8</v>
      </c>
      <c r="I99" s="59">
        <f t="shared" si="11"/>
        <v>6.4790956695204058E-2</v>
      </c>
    </row>
    <row r="100" spans="6:9">
      <c r="F100">
        <v>10700</v>
      </c>
      <c r="G100" s="58">
        <f t="shared" si="9"/>
        <v>500</v>
      </c>
      <c r="H100">
        <f t="shared" si="10"/>
        <v>311.5</v>
      </c>
      <c r="I100" s="59">
        <f t="shared" si="11"/>
        <v>6.4123677384824398E-2</v>
      </c>
    </row>
    <row r="101" spans="6:9">
      <c r="F101">
        <v>10800</v>
      </c>
      <c r="G101" s="58">
        <f t="shared" si="9"/>
        <v>600</v>
      </c>
      <c r="H101">
        <f t="shared" si="10"/>
        <v>311.2</v>
      </c>
      <c r="I101" s="59">
        <f t="shared" si="11"/>
        <v>6.3468755098711041E-2</v>
      </c>
    </row>
    <row r="102" spans="6:9">
      <c r="F102">
        <v>10900</v>
      </c>
      <c r="G102" s="58">
        <f t="shared" si="9"/>
        <v>700</v>
      </c>
      <c r="H102">
        <f t="shared" si="10"/>
        <v>310.89999999999998</v>
      </c>
      <c r="I102" s="59">
        <f t="shared" si="11"/>
        <v>6.282584973527866E-2</v>
      </c>
    </row>
    <row r="103" spans="6:9">
      <c r="F103">
        <v>11000</v>
      </c>
      <c r="G103" s="58">
        <f t="shared" si="9"/>
        <v>800</v>
      </c>
      <c r="H103">
        <f t="shared" si="10"/>
        <v>310.60000000000002</v>
      </c>
      <c r="I103" s="59">
        <f t="shared" si="11"/>
        <v>6.2194633560272335E-2</v>
      </c>
    </row>
    <row r="104" spans="6:9">
      <c r="F104">
        <v>11100</v>
      </c>
      <c r="G104" s="58">
        <f t="shared" si="9"/>
        <v>900</v>
      </c>
      <c r="H104">
        <f t="shared" si="10"/>
        <v>310.3</v>
      </c>
      <c r="I104" s="59">
        <f t="shared" si="11"/>
        <v>6.1574790649680515E-2</v>
      </c>
    </row>
    <row r="105" spans="6:9">
      <c r="F105">
        <v>11200</v>
      </c>
      <c r="G105" s="58">
        <f t="shared" si="9"/>
        <v>1000</v>
      </c>
      <c r="H105">
        <f t="shared" si="10"/>
        <v>310</v>
      </c>
      <c r="I105" s="59">
        <f t="shared" si="11"/>
        <v>6.0966016362492131E-2</v>
      </c>
    </row>
    <row r="106" spans="6:9">
      <c r="F106">
        <v>11300</v>
      </c>
      <c r="G106" s="58">
        <f t="shared" si="9"/>
        <v>1100</v>
      </c>
      <c r="H106">
        <f t="shared" si="10"/>
        <v>309.7</v>
      </c>
      <c r="I106" s="59">
        <f t="shared" si="11"/>
        <v>6.0368016841448678E-2</v>
      </c>
    </row>
    <row r="107" spans="6:9">
      <c r="F107">
        <v>11400</v>
      </c>
      <c r="I107" s="59">
        <v>0.06</v>
      </c>
    </row>
  </sheetData>
  <mergeCells count="1">
    <mergeCell ref="F2:I3"/>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Credits</vt:lpstr>
      <vt:lpstr>Nitrate Intake Calculator</vt:lpstr>
      <vt:lpstr>Nitrate Conversions</vt:lpstr>
      <vt:lpstr>max meal intake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Coleen Jones</dc:creator>
  <cp:lastModifiedBy>Coleen</cp:lastModifiedBy>
  <cp:lastPrinted>2010-07-08T20:04:22Z</cp:lastPrinted>
  <dcterms:created xsi:type="dcterms:W3CDTF">2007-08-06T17:53:32Z</dcterms:created>
  <dcterms:modified xsi:type="dcterms:W3CDTF">2010-07-08T20:04:29Z</dcterms:modified>
</cp:coreProperties>
</file>