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92" windowHeight="11256"/>
  </bookViews>
  <sheets>
    <sheet name="as of May 6, 2013" sheetId="1" r:id="rId1"/>
  </sheets>
  <definedNames>
    <definedName name="_xlnm.Print_Titles" localSheetId="0">'as of May 6, 2013'!$1:$3</definedName>
  </definedNames>
  <calcPr calcId="145621"/>
</workbook>
</file>

<file path=xl/calcChain.xml><?xml version="1.0" encoding="utf-8"?>
<calcChain xmlns="http://schemas.openxmlformats.org/spreadsheetml/2006/main">
  <c r="D169" i="1" l="1"/>
  <c r="D20" i="1"/>
</calcChain>
</file>

<file path=xl/sharedStrings.xml><?xml version="1.0" encoding="utf-8"?>
<sst xmlns="http://schemas.openxmlformats.org/spreadsheetml/2006/main" count="732" uniqueCount="250">
  <si>
    <t>ACCOUNTANT-II AF</t>
  </si>
  <si>
    <t>ACCOUNTING MANAGER MC</t>
  </si>
  <si>
    <t>ACCOUNTING TECH-III (A/P) AF</t>
  </si>
  <si>
    <t>ACCOUNTING TECH-III (AMB BILL)</t>
  </si>
  <si>
    <t>ACCOUNTING TECH-III (PUB WORKS</t>
  </si>
  <si>
    <t>ACCOUNTING TECH-III (TERM) GF</t>
  </si>
  <si>
    <t>ACCOUNTING TECH-III REC SAD AF</t>
  </si>
  <si>
    <t>ACCOUNTING TECH-LEAD AF</t>
  </si>
  <si>
    <t>ACCOUNTING TECHNICIAN I AF</t>
  </si>
  <si>
    <t>ACCOUNTING TECHNICIAN II AF</t>
  </si>
  <si>
    <t>ADMIN SERVICES MANAGER MC</t>
  </si>
  <si>
    <t>ADMINISTRATIVE ASSISTANT I AF</t>
  </si>
  <si>
    <t>ADMINISTRATIVE ASSISTANT II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</si>
  <si>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</si>
  <si>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</si>
  <si>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</si>
  <si>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</si>
  <si>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</si>
  <si>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</si>
  <si>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</t>
  </si>
  <si>
    <t>ASSISTANT CITY ATTORNEY MC</t>
  </si>
  <si>
    <t>ASSISTANT CITY MANAGER EB</t>
  </si>
  <si>
    <t>ASST DIV MGR SENIOR SERV MC</t>
  </si>
  <si>
    <t>BATTALION COMMANDER FD</t>
  </si>
  <si>
    <t>BATTALION COMMANDER-EMS  FD</t>
  </si>
  <si>
    <t>BATTALION COMMANDER-TRAINNG FD</t>
  </si>
  <si>
    <t>BENEFITS ADMINISTRATOR MC</t>
  </si>
  <si>
    <t>BUDGET ANALYST &lt;20 NB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</si>
  <si>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</si>
  <si>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</si>
  <si>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</si>
  <si>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</si>
  <si>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</si>
  <si>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</si>
  <si>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CAPTAIN, POLICE DEPT PE</t>
  </si>
  <si>
    <t>CARPENTER AF</t>
  </si>
  <si>
    <t>CASHIER AQUATICS SE</t>
  </si>
  <si>
    <t>CHIEF COMMUNICATION OFFICER EB</t>
  </si>
  <si>
    <t>CHIEF DEPUTY CLERK CO</t>
  </si>
  <si>
    <t>CITY ATTORNEY EB</t>
  </si>
  <si>
    <t>JAMES C BABIN</t>
  </si>
  <si>
    <t>CITY CLERK EB</t>
  </si>
  <si>
    <t>CITY ENGINEER MC</t>
  </si>
  <si>
    <t>CITY MANAGER EB</t>
  </si>
  <si>
    <t>KEITH J. RIESBERG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</si>
  <si>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</si>
  <si>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</si>
  <si>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</si>
  <si>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</si>
  <si>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</si>
  <si>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COMMUNICATIONS SHIFT SUPV DS</t>
  </si>
  <si>
    <t>COMMUNITY SERVICE COORD CO</t>
  </si>
  <si>
    <t>COMMUNITY SERVICES COORD MC</t>
  </si>
  <si>
    <t>CONST INSPECT SUPERVISOR MC</t>
  </si>
  <si>
    <t>CORPORAL, POLICE DEPT PO</t>
  </si>
  <si>
    <t>COUNCILOR GOVERNING BODY EO</t>
  </si>
  <si>
    <t>ALONZO CLAYTON</t>
  </si>
  <si>
    <t>HOLCEY C. WILKINS</t>
  </si>
  <si>
    <t>MARK S. SCOTT</t>
  </si>
  <si>
    <t>PATRICIA THOMAS</t>
  </si>
  <si>
    <t>TAMARA  L  GUTIERREZ</t>
  </si>
  <si>
    <t>TIM  C  CRUM</t>
  </si>
  <si>
    <t>COURT ADMINISTRATOR CO</t>
  </si>
  <si>
    <t>CROSSING GUARD NB</t>
  </si>
  <si>
    <t>CUSTODIAL SVCS SUPERVISOR MC</t>
  </si>
  <si>
    <t>CUSTODIAN I AF</t>
  </si>
  <si>
    <t>CUSTOMER SERVICE LEAD AF</t>
  </si>
  <si>
    <t>CUSTOMER SERVICE REP AF</t>
  </si>
  <si>
    <t>CUSTOMER SERVICE SUPER MC</t>
  </si>
  <si>
    <t>CVB SALES COORDINATOR AF</t>
  </si>
  <si>
    <t>DATA ENTRY CLERK-GANG GRANT GF</t>
  </si>
  <si>
    <t>DEPTY DIR DEV SVCS/DIV MGR ZON</t>
  </si>
  <si>
    <t>DEPUTY CHIEF OF POLICE PE</t>
  </si>
  <si>
    <t>DEPUTY CITY ATTORNEY MC</t>
  </si>
  <si>
    <t>DEPUTY CITY CLERK MC</t>
  </si>
  <si>
    <t>DEPUTY FIRE CHIEF FE</t>
  </si>
  <si>
    <t>DETECTIVE PF</t>
  </si>
  <si>
    <t>DIRECTOR DEV SERVICES EB</t>
  </si>
  <si>
    <t>JOHN R CASTILLO</t>
  </si>
  <si>
    <t>DIRECTOR FINANCIAL SVCS EB</t>
  </si>
  <si>
    <t>OLIVIA  PADILLA-JACKSON</t>
  </si>
  <si>
    <t>DIRECTOR FIRE RESCUE EF</t>
  </si>
  <si>
    <t>MICHAEL MEEK</t>
  </si>
  <si>
    <t>DIRECTOR HUMAN RESOURCES EB</t>
  </si>
  <si>
    <t>CECILIA C. EVJEN</t>
  </si>
  <si>
    <t>DIRECTOR INFO TECHNOLOGY EB</t>
  </si>
  <si>
    <t>LISA SCHIMMEL</t>
  </si>
  <si>
    <t>DIRECTOR LIB &amp; INFO SERVS EB</t>
  </si>
  <si>
    <t>WILLIAM CICOLA</t>
  </si>
  <si>
    <t>DIRECTOR PARKS REC COMM SVC EB</t>
  </si>
  <si>
    <t>HARDY J HART</t>
  </si>
  <si>
    <t>DIRECTOR POLICE EP</t>
  </si>
  <si>
    <t>ROBERT G BOONE</t>
  </si>
  <si>
    <t>DIRECTOR PUBLIC WORKS EB</t>
  </si>
  <si>
    <t>SCOTT SENSANBAUGHER</t>
  </si>
  <si>
    <t>DISPATCHER DS</t>
  </si>
  <si>
    <t>DISTRICT COMMANDER (CAPTAIN)FF</t>
  </si>
  <si>
    <t>DIV MANAGER ACCOUNTING MC</t>
  </si>
  <si>
    <t>DIV MANAGER BUILD &amp; FLEET MC</t>
  </si>
  <si>
    <t>DIV MANAGER MUNI PLANNING MC</t>
  </si>
  <si>
    <t>DIV MANAGER MVD MC</t>
  </si>
  <si>
    <t>DIV MANAGER P&amp;R ADMIN MC</t>
  </si>
  <si>
    <t>DIV MANAGER SENIOR SERVICES MC</t>
  </si>
  <si>
    <t>DIV MANAGER STREETS &amp; ROW MC</t>
  </si>
  <si>
    <t>DIV MANAGER UTILITY CUST SVC</t>
  </si>
  <si>
    <t>DIV MANAGER UTILITY OPER MC</t>
  </si>
  <si>
    <t>ELECT INSPECT PART TIME &lt;20 NB</t>
  </si>
  <si>
    <t>ELECTRICAL INSPECTOR AF</t>
  </si>
  <si>
    <t>ELECTRICIAN II AF</t>
  </si>
  <si>
    <t>EMERGENCY PROGRAM MANAGER MC</t>
  </si>
  <si>
    <t>ENGINEER-I AF</t>
  </si>
  <si>
    <t>ENGINEERING SECTION MANAGER MC</t>
  </si>
  <si>
    <t>ENGINEERING TECHNICIAN I AF</t>
  </si>
  <si>
    <t>ENVIRONMENTAL PROGRAMS MGR MC</t>
  </si>
  <si>
    <t>EVIDENCE TECHNICIAN PO</t>
  </si>
  <si>
    <t>EXECUTIVE ASSISTANT MC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</si>
  <si>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</si>
  <si>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</si>
  <si>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</si>
  <si>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</si>
  <si>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</si>
  <si>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</si>
  <si>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</si>
  <si>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</si>
  <si>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</si>
  <si>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</si>
  <si>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GRAPHIC DESIGNER AF</t>
  </si>
  <si>
    <t>HEAD LIFEGUARD SE</t>
  </si>
  <si>
    <t>HEAVY EQUIPMENT OPERATOR AF</t>
  </si>
  <si>
    <t>HR ADMINISTRATOR MC</t>
  </si>
  <si>
    <t>HR REPRESENTATIVE MC</t>
  </si>
  <si>
    <t>IT SPECIALIST MC</t>
  </si>
  <si>
    <t>KENNEL WORKER AF</t>
  </si>
  <si>
    <t>KRRB COMMUNITY WORKER I GF</t>
  </si>
  <si>
    <t>KRRB COMMUNITY WORKER II GF</t>
  </si>
  <si>
    <t>LEGAL ASSISTANT MC</t>
  </si>
  <si>
    <t>LIBRARIAN II AF</t>
  </si>
  <si>
    <t>LIBRARIAN SUPERVISOR MC</t>
  </si>
  <si>
    <t>LIBRARIAN-I AF</t>
  </si>
  <si>
    <t>LIBRARY ASSISTANT AF</t>
  </si>
  <si>
    <t>LIBRARY CIRC SUPERVISOR MC</t>
  </si>
  <si>
    <t>LIBRARY CLERK AF</t>
  </si>
  <si>
    <t>LIBRARY PAGE - LEAD AF</t>
  </si>
  <si>
    <t>LIBRARY PAGE NB</t>
  </si>
  <si>
    <t>LIEUTENANT, POLICE DEPT PE</t>
  </si>
  <si>
    <t>LIFEGUARD (INDOOR) &lt;20 NB</t>
  </si>
  <si>
    <t>LIFEGUARD I PT AF</t>
  </si>
  <si>
    <t>LIFEGUARD II AF</t>
  </si>
  <si>
    <t>LINE LOCATER-I AF</t>
  </si>
  <si>
    <t>MAYOR EO</t>
  </si>
  <si>
    <t>THOMAS SWISSTACK</t>
  </si>
  <si>
    <t>MECHANICAL/PLUMB INSPECTOR AF</t>
  </si>
  <si>
    <t>MUNICIPAL JUDGE EO</t>
  </si>
  <si>
    <t>GERALD R COOK</t>
  </si>
  <si>
    <t>MUNICIPAL PLANNER-I AF</t>
  </si>
  <si>
    <t>MUNICIPAL PLANNER-III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</si>
  <si>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</si>
  <si>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</si>
  <si>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</si>
  <si>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</si>
  <si>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</si>
  <si>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</si>
  <si>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OFFICE ASSISTANT-II (SROW) AF</t>
  </si>
  <si>
    <t>OFFICE ASSISTANT-II (TERM)</t>
  </si>
  <si>
    <t>OPERATIONS SUPERVISOR CO</t>
  </si>
  <si>
    <t>PARK EQUIPMENT TECHNICIAN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</si>
  <si>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</si>
  <si>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</si>
  <si>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</si>
  <si>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</si>
  <si>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</si>
  <si>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</si>
  <si>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</si>
  <si>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</si>
  <si>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POLICE OFFICER PF</t>
  </si>
  <si>
    <t>PROBATION &amp; PROGRAM SUPRVSR CO</t>
  </si>
  <si>
    <t>PROBATION &amp; PROGRAMS ASS'NT CO</t>
  </si>
  <si>
    <t>PROBATON SECRETARY CO</t>
  </si>
  <si>
    <t>PROGRAM MGR NM GANG TASK FORCE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</si>
  <si>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</si>
  <si>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</si>
  <si>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</si>
  <si>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</si>
  <si>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</si>
  <si>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</si>
  <si>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</si>
  <si>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REAL PROPERTY MANAGER MC</t>
  </si>
  <si>
    <t>RECORDS TECHNICIAN AF</t>
  </si>
  <si>
    <t>RECORDS TECHNICIAN-POL DEPT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</si>
  <si>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</si>
  <si>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</si>
  <si>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</si>
  <si>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</si>
  <si>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</si>
  <si>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SERGEANT, POLICE DEPT PO</t>
  </si>
  <si>
    <t>SR EXEC ASST COMMUNTY DEV OFCR</t>
  </si>
  <si>
    <t>SR FINANCIAL ANALYST MC</t>
  </si>
  <si>
    <t>SROW FOREMAN I AF</t>
  </si>
  <si>
    <t>SROW FOREMAN-II AF</t>
  </si>
  <si>
    <t>STREETS &amp; ROW SUPERINTENDNT MC</t>
  </si>
  <si>
    <t>STREETS &amp; ROW SUPERVISOR(C) MC</t>
  </si>
  <si>
    <t>STREETS &amp; ROW SUPERVISOR(D) MC</t>
  </si>
  <si>
    <t>STREETS &amp; ROW WORKER AF</t>
  </si>
  <si>
    <t>SUMMER CAMP COUNSELOR SE</t>
  </si>
  <si>
    <t>SUMMER FOOD PRGM COORDINATOR</t>
  </si>
  <si>
    <t>TEMP PARK MAINT LABORER SE</t>
  </si>
  <si>
    <t>TERMINAL LEAVE EXEMPT REG</t>
  </si>
  <si>
    <t>TERMINAL LEAVE NON-EXEMPT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</si>
  <si>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</si>
  <si>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</si>
  <si>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</si>
  <si>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</si>
  <si>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</si>
  <si>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</si>
  <si>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</si>
  <si>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</si>
  <si>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</si>
  <si>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</si>
  <si>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VICTIM ADVOCATE PT GRANT FUND</t>
  </si>
  <si>
    <t>WASTE PROGRAM SPECIALIST AF</t>
  </si>
  <si>
    <t>WATER CONSERVATION SPEC AF</t>
  </si>
  <si>
    <t>ZONING SPECIALIST AF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</si>
  <si>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</si>
  <si>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</si>
  <si>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</si>
  <si>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</si>
  <si>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</si>
  <si>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</si>
  <si>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</si>
  <si>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</si>
  <si>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</si>
  <si>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GF - Grant-Funded Benefits</t>
  </si>
  <si>
    <t>SE - Seasonal/Temporary Benefits</t>
  </si>
  <si>
    <t>NB - No Benefits/Non-Bargaining</t>
  </si>
  <si>
    <t>PO - Police Union Benefits</t>
  </si>
  <si>
    <t>PE - Police Management Benefits</t>
  </si>
  <si>
    <t xml:space="preserve">PA - Police Admin. Deputy Benefits </t>
  </si>
  <si>
    <t>DS - Dispatch Union Benefits</t>
  </si>
  <si>
    <t>DE - Dispatch Management Benefits</t>
  </si>
  <si>
    <t>FF - Fire Union Benefits</t>
  </si>
  <si>
    <t>FE - Fire Management Benefits</t>
  </si>
  <si>
    <t>Governing Body</t>
  </si>
  <si>
    <t>Municipal Judge</t>
  </si>
  <si>
    <t>City Manager</t>
  </si>
  <si>
    <t>Directors</t>
  </si>
  <si>
    <t>City Personnel</t>
  </si>
  <si>
    <t>Base</t>
  </si>
  <si>
    <t>Annual</t>
  </si>
  <si>
    <t>Salary</t>
  </si>
  <si>
    <t>As of 5/06/13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</si>
</sst>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\-&quot;$&quot;#,##0_);&quot;$&quot;#,##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 applyFont="1" applyAlignment="1">
      <alignment wrapText="1"/>
    </xf>
    <xf numFmtId="0" fontId="18" fillId="33" borderId="10" xfId="0" applyFont="1" applyFill="1" applyBorder="1" applyAlignment="1"/>
    <xf numFmtId="0" fontId="19" fillId="33" borderId="11" xfId="0" applyFont="1" applyFill="1" applyBorder="1" applyAlignment="1"/>
    <xf numFmtId="0" fontId="20" fillId="33" borderId="12" xfId="0" applyFont="1" applyFill="1" applyBorder="1" applyAlignment="1"/>
    <xf numFmtId="0" fontId="20" fillId="33" borderId="11" xfId="0" applyFont="1" applyFill="1" applyBorder="1" applyAlignment="1"/>
    <xf numFmtId="0" fontId="21" fillId="34" borderId="0" xfId="0" applyFont="1" applyFill="1" applyAlignment="1"/>
    <xf numFmtId="0" fontId="22" fillId="0" borderId="0" xfId="0" applyFont="1" applyAlignment="1"/>
    <xf numFmtId="0" fontId="21" fillId="34" borderId="0" xfId="0" applyFont="1" applyFill="1" applyAlignment="1">
      <alignment horizontal="center"/>
    </xf>
    <xf numFmtId="0" fontId="22" fillId="34" borderId="0" xfId="0" applyFont="1" applyFill="1" applyAlignment="1"/>
    <xf numFmtId="0" fontId="21" fillId="34" borderId="14" xfId="0" applyFont="1" applyFill="1" applyBorder="1" applyAlignment="1">
      <alignment horizontal="center"/>
    </xf>
    <xf numFmtId="0" fontId="22" fillId="0" borderId="0" xfId="0" applyFont="1" applyAlignment="1">
      <alignment wrapText="1"/>
    </xf>
    <xf numFmtId="0" fontId="23" fillId="35" borderId="0" xfId="0" applyFont="1" applyFill="1" applyAlignment="1">
      <alignment horizontal="left" vertical="top"/>
    </xf>
    <xf numFmtId="164" fontId="23" fillId="35" borderId="0" xfId="0" applyNumberFormat="1" applyFont="1" applyFill="1" applyAlignment="1">
      <alignment horizontal="right" vertical="top"/>
    </xf>
    <xf numFmtId="0" fontId="23" fillId="35" borderId="0" xfId="0" applyFont="1" applyFill="1" applyAlignment="1">
      <alignment horizontal="center" vertical="top" wrapText="1"/>
    </xf>
    <xf numFmtId="0" fontId="19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697"/>
  <sheetViews>
    <sheetView showGridLines="0" tabSelected="1" workbookViewId="0">
      <selection activeCell="B1" sqref="B1"/>
    </sheetView>
  </sheetViews>
  <sheetFormatPr defaultRowHeight="13.8" x14ac:dyDescent="0.3"/>
  <cols>
    <col min="1" max="1" width="1.44140625" style="10" customWidth="1"/>
    <col min="2" max="2" width="32.5546875" style="10" customWidth="1"/>
    <col min="3" max="3" width="30" style="10" customWidth="1"/>
    <col min="4" max="4" width="10.5546875" style="10" customWidth="1"/>
    <col min="5" max="5" width="1.88671875" style="10" customWidth="1"/>
    <col min="6" max="6" width="42.6640625" style="10" customWidth="1"/>
    <col min="7" max="16384" width="8.88671875" style="10"/>
  </cols>
  <sheetData>
    <row r="1" spans="2:6" x14ac:dyDescent="0.3">
      <c r="B1" s="5" t="s">
        <v>249</v>
      </c>
      <c r="C1" s="6"/>
      <c r="D1" s="7" t="s">
        <v>246</v>
      </c>
    </row>
    <row r="2" spans="2:6" x14ac:dyDescent="0.3">
      <c r="B2" s="8"/>
      <c r="C2" s="8"/>
      <c r="D2" s="7" t="s">
        <v>247</v>
      </c>
    </row>
    <row r="3" spans="2:6" x14ac:dyDescent="0.3">
      <c r="B3" s="8"/>
      <c r="C3" s="8"/>
      <c r="D3" s="9" t="s">
        <v>248</v>
      </c>
    </row>
    <row r="4" spans="2:6" ht="14.4" thickBot="1" x14ac:dyDescent="0.35">
      <c r="B4" s="14" t="s">
        <v>241</v>
      </c>
      <c r="C4" s="14"/>
      <c r="D4" s="14"/>
      <c r="F4" s="1" t="s">
        <v>222</v>
      </c>
    </row>
    <row r="5" spans="2:6" x14ac:dyDescent="0.3">
      <c r="B5" s="11" t="s">
        <v>149</v>
      </c>
      <c r="C5" s="11" t="s">
        <v>150</v>
      </c>
      <c r="D5" s="12">
        <v>26748.799999999999</v>
      </c>
      <c r="F5" s="2" t="s">
        <v>223</v>
      </c>
    </row>
    <row r="6" spans="2:6" x14ac:dyDescent="0.3">
      <c r="B6" s="11" t="s">
        <v>55</v>
      </c>
      <c r="C6" s="11" t="s">
        <v>56</v>
      </c>
      <c r="D6" s="12">
        <v>13371.54</v>
      </c>
      <c r="F6" s="3" t="s">
        <v>224</v>
      </c>
    </row>
    <row r="7" spans="2:6" x14ac:dyDescent="0.3">
      <c r="B7" s="11" t="s">
        <v>55</v>
      </c>
      <c r="C7" s="11" t="s">
        <v>57</v>
      </c>
      <c r="D7" s="12">
        <v>13371.54</v>
      </c>
      <c r="F7" s="3" t="s">
        <v>225</v>
      </c>
    </row>
    <row r="8" spans="2:6" x14ac:dyDescent="0.3">
      <c r="B8" s="11" t="s">
        <v>55</v>
      </c>
      <c r="C8" s="11" t="s">
        <v>58</v>
      </c>
      <c r="D8" s="12">
        <v>13371.54</v>
      </c>
      <c r="F8" s="3" t="s">
        <v>226</v>
      </c>
    </row>
    <row r="9" spans="2:6" x14ac:dyDescent="0.3">
      <c r="B9" s="11" t="s">
        <v>55</v>
      </c>
      <c r="C9" s="11" t="s">
        <v>59</v>
      </c>
      <c r="D9" s="12">
        <v>13371.54</v>
      </c>
      <c r="F9" s="3" t="s">
        <v>227</v>
      </c>
    </row>
    <row r="10" spans="2:6" x14ac:dyDescent="0.3">
      <c r="B10" s="11" t="s">
        <v>55</v>
      </c>
      <c r="C10" s="11" t="s">
        <v>60</v>
      </c>
      <c r="D10" s="12">
        <v>13371.54</v>
      </c>
      <c r="F10" s="3" t="s">
        <v>228</v>
      </c>
    </row>
    <row r="11" spans="2:6" x14ac:dyDescent="0.3">
      <c r="B11" s="11" t="s">
        <v>55</v>
      </c>
      <c r="C11" s="11" t="s">
        <v>61</v>
      </c>
      <c r="D11" s="12">
        <v>13371.54</v>
      </c>
      <c r="F11" s="3" t="s">
        <v>229</v>
      </c>
    </row>
    <row r="12" spans="2:6" x14ac:dyDescent="0.3">
      <c r="B12" s="13"/>
      <c r="C12" s="13"/>
      <c r="D12" s="13"/>
      <c r="F12" s="3" t="s">
        <v>230</v>
      </c>
    </row>
    <row r="13" spans="2:6" ht="14.4" thickBot="1" x14ac:dyDescent="0.35">
      <c r="B13" s="14" t="s">
        <v>242</v>
      </c>
      <c r="C13" s="14"/>
      <c r="D13" s="14"/>
      <c r="F13" s="3" t="s">
        <v>231</v>
      </c>
    </row>
    <row r="14" spans="2:6" x14ac:dyDescent="0.3">
      <c r="B14" s="11" t="s">
        <v>152</v>
      </c>
      <c r="C14" s="11" t="s">
        <v>153</v>
      </c>
      <c r="D14" s="12">
        <v>69347</v>
      </c>
      <c r="F14" s="3" t="s">
        <v>232</v>
      </c>
    </row>
    <row r="15" spans="2:6" x14ac:dyDescent="0.3">
      <c r="B15" s="13"/>
      <c r="C15" s="13"/>
      <c r="D15" s="13"/>
      <c r="F15" s="3" t="s">
        <v>233</v>
      </c>
    </row>
    <row r="16" spans="2:6" ht="14.4" thickBot="1" x14ac:dyDescent="0.35">
      <c r="B16" s="14" t="s">
        <v>243</v>
      </c>
      <c r="C16" s="14"/>
      <c r="D16" s="14"/>
      <c r="F16" s="3" t="s">
        <v>234</v>
      </c>
    </row>
    <row r="17" spans="2:6" x14ac:dyDescent="0.3">
      <c r="B17" s="11" t="s">
        <v>43</v>
      </c>
      <c r="C17" s="11" t="s">
        <v>44</v>
      </c>
      <c r="D17" s="12">
        <v>150009.60000000001</v>
      </c>
      <c r="F17" s="3" t="s">
        <v>235</v>
      </c>
    </row>
    <row r="18" spans="2:6" x14ac:dyDescent="0.3">
      <c r="B18" s="13"/>
      <c r="C18" s="13"/>
      <c r="D18" s="13"/>
      <c r="F18" s="3" t="s">
        <v>236</v>
      </c>
    </row>
    <row r="19" spans="2:6" ht="14.4" thickBot="1" x14ac:dyDescent="0.35">
      <c r="B19" s="14" t="s">
        <v>244</v>
      </c>
      <c r="C19" s="14"/>
      <c r="D19" s="14"/>
      <c r="F19" s="3" t="s">
        <v>237</v>
      </c>
    </row>
    <row r="20" spans="2:6" x14ac:dyDescent="0.3">
      <c r="B20" s="11" t="s">
        <v>39</v>
      </c>
      <c r="C20" s="11" t="s">
        <v>40</v>
      </c>
      <c r="D20" s="12">
        <f>60.1*2080</f>
        <v>125008</v>
      </c>
      <c r="F20" s="3" t="s">
        <v>238</v>
      </c>
    </row>
    <row r="21" spans="2:6" x14ac:dyDescent="0.3">
      <c r="B21" s="11" t="s">
        <v>91</v>
      </c>
      <c r="C21" s="11" t="s">
        <v>92</v>
      </c>
      <c r="D21" s="12">
        <v>114254</v>
      </c>
      <c r="F21" s="3" t="s">
        <v>239</v>
      </c>
    </row>
    <row r="22" spans="2:6" x14ac:dyDescent="0.3">
      <c r="B22" s="11" t="s">
        <v>93</v>
      </c>
      <c r="C22" s="11" t="s">
        <v>94</v>
      </c>
      <c r="D22" s="12">
        <v>111488</v>
      </c>
      <c r="F22" s="4" t="s">
        <v>240</v>
      </c>
    </row>
    <row r="23" spans="2:6" x14ac:dyDescent="0.3">
      <c r="B23" s="11" t="s">
        <v>77</v>
      </c>
      <c r="C23" s="11" t="s">
        <v>78</v>
      </c>
      <c r="D23" s="12">
        <v>111218</v>
      </c>
    </row>
    <row r="24" spans="2:6" x14ac:dyDescent="0.3">
      <c r="B24" s="11" t="s">
        <v>79</v>
      </c>
      <c r="C24" s="11" t="s">
        <v>80</v>
      </c>
      <c r="D24" s="12">
        <v>101982.39999999999</v>
      </c>
    </row>
    <row r="25" spans="2:6" x14ac:dyDescent="0.3">
      <c r="B25" s="11" t="s">
        <v>89</v>
      </c>
      <c r="C25" s="11" t="s">
        <v>90</v>
      </c>
      <c r="D25" s="12">
        <v>100838</v>
      </c>
    </row>
    <row r="26" spans="2:6" x14ac:dyDescent="0.3">
      <c r="B26" s="11" t="s">
        <v>81</v>
      </c>
      <c r="C26" s="11" t="s">
        <v>82</v>
      </c>
      <c r="D26" s="12">
        <v>98758</v>
      </c>
    </row>
    <row r="27" spans="2:6" x14ac:dyDescent="0.3">
      <c r="B27" s="11" t="s">
        <v>83</v>
      </c>
      <c r="C27" s="11" t="s">
        <v>84</v>
      </c>
      <c r="D27" s="12">
        <v>98758</v>
      </c>
    </row>
    <row r="28" spans="2:6" x14ac:dyDescent="0.3">
      <c r="B28" s="11" t="s">
        <v>87</v>
      </c>
      <c r="C28" s="11" t="s">
        <v>88</v>
      </c>
      <c r="D28" s="12">
        <v>93600</v>
      </c>
    </row>
    <row r="29" spans="2:6" x14ac:dyDescent="0.3">
      <c r="B29" s="11" t="s">
        <v>85</v>
      </c>
      <c r="C29" s="11" t="s">
        <v>86</v>
      </c>
      <c r="D29" s="12">
        <v>79248</v>
      </c>
    </row>
    <row r="30" spans="2:6" x14ac:dyDescent="0.3">
      <c r="B30" s="13"/>
      <c r="C30" s="13"/>
      <c r="D30" s="13"/>
    </row>
    <row r="31" spans="2:6" ht="14.4" thickBot="1" x14ac:dyDescent="0.35">
      <c r="B31" s="14" t="s">
        <v>245</v>
      </c>
      <c r="C31" s="14"/>
      <c r="D31" s="14"/>
    </row>
    <row r="32" spans="2:6" x14ac:dyDescent="0.3">
      <c r="B32" s="11" t="s">
        <v>0</v>
      </c>
      <c r="C32" s="11"/>
      <c r="D32" s="12">
        <v>54932.800000000003</v>
      </c>
    </row>
    <row r="33" spans="2:4" x14ac:dyDescent="0.3">
      <c r="B33" s="11" t="s">
        <v>0</v>
      </c>
      <c r="C33" s="11"/>
      <c r="D33" s="12">
        <v>53268.800000000003</v>
      </c>
    </row>
    <row r="34" spans="2:4" x14ac:dyDescent="0.3">
      <c r="B34" s="11" t="s">
        <v>1</v>
      </c>
      <c r="C34" s="11"/>
      <c r="D34" s="12">
        <v>54018</v>
      </c>
    </row>
    <row r="35" spans="2:4" x14ac:dyDescent="0.3">
      <c r="B35" s="11" t="s">
        <v>2</v>
      </c>
      <c r="C35" s="11"/>
      <c r="D35" s="12">
        <v>33717</v>
      </c>
    </row>
    <row r="36" spans="2:4" x14ac:dyDescent="0.3">
      <c r="B36" s="11" t="s">
        <v>3</v>
      </c>
      <c r="C36" s="11"/>
      <c r="D36" s="12">
        <v>33342.400000000001</v>
      </c>
    </row>
    <row r="37" spans="2:4" x14ac:dyDescent="0.3">
      <c r="B37" s="11" t="s">
        <v>3</v>
      </c>
      <c r="C37" s="11"/>
      <c r="D37" s="12">
        <v>28995.200000000001</v>
      </c>
    </row>
    <row r="38" spans="2:4" x14ac:dyDescent="0.3">
      <c r="B38" s="11" t="s">
        <v>4</v>
      </c>
      <c r="C38" s="11"/>
      <c r="D38" s="12">
        <v>28995.200000000001</v>
      </c>
    </row>
    <row r="39" spans="2:4" x14ac:dyDescent="0.3">
      <c r="B39" s="11" t="s">
        <v>5</v>
      </c>
      <c r="C39" s="11"/>
      <c r="D39" s="12">
        <v>28995.200000000001</v>
      </c>
    </row>
    <row r="40" spans="2:4" x14ac:dyDescent="0.3">
      <c r="B40" s="11" t="s">
        <v>6</v>
      </c>
      <c r="C40" s="11"/>
      <c r="D40" s="12">
        <v>33717</v>
      </c>
    </row>
    <row r="41" spans="2:4" x14ac:dyDescent="0.3">
      <c r="B41" s="11" t="s">
        <v>7</v>
      </c>
      <c r="C41" s="11"/>
      <c r="D41" s="12">
        <v>31470.400000000001</v>
      </c>
    </row>
    <row r="42" spans="2:4" x14ac:dyDescent="0.3">
      <c r="B42" s="11" t="s">
        <v>8</v>
      </c>
      <c r="C42" s="11"/>
      <c r="D42" s="12">
        <v>28163</v>
      </c>
    </row>
    <row r="43" spans="2:4" x14ac:dyDescent="0.3">
      <c r="B43" s="11" t="s">
        <v>8</v>
      </c>
      <c r="C43" s="11"/>
      <c r="D43" s="12">
        <v>26645</v>
      </c>
    </row>
    <row r="44" spans="2:4" x14ac:dyDescent="0.3">
      <c r="B44" s="11" t="s">
        <v>9</v>
      </c>
      <c r="C44" s="11"/>
      <c r="D44" s="12">
        <v>31782.400000000001</v>
      </c>
    </row>
    <row r="45" spans="2:4" x14ac:dyDescent="0.3">
      <c r="B45" s="11" t="s">
        <v>10</v>
      </c>
      <c r="C45" s="11"/>
      <c r="D45" s="12">
        <v>52354</v>
      </c>
    </row>
    <row r="46" spans="2:4" x14ac:dyDescent="0.3">
      <c r="B46" s="11" t="s">
        <v>11</v>
      </c>
      <c r="C46" s="11"/>
      <c r="D46" s="12">
        <v>38834</v>
      </c>
    </row>
    <row r="47" spans="2:4" x14ac:dyDescent="0.3">
      <c r="B47" s="11" t="s">
        <v>11</v>
      </c>
      <c r="C47" s="11"/>
      <c r="D47" s="12">
        <v>36858</v>
      </c>
    </row>
    <row r="48" spans="2:4" x14ac:dyDescent="0.3">
      <c r="B48" s="11" t="s">
        <v>11</v>
      </c>
      <c r="C48" s="11"/>
      <c r="D48" s="12">
        <v>35589</v>
      </c>
    </row>
    <row r="49" spans="2:4" x14ac:dyDescent="0.3">
      <c r="B49" s="11" t="s">
        <v>11</v>
      </c>
      <c r="C49" s="11"/>
      <c r="D49" s="12">
        <v>33509</v>
      </c>
    </row>
    <row r="50" spans="2:4" x14ac:dyDescent="0.3">
      <c r="B50" s="11" t="s">
        <v>11</v>
      </c>
      <c r="C50" s="11"/>
      <c r="D50" s="12">
        <v>29786</v>
      </c>
    </row>
    <row r="51" spans="2:4" x14ac:dyDescent="0.3">
      <c r="B51" s="11" t="s">
        <v>11</v>
      </c>
      <c r="C51" s="11"/>
      <c r="D51" s="12">
        <v>28995</v>
      </c>
    </row>
    <row r="52" spans="2:4" x14ac:dyDescent="0.3">
      <c r="B52" s="11" t="s">
        <v>11</v>
      </c>
      <c r="C52" s="11"/>
      <c r="D52" s="12">
        <v>28995</v>
      </c>
    </row>
    <row r="53" spans="2:4" x14ac:dyDescent="0.3">
      <c r="B53" s="11" t="s">
        <v>12</v>
      </c>
      <c r="C53" s="11"/>
      <c r="D53" s="12">
        <v>40206</v>
      </c>
    </row>
    <row r="54" spans="2:4" x14ac:dyDescent="0.3">
      <c r="B54" s="11" t="s">
        <v>12</v>
      </c>
      <c r="C54" s="11"/>
      <c r="D54" s="12">
        <v>39374</v>
      </c>
    </row>
    <row r="55" spans="2:4" x14ac:dyDescent="0.3">
      <c r="B55" s="11" t="s">
        <v>12</v>
      </c>
      <c r="C55" s="11"/>
      <c r="D55" s="12">
        <v>39354</v>
      </c>
    </row>
    <row r="56" spans="2:4" x14ac:dyDescent="0.3">
      <c r="B56" s="11" t="s">
        <v>12</v>
      </c>
      <c r="C56" s="11"/>
      <c r="D56" s="12">
        <v>37586</v>
      </c>
    </row>
    <row r="57" spans="2:4" x14ac:dyDescent="0.3">
      <c r="B57" s="11" t="s">
        <v>12</v>
      </c>
      <c r="C57" s="11"/>
      <c r="D57" s="12">
        <v>31470</v>
      </c>
    </row>
    <row r="58" spans="2:4" x14ac:dyDescent="0.3">
      <c r="B58" s="11" t="s">
        <v>12</v>
      </c>
      <c r="C58" s="11"/>
      <c r="D58" s="12">
        <v>26728</v>
      </c>
    </row>
    <row r="59" spans="2:4" x14ac:dyDescent="0.3">
      <c r="B59" s="11" t="s">
        <v>13</v>
      </c>
      <c r="C59" s="11"/>
      <c r="D59" s="12">
        <v>37440</v>
      </c>
    </row>
    <row r="60" spans="2:4" x14ac:dyDescent="0.3">
      <c r="B60" s="11" t="s">
        <v>14</v>
      </c>
      <c r="C60" s="11"/>
      <c r="D60" s="12">
        <v>30160</v>
      </c>
    </row>
    <row r="61" spans="2:4" x14ac:dyDescent="0.3">
      <c r="B61" s="11" t="s">
        <v>15</v>
      </c>
      <c r="C61" s="11"/>
      <c r="D61" s="12">
        <v>7000</v>
      </c>
    </row>
    <row r="62" spans="2:4" x14ac:dyDescent="0.3">
      <c r="B62" s="11" t="s">
        <v>15</v>
      </c>
      <c r="C62" s="11"/>
      <c r="D62" s="12">
        <v>7000</v>
      </c>
    </row>
    <row r="63" spans="2:4" x14ac:dyDescent="0.3">
      <c r="B63" s="11" t="s">
        <v>16</v>
      </c>
      <c r="C63" s="11"/>
      <c r="D63" s="12">
        <v>30597</v>
      </c>
    </row>
    <row r="64" spans="2:4" x14ac:dyDescent="0.3">
      <c r="B64" s="11" t="s">
        <v>16</v>
      </c>
      <c r="C64" s="11"/>
      <c r="D64" s="12">
        <v>29494</v>
      </c>
    </row>
    <row r="65" spans="2:4" x14ac:dyDescent="0.3">
      <c r="B65" s="11" t="s">
        <v>16</v>
      </c>
      <c r="C65" s="11"/>
      <c r="D65" s="12">
        <v>28246</v>
      </c>
    </row>
    <row r="66" spans="2:4" x14ac:dyDescent="0.3">
      <c r="B66" s="11" t="s">
        <v>16</v>
      </c>
      <c r="C66" s="11"/>
      <c r="D66" s="12">
        <v>25646.400000000001</v>
      </c>
    </row>
    <row r="67" spans="2:4" x14ac:dyDescent="0.3">
      <c r="B67" s="11" t="s">
        <v>16</v>
      </c>
      <c r="C67" s="11"/>
      <c r="D67" s="12">
        <v>25646</v>
      </c>
    </row>
    <row r="68" spans="2:4" x14ac:dyDescent="0.3">
      <c r="B68" s="11" t="s">
        <v>16</v>
      </c>
      <c r="C68" s="11"/>
      <c r="D68" s="12">
        <v>25646</v>
      </c>
    </row>
    <row r="69" spans="2:4" x14ac:dyDescent="0.3">
      <c r="B69" s="11" t="s">
        <v>16</v>
      </c>
      <c r="C69" s="11"/>
      <c r="D69" s="12">
        <v>25646</v>
      </c>
    </row>
    <row r="70" spans="2:4" x14ac:dyDescent="0.3">
      <c r="B70" s="11" t="s">
        <v>17</v>
      </c>
      <c r="C70" s="11"/>
      <c r="D70" s="12">
        <v>43846</v>
      </c>
    </row>
    <row r="71" spans="2:4" x14ac:dyDescent="0.3">
      <c r="B71" s="11" t="s">
        <v>18</v>
      </c>
      <c r="C71" s="11"/>
      <c r="D71" s="12">
        <v>47694</v>
      </c>
    </row>
    <row r="72" spans="2:4" x14ac:dyDescent="0.3">
      <c r="B72" s="11" t="s">
        <v>19</v>
      </c>
      <c r="C72" s="11"/>
      <c r="D72" s="12">
        <v>35589</v>
      </c>
    </row>
    <row r="73" spans="2:4" x14ac:dyDescent="0.3">
      <c r="B73" s="11" t="s">
        <v>19</v>
      </c>
      <c r="C73" s="11"/>
      <c r="D73" s="12">
        <v>31824</v>
      </c>
    </row>
    <row r="74" spans="2:4" x14ac:dyDescent="0.3">
      <c r="B74" s="11" t="s">
        <v>20</v>
      </c>
      <c r="C74" s="11"/>
      <c r="D74" s="12">
        <v>75774</v>
      </c>
    </row>
    <row r="75" spans="2:4" x14ac:dyDescent="0.3">
      <c r="B75" s="11" t="s">
        <v>21</v>
      </c>
      <c r="C75" s="11"/>
      <c r="D75" s="12">
        <v>98322</v>
      </c>
    </row>
    <row r="76" spans="2:4" x14ac:dyDescent="0.3">
      <c r="B76" s="11" t="s">
        <v>22</v>
      </c>
      <c r="C76" s="11"/>
      <c r="D76" s="12">
        <v>57948.800000000003</v>
      </c>
    </row>
    <row r="77" spans="2:4" x14ac:dyDescent="0.3">
      <c r="B77" s="11" t="s">
        <v>23</v>
      </c>
      <c r="C77" s="11"/>
      <c r="D77" s="12">
        <v>76414</v>
      </c>
    </row>
    <row r="78" spans="2:4" x14ac:dyDescent="0.3">
      <c r="B78" s="11" t="s">
        <v>23</v>
      </c>
      <c r="C78" s="11"/>
      <c r="D78" s="12">
        <v>70681</v>
      </c>
    </row>
    <row r="79" spans="2:4" x14ac:dyDescent="0.3">
      <c r="B79" s="11" t="s">
        <v>23</v>
      </c>
      <c r="C79" s="11"/>
      <c r="D79" s="12">
        <v>70681</v>
      </c>
    </row>
    <row r="80" spans="2:4" x14ac:dyDescent="0.3">
      <c r="B80" s="11" t="s">
        <v>24</v>
      </c>
      <c r="C80" s="11"/>
      <c r="D80" s="12">
        <v>70678</v>
      </c>
    </row>
    <row r="81" spans="2:4" x14ac:dyDescent="0.3">
      <c r="B81" s="11" t="s">
        <v>25</v>
      </c>
      <c r="C81" s="11"/>
      <c r="D81" s="12">
        <v>70678.399999999994</v>
      </c>
    </row>
    <row r="82" spans="2:4" x14ac:dyDescent="0.3">
      <c r="B82" s="11" t="s">
        <v>26</v>
      </c>
      <c r="C82" s="11"/>
      <c r="D82" s="12">
        <v>51480</v>
      </c>
    </row>
    <row r="83" spans="2:4" x14ac:dyDescent="0.3">
      <c r="B83" s="11" t="s">
        <v>27</v>
      </c>
      <c r="C83" s="11"/>
      <c r="D83" s="12">
        <v>28995.200000000001</v>
      </c>
    </row>
    <row r="84" spans="2:4" x14ac:dyDescent="0.3">
      <c r="B84" s="11" t="s">
        <v>28</v>
      </c>
      <c r="C84" s="11"/>
      <c r="D84" s="12">
        <v>57116.800000000003</v>
      </c>
    </row>
    <row r="85" spans="2:4" x14ac:dyDescent="0.3">
      <c r="B85" s="11" t="s">
        <v>29</v>
      </c>
      <c r="C85" s="11"/>
      <c r="D85" s="12">
        <v>43804.800000000003</v>
      </c>
    </row>
    <row r="86" spans="2:4" x14ac:dyDescent="0.3">
      <c r="B86" s="11" t="s">
        <v>29</v>
      </c>
      <c r="C86" s="11"/>
      <c r="D86" s="12">
        <v>43284.800000000003</v>
      </c>
    </row>
    <row r="87" spans="2:4" x14ac:dyDescent="0.3">
      <c r="B87" s="11" t="s">
        <v>30</v>
      </c>
      <c r="C87" s="11"/>
      <c r="D87" s="12">
        <v>50648</v>
      </c>
    </row>
    <row r="88" spans="2:4" x14ac:dyDescent="0.3">
      <c r="B88" s="11" t="s">
        <v>31</v>
      </c>
      <c r="C88" s="11"/>
      <c r="D88" s="12">
        <v>35714</v>
      </c>
    </row>
    <row r="89" spans="2:4" x14ac:dyDescent="0.3">
      <c r="B89" s="11" t="s">
        <v>31</v>
      </c>
      <c r="C89" s="11"/>
      <c r="D89" s="12">
        <v>35360</v>
      </c>
    </row>
    <row r="90" spans="2:4" x14ac:dyDescent="0.3">
      <c r="B90" s="11" t="s">
        <v>31</v>
      </c>
      <c r="C90" s="11"/>
      <c r="D90" s="12">
        <v>29390</v>
      </c>
    </row>
    <row r="91" spans="2:4" x14ac:dyDescent="0.3">
      <c r="B91" s="11" t="s">
        <v>32</v>
      </c>
      <c r="C91" s="11"/>
      <c r="D91" s="12">
        <v>94681.600000000006</v>
      </c>
    </row>
    <row r="92" spans="2:4" x14ac:dyDescent="0.3">
      <c r="B92" s="11" t="s">
        <v>33</v>
      </c>
      <c r="C92" s="11"/>
      <c r="D92" s="12">
        <v>35318</v>
      </c>
    </row>
    <row r="93" spans="2:4" x14ac:dyDescent="0.3">
      <c r="B93" s="11" t="s">
        <v>33</v>
      </c>
      <c r="C93" s="11"/>
      <c r="D93" s="12">
        <v>30202</v>
      </c>
    </row>
    <row r="94" spans="2:4" x14ac:dyDescent="0.3">
      <c r="B94" s="11" t="s">
        <v>33</v>
      </c>
      <c r="C94" s="11"/>
      <c r="D94" s="12">
        <v>25750</v>
      </c>
    </row>
    <row r="95" spans="2:4" x14ac:dyDescent="0.3">
      <c r="B95" s="11" t="s">
        <v>33</v>
      </c>
      <c r="C95" s="11"/>
      <c r="D95" s="12">
        <v>25750</v>
      </c>
    </row>
    <row r="96" spans="2:4" x14ac:dyDescent="0.3">
      <c r="B96" s="11" t="s">
        <v>34</v>
      </c>
      <c r="C96" s="11"/>
      <c r="D96" s="12">
        <v>73216</v>
      </c>
    </row>
    <row r="97" spans="2:4" x14ac:dyDescent="0.3">
      <c r="B97" s="11" t="s">
        <v>34</v>
      </c>
      <c r="C97" s="11"/>
      <c r="D97" s="12">
        <v>73216</v>
      </c>
    </row>
    <row r="98" spans="2:4" x14ac:dyDescent="0.3">
      <c r="B98" s="11" t="s">
        <v>35</v>
      </c>
      <c r="C98" s="11"/>
      <c r="D98" s="12">
        <v>37960</v>
      </c>
    </row>
    <row r="99" spans="2:4" x14ac:dyDescent="0.3">
      <c r="B99" s="11" t="s">
        <v>36</v>
      </c>
      <c r="C99" s="11"/>
      <c r="D99" s="12">
        <v>2145</v>
      </c>
    </row>
    <row r="100" spans="2:4" x14ac:dyDescent="0.3">
      <c r="B100" s="11" t="s">
        <v>37</v>
      </c>
      <c r="C100" s="11"/>
      <c r="D100" s="12">
        <v>85218</v>
      </c>
    </row>
    <row r="101" spans="2:4" x14ac:dyDescent="0.3">
      <c r="B101" s="11" t="s">
        <v>38</v>
      </c>
      <c r="C101" s="11"/>
      <c r="D101" s="12">
        <v>45760</v>
      </c>
    </row>
    <row r="102" spans="2:4" x14ac:dyDescent="0.3">
      <c r="B102" s="11" t="s">
        <v>41</v>
      </c>
      <c r="C102" s="11"/>
      <c r="D102" s="12">
        <v>64001.599999999999</v>
      </c>
    </row>
    <row r="103" spans="2:4" x14ac:dyDescent="0.3">
      <c r="B103" s="11" t="s">
        <v>42</v>
      </c>
      <c r="C103" s="11"/>
      <c r="D103" s="12">
        <v>86715.199999999997</v>
      </c>
    </row>
    <row r="104" spans="2:4" x14ac:dyDescent="0.3">
      <c r="B104" s="11" t="s">
        <v>45</v>
      </c>
      <c r="C104" s="11"/>
      <c r="D104" s="12">
        <v>40290</v>
      </c>
    </row>
    <row r="105" spans="2:4" x14ac:dyDescent="0.3">
      <c r="B105" s="11" t="s">
        <v>45</v>
      </c>
      <c r="C105" s="11"/>
      <c r="D105" s="12">
        <v>38542</v>
      </c>
    </row>
    <row r="106" spans="2:4" x14ac:dyDescent="0.3">
      <c r="B106" s="11" t="s">
        <v>45</v>
      </c>
      <c r="C106" s="11"/>
      <c r="D106" s="12">
        <v>31637</v>
      </c>
    </row>
    <row r="107" spans="2:4" x14ac:dyDescent="0.3">
      <c r="B107" s="11" t="s">
        <v>45</v>
      </c>
      <c r="C107" s="11"/>
      <c r="D107" s="12">
        <v>31470</v>
      </c>
    </row>
    <row r="108" spans="2:4" x14ac:dyDescent="0.3">
      <c r="B108" s="11" t="s">
        <v>45</v>
      </c>
      <c r="C108" s="11"/>
      <c r="D108" s="12">
        <v>31470</v>
      </c>
    </row>
    <row r="109" spans="2:4" x14ac:dyDescent="0.3">
      <c r="B109" s="11" t="s">
        <v>46</v>
      </c>
      <c r="C109" s="11"/>
      <c r="D109" s="12">
        <v>40269</v>
      </c>
    </row>
    <row r="110" spans="2:4" x14ac:dyDescent="0.3">
      <c r="B110" s="11" t="s">
        <v>47</v>
      </c>
      <c r="C110" s="11"/>
      <c r="D110" s="12">
        <v>42910</v>
      </c>
    </row>
    <row r="111" spans="2:4" x14ac:dyDescent="0.3">
      <c r="B111" s="11" t="s">
        <v>48</v>
      </c>
      <c r="C111" s="11"/>
      <c r="D111" s="12">
        <v>60694.400000000001</v>
      </c>
    </row>
    <row r="112" spans="2:4" x14ac:dyDescent="0.3">
      <c r="B112" s="11" t="s">
        <v>49</v>
      </c>
      <c r="C112" s="11"/>
      <c r="D112" s="12">
        <v>66622.399999999994</v>
      </c>
    </row>
    <row r="113" spans="2:4" x14ac:dyDescent="0.3">
      <c r="B113" s="11" t="s">
        <v>50</v>
      </c>
      <c r="C113" s="11"/>
      <c r="D113" s="12">
        <v>46363</v>
      </c>
    </row>
    <row r="114" spans="2:4" x14ac:dyDescent="0.3">
      <c r="B114" s="11" t="s">
        <v>50</v>
      </c>
      <c r="C114" s="11"/>
      <c r="D114" s="12">
        <v>42994</v>
      </c>
    </row>
    <row r="115" spans="2:4" x14ac:dyDescent="0.3">
      <c r="B115" s="11" t="s">
        <v>50</v>
      </c>
      <c r="C115" s="11"/>
      <c r="D115" s="12">
        <v>42994</v>
      </c>
    </row>
    <row r="116" spans="2:4" x14ac:dyDescent="0.3">
      <c r="B116" s="11" t="s">
        <v>50</v>
      </c>
      <c r="C116" s="11"/>
      <c r="D116" s="12">
        <v>39894</v>
      </c>
    </row>
    <row r="117" spans="2:4" x14ac:dyDescent="0.3">
      <c r="B117" s="11" t="s">
        <v>50</v>
      </c>
      <c r="C117" s="11"/>
      <c r="D117" s="12">
        <v>36982.400000000001</v>
      </c>
    </row>
    <row r="118" spans="2:4" x14ac:dyDescent="0.3">
      <c r="B118" s="11" t="s">
        <v>50</v>
      </c>
      <c r="C118" s="11"/>
      <c r="D118" s="12">
        <v>36982</v>
      </c>
    </row>
    <row r="119" spans="2:4" x14ac:dyDescent="0.3">
      <c r="B119" s="11" t="s">
        <v>51</v>
      </c>
      <c r="C119" s="11"/>
      <c r="D119" s="12">
        <v>45136</v>
      </c>
    </row>
    <row r="120" spans="2:4" x14ac:dyDescent="0.3">
      <c r="B120" s="11" t="s">
        <v>52</v>
      </c>
      <c r="C120" s="11"/>
      <c r="D120" s="12">
        <v>35818</v>
      </c>
    </row>
    <row r="121" spans="2:4" x14ac:dyDescent="0.3">
      <c r="B121" s="11" t="s">
        <v>53</v>
      </c>
      <c r="C121" s="11"/>
      <c r="D121" s="12">
        <v>61485</v>
      </c>
    </row>
    <row r="122" spans="2:4" x14ac:dyDescent="0.3">
      <c r="B122" s="11" t="s">
        <v>54</v>
      </c>
      <c r="C122" s="11"/>
      <c r="D122" s="12">
        <v>55390</v>
      </c>
    </row>
    <row r="123" spans="2:4" x14ac:dyDescent="0.3">
      <c r="B123" s="11" t="s">
        <v>54</v>
      </c>
      <c r="C123" s="11"/>
      <c r="D123" s="12">
        <v>54205</v>
      </c>
    </row>
    <row r="124" spans="2:4" x14ac:dyDescent="0.3">
      <c r="B124" s="11" t="s">
        <v>54</v>
      </c>
      <c r="C124" s="11"/>
      <c r="D124" s="12">
        <v>50731</v>
      </c>
    </row>
    <row r="125" spans="2:4" x14ac:dyDescent="0.3">
      <c r="B125" s="11" t="s">
        <v>54</v>
      </c>
      <c r="C125" s="11"/>
      <c r="D125" s="12">
        <v>48776</v>
      </c>
    </row>
    <row r="126" spans="2:4" x14ac:dyDescent="0.3">
      <c r="B126" s="11" t="s">
        <v>54</v>
      </c>
      <c r="C126" s="11"/>
      <c r="D126" s="12">
        <v>48776</v>
      </c>
    </row>
    <row r="127" spans="2:4" x14ac:dyDescent="0.3">
      <c r="B127" s="11" t="s">
        <v>54</v>
      </c>
      <c r="C127" s="11"/>
      <c r="D127" s="12">
        <v>45094.400000000001</v>
      </c>
    </row>
    <row r="128" spans="2:4" x14ac:dyDescent="0.3">
      <c r="B128" s="11" t="s">
        <v>54</v>
      </c>
      <c r="C128" s="11"/>
      <c r="D128" s="12">
        <v>45094</v>
      </c>
    </row>
    <row r="129" spans="2:4" x14ac:dyDescent="0.3">
      <c r="B129" s="11" t="s">
        <v>54</v>
      </c>
      <c r="C129" s="11"/>
      <c r="D129" s="12">
        <v>45094</v>
      </c>
    </row>
    <row r="130" spans="2:4" x14ac:dyDescent="0.3">
      <c r="B130" s="11" t="s">
        <v>62</v>
      </c>
      <c r="C130" s="11"/>
      <c r="D130" s="12">
        <v>60611</v>
      </c>
    </row>
    <row r="131" spans="2:4" x14ac:dyDescent="0.3">
      <c r="B131" s="11" t="s">
        <v>63</v>
      </c>
      <c r="C131" s="11"/>
      <c r="D131" s="12">
        <v>4942</v>
      </c>
    </row>
    <row r="132" spans="2:4" x14ac:dyDescent="0.3">
      <c r="B132" s="11" t="s">
        <v>63</v>
      </c>
      <c r="C132" s="11"/>
      <c r="D132" s="12">
        <v>4942</v>
      </c>
    </row>
    <row r="133" spans="2:4" x14ac:dyDescent="0.3">
      <c r="B133" s="11" t="s">
        <v>63</v>
      </c>
      <c r="C133" s="11"/>
      <c r="D133" s="12">
        <v>4942</v>
      </c>
    </row>
    <row r="134" spans="2:4" x14ac:dyDescent="0.3">
      <c r="B134" s="11" t="s">
        <v>63</v>
      </c>
      <c r="C134" s="11"/>
      <c r="D134" s="12">
        <v>4942</v>
      </c>
    </row>
    <row r="135" spans="2:4" x14ac:dyDescent="0.3">
      <c r="B135" s="11" t="s">
        <v>63</v>
      </c>
      <c r="C135" s="11"/>
      <c r="D135" s="12">
        <v>4942</v>
      </c>
    </row>
    <row r="136" spans="2:4" x14ac:dyDescent="0.3">
      <c r="B136" s="11" t="s">
        <v>63</v>
      </c>
      <c r="C136" s="11"/>
      <c r="D136" s="12">
        <v>4942</v>
      </c>
    </row>
    <row r="137" spans="2:4" x14ac:dyDescent="0.3">
      <c r="B137" s="11" t="s">
        <v>63</v>
      </c>
      <c r="C137" s="11"/>
      <c r="D137" s="12">
        <v>4942</v>
      </c>
    </row>
    <row r="138" spans="2:4" x14ac:dyDescent="0.3">
      <c r="B138" s="11" t="s">
        <v>63</v>
      </c>
      <c r="C138" s="11"/>
      <c r="D138" s="12">
        <v>4942</v>
      </c>
    </row>
    <row r="139" spans="2:4" x14ac:dyDescent="0.3">
      <c r="B139" s="11" t="s">
        <v>63</v>
      </c>
      <c r="C139" s="11"/>
      <c r="D139" s="12">
        <v>4942</v>
      </c>
    </row>
    <row r="140" spans="2:4" x14ac:dyDescent="0.3">
      <c r="B140" s="11" t="s">
        <v>63</v>
      </c>
      <c r="C140" s="11"/>
      <c r="D140" s="12">
        <v>4942</v>
      </c>
    </row>
    <row r="141" spans="2:4" x14ac:dyDescent="0.3">
      <c r="B141" s="11" t="s">
        <v>63</v>
      </c>
      <c r="C141" s="11"/>
      <c r="D141" s="12">
        <v>4942</v>
      </c>
    </row>
    <row r="142" spans="2:4" x14ac:dyDescent="0.3">
      <c r="B142" s="11" t="s">
        <v>63</v>
      </c>
      <c r="C142" s="11"/>
      <c r="D142" s="12">
        <v>4942</v>
      </c>
    </row>
    <row r="143" spans="2:4" x14ac:dyDescent="0.3">
      <c r="B143" s="11" t="s">
        <v>63</v>
      </c>
      <c r="C143" s="11"/>
      <c r="D143" s="12">
        <v>4942</v>
      </c>
    </row>
    <row r="144" spans="2:4" x14ac:dyDescent="0.3">
      <c r="B144" s="11" t="s">
        <v>63</v>
      </c>
      <c r="C144" s="11"/>
      <c r="D144" s="12">
        <v>4942</v>
      </c>
    </row>
    <row r="145" spans="2:4" x14ac:dyDescent="0.3">
      <c r="B145" s="11" t="s">
        <v>63</v>
      </c>
      <c r="C145" s="11"/>
      <c r="D145" s="12">
        <v>4942</v>
      </c>
    </row>
    <row r="146" spans="2:4" x14ac:dyDescent="0.3">
      <c r="B146" s="11" t="s">
        <v>63</v>
      </c>
      <c r="C146" s="11"/>
      <c r="D146" s="12">
        <v>4941.8999999999996</v>
      </c>
    </row>
    <row r="147" spans="2:4" x14ac:dyDescent="0.3">
      <c r="B147" s="11" t="s">
        <v>63</v>
      </c>
      <c r="C147" s="11"/>
      <c r="D147" s="12">
        <v>4941.8999999999996</v>
      </c>
    </row>
    <row r="148" spans="2:4" x14ac:dyDescent="0.3">
      <c r="B148" s="11" t="s">
        <v>63</v>
      </c>
      <c r="C148" s="11"/>
      <c r="D148" s="12">
        <v>4941.8999999999996</v>
      </c>
    </row>
    <row r="149" spans="2:4" x14ac:dyDescent="0.3">
      <c r="B149" s="11" t="s">
        <v>63</v>
      </c>
      <c r="C149" s="11"/>
      <c r="D149" s="12">
        <v>4941.8999999999996</v>
      </c>
    </row>
    <row r="150" spans="2:4" x14ac:dyDescent="0.3">
      <c r="B150" s="11" t="s">
        <v>63</v>
      </c>
      <c r="C150" s="11"/>
      <c r="D150" s="12">
        <v>4941.8999999999996</v>
      </c>
    </row>
    <row r="151" spans="2:4" x14ac:dyDescent="0.3">
      <c r="B151" s="11" t="s">
        <v>64</v>
      </c>
      <c r="C151" s="11"/>
      <c r="D151" s="12">
        <v>35818</v>
      </c>
    </row>
    <row r="152" spans="2:4" x14ac:dyDescent="0.3">
      <c r="B152" s="11" t="s">
        <v>65</v>
      </c>
      <c r="C152" s="11"/>
      <c r="D152" s="12">
        <v>24814</v>
      </c>
    </row>
    <row r="153" spans="2:4" x14ac:dyDescent="0.3">
      <c r="B153" s="11" t="s">
        <v>65</v>
      </c>
      <c r="C153" s="11"/>
      <c r="D153" s="12">
        <v>23670</v>
      </c>
    </row>
    <row r="154" spans="2:4" x14ac:dyDescent="0.3">
      <c r="B154" s="11" t="s">
        <v>65</v>
      </c>
      <c r="C154" s="11"/>
      <c r="D154" s="12">
        <v>22755</v>
      </c>
    </row>
    <row r="155" spans="2:4" x14ac:dyDescent="0.3">
      <c r="B155" s="11" t="s">
        <v>65</v>
      </c>
      <c r="C155" s="11"/>
      <c r="D155" s="12">
        <v>22464</v>
      </c>
    </row>
    <row r="156" spans="2:4" x14ac:dyDescent="0.3">
      <c r="B156" s="11" t="s">
        <v>65</v>
      </c>
      <c r="C156" s="11"/>
      <c r="D156" s="12">
        <v>20280</v>
      </c>
    </row>
    <row r="157" spans="2:4" x14ac:dyDescent="0.3">
      <c r="B157" s="11" t="s">
        <v>66</v>
      </c>
      <c r="C157" s="11"/>
      <c r="D157" s="12">
        <v>29536</v>
      </c>
    </row>
    <row r="158" spans="2:4" x14ac:dyDescent="0.3">
      <c r="B158" s="11" t="s">
        <v>67</v>
      </c>
      <c r="C158" s="11"/>
      <c r="D158" s="12">
        <v>27477</v>
      </c>
    </row>
    <row r="159" spans="2:4" x14ac:dyDescent="0.3">
      <c r="B159" s="11" t="s">
        <v>67</v>
      </c>
      <c r="C159" s="11"/>
      <c r="D159" s="12">
        <v>26062</v>
      </c>
    </row>
    <row r="160" spans="2:4" x14ac:dyDescent="0.3">
      <c r="B160" s="11" t="s">
        <v>67</v>
      </c>
      <c r="C160" s="11"/>
      <c r="D160" s="12">
        <v>25085</v>
      </c>
    </row>
    <row r="161" spans="2:4" x14ac:dyDescent="0.3">
      <c r="B161" s="11" t="s">
        <v>67</v>
      </c>
      <c r="C161" s="11"/>
      <c r="D161" s="12">
        <v>25084.799999999999</v>
      </c>
    </row>
    <row r="162" spans="2:4" x14ac:dyDescent="0.3">
      <c r="B162" s="11" t="s">
        <v>67</v>
      </c>
      <c r="C162" s="11"/>
      <c r="D162" s="12">
        <v>25084.799999999999</v>
      </c>
    </row>
    <row r="163" spans="2:4" x14ac:dyDescent="0.3">
      <c r="B163" s="11" t="s">
        <v>68</v>
      </c>
      <c r="C163" s="11"/>
      <c r="D163" s="12">
        <v>40123</v>
      </c>
    </row>
    <row r="164" spans="2:4" x14ac:dyDescent="0.3">
      <c r="B164" s="11" t="s">
        <v>69</v>
      </c>
      <c r="C164" s="11"/>
      <c r="D164" s="12">
        <v>42702</v>
      </c>
    </row>
    <row r="165" spans="2:4" x14ac:dyDescent="0.3">
      <c r="B165" s="11" t="s">
        <v>70</v>
      </c>
      <c r="C165" s="11"/>
      <c r="D165" s="12">
        <v>15912</v>
      </c>
    </row>
    <row r="166" spans="2:4" x14ac:dyDescent="0.3">
      <c r="B166" s="11" t="s">
        <v>71</v>
      </c>
      <c r="C166" s="11"/>
      <c r="D166" s="12">
        <v>87589</v>
      </c>
    </row>
    <row r="167" spans="2:4" x14ac:dyDescent="0.3">
      <c r="B167" s="11" t="s">
        <v>72</v>
      </c>
      <c r="C167" s="11"/>
      <c r="D167" s="12">
        <v>87589</v>
      </c>
    </row>
    <row r="168" spans="2:4" x14ac:dyDescent="0.3">
      <c r="B168" s="11" t="s">
        <v>72</v>
      </c>
      <c r="C168" s="11"/>
      <c r="D168" s="12">
        <v>84427</v>
      </c>
    </row>
    <row r="169" spans="2:4" x14ac:dyDescent="0.3">
      <c r="B169" s="11" t="s">
        <v>73</v>
      </c>
      <c r="C169" s="11"/>
      <c r="D169" s="12">
        <f>38.17*2080</f>
        <v>79393.600000000006</v>
      </c>
    </row>
    <row r="170" spans="2:4" x14ac:dyDescent="0.3">
      <c r="B170" s="11" t="s">
        <v>74</v>
      </c>
      <c r="C170" s="11"/>
      <c r="D170" s="12">
        <v>40310.400000000001</v>
      </c>
    </row>
    <row r="171" spans="2:4" x14ac:dyDescent="0.3">
      <c r="B171" s="11" t="s">
        <v>75</v>
      </c>
      <c r="C171" s="11"/>
      <c r="D171" s="12">
        <v>86715</v>
      </c>
    </row>
    <row r="172" spans="2:4" x14ac:dyDescent="0.3">
      <c r="B172" s="11" t="s">
        <v>76</v>
      </c>
      <c r="C172" s="11"/>
      <c r="D172" s="12">
        <v>54205</v>
      </c>
    </row>
    <row r="173" spans="2:4" x14ac:dyDescent="0.3">
      <c r="B173" s="11" t="s">
        <v>76</v>
      </c>
      <c r="C173" s="11"/>
      <c r="D173" s="12">
        <v>54204.800000000003</v>
      </c>
    </row>
    <row r="174" spans="2:4" x14ac:dyDescent="0.3">
      <c r="B174" s="11" t="s">
        <v>76</v>
      </c>
      <c r="C174" s="11"/>
      <c r="D174" s="12">
        <v>50731</v>
      </c>
    </row>
    <row r="175" spans="2:4" x14ac:dyDescent="0.3">
      <c r="B175" s="11" t="s">
        <v>76</v>
      </c>
      <c r="C175" s="11"/>
      <c r="D175" s="12">
        <v>48776</v>
      </c>
    </row>
    <row r="176" spans="2:4" x14ac:dyDescent="0.3">
      <c r="B176" s="11" t="s">
        <v>76</v>
      </c>
      <c r="C176" s="11"/>
      <c r="D176" s="12">
        <v>48776</v>
      </c>
    </row>
    <row r="177" spans="2:4" x14ac:dyDescent="0.3">
      <c r="B177" s="11" t="s">
        <v>76</v>
      </c>
      <c r="C177" s="11"/>
      <c r="D177" s="12">
        <v>46883.199999999997</v>
      </c>
    </row>
    <row r="178" spans="2:4" x14ac:dyDescent="0.3">
      <c r="B178" s="11" t="s">
        <v>76</v>
      </c>
      <c r="C178" s="11"/>
      <c r="D178" s="12">
        <v>45094</v>
      </c>
    </row>
    <row r="179" spans="2:4" x14ac:dyDescent="0.3">
      <c r="B179" s="11" t="s">
        <v>76</v>
      </c>
      <c r="C179" s="11"/>
      <c r="D179" s="12">
        <v>45094</v>
      </c>
    </row>
    <row r="180" spans="2:4" x14ac:dyDescent="0.3">
      <c r="B180" s="11" t="s">
        <v>76</v>
      </c>
      <c r="C180" s="11"/>
      <c r="D180" s="12">
        <v>45094</v>
      </c>
    </row>
    <row r="181" spans="2:4" x14ac:dyDescent="0.3">
      <c r="B181" s="11" t="s">
        <v>95</v>
      </c>
      <c r="C181" s="11"/>
      <c r="D181" s="12">
        <v>40768</v>
      </c>
    </row>
    <row r="182" spans="2:4" x14ac:dyDescent="0.3">
      <c r="B182" s="11" t="s">
        <v>95</v>
      </c>
      <c r="C182" s="11"/>
      <c r="D182" s="12">
        <v>36254</v>
      </c>
    </row>
    <row r="183" spans="2:4" x14ac:dyDescent="0.3">
      <c r="B183" s="11" t="s">
        <v>95</v>
      </c>
      <c r="C183" s="11"/>
      <c r="D183" s="12">
        <v>36254</v>
      </c>
    </row>
    <row r="184" spans="2:4" x14ac:dyDescent="0.3">
      <c r="B184" s="11" t="s">
        <v>95</v>
      </c>
      <c r="C184" s="11"/>
      <c r="D184" s="12">
        <v>34861</v>
      </c>
    </row>
    <row r="185" spans="2:4" x14ac:dyDescent="0.3">
      <c r="B185" s="11" t="s">
        <v>95</v>
      </c>
      <c r="C185" s="11"/>
      <c r="D185" s="12">
        <v>34861</v>
      </c>
    </row>
    <row r="186" spans="2:4" x14ac:dyDescent="0.3">
      <c r="B186" s="11" t="s">
        <v>95</v>
      </c>
      <c r="C186" s="11"/>
      <c r="D186" s="12">
        <v>33530</v>
      </c>
    </row>
    <row r="187" spans="2:4" x14ac:dyDescent="0.3">
      <c r="B187" s="11" t="s">
        <v>95</v>
      </c>
      <c r="C187" s="11"/>
      <c r="D187" s="12">
        <v>33530</v>
      </c>
    </row>
    <row r="188" spans="2:4" x14ac:dyDescent="0.3">
      <c r="B188" s="11" t="s">
        <v>95</v>
      </c>
      <c r="C188" s="11"/>
      <c r="D188" s="12">
        <v>33530</v>
      </c>
    </row>
    <row r="189" spans="2:4" x14ac:dyDescent="0.3">
      <c r="B189" s="11" t="s">
        <v>95</v>
      </c>
      <c r="C189" s="11"/>
      <c r="D189" s="12">
        <v>33530</v>
      </c>
    </row>
    <row r="190" spans="2:4" x14ac:dyDescent="0.3">
      <c r="B190" s="11" t="s">
        <v>95</v>
      </c>
      <c r="C190" s="11"/>
      <c r="D190" s="12">
        <v>32219.200000000001</v>
      </c>
    </row>
    <row r="191" spans="2:4" x14ac:dyDescent="0.3">
      <c r="B191" s="11" t="s">
        <v>95</v>
      </c>
      <c r="C191" s="11"/>
      <c r="D191" s="12">
        <v>32219.200000000001</v>
      </c>
    </row>
    <row r="192" spans="2:4" x14ac:dyDescent="0.3">
      <c r="B192" s="11" t="s">
        <v>95</v>
      </c>
      <c r="C192" s="11"/>
      <c r="D192" s="12">
        <v>32219.200000000001</v>
      </c>
    </row>
    <row r="193" spans="2:4" x14ac:dyDescent="0.3">
      <c r="B193" s="11" t="s">
        <v>95</v>
      </c>
      <c r="C193" s="11"/>
      <c r="D193" s="12">
        <v>32219.200000000001</v>
      </c>
    </row>
    <row r="194" spans="2:4" x14ac:dyDescent="0.3">
      <c r="B194" s="11" t="s">
        <v>95</v>
      </c>
      <c r="C194" s="11"/>
      <c r="D194" s="12">
        <v>32219.200000000001</v>
      </c>
    </row>
    <row r="195" spans="2:4" x14ac:dyDescent="0.3">
      <c r="B195" s="11" t="s">
        <v>95</v>
      </c>
      <c r="C195" s="11"/>
      <c r="D195" s="12">
        <v>32219.200000000001</v>
      </c>
    </row>
    <row r="196" spans="2:4" x14ac:dyDescent="0.3">
      <c r="B196" s="11" t="s">
        <v>95</v>
      </c>
      <c r="C196" s="11"/>
      <c r="D196" s="12">
        <v>32219.200000000001</v>
      </c>
    </row>
    <row r="197" spans="2:4" x14ac:dyDescent="0.3">
      <c r="B197" s="11" t="s">
        <v>95</v>
      </c>
      <c r="C197" s="11"/>
      <c r="D197" s="12">
        <v>32219.200000000001</v>
      </c>
    </row>
    <row r="198" spans="2:4" x14ac:dyDescent="0.3">
      <c r="B198" s="11" t="s">
        <v>95</v>
      </c>
      <c r="C198" s="11"/>
      <c r="D198" s="12">
        <v>32219.200000000001</v>
      </c>
    </row>
    <row r="199" spans="2:4" x14ac:dyDescent="0.3">
      <c r="B199" s="11" t="s">
        <v>95</v>
      </c>
      <c r="C199" s="11"/>
      <c r="D199" s="12">
        <v>32219.200000000001</v>
      </c>
    </row>
    <row r="200" spans="2:4" x14ac:dyDescent="0.3">
      <c r="B200" s="11" t="s">
        <v>95</v>
      </c>
      <c r="C200" s="11"/>
      <c r="D200" s="12">
        <v>32219</v>
      </c>
    </row>
    <row r="201" spans="2:4" x14ac:dyDescent="0.3">
      <c r="B201" s="11" t="s">
        <v>95</v>
      </c>
      <c r="C201" s="11"/>
      <c r="D201" s="12">
        <v>32219</v>
      </c>
    </row>
    <row r="202" spans="2:4" x14ac:dyDescent="0.3">
      <c r="B202" s="11" t="s">
        <v>95</v>
      </c>
      <c r="C202" s="11"/>
      <c r="D202" s="12">
        <v>32219</v>
      </c>
    </row>
    <row r="203" spans="2:4" x14ac:dyDescent="0.3">
      <c r="B203" s="11" t="s">
        <v>95</v>
      </c>
      <c r="C203" s="11"/>
      <c r="D203" s="12">
        <v>32219</v>
      </c>
    </row>
    <row r="204" spans="2:4" x14ac:dyDescent="0.3">
      <c r="B204" s="11" t="s">
        <v>95</v>
      </c>
      <c r="C204" s="11"/>
      <c r="D204" s="12">
        <v>32219</v>
      </c>
    </row>
    <row r="205" spans="2:4" x14ac:dyDescent="0.3">
      <c r="B205" s="11" t="s">
        <v>95</v>
      </c>
      <c r="C205" s="11"/>
      <c r="D205" s="12">
        <v>32219</v>
      </c>
    </row>
    <row r="206" spans="2:4" x14ac:dyDescent="0.3">
      <c r="B206" s="11" t="s">
        <v>95</v>
      </c>
      <c r="C206" s="11"/>
      <c r="D206" s="12">
        <v>32219</v>
      </c>
    </row>
    <row r="207" spans="2:4" x14ac:dyDescent="0.3">
      <c r="B207" s="11" t="s">
        <v>95</v>
      </c>
      <c r="C207" s="11"/>
      <c r="D207" s="12">
        <v>32219</v>
      </c>
    </row>
    <row r="208" spans="2:4" x14ac:dyDescent="0.3">
      <c r="B208" s="11" t="s">
        <v>95</v>
      </c>
      <c r="C208" s="11"/>
      <c r="D208" s="12">
        <v>32219</v>
      </c>
    </row>
    <row r="209" spans="2:4" x14ac:dyDescent="0.3">
      <c r="B209" s="11" t="s">
        <v>95</v>
      </c>
      <c r="C209" s="11"/>
      <c r="D209" s="12">
        <v>32219</v>
      </c>
    </row>
    <row r="210" spans="2:4" x14ac:dyDescent="0.3">
      <c r="B210" s="11" t="s">
        <v>95</v>
      </c>
      <c r="C210" s="11"/>
      <c r="D210" s="12">
        <v>32219</v>
      </c>
    </row>
    <row r="211" spans="2:4" x14ac:dyDescent="0.3">
      <c r="B211" s="11" t="s">
        <v>95</v>
      </c>
      <c r="C211" s="11"/>
      <c r="D211" s="12">
        <v>32219</v>
      </c>
    </row>
    <row r="212" spans="2:4" x14ac:dyDescent="0.3">
      <c r="B212" s="11" t="s">
        <v>95</v>
      </c>
      <c r="C212" s="11"/>
      <c r="D212" s="12">
        <v>32219</v>
      </c>
    </row>
    <row r="213" spans="2:4" x14ac:dyDescent="0.3">
      <c r="B213" s="11" t="s">
        <v>96</v>
      </c>
      <c r="C213" s="11"/>
      <c r="D213" s="12">
        <v>67920</v>
      </c>
    </row>
    <row r="214" spans="2:4" x14ac:dyDescent="0.3">
      <c r="B214" s="11" t="s">
        <v>96</v>
      </c>
      <c r="C214" s="11"/>
      <c r="D214" s="12">
        <v>67920</v>
      </c>
    </row>
    <row r="215" spans="2:4" x14ac:dyDescent="0.3">
      <c r="B215" s="11" t="s">
        <v>96</v>
      </c>
      <c r="C215" s="11"/>
      <c r="D215" s="12">
        <v>62824</v>
      </c>
    </row>
    <row r="216" spans="2:4" x14ac:dyDescent="0.3">
      <c r="B216" s="11" t="s">
        <v>96</v>
      </c>
      <c r="C216" s="11"/>
      <c r="D216" s="12">
        <v>62824</v>
      </c>
    </row>
    <row r="217" spans="2:4" x14ac:dyDescent="0.3">
      <c r="B217" s="11" t="s">
        <v>96</v>
      </c>
      <c r="C217" s="11"/>
      <c r="D217" s="12">
        <v>62824</v>
      </c>
    </row>
    <row r="218" spans="2:4" x14ac:dyDescent="0.3">
      <c r="B218" s="11" t="s">
        <v>96</v>
      </c>
      <c r="C218" s="11"/>
      <c r="D218" s="12">
        <v>62824</v>
      </c>
    </row>
    <row r="219" spans="2:4" x14ac:dyDescent="0.3">
      <c r="B219" s="11" t="s">
        <v>96</v>
      </c>
      <c r="C219" s="11"/>
      <c r="D219" s="12">
        <v>62824</v>
      </c>
    </row>
    <row r="220" spans="2:4" x14ac:dyDescent="0.3">
      <c r="B220" s="11" t="s">
        <v>96</v>
      </c>
      <c r="C220" s="11"/>
      <c r="D220" s="12">
        <v>62824</v>
      </c>
    </row>
    <row r="221" spans="2:4" x14ac:dyDescent="0.3">
      <c r="B221" s="11" t="s">
        <v>96</v>
      </c>
      <c r="C221" s="11"/>
      <c r="D221" s="12">
        <v>62824</v>
      </c>
    </row>
    <row r="222" spans="2:4" x14ac:dyDescent="0.3">
      <c r="B222" s="11" t="s">
        <v>96</v>
      </c>
      <c r="C222" s="11"/>
      <c r="D222" s="12">
        <v>62824</v>
      </c>
    </row>
    <row r="223" spans="2:4" x14ac:dyDescent="0.3">
      <c r="B223" s="11" t="s">
        <v>96</v>
      </c>
      <c r="C223" s="11"/>
      <c r="D223" s="12">
        <v>62824</v>
      </c>
    </row>
    <row r="224" spans="2:4" x14ac:dyDescent="0.3">
      <c r="B224" s="11" t="s">
        <v>96</v>
      </c>
      <c r="C224" s="11"/>
      <c r="D224" s="12">
        <v>62824</v>
      </c>
    </row>
    <row r="225" spans="2:4" x14ac:dyDescent="0.3">
      <c r="B225" s="11" t="s">
        <v>96</v>
      </c>
      <c r="C225" s="11"/>
      <c r="D225" s="12">
        <v>62824</v>
      </c>
    </row>
    <row r="226" spans="2:4" x14ac:dyDescent="0.3">
      <c r="B226" s="11" t="s">
        <v>96</v>
      </c>
      <c r="C226" s="11"/>
      <c r="D226" s="12">
        <v>62816</v>
      </c>
    </row>
    <row r="227" spans="2:4" x14ac:dyDescent="0.3">
      <c r="B227" s="11" t="s">
        <v>96</v>
      </c>
      <c r="C227" s="11"/>
      <c r="D227" s="12">
        <v>60403.199999999997</v>
      </c>
    </row>
    <row r="228" spans="2:4" x14ac:dyDescent="0.3">
      <c r="B228" s="11" t="s">
        <v>96</v>
      </c>
      <c r="C228" s="11"/>
      <c r="D228" s="12">
        <v>60397</v>
      </c>
    </row>
    <row r="229" spans="2:4" x14ac:dyDescent="0.3">
      <c r="B229" s="11" t="s">
        <v>96</v>
      </c>
      <c r="C229" s="11"/>
      <c r="D229" s="12">
        <v>60397</v>
      </c>
    </row>
    <row r="230" spans="2:4" x14ac:dyDescent="0.3">
      <c r="B230" s="11" t="s">
        <v>96</v>
      </c>
      <c r="C230" s="11"/>
      <c r="D230" s="12">
        <v>60397</v>
      </c>
    </row>
    <row r="231" spans="2:4" x14ac:dyDescent="0.3">
      <c r="B231" s="11" t="s">
        <v>96</v>
      </c>
      <c r="C231" s="11"/>
      <c r="D231" s="12">
        <v>60396.98</v>
      </c>
    </row>
    <row r="232" spans="2:4" x14ac:dyDescent="0.3">
      <c r="B232" s="11" t="s">
        <v>96</v>
      </c>
      <c r="C232" s="11"/>
      <c r="D232" s="12">
        <v>60396.98</v>
      </c>
    </row>
    <row r="233" spans="2:4" x14ac:dyDescent="0.3">
      <c r="B233" s="11" t="s">
        <v>96</v>
      </c>
      <c r="C233" s="11"/>
      <c r="D233" s="12">
        <v>60396.98</v>
      </c>
    </row>
    <row r="234" spans="2:4" x14ac:dyDescent="0.3">
      <c r="B234" s="11" t="s">
        <v>96</v>
      </c>
      <c r="C234" s="11"/>
      <c r="D234" s="12">
        <v>60396.98</v>
      </c>
    </row>
    <row r="235" spans="2:4" x14ac:dyDescent="0.3">
      <c r="B235" s="11" t="s">
        <v>96</v>
      </c>
      <c r="C235" s="11"/>
      <c r="D235" s="12">
        <v>60396.98</v>
      </c>
    </row>
    <row r="236" spans="2:4" x14ac:dyDescent="0.3">
      <c r="B236" s="11" t="s">
        <v>97</v>
      </c>
      <c r="C236" s="11"/>
      <c r="D236" s="12">
        <v>75004.800000000003</v>
      </c>
    </row>
    <row r="237" spans="2:4" x14ac:dyDescent="0.3">
      <c r="B237" s="11" t="s">
        <v>98</v>
      </c>
      <c r="C237" s="11"/>
      <c r="D237" s="12">
        <v>64397</v>
      </c>
    </row>
    <row r="238" spans="2:4" x14ac:dyDescent="0.3">
      <c r="B238" s="11" t="s">
        <v>99</v>
      </c>
      <c r="C238" s="11"/>
      <c r="D238" s="12">
        <v>82430</v>
      </c>
    </row>
    <row r="239" spans="2:4" x14ac:dyDescent="0.3">
      <c r="B239" s="11" t="s">
        <v>100</v>
      </c>
      <c r="C239" s="11"/>
      <c r="D239" s="12">
        <v>53186</v>
      </c>
    </row>
    <row r="240" spans="2:4" x14ac:dyDescent="0.3">
      <c r="B240" s="11" t="s">
        <v>101</v>
      </c>
      <c r="C240" s="11"/>
      <c r="D240" s="12">
        <v>66851</v>
      </c>
    </row>
    <row r="241" spans="2:4" x14ac:dyDescent="0.3">
      <c r="B241" s="11" t="s">
        <v>102</v>
      </c>
      <c r="C241" s="11"/>
      <c r="D241" s="12">
        <v>73008</v>
      </c>
    </row>
    <row r="242" spans="2:4" x14ac:dyDescent="0.3">
      <c r="B242" s="11" t="s">
        <v>103</v>
      </c>
      <c r="C242" s="11"/>
      <c r="D242" s="12">
        <v>74006.399999999994</v>
      </c>
    </row>
    <row r="243" spans="2:4" x14ac:dyDescent="0.3">
      <c r="B243" s="11" t="s">
        <v>104</v>
      </c>
      <c r="C243" s="11"/>
      <c r="D243" s="12">
        <v>68286</v>
      </c>
    </row>
    <row r="244" spans="2:4" x14ac:dyDescent="0.3">
      <c r="B244" s="11" t="s">
        <v>105</v>
      </c>
      <c r="C244" s="11"/>
      <c r="D244" s="12">
        <v>92997</v>
      </c>
    </row>
    <row r="245" spans="2:4" x14ac:dyDescent="0.3">
      <c r="B245" s="11" t="s">
        <v>106</v>
      </c>
      <c r="C245" s="11"/>
      <c r="D245" s="12">
        <v>19572.28</v>
      </c>
    </row>
    <row r="246" spans="2:4" x14ac:dyDescent="0.3">
      <c r="B246" s="11" t="s">
        <v>107</v>
      </c>
      <c r="C246" s="11"/>
      <c r="D246" s="12">
        <v>44304</v>
      </c>
    </row>
    <row r="247" spans="2:4" x14ac:dyDescent="0.3">
      <c r="B247" s="11" t="s">
        <v>107</v>
      </c>
      <c r="C247" s="11"/>
      <c r="D247" s="12">
        <v>39374.400000000001</v>
      </c>
    </row>
    <row r="248" spans="2:4" x14ac:dyDescent="0.3">
      <c r="B248" s="11" t="s">
        <v>108</v>
      </c>
      <c r="C248" s="11"/>
      <c r="D248" s="12">
        <v>38376</v>
      </c>
    </row>
    <row r="249" spans="2:4" x14ac:dyDescent="0.3">
      <c r="B249" s="11" t="s">
        <v>108</v>
      </c>
      <c r="C249" s="11"/>
      <c r="D249" s="12">
        <v>35360</v>
      </c>
    </row>
    <row r="250" spans="2:4" x14ac:dyDescent="0.3">
      <c r="B250" s="11" t="s">
        <v>109</v>
      </c>
      <c r="C250" s="11"/>
      <c r="D250" s="12">
        <v>44554</v>
      </c>
    </row>
    <row r="251" spans="2:4" x14ac:dyDescent="0.3">
      <c r="B251" s="11" t="s">
        <v>110</v>
      </c>
      <c r="C251" s="11"/>
      <c r="D251" s="12">
        <v>69430</v>
      </c>
    </row>
    <row r="252" spans="2:4" x14ac:dyDescent="0.3">
      <c r="B252" s="11" t="s">
        <v>110</v>
      </c>
      <c r="C252" s="11"/>
      <c r="D252" s="12">
        <v>68224</v>
      </c>
    </row>
    <row r="253" spans="2:4" x14ac:dyDescent="0.3">
      <c r="B253" s="11" t="s">
        <v>110</v>
      </c>
      <c r="C253" s="11"/>
      <c r="D253" s="12">
        <v>62150</v>
      </c>
    </row>
    <row r="254" spans="2:4" x14ac:dyDescent="0.3">
      <c r="B254" s="11" t="s">
        <v>110</v>
      </c>
      <c r="C254" s="11"/>
      <c r="D254" s="12">
        <v>62150</v>
      </c>
    </row>
    <row r="255" spans="2:4" x14ac:dyDescent="0.3">
      <c r="B255" s="11" t="s">
        <v>111</v>
      </c>
      <c r="C255" s="11"/>
      <c r="D255" s="12">
        <v>79269</v>
      </c>
    </row>
    <row r="256" spans="2:4" x14ac:dyDescent="0.3">
      <c r="B256" s="11" t="s">
        <v>111</v>
      </c>
      <c r="C256" s="11"/>
      <c r="D256" s="12">
        <v>78748.800000000003</v>
      </c>
    </row>
    <row r="257" spans="2:4" x14ac:dyDescent="0.3">
      <c r="B257" s="11" t="s">
        <v>111</v>
      </c>
      <c r="C257" s="11"/>
      <c r="D257" s="12">
        <v>75005</v>
      </c>
    </row>
    <row r="258" spans="2:4" x14ac:dyDescent="0.3">
      <c r="B258" s="11" t="s">
        <v>111</v>
      </c>
      <c r="C258" s="11"/>
      <c r="D258" s="12">
        <v>51604.800000000003</v>
      </c>
    </row>
    <row r="259" spans="2:4" x14ac:dyDescent="0.3">
      <c r="B259" s="11" t="s">
        <v>112</v>
      </c>
      <c r="C259" s="11"/>
      <c r="D259" s="12">
        <v>35422</v>
      </c>
    </row>
    <row r="260" spans="2:4" x14ac:dyDescent="0.3">
      <c r="B260" s="11" t="s">
        <v>112</v>
      </c>
      <c r="C260" s="11"/>
      <c r="D260" s="12">
        <v>31470.400000000001</v>
      </c>
    </row>
    <row r="261" spans="2:4" x14ac:dyDescent="0.3">
      <c r="B261" s="11" t="s">
        <v>112</v>
      </c>
      <c r="C261" s="11"/>
      <c r="D261" s="12">
        <v>31470</v>
      </c>
    </row>
    <row r="262" spans="2:4" x14ac:dyDescent="0.3">
      <c r="B262" s="11" t="s">
        <v>113</v>
      </c>
      <c r="C262" s="11"/>
      <c r="D262" s="12">
        <v>59987</v>
      </c>
    </row>
    <row r="263" spans="2:4" x14ac:dyDescent="0.3">
      <c r="B263" s="11" t="s">
        <v>114</v>
      </c>
      <c r="C263" s="11"/>
      <c r="D263" s="12">
        <v>32219.200000000001</v>
      </c>
    </row>
    <row r="264" spans="2:4" x14ac:dyDescent="0.3">
      <c r="B264" s="11" t="s">
        <v>114</v>
      </c>
      <c r="C264" s="11"/>
      <c r="D264" s="12">
        <v>32219</v>
      </c>
    </row>
    <row r="265" spans="2:4" x14ac:dyDescent="0.3">
      <c r="B265" s="11" t="s">
        <v>115</v>
      </c>
      <c r="C265" s="11"/>
      <c r="D265" s="12">
        <v>45760</v>
      </c>
    </row>
    <row r="266" spans="2:4" x14ac:dyDescent="0.3">
      <c r="B266" s="11" t="s">
        <v>116</v>
      </c>
      <c r="C266" s="11"/>
      <c r="D266" s="12">
        <v>51584</v>
      </c>
    </row>
    <row r="267" spans="2:4" x14ac:dyDescent="0.3">
      <c r="B267" s="11" t="s">
        <v>117</v>
      </c>
      <c r="C267" s="11"/>
      <c r="D267" s="12">
        <v>50174</v>
      </c>
    </row>
    <row r="268" spans="2:4" x14ac:dyDescent="0.3">
      <c r="B268" s="11" t="s">
        <v>117</v>
      </c>
      <c r="C268" s="11"/>
      <c r="D268" s="12">
        <v>48263</v>
      </c>
    </row>
    <row r="269" spans="2:4" x14ac:dyDescent="0.3">
      <c r="B269" s="11" t="s">
        <v>117</v>
      </c>
      <c r="C269" s="11"/>
      <c r="D269" s="12">
        <v>48263</v>
      </c>
    </row>
    <row r="270" spans="2:4" x14ac:dyDescent="0.3">
      <c r="B270" s="11" t="s">
        <v>117</v>
      </c>
      <c r="C270" s="11"/>
      <c r="D270" s="12">
        <v>48263</v>
      </c>
    </row>
    <row r="271" spans="2:4" x14ac:dyDescent="0.3">
      <c r="B271" s="11" t="s">
        <v>117</v>
      </c>
      <c r="C271" s="11"/>
      <c r="D271" s="12">
        <v>48263</v>
      </c>
    </row>
    <row r="272" spans="2:4" x14ac:dyDescent="0.3">
      <c r="B272" s="11" t="s">
        <v>117</v>
      </c>
      <c r="C272" s="11"/>
      <c r="D272" s="12">
        <v>46413</v>
      </c>
    </row>
    <row r="273" spans="2:4" x14ac:dyDescent="0.3">
      <c r="B273" s="11" t="s">
        <v>117</v>
      </c>
      <c r="C273" s="11"/>
      <c r="D273" s="12">
        <v>46413</v>
      </c>
    </row>
    <row r="274" spans="2:4" x14ac:dyDescent="0.3">
      <c r="B274" s="11" t="s">
        <v>117</v>
      </c>
      <c r="C274" s="11"/>
      <c r="D274" s="12">
        <v>46412.55</v>
      </c>
    </row>
    <row r="275" spans="2:4" x14ac:dyDescent="0.3">
      <c r="B275" s="11" t="s">
        <v>117</v>
      </c>
      <c r="C275" s="11"/>
      <c r="D275" s="12">
        <v>46412.55</v>
      </c>
    </row>
    <row r="276" spans="2:4" x14ac:dyDescent="0.3">
      <c r="B276" s="11" t="s">
        <v>118</v>
      </c>
      <c r="C276" s="11"/>
      <c r="D276" s="12">
        <v>48256</v>
      </c>
    </row>
    <row r="277" spans="2:4" x14ac:dyDescent="0.3">
      <c r="B277" s="11" t="s">
        <v>118</v>
      </c>
      <c r="C277" s="11"/>
      <c r="D277" s="12">
        <v>46405</v>
      </c>
    </row>
    <row r="278" spans="2:4" x14ac:dyDescent="0.3">
      <c r="B278" s="11" t="s">
        <v>119</v>
      </c>
      <c r="C278" s="11"/>
      <c r="D278" s="12">
        <v>67954</v>
      </c>
    </row>
    <row r="279" spans="2:4" x14ac:dyDescent="0.3">
      <c r="B279" s="11" t="s">
        <v>120</v>
      </c>
      <c r="C279" s="11"/>
      <c r="D279" s="12">
        <v>52601</v>
      </c>
    </row>
    <row r="280" spans="2:4" x14ac:dyDescent="0.3">
      <c r="B280" s="11" t="s">
        <v>120</v>
      </c>
      <c r="C280" s="11"/>
      <c r="D280" s="12">
        <v>44926</v>
      </c>
    </row>
    <row r="281" spans="2:4" x14ac:dyDescent="0.3">
      <c r="B281" s="11" t="s">
        <v>120</v>
      </c>
      <c r="C281" s="11"/>
      <c r="D281" s="12">
        <v>44926</v>
      </c>
    </row>
    <row r="282" spans="2:4" x14ac:dyDescent="0.3">
      <c r="B282" s="11" t="s">
        <v>120</v>
      </c>
      <c r="C282" s="11"/>
      <c r="D282" s="12">
        <v>44926</v>
      </c>
    </row>
    <row r="283" spans="2:4" x14ac:dyDescent="0.3">
      <c r="B283" s="11" t="s">
        <v>120</v>
      </c>
      <c r="C283" s="11"/>
      <c r="D283" s="12">
        <v>43197</v>
      </c>
    </row>
    <row r="284" spans="2:4" x14ac:dyDescent="0.3">
      <c r="B284" s="11" t="s">
        <v>120</v>
      </c>
      <c r="C284" s="11"/>
      <c r="D284" s="12">
        <v>43197</v>
      </c>
    </row>
    <row r="285" spans="2:4" x14ac:dyDescent="0.3">
      <c r="B285" s="11" t="s">
        <v>120</v>
      </c>
      <c r="C285" s="11"/>
      <c r="D285" s="12">
        <v>41529</v>
      </c>
    </row>
    <row r="286" spans="2:4" x14ac:dyDescent="0.3">
      <c r="B286" s="11" t="s">
        <v>120</v>
      </c>
      <c r="C286" s="11"/>
      <c r="D286" s="12">
        <v>41529</v>
      </c>
    </row>
    <row r="287" spans="2:4" x14ac:dyDescent="0.3">
      <c r="B287" s="11" t="s">
        <v>120</v>
      </c>
      <c r="C287" s="11"/>
      <c r="D287" s="12">
        <v>41529</v>
      </c>
    </row>
    <row r="288" spans="2:4" x14ac:dyDescent="0.3">
      <c r="B288" s="11" t="s">
        <v>120</v>
      </c>
      <c r="C288" s="11"/>
      <c r="D288" s="12">
        <v>41529</v>
      </c>
    </row>
    <row r="289" spans="2:4" x14ac:dyDescent="0.3">
      <c r="B289" s="11" t="s">
        <v>120</v>
      </c>
      <c r="C289" s="11"/>
      <c r="D289" s="12">
        <v>41529</v>
      </c>
    </row>
    <row r="290" spans="2:4" x14ac:dyDescent="0.3">
      <c r="B290" s="11" t="s">
        <v>120</v>
      </c>
      <c r="C290" s="11"/>
      <c r="D290" s="12">
        <v>41529</v>
      </c>
    </row>
    <row r="291" spans="2:4" x14ac:dyDescent="0.3">
      <c r="B291" s="11" t="s">
        <v>120</v>
      </c>
      <c r="C291" s="11"/>
      <c r="D291" s="12">
        <v>41529</v>
      </c>
    </row>
    <row r="292" spans="2:4" x14ac:dyDescent="0.3">
      <c r="B292" s="11" t="s">
        <v>120</v>
      </c>
      <c r="C292" s="11"/>
      <c r="D292" s="12">
        <v>41529</v>
      </c>
    </row>
    <row r="293" spans="2:4" x14ac:dyDescent="0.3">
      <c r="B293" s="11" t="s">
        <v>120</v>
      </c>
      <c r="C293" s="11"/>
      <c r="D293" s="12">
        <v>41529</v>
      </c>
    </row>
    <row r="294" spans="2:4" x14ac:dyDescent="0.3">
      <c r="B294" s="11" t="s">
        <v>120</v>
      </c>
      <c r="C294" s="11"/>
      <c r="D294" s="12">
        <v>41529</v>
      </c>
    </row>
    <row r="295" spans="2:4" x14ac:dyDescent="0.3">
      <c r="B295" s="11" t="s">
        <v>120</v>
      </c>
      <c r="C295" s="11"/>
      <c r="D295" s="12">
        <v>41529</v>
      </c>
    </row>
    <row r="296" spans="2:4" x14ac:dyDescent="0.3">
      <c r="B296" s="11" t="s">
        <v>120</v>
      </c>
      <c r="C296" s="11"/>
      <c r="D296" s="12">
        <v>41529</v>
      </c>
    </row>
    <row r="297" spans="2:4" x14ac:dyDescent="0.3">
      <c r="B297" s="11" t="s">
        <v>120</v>
      </c>
      <c r="C297" s="11"/>
      <c r="D297" s="12">
        <v>41529</v>
      </c>
    </row>
    <row r="298" spans="2:4" x14ac:dyDescent="0.3">
      <c r="B298" s="11" t="s">
        <v>120</v>
      </c>
      <c r="C298" s="11"/>
      <c r="D298" s="12">
        <v>41529</v>
      </c>
    </row>
    <row r="299" spans="2:4" x14ac:dyDescent="0.3">
      <c r="B299" s="11" t="s">
        <v>120</v>
      </c>
      <c r="C299" s="11"/>
      <c r="D299" s="12">
        <v>41528.620000000003</v>
      </c>
    </row>
    <row r="300" spans="2:4" x14ac:dyDescent="0.3">
      <c r="B300" s="11" t="s">
        <v>120</v>
      </c>
      <c r="C300" s="11"/>
      <c r="D300" s="12">
        <v>41528.620000000003</v>
      </c>
    </row>
    <row r="301" spans="2:4" x14ac:dyDescent="0.3">
      <c r="B301" s="11" t="s">
        <v>120</v>
      </c>
      <c r="C301" s="11"/>
      <c r="D301" s="12">
        <v>41528.620000000003</v>
      </c>
    </row>
    <row r="302" spans="2:4" x14ac:dyDescent="0.3">
      <c r="B302" s="11" t="s">
        <v>121</v>
      </c>
      <c r="C302" s="11"/>
      <c r="D302" s="12">
        <v>54087</v>
      </c>
    </row>
    <row r="303" spans="2:4" x14ac:dyDescent="0.3">
      <c r="B303" s="11" t="s">
        <v>121</v>
      </c>
      <c r="C303" s="11"/>
      <c r="D303" s="12">
        <v>54087</v>
      </c>
    </row>
    <row r="304" spans="2:4" x14ac:dyDescent="0.3">
      <c r="B304" s="11" t="s">
        <v>121</v>
      </c>
      <c r="C304" s="11"/>
      <c r="D304" s="12">
        <v>54087</v>
      </c>
    </row>
    <row r="305" spans="2:4" x14ac:dyDescent="0.3">
      <c r="B305" s="11" t="s">
        <v>121</v>
      </c>
      <c r="C305" s="11"/>
      <c r="D305" s="12">
        <v>52024.52</v>
      </c>
    </row>
    <row r="306" spans="2:4" x14ac:dyDescent="0.3">
      <c r="B306" s="11" t="s">
        <v>121</v>
      </c>
      <c r="C306" s="11"/>
      <c r="D306" s="12">
        <v>44471</v>
      </c>
    </row>
    <row r="307" spans="2:4" x14ac:dyDescent="0.3">
      <c r="B307" s="11" t="s">
        <v>121</v>
      </c>
      <c r="C307" s="11"/>
      <c r="D307" s="12">
        <v>42772.35</v>
      </c>
    </row>
    <row r="308" spans="2:4" x14ac:dyDescent="0.3">
      <c r="B308" s="11" t="s">
        <v>121</v>
      </c>
      <c r="C308" s="11"/>
      <c r="D308" s="12">
        <v>42772</v>
      </c>
    </row>
    <row r="309" spans="2:4" x14ac:dyDescent="0.3">
      <c r="B309" s="11" t="s">
        <v>121</v>
      </c>
      <c r="C309" s="11"/>
      <c r="D309" s="12">
        <v>42772</v>
      </c>
    </row>
    <row r="310" spans="2:4" x14ac:dyDescent="0.3">
      <c r="B310" s="11" t="s">
        <v>122</v>
      </c>
      <c r="C310" s="11"/>
      <c r="D310" s="12">
        <v>59669</v>
      </c>
    </row>
    <row r="311" spans="2:4" x14ac:dyDescent="0.3">
      <c r="B311" s="11" t="s">
        <v>122</v>
      </c>
      <c r="C311" s="11"/>
      <c r="D311" s="12">
        <v>53026</v>
      </c>
    </row>
    <row r="312" spans="2:4" x14ac:dyDescent="0.3">
      <c r="B312" s="11" t="s">
        <v>122</v>
      </c>
      <c r="C312" s="11"/>
      <c r="D312" s="12">
        <v>53026</v>
      </c>
    </row>
    <row r="313" spans="2:4" x14ac:dyDescent="0.3">
      <c r="B313" s="11" t="s">
        <v>122</v>
      </c>
      <c r="C313" s="11"/>
      <c r="D313" s="12">
        <v>53026</v>
      </c>
    </row>
    <row r="314" spans="2:4" x14ac:dyDescent="0.3">
      <c r="B314" s="11" t="s">
        <v>122</v>
      </c>
      <c r="C314" s="11"/>
      <c r="D314" s="12">
        <v>49052</v>
      </c>
    </row>
    <row r="315" spans="2:4" x14ac:dyDescent="0.3">
      <c r="B315" s="11" t="s">
        <v>122</v>
      </c>
      <c r="C315" s="11"/>
      <c r="D315" s="12">
        <v>49052</v>
      </c>
    </row>
    <row r="316" spans="2:4" x14ac:dyDescent="0.3">
      <c r="B316" s="11" t="s">
        <v>122</v>
      </c>
      <c r="C316" s="11"/>
      <c r="D316" s="12">
        <v>49052</v>
      </c>
    </row>
    <row r="317" spans="2:4" x14ac:dyDescent="0.3">
      <c r="B317" s="11" t="s">
        <v>122</v>
      </c>
      <c r="C317" s="11"/>
      <c r="D317" s="12">
        <v>49046.400000000001</v>
      </c>
    </row>
    <row r="318" spans="2:4" x14ac:dyDescent="0.3">
      <c r="B318" s="11" t="s">
        <v>122</v>
      </c>
      <c r="C318" s="11"/>
      <c r="D318" s="12">
        <v>47141</v>
      </c>
    </row>
    <row r="319" spans="2:4" x14ac:dyDescent="0.3">
      <c r="B319" s="11" t="s">
        <v>122</v>
      </c>
      <c r="C319" s="11"/>
      <c r="D319" s="12">
        <v>47141</v>
      </c>
    </row>
    <row r="320" spans="2:4" x14ac:dyDescent="0.3">
      <c r="B320" s="11" t="s">
        <v>122</v>
      </c>
      <c r="C320" s="11"/>
      <c r="D320" s="12">
        <v>47141</v>
      </c>
    </row>
    <row r="321" spans="2:4" x14ac:dyDescent="0.3">
      <c r="B321" s="11" t="s">
        <v>122</v>
      </c>
      <c r="C321" s="11"/>
      <c r="D321" s="12">
        <v>47141</v>
      </c>
    </row>
    <row r="322" spans="2:4" x14ac:dyDescent="0.3">
      <c r="B322" s="11" t="s">
        <v>122</v>
      </c>
      <c r="C322" s="11"/>
      <c r="D322" s="12">
        <v>47141</v>
      </c>
    </row>
    <row r="323" spans="2:4" x14ac:dyDescent="0.3">
      <c r="B323" s="11" t="s">
        <v>122</v>
      </c>
      <c r="C323" s="11"/>
      <c r="D323" s="12">
        <v>47141</v>
      </c>
    </row>
    <row r="324" spans="2:4" x14ac:dyDescent="0.3">
      <c r="B324" s="11" t="s">
        <v>122</v>
      </c>
      <c r="C324" s="11"/>
      <c r="D324" s="12">
        <v>47141</v>
      </c>
    </row>
    <row r="325" spans="2:4" x14ac:dyDescent="0.3">
      <c r="B325" s="11" t="s">
        <v>122</v>
      </c>
      <c r="C325" s="11"/>
      <c r="D325" s="12">
        <v>47141</v>
      </c>
    </row>
    <row r="326" spans="2:4" x14ac:dyDescent="0.3">
      <c r="B326" s="11" t="s">
        <v>122</v>
      </c>
      <c r="C326" s="11"/>
      <c r="D326" s="12">
        <v>47141</v>
      </c>
    </row>
    <row r="327" spans="2:4" x14ac:dyDescent="0.3">
      <c r="B327" s="11" t="s">
        <v>122</v>
      </c>
      <c r="C327" s="11"/>
      <c r="D327" s="12">
        <v>47141</v>
      </c>
    </row>
    <row r="328" spans="2:4" x14ac:dyDescent="0.3">
      <c r="B328" s="11" t="s">
        <v>122</v>
      </c>
      <c r="C328" s="11"/>
      <c r="D328" s="12">
        <v>47141</v>
      </c>
    </row>
    <row r="329" spans="2:4" x14ac:dyDescent="0.3">
      <c r="B329" s="11" t="s">
        <v>122</v>
      </c>
      <c r="C329" s="11"/>
      <c r="D329" s="12">
        <v>47141</v>
      </c>
    </row>
    <row r="330" spans="2:4" x14ac:dyDescent="0.3">
      <c r="B330" s="11" t="s">
        <v>122</v>
      </c>
      <c r="C330" s="11"/>
      <c r="D330" s="12">
        <v>47140.59</v>
      </c>
    </row>
    <row r="331" spans="2:4" x14ac:dyDescent="0.3">
      <c r="B331" s="11" t="s">
        <v>122</v>
      </c>
      <c r="C331" s="11"/>
      <c r="D331" s="12">
        <v>47140.59</v>
      </c>
    </row>
    <row r="332" spans="2:4" x14ac:dyDescent="0.3">
      <c r="B332" s="11" t="s">
        <v>122</v>
      </c>
      <c r="C332" s="11"/>
      <c r="D332" s="12">
        <v>47140.59</v>
      </c>
    </row>
    <row r="333" spans="2:4" x14ac:dyDescent="0.3">
      <c r="B333" s="11" t="s">
        <v>123</v>
      </c>
      <c r="C333" s="11"/>
      <c r="D333" s="12">
        <v>53310</v>
      </c>
    </row>
    <row r="334" spans="2:4" x14ac:dyDescent="0.3">
      <c r="B334" s="11" t="s">
        <v>124</v>
      </c>
      <c r="C334" s="11"/>
      <c r="D334" s="12">
        <v>52395</v>
      </c>
    </row>
    <row r="335" spans="2:4" x14ac:dyDescent="0.3">
      <c r="B335" s="11" t="s">
        <v>124</v>
      </c>
      <c r="C335" s="11"/>
      <c r="D335" s="12">
        <v>41246.400000000001</v>
      </c>
    </row>
    <row r="336" spans="2:4" x14ac:dyDescent="0.3">
      <c r="B336" s="11" t="s">
        <v>125</v>
      </c>
      <c r="C336" s="11"/>
      <c r="D336" s="12">
        <v>45988.800000000003</v>
      </c>
    </row>
    <row r="337" spans="2:4" x14ac:dyDescent="0.3">
      <c r="B337" s="11" t="s">
        <v>126</v>
      </c>
      <c r="C337" s="11"/>
      <c r="D337" s="12">
        <v>38002</v>
      </c>
    </row>
    <row r="338" spans="2:4" x14ac:dyDescent="0.3">
      <c r="B338" s="11" t="s">
        <v>127</v>
      </c>
      <c r="C338" s="11"/>
      <c r="D338" s="12">
        <v>6000</v>
      </c>
    </row>
    <row r="339" spans="2:4" x14ac:dyDescent="0.3">
      <c r="B339" s="11" t="s">
        <v>127</v>
      </c>
      <c r="C339" s="11"/>
      <c r="D339" s="12">
        <v>4500</v>
      </c>
    </row>
    <row r="340" spans="2:4" x14ac:dyDescent="0.3">
      <c r="B340" s="11" t="s">
        <v>127</v>
      </c>
      <c r="C340" s="11"/>
      <c r="D340" s="12">
        <v>4500</v>
      </c>
    </row>
    <row r="341" spans="2:4" x14ac:dyDescent="0.3">
      <c r="B341" s="11" t="s">
        <v>128</v>
      </c>
      <c r="C341" s="11"/>
      <c r="D341" s="12">
        <v>38979</v>
      </c>
    </row>
    <row r="342" spans="2:4" x14ac:dyDescent="0.3">
      <c r="B342" s="11" t="s">
        <v>128</v>
      </c>
      <c r="C342" s="11"/>
      <c r="D342" s="12">
        <v>36878</v>
      </c>
    </row>
    <row r="343" spans="2:4" x14ac:dyDescent="0.3">
      <c r="B343" s="11" t="s">
        <v>128</v>
      </c>
      <c r="C343" s="11"/>
      <c r="D343" s="12">
        <v>36837</v>
      </c>
    </row>
    <row r="344" spans="2:4" x14ac:dyDescent="0.3">
      <c r="B344" s="11" t="s">
        <v>128</v>
      </c>
      <c r="C344" s="11"/>
      <c r="D344" s="12">
        <v>36691</v>
      </c>
    </row>
    <row r="345" spans="2:4" x14ac:dyDescent="0.3">
      <c r="B345" s="11" t="s">
        <v>128</v>
      </c>
      <c r="C345" s="11"/>
      <c r="D345" s="12">
        <v>32864</v>
      </c>
    </row>
    <row r="346" spans="2:4" x14ac:dyDescent="0.3">
      <c r="B346" s="11" t="s">
        <v>128</v>
      </c>
      <c r="C346" s="11"/>
      <c r="D346" s="12">
        <v>31990</v>
      </c>
    </row>
    <row r="347" spans="2:4" x14ac:dyDescent="0.3">
      <c r="B347" s="11" t="s">
        <v>128</v>
      </c>
      <c r="C347" s="11"/>
      <c r="D347" s="12">
        <v>28995.200000000001</v>
      </c>
    </row>
    <row r="348" spans="2:4" x14ac:dyDescent="0.3">
      <c r="B348" s="11" t="s">
        <v>129</v>
      </c>
      <c r="C348" s="11"/>
      <c r="D348" s="12">
        <v>64397</v>
      </c>
    </row>
    <row r="349" spans="2:4" x14ac:dyDescent="0.3">
      <c r="B349" s="11" t="s">
        <v>130</v>
      </c>
      <c r="C349" s="11"/>
      <c r="D349" s="12">
        <v>39728</v>
      </c>
    </row>
    <row r="350" spans="2:4" x14ac:dyDescent="0.3">
      <c r="B350" s="11" t="s">
        <v>130</v>
      </c>
      <c r="C350" s="11"/>
      <c r="D350" s="12">
        <v>36504</v>
      </c>
    </row>
    <row r="351" spans="2:4" x14ac:dyDescent="0.3">
      <c r="B351" s="11" t="s">
        <v>131</v>
      </c>
      <c r="C351" s="11"/>
      <c r="D351" s="12">
        <v>47694</v>
      </c>
    </row>
    <row r="352" spans="2:4" x14ac:dyDescent="0.3">
      <c r="B352" s="11" t="s">
        <v>131</v>
      </c>
      <c r="C352" s="11"/>
      <c r="D352" s="12">
        <v>47694</v>
      </c>
    </row>
    <row r="353" spans="2:4" x14ac:dyDescent="0.3">
      <c r="B353" s="11" t="s">
        <v>131</v>
      </c>
      <c r="C353" s="11"/>
      <c r="D353" s="12">
        <v>47694</v>
      </c>
    </row>
    <row r="354" spans="2:4" x14ac:dyDescent="0.3">
      <c r="B354" s="11" t="s">
        <v>131</v>
      </c>
      <c r="C354" s="11"/>
      <c r="D354" s="12">
        <v>45573</v>
      </c>
    </row>
    <row r="355" spans="2:4" x14ac:dyDescent="0.3">
      <c r="B355" s="11" t="s">
        <v>132</v>
      </c>
      <c r="C355" s="11"/>
      <c r="D355" s="12">
        <v>23733</v>
      </c>
    </row>
    <row r="356" spans="2:4" x14ac:dyDescent="0.3">
      <c r="B356" s="11" t="s">
        <v>132</v>
      </c>
      <c r="C356" s="11"/>
      <c r="D356" s="12">
        <v>22547</v>
      </c>
    </row>
    <row r="357" spans="2:4" x14ac:dyDescent="0.3">
      <c r="B357" s="11" t="s">
        <v>132</v>
      </c>
      <c r="C357" s="11"/>
      <c r="D357" s="12">
        <v>20280</v>
      </c>
    </row>
    <row r="358" spans="2:4" x14ac:dyDescent="0.3">
      <c r="B358" s="11" t="s">
        <v>132</v>
      </c>
      <c r="C358" s="11"/>
      <c r="D358" s="12">
        <v>20280</v>
      </c>
    </row>
    <row r="359" spans="2:4" x14ac:dyDescent="0.3">
      <c r="B359" s="11" t="s">
        <v>132</v>
      </c>
      <c r="C359" s="11"/>
      <c r="D359" s="12">
        <v>20280</v>
      </c>
    </row>
    <row r="360" spans="2:4" x14ac:dyDescent="0.3">
      <c r="B360" s="11" t="s">
        <v>133</v>
      </c>
      <c r="C360" s="11"/>
      <c r="D360" s="12">
        <v>3216</v>
      </c>
    </row>
    <row r="361" spans="2:4" x14ac:dyDescent="0.3">
      <c r="B361" s="11" t="s">
        <v>133</v>
      </c>
      <c r="C361" s="11"/>
      <c r="D361" s="12">
        <v>3182.4</v>
      </c>
    </row>
    <row r="362" spans="2:4" x14ac:dyDescent="0.3">
      <c r="B362" s="11" t="s">
        <v>133</v>
      </c>
      <c r="C362" s="11"/>
      <c r="D362" s="12">
        <v>3182</v>
      </c>
    </row>
    <row r="363" spans="2:4" x14ac:dyDescent="0.3">
      <c r="B363" s="11" t="s">
        <v>134</v>
      </c>
      <c r="C363" s="11"/>
      <c r="D363" s="12">
        <v>9386</v>
      </c>
    </row>
    <row r="364" spans="2:4" x14ac:dyDescent="0.3">
      <c r="B364" s="11" t="s">
        <v>134</v>
      </c>
      <c r="C364" s="11"/>
      <c r="D364" s="12">
        <v>7928.7</v>
      </c>
    </row>
    <row r="365" spans="2:4" x14ac:dyDescent="0.3">
      <c r="B365" s="11" t="s">
        <v>134</v>
      </c>
      <c r="C365" s="11"/>
      <c r="D365" s="12">
        <v>7120</v>
      </c>
    </row>
    <row r="366" spans="2:4" x14ac:dyDescent="0.3">
      <c r="B366" s="11" t="s">
        <v>135</v>
      </c>
      <c r="C366" s="11"/>
      <c r="D366" s="12">
        <v>42120</v>
      </c>
    </row>
    <row r="367" spans="2:4" x14ac:dyDescent="0.3">
      <c r="B367" s="11" t="s">
        <v>135</v>
      </c>
      <c r="C367" s="11"/>
      <c r="D367" s="12">
        <v>39666</v>
      </c>
    </row>
    <row r="368" spans="2:4" x14ac:dyDescent="0.3">
      <c r="B368" s="11" t="s">
        <v>136</v>
      </c>
      <c r="C368" s="11"/>
      <c r="D368" s="12">
        <v>50918</v>
      </c>
    </row>
    <row r="369" spans="2:4" x14ac:dyDescent="0.3">
      <c r="B369" s="11" t="s">
        <v>136</v>
      </c>
      <c r="C369" s="11"/>
      <c r="D369" s="12">
        <v>50128</v>
      </c>
    </row>
    <row r="370" spans="2:4" x14ac:dyDescent="0.3">
      <c r="B370" s="11" t="s">
        <v>136</v>
      </c>
      <c r="C370" s="11"/>
      <c r="D370" s="12">
        <v>47757</v>
      </c>
    </row>
    <row r="371" spans="2:4" x14ac:dyDescent="0.3">
      <c r="B371" s="11" t="s">
        <v>136</v>
      </c>
      <c r="C371" s="11"/>
      <c r="D371" s="12">
        <v>47486</v>
      </c>
    </row>
    <row r="372" spans="2:4" x14ac:dyDescent="0.3">
      <c r="B372" s="11" t="s">
        <v>136</v>
      </c>
      <c r="C372" s="11"/>
      <c r="D372" s="12">
        <v>43867</v>
      </c>
    </row>
    <row r="373" spans="2:4" x14ac:dyDescent="0.3">
      <c r="B373" s="11" t="s">
        <v>136</v>
      </c>
      <c r="C373" s="11"/>
      <c r="D373" s="12">
        <v>41246</v>
      </c>
    </row>
    <row r="374" spans="2:4" x14ac:dyDescent="0.3">
      <c r="B374" s="11" t="s">
        <v>136</v>
      </c>
      <c r="C374" s="11"/>
      <c r="D374" s="12">
        <v>20623</v>
      </c>
    </row>
    <row r="375" spans="2:4" x14ac:dyDescent="0.3">
      <c r="B375" s="11" t="s">
        <v>137</v>
      </c>
      <c r="C375" s="11"/>
      <c r="D375" s="12">
        <v>49608</v>
      </c>
    </row>
    <row r="376" spans="2:4" x14ac:dyDescent="0.3">
      <c r="B376" s="11" t="s">
        <v>137</v>
      </c>
      <c r="C376" s="11"/>
      <c r="D376" s="12">
        <v>47112</v>
      </c>
    </row>
    <row r="377" spans="2:4" x14ac:dyDescent="0.3">
      <c r="B377" s="11" t="s">
        <v>138</v>
      </c>
      <c r="C377" s="11"/>
      <c r="D377" s="12">
        <v>41018</v>
      </c>
    </row>
    <row r="378" spans="2:4" x14ac:dyDescent="0.3">
      <c r="B378" s="11" t="s">
        <v>138</v>
      </c>
      <c r="C378" s="11"/>
      <c r="D378" s="12">
        <v>37898</v>
      </c>
    </row>
    <row r="379" spans="2:4" x14ac:dyDescent="0.3">
      <c r="B379" s="11" t="s">
        <v>138</v>
      </c>
      <c r="C379" s="11"/>
      <c r="D379" s="12">
        <v>24167</v>
      </c>
    </row>
    <row r="380" spans="2:4" x14ac:dyDescent="0.3">
      <c r="B380" s="11" t="s">
        <v>138</v>
      </c>
      <c r="C380" s="11"/>
      <c r="D380" s="12">
        <v>24115</v>
      </c>
    </row>
    <row r="381" spans="2:4" x14ac:dyDescent="0.3">
      <c r="B381" s="11" t="s">
        <v>138</v>
      </c>
      <c r="C381" s="11"/>
      <c r="D381" s="12">
        <v>22277</v>
      </c>
    </row>
    <row r="382" spans="2:4" x14ac:dyDescent="0.3">
      <c r="B382" s="11" t="s">
        <v>139</v>
      </c>
      <c r="C382" s="11"/>
      <c r="D382" s="12">
        <v>33550</v>
      </c>
    </row>
    <row r="383" spans="2:4" x14ac:dyDescent="0.3">
      <c r="B383" s="11" t="s">
        <v>139</v>
      </c>
      <c r="C383" s="11"/>
      <c r="D383" s="12">
        <v>33550</v>
      </c>
    </row>
    <row r="384" spans="2:4" x14ac:dyDescent="0.3">
      <c r="B384" s="11" t="s">
        <v>140</v>
      </c>
      <c r="C384" s="11"/>
      <c r="D384" s="12">
        <v>36067</v>
      </c>
    </row>
    <row r="385" spans="2:4" x14ac:dyDescent="0.3">
      <c r="B385" s="11" t="s">
        <v>141</v>
      </c>
      <c r="C385" s="11"/>
      <c r="D385" s="12">
        <v>26312</v>
      </c>
    </row>
    <row r="386" spans="2:4" x14ac:dyDescent="0.3">
      <c r="B386" s="11" t="s">
        <v>141</v>
      </c>
      <c r="C386" s="11"/>
      <c r="D386" s="12">
        <v>24211</v>
      </c>
    </row>
    <row r="387" spans="2:4" x14ac:dyDescent="0.3">
      <c r="B387" s="11" t="s">
        <v>141</v>
      </c>
      <c r="C387" s="11"/>
      <c r="D387" s="12">
        <v>22339</v>
      </c>
    </row>
    <row r="388" spans="2:4" x14ac:dyDescent="0.3">
      <c r="B388" s="11" t="s">
        <v>141</v>
      </c>
      <c r="C388" s="11"/>
      <c r="D388" s="12">
        <v>21762</v>
      </c>
    </row>
    <row r="389" spans="2:4" x14ac:dyDescent="0.3">
      <c r="B389" s="11" t="s">
        <v>141</v>
      </c>
      <c r="C389" s="11"/>
      <c r="D389" s="12">
        <v>21174</v>
      </c>
    </row>
    <row r="390" spans="2:4" x14ac:dyDescent="0.3">
      <c r="B390" s="11" t="s">
        <v>141</v>
      </c>
      <c r="C390" s="11"/>
      <c r="D390" s="12">
        <v>21174</v>
      </c>
    </row>
    <row r="391" spans="2:4" x14ac:dyDescent="0.3">
      <c r="B391" s="11" t="s">
        <v>141</v>
      </c>
      <c r="C391" s="11"/>
      <c r="D391" s="12">
        <v>18158</v>
      </c>
    </row>
    <row r="392" spans="2:4" x14ac:dyDescent="0.3">
      <c r="B392" s="11" t="s">
        <v>141</v>
      </c>
      <c r="C392" s="11"/>
      <c r="D392" s="12">
        <v>10587</v>
      </c>
    </row>
    <row r="393" spans="2:4" x14ac:dyDescent="0.3">
      <c r="B393" s="11" t="s">
        <v>141</v>
      </c>
      <c r="C393" s="11"/>
      <c r="D393" s="12">
        <v>10587</v>
      </c>
    </row>
    <row r="394" spans="2:4" x14ac:dyDescent="0.3">
      <c r="B394" s="11" t="s">
        <v>141</v>
      </c>
      <c r="C394" s="11"/>
      <c r="D394" s="12">
        <v>10587</v>
      </c>
    </row>
    <row r="395" spans="2:4" x14ac:dyDescent="0.3">
      <c r="B395" s="11" t="s">
        <v>142</v>
      </c>
      <c r="C395" s="11"/>
      <c r="D395" s="12">
        <v>14144</v>
      </c>
    </row>
    <row r="396" spans="2:4" x14ac:dyDescent="0.3">
      <c r="B396" s="11" t="s">
        <v>143</v>
      </c>
      <c r="C396" s="11"/>
      <c r="D396" s="12">
        <v>7757</v>
      </c>
    </row>
    <row r="397" spans="2:4" x14ac:dyDescent="0.3">
      <c r="B397" s="11" t="s">
        <v>143</v>
      </c>
      <c r="C397" s="11"/>
      <c r="D397" s="12">
        <v>7254</v>
      </c>
    </row>
    <row r="398" spans="2:4" x14ac:dyDescent="0.3">
      <c r="B398" s="11" t="s">
        <v>143</v>
      </c>
      <c r="C398" s="11"/>
      <c r="D398" s="12">
        <v>6029</v>
      </c>
    </row>
    <row r="399" spans="2:4" x14ac:dyDescent="0.3">
      <c r="B399" s="11" t="s">
        <v>143</v>
      </c>
      <c r="C399" s="11"/>
      <c r="D399" s="12">
        <v>6029</v>
      </c>
    </row>
    <row r="400" spans="2:4" x14ac:dyDescent="0.3">
      <c r="B400" s="11" t="s">
        <v>143</v>
      </c>
      <c r="C400" s="11"/>
      <c r="D400" s="12">
        <v>5967</v>
      </c>
    </row>
    <row r="401" spans="2:4" x14ac:dyDescent="0.3">
      <c r="B401" s="11" t="s">
        <v>143</v>
      </c>
      <c r="C401" s="11"/>
      <c r="D401" s="12">
        <v>3978</v>
      </c>
    </row>
    <row r="402" spans="2:4" x14ac:dyDescent="0.3">
      <c r="B402" s="11" t="s">
        <v>143</v>
      </c>
      <c r="C402" s="11"/>
      <c r="D402" s="12">
        <v>3978</v>
      </c>
    </row>
    <row r="403" spans="2:4" x14ac:dyDescent="0.3">
      <c r="B403" s="11" t="s">
        <v>143</v>
      </c>
      <c r="C403" s="11"/>
      <c r="D403" s="12">
        <v>3978</v>
      </c>
    </row>
    <row r="404" spans="2:4" x14ac:dyDescent="0.3">
      <c r="B404" s="11" t="s">
        <v>143</v>
      </c>
      <c r="C404" s="11"/>
      <c r="D404" s="12">
        <v>3978</v>
      </c>
    </row>
    <row r="405" spans="2:4" x14ac:dyDescent="0.3">
      <c r="B405" s="11" t="s">
        <v>144</v>
      </c>
      <c r="C405" s="11"/>
      <c r="D405" s="12">
        <v>69742.399999999994</v>
      </c>
    </row>
    <row r="406" spans="2:4" x14ac:dyDescent="0.3">
      <c r="B406" s="11" t="s">
        <v>144</v>
      </c>
      <c r="C406" s="11"/>
      <c r="D406" s="12">
        <v>69742</v>
      </c>
    </row>
    <row r="407" spans="2:4" x14ac:dyDescent="0.3">
      <c r="B407" s="11" t="s">
        <v>144</v>
      </c>
      <c r="C407" s="11"/>
      <c r="D407" s="12">
        <v>69742</v>
      </c>
    </row>
    <row r="408" spans="2:4" x14ac:dyDescent="0.3">
      <c r="B408" s="11" t="s">
        <v>144</v>
      </c>
      <c r="C408" s="11"/>
      <c r="D408" s="12">
        <v>69742</v>
      </c>
    </row>
    <row r="409" spans="2:4" x14ac:dyDescent="0.3">
      <c r="B409" s="11" t="s">
        <v>144</v>
      </c>
      <c r="C409" s="11"/>
      <c r="D409" s="12">
        <v>69742</v>
      </c>
    </row>
    <row r="410" spans="2:4" x14ac:dyDescent="0.3">
      <c r="B410" s="11" t="s">
        <v>144</v>
      </c>
      <c r="C410" s="11"/>
      <c r="D410" s="12">
        <v>69742</v>
      </c>
    </row>
    <row r="411" spans="2:4" x14ac:dyDescent="0.3">
      <c r="B411" s="11" t="s">
        <v>145</v>
      </c>
      <c r="C411" s="11"/>
      <c r="D411" s="12">
        <v>9159</v>
      </c>
    </row>
    <row r="412" spans="2:4" x14ac:dyDescent="0.3">
      <c r="B412" s="11" t="s">
        <v>145</v>
      </c>
      <c r="C412" s="11"/>
      <c r="D412" s="12">
        <v>9159</v>
      </c>
    </row>
    <row r="413" spans="2:4" x14ac:dyDescent="0.3">
      <c r="B413" s="11" t="s">
        <v>145</v>
      </c>
      <c r="C413" s="11"/>
      <c r="D413" s="12">
        <v>9069.84</v>
      </c>
    </row>
    <row r="414" spans="2:4" x14ac:dyDescent="0.3">
      <c r="B414" s="11" t="s">
        <v>145</v>
      </c>
      <c r="C414" s="11"/>
      <c r="D414" s="12">
        <v>9069.84</v>
      </c>
    </row>
    <row r="415" spans="2:4" x14ac:dyDescent="0.3">
      <c r="B415" s="11" t="s">
        <v>145</v>
      </c>
      <c r="C415" s="11"/>
      <c r="D415" s="12">
        <v>9069.84</v>
      </c>
    </row>
    <row r="416" spans="2:4" x14ac:dyDescent="0.3">
      <c r="B416" s="11" t="s">
        <v>145</v>
      </c>
      <c r="C416" s="11"/>
      <c r="D416" s="12">
        <v>9069.84</v>
      </c>
    </row>
    <row r="417" spans="2:4" x14ac:dyDescent="0.3">
      <c r="B417" s="11" t="s">
        <v>145</v>
      </c>
      <c r="C417" s="11"/>
      <c r="D417" s="12">
        <v>9069.84</v>
      </c>
    </row>
    <row r="418" spans="2:4" x14ac:dyDescent="0.3">
      <c r="B418" s="11" t="s">
        <v>145</v>
      </c>
      <c r="C418" s="11"/>
      <c r="D418" s="12">
        <v>9069.84</v>
      </c>
    </row>
    <row r="419" spans="2:4" x14ac:dyDescent="0.3">
      <c r="B419" s="11" t="s">
        <v>145</v>
      </c>
      <c r="C419" s="11"/>
      <c r="D419" s="12">
        <v>9069.84</v>
      </c>
    </row>
    <row r="420" spans="2:4" x14ac:dyDescent="0.3">
      <c r="B420" s="11" t="s">
        <v>146</v>
      </c>
      <c r="C420" s="11"/>
      <c r="D420" s="12">
        <v>10088</v>
      </c>
    </row>
    <row r="421" spans="2:4" x14ac:dyDescent="0.3">
      <c r="B421" s="11" t="s">
        <v>146</v>
      </c>
      <c r="C421" s="11"/>
      <c r="D421" s="12">
        <v>10088</v>
      </c>
    </row>
    <row r="422" spans="2:4" x14ac:dyDescent="0.3">
      <c r="B422" s="11" t="s">
        <v>146</v>
      </c>
      <c r="C422" s="11"/>
      <c r="D422" s="12">
        <v>10088</v>
      </c>
    </row>
    <row r="423" spans="2:4" x14ac:dyDescent="0.3">
      <c r="B423" s="11" t="s">
        <v>146</v>
      </c>
      <c r="C423" s="11"/>
      <c r="D423" s="12">
        <v>10088</v>
      </c>
    </row>
    <row r="424" spans="2:4" x14ac:dyDescent="0.3">
      <c r="B424" s="11" t="s">
        <v>146</v>
      </c>
      <c r="C424" s="11"/>
      <c r="D424" s="12">
        <v>10088</v>
      </c>
    </row>
    <row r="425" spans="2:4" x14ac:dyDescent="0.3">
      <c r="B425" s="11" t="s">
        <v>146</v>
      </c>
      <c r="C425" s="11"/>
      <c r="D425" s="12">
        <v>10088</v>
      </c>
    </row>
    <row r="426" spans="2:4" x14ac:dyDescent="0.3">
      <c r="B426" s="11" t="s">
        <v>146</v>
      </c>
      <c r="C426" s="11"/>
      <c r="D426" s="12">
        <v>10088</v>
      </c>
    </row>
    <row r="427" spans="2:4" x14ac:dyDescent="0.3">
      <c r="B427" s="11" t="s">
        <v>146</v>
      </c>
      <c r="C427" s="11"/>
      <c r="D427" s="12">
        <v>10088</v>
      </c>
    </row>
    <row r="428" spans="2:4" x14ac:dyDescent="0.3">
      <c r="B428" s="11" t="s">
        <v>147</v>
      </c>
      <c r="C428" s="11"/>
      <c r="D428" s="12">
        <v>21715</v>
      </c>
    </row>
    <row r="429" spans="2:4" x14ac:dyDescent="0.3">
      <c r="B429" s="11" t="s">
        <v>147</v>
      </c>
      <c r="C429" s="11"/>
      <c r="D429" s="12">
        <v>21715</v>
      </c>
    </row>
    <row r="430" spans="2:4" x14ac:dyDescent="0.3">
      <c r="B430" s="11" t="s">
        <v>147</v>
      </c>
      <c r="C430" s="11"/>
      <c r="D430" s="12">
        <v>21507</v>
      </c>
    </row>
    <row r="431" spans="2:4" x14ac:dyDescent="0.3">
      <c r="B431" s="11" t="s">
        <v>148</v>
      </c>
      <c r="C431" s="11"/>
      <c r="D431" s="12">
        <v>31470</v>
      </c>
    </row>
    <row r="432" spans="2:4" x14ac:dyDescent="0.3">
      <c r="B432" s="11" t="s">
        <v>151</v>
      </c>
      <c r="C432" s="11"/>
      <c r="D432" s="12">
        <v>47902.400000000001</v>
      </c>
    </row>
    <row r="433" spans="2:4" x14ac:dyDescent="0.3">
      <c r="B433" s="11" t="s">
        <v>151</v>
      </c>
      <c r="C433" s="11"/>
      <c r="D433" s="12">
        <v>47715.199999999997</v>
      </c>
    </row>
    <row r="434" spans="2:4" x14ac:dyDescent="0.3">
      <c r="B434" s="11" t="s">
        <v>154</v>
      </c>
      <c r="C434" s="11"/>
      <c r="D434" s="12">
        <v>41246.400000000001</v>
      </c>
    </row>
    <row r="435" spans="2:4" x14ac:dyDescent="0.3">
      <c r="B435" s="11" t="s">
        <v>154</v>
      </c>
      <c r="C435" s="11"/>
      <c r="D435" s="12">
        <v>41246.400000000001</v>
      </c>
    </row>
    <row r="436" spans="2:4" x14ac:dyDescent="0.3">
      <c r="B436" s="11" t="s">
        <v>155</v>
      </c>
      <c r="C436" s="11"/>
      <c r="D436" s="12">
        <v>56534</v>
      </c>
    </row>
    <row r="437" spans="2:4" x14ac:dyDescent="0.3">
      <c r="B437" s="11" t="s">
        <v>156</v>
      </c>
      <c r="C437" s="11"/>
      <c r="D437" s="12">
        <v>36982</v>
      </c>
    </row>
    <row r="438" spans="2:4" x14ac:dyDescent="0.3">
      <c r="B438" s="11" t="s">
        <v>157</v>
      </c>
      <c r="C438" s="11"/>
      <c r="D438" s="12">
        <v>71427</v>
      </c>
    </row>
    <row r="439" spans="2:4" x14ac:dyDescent="0.3">
      <c r="B439" s="11" t="s">
        <v>158</v>
      </c>
      <c r="C439" s="11"/>
      <c r="D439" s="12">
        <v>10088</v>
      </c>
    </row>
    <row r="440" spans="2:4" x14ac:dyDescent="0.3">
      <c r="B440" s="11" t="s">
        <v>159</v>
      </c>
      <c r="C440" s="11"/>
      <c r="D440" s="12">
        <v>24294</v>
      </c>
    </row>
    <row r="441" spans="2:4" x14ac:dyDescent="0.3">
      <c r="B441" s="11" t="s">
        <v>159</v>
      </c>
      <c r="C441" s="11"/>
      <c r="D441" s="12">
        <v>22339</v>
      </c>
    </row>
    <row r="442" spans="2:4" x14ac:dyDescent="0.3">
      <c r="B442" s="11" t="s">
        <v>159</v>
      </c>
      <c r="C442" s="11"/>
      <c r="D442" s="12">
        <v>21174.400000000001</v>
      </c>
    </row>
    <row r="443" spans="2:4" x14ac:dyDescent="0.3">
      <c r="B443" s="11" t="s">
        <v>159</v>
      </c>
      <c r="C443" s="11"/>
      <c r="D443" s="12">
        <v>10587</v>
      </c>
    </row>
    <row r="444" spans="2:4" x14ac:dyDescent="0.3">
      <c r="B444" s="11" t="s">
        <v>159</v>
      </c>
      <c r="C444" s="11"/>
      <c r="D444" s="12">
        <v>10587</v>
      </c>
    </row>
    <row r="445" spans="2:4" x14ac:dyDescent="0.3">
      <c r="B445" s="11" t="s">
        <v>159</v>
      </c>
      <c r="C445" s="11"/>
      <c r="D445" s="12">
        <v>10587</v>
      </c>
    </row>
    <row r="446" spans="2:4" x14ac:dyDescent="0.3">
      <c r="B446" s="11" t="s">
        <v>160</v>
      </c>
      <c r="C446" s="11"/>
      <c r="D446" s="12">
        <v>30410</v>
      </c>
    </row>
    <row r="447" spans="2:4" x14ac:dyDescent="0.3">
      <c r="B447" s="11" t="s">
        <v>160</v>
      </c>
      <c r="C447" s="11"/>
      <c r="D447" s="12">
        <v>28558</v>
      </c>
    </row>
    <row r="448" spans="2:4" x14ac:dyDescent="0.3">
      <c r="B448" s="11" t="s">
        <v>160</v>
      </c>
      <c r="C448" s="11"/>
      <c r="D448" s="12">
        <v>26915</v>
      </c>
    </row>
    <row r="449" spans="2:4" x14ac:dyDescent="0.3">
      <c r="B449" s="11" t="s">
        <v>160</v>
      </c>
      <c r="C449" s="11"/>
      <c r="D449" s="12">
        <v>22693</v>
      </c>
    </row>
    <row r="450" spans="2:4" x14ac:dyDescent="0.3">
      <c r="B450" s="11" t="s">
        <v>160</v>
      </c>
      <c r="C450" s="11"/>
      <c r="D450" s="12">
        <v>22692.799999999999</v>
      </c>
    </row>
    <row r="451" spans="2:4" x14ac:dyDescent="0.3">
      <c r="B451" s="11" t="s">
        <v>160</v>
      </c>
      <c r="C451" s="11"/>
      <c r="D451" s="12">
        <v>11346</v>
      </c>
    </row>
    <row r="452" spans="2:4" x14ac:dyDescent="0.3">
      <c r="B452" s="11" t="s">
        <v>161</v>
      </c>
      <c r="C452" s="11"/>
      <c r="D452" s="12">
        <v>22693</v>
      </c>
    </row>
    <row r="453" spans="2:4" x14ac:dyDescent="0.3">
      <c r="B453" s="11" t="s">
        <v>162</v>
      </c>
      <c r="C453" s="11"/>
      <c r="D453" s="12">
        <v>22692.799999999999</v>
      </c>
    </row>
    <row r="454" spans="2:4" x14ac:dyDescent="0.3">
      <c r="B454" s="11" t="s">
        <v>163</v>
      </c>
      <c r="C454" s="11"/>
      <c r="D454" s="12">
        <v>22692.799999999999</v>
      </c>
    </row>
    <row r="455" spans="2:4" x14ac:dyDescent="0.3">
      <c r="B455" s="11" t="s">
        <v>164</v>
      </c>
      <c r="C455" s="11"/>
      <c r="D455" s="12">
        <v>33509</v>
      </c>
    </row>
    <row r="456" spans="2:4" x14ac:dyDescent="0.3">
      <c r="B456" s="11" t="s">
        <v>165</v>
      </c>
      <c r="C456" s="11"/>
      <c r="D456" s="12">
        <v>34486</v>
      </c>
    </row>
    <row r="457" spans="2:4" x14ac:dyDescent="0.3">
      <c r="B457" s="11" t="s">
        <v>166</v>
      </c>
      <c r="C457" s="11"/>
      <c r="D457" s="12">
        <v>25542</v>
      </c>
    </row>
    <row r="458" spans="2:4" x14ac:dyDescent="0.3">
      <c r="B458" s="11" t="s">
        <v>166</v>
      </c>
      <c r="C458" s="11"/>
      <c r="D458" s="12">
        <v>24128</v>
      </c>
    </row>
    <row r="459" spans="2:4" x14ac:dyDescent="0.3">
      <c r="B459" s="11" t="s">
        <v>166</v>
      </c>
      <c r="C459" s="11"/>
      <c r="D459" s="12">
        <v>20280</v>
      </c>
    </row>
    <row r="460" spans="2:4" x14ac:dyDescent="0.3">
      <c r="B460" s="11" t="s">
        <v>166</v>
      </c>
      <c r="C460" s="11"/>
      <c r="D460" s="12">
        <v>20280</v>
      </c>
    </row>
    <row r="461" spans="2:4" x14ac:dyDescent="0.3">
      <c r="B461" s="11" t="s">
        <v>166</v>
      </c>
      <c r="C461" s="11"/>
      <c r="D461" s="12">
        <v>20280</v>
      </c>
    </row>
    <row r="462" spans="2:4" x14ac:dyDescent="0.3">
      <c r="B462" s="11" t="s">
        <v>166</v>
      </c>
      <c r="C462" s="11"/>
      <c r="D462" s="12">
        <v>20280</v>
      </c>
    </row>
    <row r="463" spans="2:4" x14ac:dyDescent="0.3">
      <c r="B463" s="11" t="s">
        <v>167</v>
      </c>
      <c r="C463" s="11"/>
      <c r="D463" s="12">
        <v>34736</v>
      </c>
    </row>
    <row r="464" spans="2:4" x14ac:dyDescent="0.3">
      <c r="B464" s="11" t="s">
        <v>167</v>
      </c>
      <c r="C464" s="11"/>
      <c r="D464" s="12">
        <v>34653</v>
      </c>
    </row>
    <row r="465" spans="2:4" x14ac:dyDescent="0.3">
      <c r="B465" s="11" t="s">
        <v>167</v>
      </c>
      <c r="C465" s="11"/>
      <c r="D465" s="12">
        <v>32240</v>
      </c>
    </row>
    <row r="466" spans="2:4" x14ac:dyDescent="0.3">
      <c r="B466" s="11" t="s">
        <v>167</v>
      </c>
      <c r="C466" s="11"/>
      <c r="D466" s="12">
        <v>28829</v>
      </c>
    </row>
    <row r="467" spans="2:4" x14ac:dyDescent="0.3">
      <c r="B467" s="11" t="s">
        <v>167</v>
      </c>
      <c r="C467" s="11"/>
      <c r="D467" s="12">
        <v>28829</v>
      </c>
    </row>
    <row r="468" spans="2:4" x14ac:dyDescent="0.3">
      <c r="B468" s="11" t="s">
        <v>167</v>
      </c>
      <c r="C468" s="11"/>
      <c r="D468" s="12">
        <v>28829</v>
      </c>
    </row>
    <row r="469" spans="2:4" x14ac:dyDescent="0.3">
      <c r="B469" s="11" t="s">
        <v>167</v>
      </c>
      <c r="C469" s="11"/>
      <c r="D469" s="12">
        <v>28725</v>
      </c>
    </row>
    <row r="470" spans="2:4" x14ac:dyDescent="0.3">
      <c r="B470" s="11" t="s">
        <v>167</v>
      </c>
      <c r="C470" s="11"/>
      <c r="D470" s="12">
        <v>27061</v>
      </c>
    </row>
    <row r="471" spans="2:4" x14ac:dyDescent="0.3">
      <c r="B471" s="11" t="s">
        <v>167</v>
      </c>
      <c r="C471" s="11"/>
      <c r="D471" s="12">
        <v>22693</v>
      </c>
    </row>
    <row r="472" spans="2:4" x14ac:dyDescent="0.3">
      <c r="B472" s="11" t="s">
        <v>168</v>
      </c>
      <c r="C472" s="11"/>
      <c r="D472" s="12">
        <v>38251</v>
      </c>
    </row>
    <row r="473" spans="2:4" x14ac:dyDescent="0.3">
      <c r="B473" s="11" t="s">
        <v>168</v>
      </c>
      <c r="C473" s="11"/>
      <c r="D473" s="12">
        <v>36421</v>
      </c>
    </row>
    <row r="474" spans="2:4" x14ac:dyDescent="0.3">
      <c r="B474" s="11" t="s">
        <v>168</v>
      </c>
      <c r="C474" s="11"/>
      <c r="D474" s="12">
        <v>36421</v>
      </c>
    </row>
    <row r="475" spans="2:4" x14ac:dyDescent="0.3">
      <c r="B475" s="11" t="s">
        <v>168</v>
      </c>
      <c r="C475" s="11"/>
      <c r="D475" s="12">
        <v>35422</v>
      </c>
    </row>
    <row r="476" spans="2:4" x14ac:dyDescent="0.3">
      <c r="B476" s="11" t="s">
        <v>169</v>
      </c>
      <c r="C476" s="11"/>
      <c r="D476" s="12">
        <v>53893</v>
      </c>
    </row>
    <row r="477" spans="2:4" x14ac:dyDescent="0.3">
      <c r="B477" s="11" t="s">
        <v>170</v>
      </c>
      <c r="C477" s="11"/>
      <c r="D477" s="12">
        <v>36774</v>
      </c>
    </row>
    <row r="478" spans="2:4" x14ac:dyDescent="0.3">
      <c r="B478" s="11" t="s">
        <v>171</v>
      </c>
      <c r="C478" s="11"/>
      <c r="D478" s="12">
        <v>37502</v>
      </c>
    </row>
    <row r="479" spans="2:4" x14ac:dyDescent="0.3">
      <c r="B479" s="11" t="s">
        <v>172</v>
      </c>
      <c r="C479" s="11"/>
      <c r="D479" s="12">
        <v>33259</v>
      </c>
    </row>
    <row r="480" spans="2:4" x14ac:dyDescent="0.3">
      <c r="B480" s="11" t="s">
        <v>172</v>
      </c>
      <c r="C480" s="11"/>
      <c r="D480" s="12">
        <v>27394</v>
      </c>
    </row>
    <row r="481" spans="2:4" x14ac:dyDescent="0.3">
      <c r="B481" s="11" t="s">
        <v>172</v>
      </c>
      <c r="C481" s="11"/>
      <c r="D481" s="12">
        <v>27394</v>
      </c>
    </row>
    <row r="482" spans="2:4" x14ac:dyDescent="0.3">
      <c r="B482" s="11" t="s">
        <v>173</v>
      </c>
      <c r="C482" s="11"/>
      <c r="D482" s="12">
        <v>42469</v>
      </c>
    </row>
    <row r="483" spans="2:4" x14ac:dyDescent="0.3">
      <c r="B483" s="11" t="s">
        <v>174</v>
      </c>
      <c r="C483" s="11"/>
      <c r="D483" s="12">
        <v>54662.400000000001</v>
      </c>
    </row>
    <row r="484" spans="2:4" x14ac:dyDescent="0.3">
      <c r="B484" s="11" t="s">
        <v>174</v>
      </c>
      <c r="C484" s="11"/>
      <c r="D484" s="12">
        <v>52062</v>
      </c>
    </row>
    <row r="485" spans="2:4" x14ac:dyDescent="0.3">
      <c r="B485" s="11" t="s">
        <v>174</v>
      </c>
      <c r="C485" s="11"/>
      <c r="D485" s="12">
        <v>52062</v>
      </c>
    </row>
    <row r="486" spans="2:4" x14ac:dyDescent="0.3">
      <c r="B486" s="11" t="s">
        <v>174</v>
      </c>
      <c r="C486" s="11"/>
      <c r="D486" s="12">
        <v>52062</v>
      </c>
    </row>
    <row r="487" spans="2:4" x14ac:dyDescent="0.3">
      <c r="B487" s="11" t="s">
        <v>174</v>
      </c>
      <c r="C487" s="11"/>
      <c r="D487" s="12">
        <v>52062</v>
      </c>
    </row>
    <row r="488" spans="2:4" x14ac:dyDescent="0.3">
      <c r="B488" s="11" t="s">
        <v>174</v>
      </c>
      <c r="C488" s="11"/>
      <c r="D488" s="12">
        <v>52062</v>
      </c>
    </row>
    <row r="489" spans="2:4" x14ac:dyDescent="0.3">
      <c r="B489" s="11" t="s">
        <v>174</v>
      </c>
      <c r="C489" s="11"/>
      <c r="D489" s="12">
        <v>52062</v>
      </c>
    </row>
    <row r="490" spans="2:4" x14ac:dyDescent="0.3">
      <c r="B490" s="11" t="s">
        <v>174</v>
      </c>
      <c r="C490" s="11"/>
      <c r="D490" s="12">
        <v>52062</v>
      </c>
    </row>
    <row r="491" spans="2:4" x14ac:dyDescent="0.3">
      <c r="B491" s="11" t="s">
        <v>174</v>
      </c>
      <c r="C491" s="11"/>
      <c r="D491" s="12">
        <v>52062</v>
      </c>
    </row>
    <row r="492" spans="2:4" x14ac:dyDescent="0.3">
      <c r="B492" s="11" t="s">
        <v>174</v>
      </c>
      <c r="C492" s="11"/>
      <c r="D492" s="12">
        <v>52062</v>
      </c>
    </row>
    <row r="493" spans="2:4" x14ac:dyDescent="0.3">
      <c r="B493" s="11" t="s">
        <v>174</v>
      </c>
      <c r="C493" s="11"/>
      <c r="D493" s="12">
        <v>52062</v>
      </c>
    </row>
    <row r="494" spans="2:4" x14ac:dyDescent="0.3">
      <c r="B494" s="11" t="s">
        <v>174</v>
      </c>
      <c r="C494" s="11"/>
      <c r="D494" s="12">
        <v>49691.199999999997</v>
      </c>
    </row>
    <row r="495" spans="2:4" x14ac:dyDescent="0.3">
      <c r="B495" s="11" t="s">
        <v>174</v>
      </c>
      <c r="C495" s="11"/>
      <c r="D495" s="12">
        <v>49691</v>
      </c>
    </row>
    <row r="496" spans="2:4" x14ac:dyDescent="0.3">
      <c r="B496" s="11" t="s">
        <v>174</v>
      </c>
      <c r="C496" s="11"/>
      <c r="D496" s="12">
        <v>49691</v>
      </c>
    </row>
    <row r="497" spans="2:4" x14ac:dyDescent="0.3">
      <c r="B497" s="11" t="s">
        <v>174</v>
      </c>
      <c r="C497" s="11"/>
      <c r="D497" s="12">
        <v>49691</v>
      </c>
    </row>
    <row r="498" spans="2:4" x14ac:dyDescent="0.3">
      <c r="B498" s="11" t="s">
        <v>174</v>
      </c>
      <c r="C498" s="11"/>
      <c r="D498" s="12">
        <v>49691</v>
      </c>
    </row>
    <row r="499" spans="2:4" x14ac:dyDescent="0.3">
      <c r="B499" s="11" t="s">
        <v>174</v>
      </c>
      <c r="C499" s="11"/>
      <c r="D499" s="12">
        <v>49691</v>
      </c>
    </row>
    <row r="500" spans="2:4" x14ac:dyDescent="0.3">
      <c r="B500" s="11" t="s">
        <v>174</v>
      </c>
      <c r="C500" s="11"/>
      <c r="D500" s="12">
        <v>47341</v>
      </c>
    </row>
    <row r="501" spans="2:4" x14ac:dyDescent="0.3">
      <c r="B501" s="11" t="s">
        <v>174</v>
      </c>
      <c r="C501" s="11"/>
      <c r="D501" s="12">
        <v>47341</v>
      </c>
    </row>
    <row r="502" spans="2:4" x14ac:dyDescent="0.3">
      <c r="B502" s="11" t="s">
        <v>174</v>
      </c>
      <c r="C502" s="11"/>
      <c r="D502" s="12">
        <v>45094</v>
      </c>
    </row>
    <row r="503" spans="2:4" x14ac:dyDescent="0.3">
      <c r="B503" s="11" t="s">
        <v>174</v>
      </c>
      <c r="C503" s="11"/>
      <c r="D503" s="12">
        <v>45094</v>
      </c>
    </row>
    <row r="504" spans="2:4" x14ac:dyDescent="0.3">
      <c r="B504" s="11" t="s">
        <v>174</v>
      </c>
      <c r="C504" s="11"/>
      <c r="D504" s="12">
        <v>45094</v>
      </c>
    </row>
    <row r="505" spans="2:4" x14ac:dyDescent="0.3">
      <c r="B505" s="11" t="s">
        <v>174</v>
      </c>
      <c r="C505" s="11"/>
      <c r="D505" s="12">
        <v>45094</v>
      </c>
    </row>
    <row r="506" spans="2:4" x14ac:dyDescent="0.3">
      <c r="B506" s="11" t="s">
        <v>174</v>
      </c>
      <c r="C506" s="11"/>
      <c r="D506" s="12">
        <v>45094</v>
      </c>
    </row>
    <row r="507" spans="2:4" x14ac:dyDescent="0.3">
      <c r="B507" s="11" t="s">
        <v>174</v>
      </c>
      <c r="C507" s="11"/>
      <c r="D507" s="12">
        <v>45094</v>
      </c>
    </row>
    <row r="508" spans="2:4" x14ac:dyDescent="0.3">
      <c r="B508" s="11" t="s">
        <v>174</v>
      </c>
      <c r="C508" s="11"/>
      <c r="D508" s="12">
        <v>42952</v>
      </c>
    </row>
    <row r="509" spans="2:4" x14ac:dyDescent="0.3">
      <c r="B509" s="11" t="s">
        <v>174</v>
      </c>
      <c r="C509" s="11"/>
      <c r="D509" s="12">
        <v>42952</v>
      </c>
    </row>
    <row r="510" spans="2:4" x14ac:dyDescent="0.3">
      <c r="B510" s="11" t="s">
        <v>174</v>
      </c>
      <c r="C510" s="11"/>
      <c r="D510" s="12">
        <v>42952</v>
      </c>
    </row>
    <row r="511" spans="2:4" x14ac:dyDescent="0.3">
      <c r="B511" s="11" t="s">
        <v>174</v>
      </c>
      <c r="C511" s="11"/>
      <c r="D511" s="12">
        <v>42931</v>
      </c>
    </row>
    <row r="512" spans="2:4" x14ac:dyDescent="0.3">
      <c r="B512" s="11" t="s">
        <v>174</v>
      </c>
      <c r="C512" s="11"/>
      <c r="D512" s="12">
        <v>42931</v>
      </c>
    </row>
    <row r="513" spans="2:4" x14ac:dyDescent="0.3">
      <c r="B513" s="11" t="s">
        <v>174</v>
      </c>
      <c r="C513" s="11"/>
      <c r="D513" s="12">
        <v>41163.199999999997</v>
      </c>
    </row>
    <row r="514" spans="2:4" x14ac:dyDescent="0.3">
      <c r="B514" s="11" t="s">
        <v>174</v>
      </c>
      <c r="C514" s="11"/>
      <c r="D514" s="12">
        <v>40914</v>
      </c>
    </row>
    <row r="515" spans="2:4" x14ac:dyDescent="0.3">
      <c r="B515" s="11" t="s">
        <v>174</v>
      </c>
      <c r="C515" s="11"/>
      <c r="D515" s="12">
        <v>40914</v>
      </c>
    </row>
    <row r="516" spans="2:4" x14ac:dyDescent="0.3">
      <c r="B516" s="11" t="s">
        <v>174</v>
      </c>
      <c r="C516" s="11"/>
      <c r="D516" s="12">
        <v>40914</v>
      </c>
    </row>
    <row r="517" spans="2:4" x14ac:dyDescent="0.3">
      <c r="B517" s="11" t="s">
        <v>174</v>
      </c>
      <c r="C517" s="11"/>
      <c r="D517" s="12">
        <v>40914</v>
      </c>
    </row>
    <row r="518" spans="2:4" x14ac:dyDescent="0.3">
      <c r="B518" s="11" t="s">
        <v>174</v>
      </c>
      <c r="C518" s="11"/>
      <c r="D518" s="12">
        <v>40914</v>
      </c>
    </row>
    <row r="519" spans="2:4" x14ac:dyDescent="0.3">
      <c r="B519" s="11" t="s">
        <v>174</v>
      </c>
      <c r="C519" s="11"/>
      <c r="D519" s="12">
        <v>40914</v>
      </c>
    </row>
    <row r="520" spans="2:4" x14ac:dyDescent="0.3">
      <c r="B520" s="11" t="s">
        <v>174</v>
      </c>
      <c r="C520" s="11"/>
      <c r="D520" s="12">
        <v>40914</v>
      </c>
    </row>
    <row r="521" spans="2:4" x14ac:dyDescent="0.3">
      <c r="B521" s="11" t="s">
        <v>174</v>
      </c>
      <c r="C521" s="11"/>
      <c r="D521" s="12">
        <v>40913.599999999999</v>
      </c>
    </row>
    <row r="522" spans="2:4" x14ac:dyDescent="0.3">
      <c r="B522" s="11" t="s">
        <v>174</v>
      </c>
      <c r="C522" s="11"/>
      <c r="D522" s="12">
        <v>40913.599999999999</v>
      </c>
    </row>
    <row r="523" spans="2:4" x14ac:dyDescent="0.3">
      <c r="B523" s="11" t="s">
        <v>174</v>
      </c>
      <c r="C523" s="11"/>
      <c r="D523" s="12">
        <v>39208</v>
      </c>
    </row>
    <row r="524" spans="2:4" x14ac:dyDescent="0.3">
      <c r="B524" s="11" t="s">
        <v>174</v>
      </c>
      <c r="C524" s="11"/>
      <c r="D524" s="12">
        <v>39208</v>
      </c>
    </row>
    <row r="525" spans="2:4" x14ac:dyDescent="0.3">
      <c r="B525" s="11" t="s">
        <v>174</v>
      </c>
      <c r="C525" s="11"/>
      <c r="D525" s="12">
        <v>39208</v>
      </c>
    </row>
    <row r="526" spans="2:4" x14ac:dyDescent="0.3">
      <c r="B526" s="11" t="s">
        <v>174</v>
      </c>
      <c r="C526" s="11"/>
      <c r="D526" s="12">
        <v>39208</v>
      </c>
    </row>
    <row r="527" spans="2:4" x14ac:dyDescent="0.3">
      <c r="B527" s="11" t="s">
        <v>174</v>
      </c>
      <c r="C527" s="11"/>
      <c r="D527" s="12">
        <v>39208</v>
      </c>
    </row>
    <row r="528" spans="2:4" x14ac:dyDescent="0.3">
      <c r="B528" s="11" t="s">
        <v>174</v>
      </c>
      <c r="C528" s="11"/>
      <c r="D528" s="12">
        <v>39208</v>
      </c>
    </row>
    <row r="529" spans="2:4" x14ac:dyDescent="0.3">
      <c r="B529" s="11" t="s">
        <v>174</v>
      </c>
      <c r="C529" s="11"/>
      <c r="D529" s="12">
        <v>39208</v>
      </c>
    </row>
    <row r="530" spans="2:4" x14ac:dyDescent="0.3">
      <c r="B530" s="11" t="s">
        <v>174</v>
      </c>
      <c r="C530" s="11"/>
      <c r="D530" s="12">
        <v>39208</v>
      </c>
    </row>
    <row r="531" spans="2:4" x14ac:dyDescent="0.3">
      <c r="B531" s="11" t="s">
        <v>174</v>
      </c>
      <c r="C531" s="11"/>
      <c r="D531" s="12">
        <v>39208</v>
      </c>
    </row>
    <row r="532" spans="2:4" x14ac:dyDescent="0.3">
      <c r="B532" s="11" t="s">
        <v>174</v>
      </c>
      <c r="C532" s="11"/>
      <c r="D532" s="12">
        <v>39208</v>
      </c>
    </row>
    <row r="533" spans="2:4" x14ac:dyDescent="0.3">
      <c r="B533" s="11" t="s">
        <v>174</v>
      </c>
      <c r="C533" s="11"/>
      <c r="D533" s="12">
        <v>39208</v>
      </c>
    </row>
    <row r="534" spans="2:4" x14ac:dyDescent="0.3">
      <c r="B534" s="11" t="s">
        <v>174</v>
      </c>
      <c r="C534" s="11"/>
      <c r="D534" s="12">
        <v>39208</v>
      </c>
    </row>
    <row r="535" spans="2:4" x14ac:dyDescent="0.3">
      <c r="B535" s="11" t="s">
        <v>174</v>
      </c>
      <c r="C535" s="11"/>
      <c r="D535" s="12">
        <v>39208</v>
      </c>
    </row>
    <row r="536" spans="2:4" x14ac:dyDescent="0.3">
      <c r="B536" s="11" t="s">
        <v>174</v>
      </c>
      <c r="C536" s="11"/>
      <c r="D536" s="12">
        <v>39208</v>
      </c>
    </row>
    <row r="537" spans="2:4" x14ac:dyDescent="0.3">
      <c r="B537" s="11" t="s">
        <v>174</v>
      </c>
      <c r="C537" s="11"/>
      <c r="D537" s="12">
        <v>39208</v>
      </c>
    </row>
    <row r="538" spans="2:4" x14ac:dyDescent="0.3">
      <c r="B538" s="11" t="s">
        <v>174</v>
      </c>
      <c r="C538" s="11"/>
      <c r="D538" s="12">
        <v>39208</v>
      </c>
    </row>
    <row r="539" spans="2:4" x14ac:dyDescent="0.3">
      <c r="B539" s="11" t="s">
        <v>174</v>
      </c>
      <c r="C539" s="11"/>
      <c r="D539" s="12">
        <v>39208</v>
      </c>
    </row>
    <row r="540" spans="2:4" x14ac:dyDescent="0.3">
      <c r="B540" s="11" t="s">
        <v>174</v>
      </c>
      <c r="C540" s="11"/>
      <c r="D540" s="12">
        <v>39208</v>
      </c>
    </row>
    <row r="541" spans="2:4" x14ac:dyDescent="0.3">
      <c r="B541" s="11" t="s">
        <v>174</v>
      </c>
      <c r="C541" s="11"/>
      <c r="D541" s="12">
        <v>39208</v>
      </c>
    </row>
    <row r="542" spans="2:4" x14ac:dyDescent="0.3">
      <c r="B542" s="11" t="s">
        <v>174</v>
      </c>
      <c r="C542" s="11"/>
      <c r="D542" s="12">
        <v>39208</v>
      </c>
    </row>
    <row r="543" spans="2:4" x14ac:dyDescent="0.3">
      <c r="B543" s="11" t="s">
        <v>174</v>
      </c>
      <c r="C543" s="11"/>
      <c r="D543" s="12">
        <v>39208</v>
      </c>
    </row>
    <row r="544" spans="2:4" x14ac:dyDescent="0.3">
      <c r="B544" s="11" t="s">
        <v>174</v>
      </c>
      <c r="C544" s="11"/>
      <c r="D544" s="12">
        <v>39208</v>
      </c>
    </row>
    <row r="545" spans="2:4" x14ac:dyDescent="0.3">
      <c r="B545" s="11" t="s">
        <v>174</v>
      </c>
      <c r="C545" s="11"/>
      <c r="D545" s="12">
        <v>39208</v>
      </c>
    </row>
    <row r="546" spans="2:4" x14ac:dyDescent="0.3">
      <c r="B546" s="11" t="s">
        <v>174</v>
      </c>
      <c r="C546" s="11"/>
      <c r="D546" s="12">
        <v>39208</v>
      </c>
    </row>
    <row r="547" spans="2:4" x14ac:dyDescent="0.3">
      <c r="B547" s="11" t="s">
        <v>174</v>
      </c>
      <c r="C547" s="11"/>
      <c r="D547" s="12">
        <v>39208</v>
      </c>
    </row>
    <row r="548" spans="2:4" x14ac:dyDescent="0.3">
      <c r="B548" s="11" t="s">
        <v>174</v>
      </c>
      <c r="C548" s="11"/>
      <c r="D548" s="12">
        <v>39208</v>
      </c>
    </row>
    <row r="549" spans="2:4" x14ac:dyDescent="0.3">
      <c r="B549" s="11" t="s">
        <v>174</v>
      </c>
      <c r="C549" s="11"/>
      <c r="D549" s="12">
        <v>39208</v>
      </c>
    </row>
    <row r="550" spans="2:4" x14ac:dyDescent="0.3">
      <c r="B550" s="11" t="s">
        <v>174</v>
      </c>
      <c r="C550" s="11"/>
      <c r="D550" s="12">
        <v>39208</v>
      </c>
    </row>
    <row r="551" spans="2:4" x14ac:dyDescent="0.3">
      <c r="B551" s="11" t="s">
        <v>174</v>
      </c>
      <c r="C551" s="11"/>
      <c r="D551" s="12">
        <v>39208</v>
      </c>
    </row>
    <row r="552" spans="2:4" x14ac:dyDescent="0.3">
      <c r="B552" s="11" t="s">
        <v>174</v>
      </c>
      <c r="C552" s="11"/>
      <c r="D552" s="12">
        <v>33342.400000000001</v>
      </c>
    </row>
    <row r="553" spans="2:4" x14ac:dyDescent="0.3">
      <c r="B553" s="11" t="s">
        <v>174</v>
      </c>
      <c r="C553" s="11"/>
      <c r="D553" s="12">
        <v>33342.400000000001</v>
      </c>
    </row>
    <row r="554" spans="2:4" x14ac:dyDescent="0.3">
      <c r="B554" s="11" t="s">
        <v>174</v>
      </c>
      <c r="C554" s="11"/>
      <c r="D554" s="12">
        <v>33342.400000000001</v>
      </c>
    </row>
    <row r="555" spans="2:4" x14ac:dyDescent="0.3">
      <c r="B555" s="11" t="s">
        <v>174</v>
      </c>
      <c r="C555" s="11"/>
      <c r="D555" s="12">
        <v>33342.400000000001</v>
      </c>
    </row>
    <row r="556" spans="2:4" x14ac:dyDescent="0.3">
      <c r="B556" s="11" t="s">
        <v>174</v>
      </c>
      <c r="C556" s="11"/>
      <c r="D556" s="12">
        <v>33342.400000000001</v>
      </c>
    </row>
    <row r="557" spans="2:4" x14ac:dyDescent="0.3">
      <c r="B557" s="11" t="s">
        <v>174</v>
      </c>
      <c r="C557" s="11"/>
      <c r="D557" s="12">
        <v>33342.400000000001</v>
      </c>
    </row>
    <row r="558" spans="2:4" x14ac:dyDescent="0.3">
      <c r="B558" s="11" t="s">
        <v>174</v>
      </c>
      <c r="C558" s="11"/>
      <c r="D558" s="12">
        <v>33342.400000000001</v>
      </c>
    </row>
    <row r="559" spans="2:4" x14ac:dyDescent="0.3">
      <c r="B559" s="11" t="s">
        <v>174</v>
      </c>
      <c r="C559" s="11"/>
      <c r="D559" s="12">
        <v>33342.400000000001</v>
      </c>
    </row>
    <row r="560" spans="2:4" x14ac:dyDescent="0.3">
      <c r="B560" s="11" t="s">
        <v>174</v>
      </c>
      <c r="C560" s="11"/>
      <c r="D560" s="12">
        <v>33342.400000000001</v>
      </c>
    </row>
    <row r="561" spans="2:4" x14ac:dyDescent="0.3">
      <c r="B561" s="11" t="s">
        <v>174</v>
      </c>
      <c r="C561" s="11"/>
      <c r="D561" s="12">
        <v>33342.400000000001</v>
      </c>
    </row>
    <row r="562" spans="2:4" x14ac:dyDescent="0.3">
      <c r="B562" s="11" t="s">
        <v>174</v>
      </c>
      <c r="C562" s="11"/>
      <c r="D562" s="12">
        <v>33342.400000000001</v>
      </c>
    </row>
    <row r="563" spans="2:4" x14ac:dyDescent="0.3">
      <c r="B563" s="11" t="s">
        <v>175</v>
      </c>
      <c r="C563" s="11"/>
      <c r="D563" s="12">
        <v>34881.599999999999</v>
      </c>
    </row>
    <row r="564" spans="2:4" x14ac:dyDescent="0.3">
      <c r="B564" s="11" t="s">
        <v>176</v>
      </c>
      <c r="C564" s="11"/>
      <c r="D564" s="12">
        <v>27830.400000000001</v>
      </c>
    </row>
    <row r="565" spans="2:4" x14ac:dyDescent="0.3">
      <c r="B565" s="11" t="s">
        <v>177</v>
      </c>
      <c r="C565" s="11"/>
      <c r="D565" s="12">
        <v>25084.799999999999</v>
      </c>
    </row>
    <row r="566" spans="2:4" x14ac:dyDescent="0.3">
      <c r="B566" s="11" t="s">
        <v>178</v>
      </c>
      <c r="C566" s="11"/>
      <c r="D566" s="12">
        <v>50003.199999999997</v>
      </c>
    </row>
    <row r="567" spans="2:4" x14ac:dyDescent="0.3">
      <c r="B567" s="11" t="s">
        <v>179</v>
      </c>
      <c r="C567" s="11"/>
      <c r="D567" s="12">
        <v>44866</v>
      </c>
    </row>
    <row r="568" spans="2:4" x14ac:dyDescent="0.3">
      <c r="B568" s="11" t="s">
        <v>179</v>
      </c>
      <c r="C568" s="11"/>
      <c r="D568" s="12">
        <v>43514</v>
      </c>
    </row>
    <row r="569" spans="2:4" x14ac:dyDescent="0.3">
      <c r="B569" s="11" t="s">
        <v>179</v>
      </c>
      <c r="C569" s="11"/>
      <c r="D569" s="12">
        <v>43139</v>
      </c>
    </row>
    <row r="570" spans="2:4" x14ac:dyDescent="0.3">
      <c r="B570" s="11" t="s">
        <v>179</v>
      </c>
      <c r="C570" s="11"/>
      <c r="D570" s="12">
        <v>42078</v>
      </c>
    </row>
    <row r="571" spans="2:4" x14ac:dyDescent="0.3">
      <c r="B571" s="11" t="s">
        <v>179</v>
      </c>
      <c r="C571" s="11"/>
      <c r="D571" s="12">
        <v>41038</v>
      </c>
    </row>
    <row r="572" spans="2:4" x14ac:dyDescent="0.3">
      <c r="B572" s="11" t="s">
        <v>180</v>
      </c>
      <c r="C572" s="11"/>
      <c r="D572" s="12">
        <v>66851</v>
      </c>
    </row>
    <row r="573" spans="2:4" x14ac:dyDescent="0.3">
      <c r="B573" s="11" t="s">
        <v>180</v>
      </c>
      <c r="C573" s="11"/>
      <c r="D573" s="12">
        <v>64397</v>
      </c>
    </row>
    <row r="574" spans="2:4" x14ac:dyDescent="0.3">
      <c r="B574" s="11" t="s">
        <v>180</v>
      </c>
      <c r="C574" s="11"/>
      <c r="D574" s="12">
        <v>57866</v>
      </c>
    </row>
    <row r="575" spans="2:4" x14ac:dyDescent="0.3">
      <c r="B575" s="11" t="s">
        <v>181</v>
      </c>
      <c r="C575" s="11"/>
      <c r="D575" s="12">
        <v>57866</v>
      </c>
    </row>
    <row r="576" spans="2:4" x14ac:dyDescent="0.3">
      <c r="B576" s="11" t="s">
        <v>182</v>
      </c>
      <c r="C576" s="11"/>
      <c r="D576" s="12">
        <v>62379</v>
      </c>
    </row>
    <row r="577" spans="2:4" x14ac:dyDescent="0.3">
      <c r="B577" s="11" t="s">
        <v>183</v>
      </c>
      <c r="C577" s="11"/>
      <c r="D577" s="12">
        <v>57220.800000000003</v>
      </c>
    </row>
    <row r="578" spans="2:4" x14ac:dyDescent="0.3">
      <c r="B578" s="11" t="s">
        <v>184</v>
      </c>
      <c r="C578" s="11"/>
      <c r="D578" s="12">
        <v>41641.599999999999</v>
      </c>
    </row>
    <row r="579" spans="2:4" x14ac:dyDescent="0.3">
      <c r="B579" s="11" t="s">
        <v>185</v>
      </c>
      <c r="C579" s="11"/>
      <c r="D579" s="12">
        <v>36337.599999999999</v>
      </c>
    </row>
    <row r="580" spans="2:4" x14ac:dyDescent="0.3">
      <c r="B580" s="11" t="s">
        <v>186</v>
      </c>
      <c r="C580" s="11"/>
      <c r="D580" s="12">
        <v>68182</v>
      </c>
    </row>
    <row r="581" spans="2:4" x14ac:dyDescent="0.3">
      <c r="B581" s="11" t="s">
        <v>187</v>
      </c>
      <c r="C581" s="11"/>
      <c r="D581" s="12">
        <v>25084.799999999999</v>
      </c>
    </row>
    <row r="582" spans="2:4" x14ac:dyDescent="0.3">
      <c r="B582" s="11" t="s">
        <v>188</v>
      </c>
      <c r="C582" s="11"/>
      <c r="D582" s="12">
        <v>30285</v>
      </c>
    </row>
    <row r="583" spans="2:4" x14ac:dyDescent="0.3">
      <c r="B583" s="11" t="s">
        <v>188</v>
      </c>
      <c r="C583" s="11"/>
      <c r="D583" s="12">
        <v>25085</v>
      </c>
    </row>
    <row r="584" spans="2:4" x14ac:dyDescent="0.3">
      <c r="B584" s="11" t="s">
        <v>188</v>
      </c>
      <c r="C584" s="11"/>
      <c r="D584" s="12">
        <v>25084.799999999999</v>
      </c>
    </row>
    <row r="585" spans="2:4" x14ac:dyDescent="0.3">
      <c r="B585" s="11" t="s">
        <v>189</v>
      </c>
      <c r="C585" s="11"/>
      <c r="D585" s="12">
        <v>42266</v>
      </c>
    </row>
    <row r="586" spans="2:4" x14ac:dyDescent="0.3">
      <c r="B586" s="11" t="s">
        <v>189</v>
      </c>
      <c r="C586" s="11"/>
      <c r="D586" s="12">
        <v>39395.199999999997</v>
      </c>
    </row>
    <row r="587" spans="2:4" x14ac:dyDescent="0.3">
      <c r="B587" s="11" t="s">
        <v>189</v>
      </c>
      <c r="C587" s="11"/>
      <c r="D587" s="12">
        <v>39395</v>
      </c>
    </row>
    <row r="588" spans="2:4" x14ac:dyDescent="0.3">
      <c r="B588" s="11" t="s">
        <v>189</v>
      </c>
      <c r="C588" s="11"/>
      <c r="D588" s="12">
        <v>39395</v>
      </c>
    </row>
    <row r="589" spans="2:4" x14ac:dyDescent="0.3">
      <c r="B589" s="11" t="s">
        <v>190</v>
      </c>
      <c r="C589" s="11"/>
      <c r="D589" s="12">
        <v>33176</v>
      </c>
    </row>
    <row r="590" spans="2:4" x14ac:dyDescent="0.3">
      <c r="B590" s="11" t="s">
        <v>190</v>
      </c>
      <c r="C590" s="11"/>
      <c r="D590" s="12">
        <v>33010</v>
      </c>
    </row>
    <row r="591" spans="2:4" x14ac:dyDescent="0.3">
      <c r="B591" s="11" t="s">
        <v>190</v>
      </c>
      <c r="C591" s="11"/>
      <c r="D591" s="12">
        <v>31408</v>
      </c>
    </row>
    <row r="592" spans="2:4" x14ac:dyDescent="0.3">
      <c r="B592" s="11" t="s">
        <v>190</v>
      </c>
      <c r="C592" s="11"/>
      <c r="D592" s="12">
        <v>30992</v>
      </c>
    </row>
    <row r="593" spans="2:4" x14ac:dyDescent="0.3">
      <c r="B593" s="11" t="s">
        <v>190</v>
      </c>
      <c r="C593" s="11"/>
      <c r="D593" s="12">
        <v>29702</v>
      </c>
    </row>
    <row r="594" spans="2:4" x14ac:dyDescent="0.3">
      <c r="B594" s="11" t="s">
        <v>190</v>
      </c>
      <c r="C594" s="11"/>
      <c r="D594" s="12">
        <v>27186</v>
      </c>
    </row>
    <row r="595" spans="2:4" x14ac:dyDescent="0.3">
      <c r="B595" s="11" t="s">
        <v>190</v>
      </c>
      <c r="C595" s="11"/>
      <c r="D595" s="12">
        <v>24232</v>
      </c>
    </row>
    <row r="596" spans="2:4" x14ac:dyDescent="0.3">
      <c r="B596" s="11" t="s">
        <v>190</v>
      </c>
      <c r="C596" s="11"/>
      <c r="D596" s="12">
        <v>23462</v>
      </c>
    </row>
    <row r="597" spans="2:4" x14ac:dyDescent="0.3">
      <c r="B597" s="11" t="s">
        <v>190</v>
      </c>
      <c r="C597" s="11"/>
      <c r="D597" s="12">
        <v>22693</v>
      </c>
    </row>
    <row r="598" spans="2:4" x14ac:dyDescent="0.3">
      <c r="B598" s="11" t="s">
        <v>190</v>
      </c>
      <c r="C598" s="11"/>
      <c r="D598" s="12">
        <v>22692.799999999999</v>
      </c>
    </row>
    <row r="599" spans="2:4" x14ac:dyDescent="0.3">
      <c r="B599" s="11" t="s">
        <v>190</v>
      </c>
      <c r="C599" s="11"/>
      <c r="D599" s="12">
        <v>22692.799999999999</v>
      </c>
    </row>
    <row r="600" spans="2:4" x14ac:dyDescent="0.3">
      <c r="B600" s="11" t="s">
        <v>190</v>
      </c>
      <c r="C600" s="11"/>
      <c r="D600" s="12">
        <v>22692.799999999999</v>
      </c>
    </row>
    <row r="601" spans="2:4" x14ac:dyDescent="0.3">
      <c r="B601" s="11" t="s">
        <v>191</v>
      </c>
      <c r="C601" s="11"/>
      <c r="D601" s="12">
        <v>36275</v>
      </c>
    </row>
    <row r="602" spans="2:4" x14ac:dyDescent="0.3">
      <c r="B602" s="11" t="s">
        <v>191</v>
      </c>
      <c r="C602" s="11"/>
      <c r="D602" s="12">
        <v>31096</v>
      </c>
    </row>
    <row r="603" spans="2:4" x14ac:dyDescent="0.3">
      <c r="B603" s="11" t="s">
        <v>191</v>
      </c>
      <c r="C603" s="11"/>
      <c r="D603" s="12">
        <v>31096</v>
      </c>
    </row>
    <row r="604" spans="2:4" x14ac:dyDescent="0.3">
      <c r="B604" s="11" t="s">
        <v>191</v>
      </c>
      <c r="C604" s="11"/>
      <c r="D604" s="12">
        <v>31096</v>
      </c>
    </row>
    <row r="605" spans="2:4" x14ac:dyDescent="0.3">
      <c r="B605" s="11" t="s">
        <v>191</v>
      </c>
      <c r="C605" s="11"/>
      <c r="D605" s="12">
        <v>28995</v>
      </c>
    </row>
    <row r="606" spans="2:4" x14ac:dyDescent="0.3">
      <c r="B606" s="11" t="s">
        <v>192</v>
      </c>
      <c r="C606" s="11"/>
      <c r="D606" s="12">
        <v>57658</v>
      </c>
    </row>
    <row r="607" spans="2:4" x14ac:dyDescent="0.3">
      <c r="B607" s="11" t="s">
        <v>193</v>
      </c>
      <c r="C607" s="11"/>
      <c r="D607" s="12">
        <v>25896</v>
      </c>
    </row>
    <row r="608" spans="2:4" x14ac:dyDescent="0.3">
      <c r="B608" s="11" t="s">
        <v>193</v>
      </c>
      <c r="C608" s="11"/>
      <c r="D608" s="12">
        <v>25084.799999999999</v>
      </c>
    </row>
    <row r="609" spans="2:4" x14ac:dyDescent="0.3">
      <c r="B609" s="11" t="s">
        <v>193</v>
      </c>
      <c r="C609" s="11"/>
      <c r="D609" s="12">
        <v>25084.799999999999</v>
      </c>
    </row>
    <row r="610" spans="2:4" x14ac:dyDescent="0.3">
      <c r="B610" s="11" t="s">
        <v>193</v>
      </c>
      <c r="C610" s="11"/>
      <c r="D610" s="12">
        <v>25084.799999999999</v>
      </c>
    </row>
    <row r="611" spans="2:4" x14ac:dyDescent="0.3">
      <c r="B611" s="11" t="s">
        <v>193</v>
      </c>
      <c r="C611" s="11"/>
      <c r="D611" s="12">
        <v>12948</v>
      </c>
    </row>
    <row r="612" spans="2:4" x14ac:dyDescent="0.3">
      <c r="B612" s="11" t="s">
        <v>194</v>
      </c>
      <c r="C612" s="11"/>
      <c r="D612" s="12">
        <v>65499</v>
      </c>
    </row>
    <row r="613" spans="2:4" x14ac:dyDescent="0.3">
      <c r="B613" s="11" t="s">
        <v>194</v>
      </c>
      <c r="C613" s="11"/>
      <c r="D613" s="12">
        <v>62379</v>
      </c>
    </row>
    <row r="614" spans="2:4" x14ac:dyDescent="0.3">
      <c r="B614" s="11" t="s">
        <v>194</v>
      </c>
      <c r="C614" s="11"/>
      <c r="D614" s="12">
        <v>62379</v>
      </c>
    </row>
    <row r="615" spans="2:4" x14ac:dyDescent="0.3">
      <c r="B615" s="11" t="s">
        <v>194</v>
      </c>
      <c r="C615" s="11"/>
      <c r="D615" s="12">
        <v>62379</v>
      </c>
    </row>
    <row r="616" spans="2:4" x14ac:dyDescent="0.3">
      <c r="B616" s="11" t="s">
        <v>194</v>
      </c>
      <c r="C616" s="11"/>
      <c r="D616" s="12">
        <v>62379</v>
      </c>
    </row>
    <row r="617" spans="2:4" x14ac:dyDescent="0.3">
      <c r="B617" s="11" t="s">
        <v>194</v>
      </c>
      <c r="C617" s="11"/>
      <c r="D617" s="12">
        <v>57117</v>
      </c>
    </row>
    <row r="618" spans="2:4" x14ac:dyDescent="0.3">
      <c r="B618" s="11" t="s">
        <v>194</v>
      </c>
      <c r="C618" s="11"/>
      <c r="D618" s="12">
        <v>57117</v>
      </c>
    </row>
    <row r="619" spans="2:4" x14ac:dyDescent="0.3">
      <c r="B619" s="11" t="s">
        <v>194</v>
      </c>
      <c r="C619" s="11"/>
      <c r="D619" s="12">
        <v>57117</v>
      </c>
    </row>
    <row r="620" spans="2:4" x14ac:dyDescent="0.3">
      <c r="B620" s="11" t="s">
        <v>194</v>
      </c>
      <c r="C620" s="11"/>
      <c r="D620" s="12">
        <v>56971</v>
      </c>
    </row>
    <row r="621" spans="2:4" x14ac:dyDescent="0.3">
      <c r="B621" s="11" t="s">
        <v>194</v>
      </c>
      <c r="C621" s="11"/>
      <c r="D621" s="12">
        <v>54246</v>
      </c>
    </row>
    <row r="622" spans="2:4" x14ac:dyDescent="0.3">
      <c r="B622" s="11" t="s">
        <v>194</v>
      </c>
      <c r="C622" s="11"/>
      <c r="D622" s="12">
        <v>54246</v>
      </c>
    </row>
    <row r="623" spans="2:4" x14ac:dyDescent="0.3">
      <c r="B623" s="11" t="s">
        <v>194</v>
      </c>
      <c r="C623" s="11"/>
      <c r="D623" s="12">
        <v>54121.599999999999</v>
      </c>
    </row>
    <row r="624" spans="2:4" x14ac:dyDescent="0.3">
      <c r="B624" s="11" t="s">
        <v>194</v>
      </c>
      <c r="C624" s="11"/>
      <c r="D624" s="12">
        <v>51542.400000000001</v>
      </c>
    </row>
    <row r="625" spans="2:4" x14ac:dyDescent="0.3">
      <c r="B625" s="11" t="s">
        <v>194</v>
      </c>
      <c r="C625" s="11"/>
      <c r="D625" s="12">
        <v>51542</v>
      </c>
    </row>
    <row r="626" spans="2:4" x14ac:dyDescent="0.3">
      <c r="B626" s="11" t="s">
        <v>194</v>
      </c>
      <c r="C626" s="11"/>
      <c r="D626" s="12">
        <v>51542</v>
      </c>
    </row>
    <row r="627" spans="2:4" x14ac:dyDescent="0.3">
      <c r="B627" s="11" t="s">
        <v>194</v>
      </c>
      <c r="C627" s="11"/>
      <c r="D627" s="12">
        <v>51542</v>
      </c>
    </row>
    <row r="628" spans="2:4" x14ac:dyDescent="0.3">
      <c r="B628" s="11" t="s">
        <v>194</v>
      </c>
      <c r="C628" s="11"/>
      <c r="D628" s="12">
        <v>51542</v>
      </c>
    </row>
    <row r="629" spans="2:4" x14ac:dyDescent="0.3">
      <c r="B629" s="11" t="s">
        <v>195</v>
      </c>
      <c r="C629" s="11"/>
      <c r="D629" s="12">
        <v>96949</v>
      </c>
    </row>
    <row r="630" spans="2:4" x14ac:dyDescent="0.3">
      <c r="B630" s="11" t="s">
        <v>196</v>
      </c>
      <c r="C630" s="11"/>
      <c r="D630" s="12">
        <v>47985.599999999999</v>
      </c>
    </row>
    <row r="631" spans="2:4" x14ac:dyDescent="0.3">
      <c r="B631" s="11" t="s">
        <v>197</v>
      </c>
      <c r="C631" s="11"/>
      <c r="D631" s="12">
        <v>32572.799999999999</v>
      </c>
    </row>
    <row r="632" spans="2:4" x14ac:dyDescent="0.3">
      <c r="B632" s="11" t="s">
        <v>197</v>
      </c>
      <c r="C632" s="11"/>
      <c r="D632" s="12">
        <v>30763</v>
      </c>
    </row>
    <row r="633" spans="2:4" x14ac:dyDescent="0.3">
      <c r="B633" s="11" t="s">
        <v>197</v>
      </c>
      <c r="C633" s="11"/>
      <c r="D633" s="12">
        <v>28995</v>
      </c>
    </row>
    <row r="634" spans="2:4" x14ac:dyDescent="0.3">
      <c r="B634" s="11" t="s">
        <v>198</v>
      </c>
      <c r="C634" s="11"/>
      <c r="D634" s="12">
        <v>32136</v>
      </c>
    </row>
    <row r="635" spans="2:4" x14ac:dyDescent="0.3">
      <c r="B635" s="11" t="s">
        <v>199</v>
      </c>
      <c r="C635" s="11"/>
      <c r="D635" s="12">
        <v>49462.400000000001</v>
      </c>
    </row>
    <row r="636" spans="2:4" x14ac:dyDescent="0.3">
      <c r="B636" s="11" t="s">
        <v>200</v>
      </c>
      <c r="C636" s="11"/>
      <c r="D636" s="12">
        <v>35963.199999999997</v>
      </c>
    </row>
    <row r="637" spans="2:4" x14ac:dyDescent="0.3">
      <c r="B637" s="11" t="s">
        <v>201</v>
      </c>
      <c r="C637" s="11"/>
      <c r="D637" s="12">
        <v>41226</v>
      </c>
    </row>
    <row r="638" spans="2:4" x14ac:dyDescent="0.3">
      <c r="B638" s="11" t="s">
        <v>202</v>
      </c>
      <c r="C638" s="11"/>
      <c r="D638" s="12">
        <v>28725</v>
      </c>
    </row>
    <row r="639" spans="2:4" x14ac:dyDescent="0.3">
      <c r="B639" s="11" t="s">
        <v>202</v>
      </c>
      <c r="C639" s="11"/>
      <c r="D639" s="12">
        <v>26499</v>
      </c>
    </row>
    <row r="640" spans="2:4" x14ac:dyDescent="0.3">
      <c r="B640" s="11" t="s">
        <v>202</v>
      </c>
      <c r="C640" s="11"/>
      <c r="D640" s="12">
        <v>24253</v>
      </c>
    </row>
    <row r="641" spans="2:4" x14ac:dyDescent="0.3">
      <c r="B641" s="11" t="s">
        <v>202</v>
      </c>
      <c r="C641" s="11"/>
      <c r="D641" s="12">
        <v>24003</v>
      </c>
    </row>
    <row r="642" spans="2:4" x14ac:dyDescent="0.3">
      <c r="B642" s="11" t="s">
        <v>202</v>
      </c>
      <c r="C642" s="11"/>
      <c r="D642" s="12">
        <v>23462</v>
      </c>
    </row>
    <row r="643" spans="2:4" x14ac:dyDescent="0.3">
      <c r="B643" s="11" t="s">
        <v>202</v>
      </c>
      <c r="C643" s="11"/>
      <c r="D643" s="12">
        <v>23462</v>
      </c>
    </row>
    <row r="644" spans="2:4" x14ac:dyDescent="0.3">
      <c r="B644" s="11" t="s">
        <v>202</v>
      </c>
      <c r="C644" s="11"/>
      <c r="D644" s="12">
        <v>22693</v>
      </c>
    </row>
    <row r="645" spans="2:4" x14ac:dyDescent="0.3">
      <c r="B645" s="11" t="s">
        <v>202</v>
      </c>
      <c r="C645" s="11"/>
      <c r="D645" s="12">
        <v>22693</v>
      </c>
    </row>
    <row r="646" spans="2:4" x14ac:dyDescent="0.3">
      <c r="B646" s="11" t="s">
        <v>202</v>
      </c>
      <c r="C646" s="11"/>
      <c r="D646" s="12">
        <v>22693</v>
      </c>
    </row>
    <row r="647" spans="2:4" x14ac:dyDescent="0.3">
      <c r="B647" s="11" t="s">
        <v>202</v>
      </c>
      <c r="C647" s="11"/>
      <c r="D647" s="12">
        <v>22693</v>
      </c>
    </row>
    <row r="648" spans="2:4" x14ac:dyDescent="0.3">
      <c r="B648" s="11" t="s">
        <v>202</v>
      </c>
      <c r="C648" s="11"/>
      <c r="D648" s="12">
        <v>22693</v>
      </c>
    </row>
    <row r="649" spans="2:4" x14ac:dyDescent="0.3">
      <c r="B649" s="11" t="s">
        <v>202</v>
      </c>
      <c r="C649" s="11"/>
      <c r="D649" s="12">
        <v>22693</v>
      </c>
    </row>
    <row r="650" spans="2:4" x14ac:dyDescent="0.3">
      <c r="B650" s="11" t="s">
        <v>202</v>
      </c>
      <c r="C650" s="11"/>
      <c r="D650" s="12">
        <v>22693</v>
      </c>
    </row>
    <row r="651" spans="2:4" x14ac:dyDescent="0.3">
      <c r="B651" s="11" t="s">
        <v>202</v>
      </c>
      <c r="C651" s="11"/>
      <c r="D651" s="12">
        <v>22693</v>
      </c>
    </row>
    <row r="652" spans="2:4" x14ac:dyDescent="0.3">
      <c r="B652" s="11" t="s">
        <v>202</v>
      </c>
      <c r="C652" s="11"/>
      <c r="D652" s="12">
        <v>22692.799999999999</v>
      </c>
    </row>
    <row r="653" spans="2:4" x14ac:dyDescent="0.3">
      <c r="B653" s="11" t="s">
        <v>202</v>
      </c>
      <c r="C653" s="11"/>
      <c r="D653" s="12">
        <v>22692.799999999999</v>
      </c>
    </row>
    <row r="654" spans="2:4" x14ac:dyDescent="0.3">
      <c r="B654" s="11" t="s">
        <v>202</v>
      </c>
      <c r="C654" s="11"/>
      <c r="D654" s="12">
        <v>22692.799999999999</v>
      </c>
    </row>
    <row r="655" spans="2:4" x14ac:dyDescent="0.3">
      <c r="B655" s="11" t="s">
        <v>202</v>
      </c>
      <c r="C655" s="11"/>
      <c r="D655" s="12">
        <v>22692.799999999999</v>
      </c>
    </row>
    <row r="656" spans="2:4" x14ac:dyDescent="0.3">
      <c r="B656" s="11" t="s">
        <v>203</v>
      </c>
      <c r="C656" s="11"/>
      <c r="D656" s="12">
        <v>4420</v>
      </c>
    </row>
    <row r="657" spans="2:4" x14ac:dyDescent="0.3">
      <c r="B657" s="11" t="s">
        <v>204</v>
      </c>
      <c r="C657" s="11"/>
      <c r="D657" s="12">
        <v>3328</v>
      </c>
    </row>
    <row r="658" spans="2:4" x14ac:dyDescent="0.3">
      <c r="B658" s="11" t="s">
        <v>205</v>
      </c>
      <c r="C658" s="11"/>
      <c r="D658" s="12">
        <v>9520</v>
      </c>
    </row>
    <row r="659" spans="2:4" x14ac:dyDescent="0.3">
      <c r="B659" s="11" t="s">
        <v>205</v>
      </c>
      <c r="C659" s="11"/>
      <c r="D659" s="12">
        <v>9520</v>
      </c>
    </row>
    <row r="660" spans="2:4" x14ac:dyDescent="0.3">
      <c r="B660" s="11" t="s">
        <v>206</v>
      </c>
      <c r="C660" s="11"/>
      <c r="D660" s="12">
        <v>60258</v>
      </c>
    </row>
    <row r="661" spans="2:4" x14ac:dyDescent="0.3">
      <c r="B661" s="11" t="s">
        <v>207</v>
      </c>
      <c r="C661" s="11"/>
      <c r="D661" s="12">
        <v>43638</v>
      </c>
    </row>
    <row r="662" spans="2:4" x14ac:dyDescent="0.3">
      <c r="B662" s="11" t="s">
        <v>207</v>
      </c>
      <c r="C662" s="11"/>
      <c r="D662" s="12">
        <v>43098</v>
      </c>
    </row>
    <row r="663" spans="2:4" x14ac:dyDescent="0.3">
      <c r="B663" s="11" t="s">
        <v>208</v>
      </c>
      <c r="C663" s="11"/>
      <c r="D663" s="12">
        <v>42994</v>
      </c>
    </row>
    <row r="664" spans="2:4" x14ac:dyDescent="0.3">
      <c r="B664" s="11" t="s">
        <v>209</v>
      </c>
      <c r="C664" s="11"/>
      <c r="D664" s="12">
        <v>30680</v>
      </c>
    </row>
    <row r="665" spans="2:4" x14ac:dyDescent="0.3">
      <c r="B665" s="11" t="s">
        <v>209</v>
      </c>
      <c r="C665" s="11"/>
      <c r="D665" s="12">
        <v>26956.799999999999</v>
      </c>
    </row>
    <row r="666" spans="2:4" x14ac:dyDescent="0.3">
      <c r="B666" s="11" t="s">
        <v>209</v>
      </c>
      <c r="C666" s="11"/>
      <c r="D666" s="12">
        <v>26541</v>
      </c>
    </row>
    <row r="667" spans="2:4" x14ac:dyDescent="0.3">
      <c r="B667" s="11" t="s">
        <v>209</v>
      </c>
      <c r="C667" s="11"/>
      <c r="D667" s="12">
        <v>25085</v>
      </c>
    </row>
    <row r="668" spans="2:4" x14ac:dyDescent="0.3">
      <c r="B668" s="11" t="s">
        <v>209</v>
      </c>
      <c r="C668" s="11"/>
      <c r="D668" s="12">
        <v>25084.799999999999</v>
      </c>
    </row>
    <row r="669" spans="2:4" x14ac:dyDescent="0.3">
      <c r="B669" s="11" t="s">
        <v>209</v>
      </c>
      <c r="C669" s="11"/>
      <c r="D669" s="12">
        <v>25084.799999999999</v>
      </c>
    </row>
    <row r="670" spans="2:4" x14ac:dyDescent="0.3">
      <c r="B670" s="11" t="s">
        <v>209</v>
      </c>
      <c r="C670" s="11"/>
      <c r="D670" s="12">
        <v>25084.799999999999</v>
      </c>
    </row>
    <row r="671" spans="2:4" x14ac:dyDescent="0.3">
      <c r="B671" s="11" t="s">
        <v>210</v>
      </c>
      <c r="C671" s="11"/>
      <c r="D671" s="12">
        <v>32178</v>
      </c>
    </row>
    <row r="672" spans="2:4" x14ac:dyDescent="0.3">
      <c r="B672" s="11" t="s">
        <v>210</v>
      </c>
      <c r="C672" s="11"/>
      <c r="D672" s="12">
        <v>32178</v>
      </c>
    </row>
    <row r="673" spans="2:4" x14ac:dyDescent="0.3">
      <c r="B673" s="11" t="s">
        <v>211</v>
      </c>
      <c r="C673" s="11"/>
      <c r="D673" s="12">
        <v>25126</v>
      </c>
    </row>
    <row r="674" spans="2:4" x14ac:dyDescent="0.3">
      <c r="B674" s="11" t="s">
        <v>211</v>
      </c>
      <c r="C674" s="11"/>
      <c r="D674" s="12">
        <v>25126</v>
      </c>
    </row>
    <row r="675" spans="2:4" x14ac:dyDescent="0.3">
      <c r="B675" s="11" t="s">
        <v>211</v>
      </c>
      <c r="C675" s="11"/>
      <c r="D675" s="12">
        <v>25126</v>
      </c>
    </row>
    <row r="676" spans="2:4" x14ac:dyDescent="0.3">
      <c r="B676" s="11" t="s">
        <v>211</v>
      </c>
      <c r="C676" s="11"/>
      <c r="D676" s="12">
        <v>25126</v>
      </c>
    </row>
    <row r="677" spans="2:4" x14ac:dyDescent="0.3">
      <c r="B677" s="11" t="s">
        <v>212</v>
      </c>
      <c r="C677" s="11"/>
      <c r="D677" s="12">
        <v>33779</v>
      </c>
    </row>
    <row r="678" spans="2:4" x14ac:dyDescent="0.3">
      <c r="B678" s="11" t="s">
        <v>212</v>
      </c>
      <c r="C678" s="11"/>
      <c r="D678" s="12">
        <v>30202</v>
      </c>
    </row>
    <row r="679" spans="2:4" x14ac:dyDescent="0.3">
      <c r="B679" s="11" t="s">
        <v>213</v>
      </c>
      <c r="C679" s="11"/>
      <c r="D679" s="12">
        <v>26374</v>
      </c>
    </row>
    <row r="680" spans="2:4" x14ac:dyDescent="0.3">
      <c r="B680" s="11" t="s">
        <v>213</v>
      </c>
      <c r="C680" s="11"/>
      <c r="D680" s="12">
        <v>22693</v>
      </c>
    </row>
    <row r="681" spans="2:4" x14ac:dyDescent="0.3">
      <c r="B681" s="11" t="s">
        <v>213</v>
      </c>
      <c r="C681" s="11"/>
      <c r="D681" s="12">
        <v>22693</v>
      </c>
    </row>
    <row r="682" spans="2:4" x14ac:dyDescent="0.3">
      <c r="B682" s="11" t="s">
        <v>213</v>
      </c>
      <c r="C682" s="11"/>
      <c r="D682" s="12">
        <v>22693</v>
      </c>
    </row>
    <row r="683" spans="2:4" x14ac:dyDescent="0.3">
      <c r="B683" s="11" t="s">
        <v>213</v>
      </c>
      <c r="C683" s="11"/>
      <c r="D683" s="12">
        <v>22692.799999999999</v>
      </c>
    </row>
    <row r="684" spans="2:4" x14ac:dyDescent="0.3">
      <c r="B684" s="11" t="s">
        <v>213</v>
      </c>
      <c r="C684" s="11"/>
      <c r="D684" s="12">
        <v>22692.799999999999</v>
      </c>
    </row>
    <row r="685" spans="2:4" x14ac:dyDescent="0.3">
      <c r="B685" s="11" t="s">
        <v>214</v>
      </c>
      <c r="C685" s="11"/>
      <c r="D685" s="12">
        <v>40061</v>
      </c>
    </row>
    <row r="686" spans="2:4" x14ac:dyDescent="0.3">
      <c r="B686" s="11" t="s">
        <v>215</v>
      </c>
      <c r="C686" s="11"/>
      <c r="D686" s="12">
        <v>69056</v>
      </c>
    </row>
    <row r="687" spans="2:4" x14ac:dyDescent="0.3">
      <c r="B687" s="11" t="s">
        <v>216</v>
      </c>
      <c r="C687" s="11"/>
      <c r="D687" s="12">
        <v>40685</v>
      </c>
    </row>
    <row r="688" spans="2:4" x14ac:dyDescent="0.3">
      <c r="B688" s="11" t="s">
        <v>216</v>
      </c>
      <c r="C688" s="11"/>
      <c r="D688" s="12">
        <v>34882</v>
      </c>
    </row>
    <row r="689" spans="2:4" x14ac:dyDescent="0.3">
      <c r="B689" s="11" t="s">
        <v>217</v>
      </c>
      <c r="C689" s="11"/>
      <c r="D689" s="12">
        <v>47590.400000000001</v>
      </c>
    </row>
    <row r="690" spans="2:4" x14ac:dyDescent="0.3">
      <c r="B690" s="11" t="s">
        <v>217</v>
      </c>
      <c r="C690" s="11"/>
      <c r="D690" s="12">
        <v>40186</v>
      </c>
    </row>
    <row r="691" spans="2:4" x14ac:dyDescent="0.3">
      <c r="B691" s="11" t="s">
        <v>217</v>
      </c>
      <c r="C691" s="11"/>
      <c r="D691" s="12">
        <v>38542</v>
      </c>
    </row>
    <row r="692" spans="2:4" x14ac:dyDescent="0.3">
      <c r="B692" s="11" t="s">
        <v>218</v>
      </c>
      <c r="C692" s="11"/>
      <c r="D692" s="12">
        <v>12350</v>
      </c>
    </row>
    <row r="693" spans="2:4" x14ac:dyDescent="0.3">
      <c r="B693" s="11" t="s">
        <v>219</v>
      </c>
      <c r="C693" s="11"/>
      <c r="D693" s="12">
        <v>28995</v>
      </c>
    </row>
    <row r="694" spans="2:4" x14ac:dyDescent="0.3">
      <c r="B694" s="11" t="s">
        <v>220</v>
      </c>
      <c r="C694" s="11"/>
      <c r="D694" s="12">
        <v>39395</v>
      </c>
    </row>
    <row r="695" spans="2:4" x14ac:dyDescent="0.3">
      <c r="B695" s="11" t="s">
        <v>221</v>
      </c>
      <c r="C695" s="11"/>
      <c r="D695" s="12">
        <v>41974</v>
      </c>
    </row>
    <row r="696" spans="2:4" x14ac:dyDescent="0.3">
      <c r="B696" s="11" t="s">
        <v>221</v>
      </c>
      <c r="C696" s="11"/>
      <c r="D696" s="12">
        <v>39354</v>
      </c>
    </row>
    <row r="697" spans="2:4" x14ac:dyDescent="0.3">
      <c r="B697" s="11" t="s">
        <v>221</v>
      </c>
      <c r="C697" s="11"/>
      <c r="D697" s="12">
        <v>39354</v>
      </c>
    </row>
  </sheetData>
  <sortState ref="B20:D29">
    <sortCondition descending="1" ref="D20:D29"/>
  </sortState>
  <mergeCells count="5">
    <mergeCell ref="B19:D19"/>
    <mergeCell ref="B31:D31"/>
    <mergeCell ref="B4:D4"/>
    <mergeCell ref="B13:D13"/>
    <mergeCell ref="B16:D16"/>
  </mergeCells>
  <pageMargins left="0.25" right="0.25" top="0.75" bottom="0.75" header="0.3" footer="0.3"/>
  <pageSetup scale="87" fitToHeight="99" orientation="portrait" verticalDpi="0" r:id="rId1"/>
  <headerFooter>
    <oddHeader>&amp;LCity of Rio Rancho, NM</oddHead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 of May 6, 2013</vt:lpstr>
      <vt:lpstr>'as of May 6, 2013'!Print_Titles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2013-05-02T15:29:00Z</cp:lastPrinted>
  <dcterms:created xsi:type="dcterms:W3CDTF">2013-05-02T14:26:33Z</dcterms:created>
  <dcterms:modified xsi:type="dcterms:W3CDTF">2013-05-02T15:29:15Z</dcterms:modified>
</cp:coreProperties>
</file>