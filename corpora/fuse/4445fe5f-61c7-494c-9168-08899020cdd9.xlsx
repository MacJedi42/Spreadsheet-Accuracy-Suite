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6" windowWidth="11340" windowHeight="2988" tabRatio="919" firstSheet="11" activeTab="16"/>
  </bookViews>
  <sheets>
    <sheet name="AEFLA" sheetId="1" r:id="rId1"/>
    <sheet name="EL CIVICS" sheetId="5" r:id="rId2"/>
    <sheet name="RESOURCE CENTERS" sheetId="16" r:id="rId3"/>
    <sheet name="EVEN START TITLE IB" sheetId="11" r:id="rId4"/>
    <sheet name="MATH &amp; SCIENCE TITLE IIB" sheetId="9" r:id="rId5"/>
    <sheet name="21st CENTURY COHORT 5" sheetId="2" r:id="rId6"/>
    <sheet name="21s Century COHORT 6" sheetId="6" state="hidden" r:id="rId7"/>
    <sheet name="21st CENTURY COHORT 6" sheetId="29" r:id="rId8"/>
    <sheet name="HOMELESS" sheetId="3" r:id="rId9"/>
    <sheet name="CO Grad Pathways" sheetId="15" r:id="rId10"/>
    <sheet name="TIG - Cohort 1 " sheetId="12" r:id="rId11"/>
    <sheet name="TIG - Cohort 2 " sheetId="13" r:id="rId12"/>
    <sheet name="Compass Learning" sheetId="14" r:id="rId13"/>
    <sheet name="ELSS Math Grant" sheetId="17" r:id="rId14"/>
    <sheet name="Formative Assessment" sheetId="18" r:id="rId15"/>
    <sheet name="Prevention Integration Grant" sheetId="19" r:id="rId16"/>
    <sheet name="School Improvement" sheetId="20" r:id="rId17"/>
    <sheet name="Charter School Student Imprvmnt" sheetId="24" r:id="rId18"/>
    <sheet name="District Improvement" sheetId="21" r:id="rId19"/>
    <sheet name="Targeted DI Partnership" sheetId="22" r:id="rId20"/>
    <sheet name="Improvement Support Partnership" sheetId="25" r:id="rId21"/>
    <sheet name="Diagnostic Review" sheetId="26" r:id="rId22"/>
    <sheet name="UVA Leadership Pilot" sheetId="27" r:id="rId23"/>
    <sheet name="Abstinence Education" sheetId="23" r:id="rId24"/>
    <sheet name="Title V-B Charter Schools Pgrm" sheetId="8" r:id="rId25"/>
    <sheet name="Results Matter School Readiness" sheetId="28" r:id="rId26"/>
    <sheet name="blank" sheetId="10" r:id="rId27"/>
  </sheets>
  <calcPr calcId="145621"/>
</workbook>
</file>

<file path=xl/calcChain.xml><?xml version="1.0" encoding="utf-8"?>
<calcChain xmlns="http://schemas.openxmlformats.org/spreadsheetml/2006/main">
  <c r="X16" i="12" l="1"/>
  <c r="R23" i="25" l="1"/>
  <c r="D29" i="3" l="1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W29" i="3" l="1"/>
  <c r="V29" i="3"/>
  <c r="X29" i="3"/>
  <c r="W23" i="19" l="1"/>
  <c r="D13" i="19"/>
  <c r="X21" i="13" l="1"/>
  <c r="X27" i="12"/>
  <c r="W27" i="12"/>
  <c r="W21" i="13"/>
  <c r="D12" i="21"/>
  <c r="D13" i="21"/>
  <c r="D14" i="21"/>
  <c r="E14" i="21" s="1"/>
  <c r="D15" i="21"/>
  <c r="E15" i="21" s="1"/>
  <c r="D16" i="21"/>
  <c r="E16" i="21" s="1"/>
  <c r="D11" i="21"/>
  <c r="W18" i="21"/>
  <c r="X27" i="25"/>
  <c r="D12" i="13"/>
  <c r="D13" i="13"/>
  <c r="E13" i="13" s="1"/>
  <c r="D14" i="13"/>
  <c r="D15" i="13"/>
  <c r="E15" i="13" s="1"/>
  <c r="D16" i="13"/>
  <c r="E16" i="13" s="1"/>
  <c r="D18" i="13"/>
  <c r="D19" i="13"/>
  <c r="W20" i="20"/>
  <c r="E39" i="2"/>
  <c r="F39" i="2" s="1"/>
  <c r="E38" i="2"/>
  <c r="F38" i="2" s="1"/>
  <c r="E37" i="2"/>
  <c r="E36" i="2"/>
  <c r="F36" i="2" s="1"/>
  <c r="E33" i="2"/>
  <c r="F33" i="2" s="1"/>
  <c r="E32" i="2"/>
  <c r="E31" i="2"/>
  <c r="E30" i="2"/>
  <c r="F30" i="2" s="1"/>
  <c r="E29" i="2"/>
  <c r="E26" i="2"/>
  <c r="F26" i="2" s="1"/>
  <c r="E25" i="2"/>
  <c r="F25" i="2" s="1"/>
  <c r="E24" i="2"/>
  <c r="F24" i="2" s="1"/>
  <c r="E23" i="2"/>
  <c r="F23" i="2" s="1"/>
  <c r="E22" i="2"/>
  <c r="E18" i="2"/>
  <c r="F18" i="2" s="1"/>
  <c r="E17" i="2"/>
  <c r="E16" i="2"/>
  <c r="E15" i="2"/>
  <c r="F15" i="2" s="1"/>
  <c r="E14" i="2"/>
  <c r="F14" i="2" s="1"/>
  <c r="D11" i="22"/>
  <c r="E11" i="22" s="1"/>
  <c r="D12" i="22"/>
  <c r="E12" i="22" s="1"/>
  <c r="D13" i="22"/>
  <c r="D14" i="22"/>
  <c r="D15" i="22"/>
  <c r="D16" i="22"/>
  <c r="D17" i="22"/>
  <c r="D18" i="22"/>
  <c r="E18" i="22" s="1"/>
  <c r="D19" i="22"/>
  <c r="E19" i="22" s="1"/>
  <c r="D20" i="22"/>
  <c r="E20" i="22" s="1"/>
  <c r="D21" i="22"/>
  <c r="D22" i="22"/>
  <c r="D23" i="22"/>
  <c r="D13" i="12"/>
  <c r="D16" i="12"/>
  <c r="E16" i="12" s="1"/>
  <c r="D17" i="12"/>
  <c r="E17" i="12" s="1"/>
  <c r="D19" i="12"/>
  <c r="E19" i="12" s="1"/>
  <c r="D21" i="12"/>
  <c r="D22" i="12"/>
  <c r="D24" i="12"/>
  <c r="D11" i="12"/>
  <c r="V27" i="12"/>
  <c r="W49" i="29"/>
  <c r="E14" i="29"/>
  <c r="F14" i="29" s="1"/>
  <c r="E15" i="29"/>
  <c r="F15" i="29" s="1"/>
  <c r="E16" i="29"/>
  <c r="F16" i="29" s="1"/>
  <c r="E17" i="29"/>
  <c r="F17" i="29" s="1"/>
  <c r="E18" i="29"/>
  <c r="E19" i="29"/>
  <c r="E20" i="29"/>
  <c r="F20" i="29" s="1"/>
  <c r="E21" i="29"/>
  <c r="F21" i="29" s="1"/>
  <c r="E22" i="29"/>
  <c r="F22" i="29" s="1"/>
  <c r="E23" i="29"/>
  <c r="F23" i="29" s="1"/>
  <c r="E24" i="29"/>
  <c r="F24" i="29" s="1"/>
  <c r="E25" i="29"/>
  <c r="E26" i="29"/>
  <c r="E27" i="29"/>
  <c r="E28" i="29"/>
  <c r="F28" i="29" s="1"/>
  <c r="E29" i="29"/>
  <c r="F29" i="29" s="1"/>
  <c r="E30" i="29"/>
  <c r="F30" i="29" s="1"/>
  <c r="E31" i="29"/>
  <c r="F31" i="29" s="1"/>
  <c r="E32" i="29"/>
  <c r="F32" i="29" s="1"/>
  <c r="E33" i="29"/>
  <c r="E34" i="29"/>
  <c r="F34" i="29" s="1"/>
  <c r="E35" i="29"/>
  <c r="F35" i="29" s="1"/>
  <c r="E36" i="29"/>
  <c r="F36" i="29" s="1"/>
  <c r="E37" i="29"/>
  <c r="F37" i="29" s="1"/>
  <c r="E38" i="29"/>
  <c r="F38" i="29" s="1"/>
  <c r="E39" i="29"/>
  <c r="F39" i="29" s="1"/>
  <c r="E40" i="29"/>
  <c r="F40" i="29" s="1"/>
  <c r="E41" i="29"/>
  <c r="F41" i="29" s="1"/>
  <c r="E42" i="29"/>
  <c r="E43" i="29"/>
  <c r="E44" i="29"/>
  <c r="E45" i="29"/>
  <c r="E46" i="29"/>
  <c r="F46" i="29" s="1"/>
  <c r="E13" i="29"/>
  <c r="D13" i="9"/>
  <c r="E13" i="9" s="1"/>
  <c r="D14" i="9"/>
  <c r="D16" i="9"/>
  <c r="D17" i="9"/>
  <c r="D18" i="9"/>
  <c r="D12" i="9"/>
  <c r="V20" i="9"/>
  <c r="D13" i="23"/>
  <c r="E13" i="23" s="1"/>
  <c r="D14" i="23"/>
  <c r="E14" i="23" s="1"/>
  <c r="D11" i="23"/>
  <c r="W27" i="25"/>
  <c r="E12" i="25"/>
  <c r="E13" i="25"/>
  <c r="E14" i="25"/>
  <c r="E15" i="25"/>
  <c r="F15" i="25" s="1"/>
  <c r="E16" i="25"/>
  <c r="F16" i="25" s="1"/>
  <c r="E18" i="25"/>
  <c r="E19" i="25"/>
  <c r="E20" i="25"/>
  <c r="E21" i="25"/>
  <c r="E22" i="25"/>
  <c r="E23" i="25"/>
  <c r="E24" i="25"/>
  <c r="F24" i="25" s="1"/>
  <c r="E25" i="25"/>
  <c r="F25" i="25" s="1"/>
  <c r="E11" i="25"/>
  <c r="F11" i="25" s="1"/>
  <c r="V21" i="13"/>
  <c r="E12" i="21"/>
  <c r="V18" i="21"/>
  <c r="O14" i="27"/>
  <c r="V23" i="19"/>
  <c r="D12" i="19"/>
  <c r="E12" i="19" s="1"/>
  <c r="E13" i="19"/>
  <c r="D14" i="19"/>
  <c r="E14" i="19" s="1"/>
  <c r="D15" i="19"/>
  <c r="D16" i="19"/>
  <c r="D17" i="19"/>
  <c r="D18" i="19"/>
  <c r="D19" i="19"/>
  <c r="D20" i="19"/>
  <c r="E20" i="19" s="1"/>
  <c r="D21" i="19"/>
  <c r="E21" i="19" s="1"/>
  <c r="D11" i="19"/>
  <c r="D23" i="19" s="1"/>
  <c r="W25" i="20"/>
  <c r="E12" i="20"/>
  <c r="F12" i="20" s="1"/>
  <c r="E13" i="20"/>
  <c r="E14" i="20"/>
  <c r="E15" i="20"/>
  <c r="E16" i="20"/>
  <c r="F16" i="20" s="1"/>
  <c r="E17" i="20"/>
  <c r="E18" i="20"/>
  <c r="F18" i="20" s="1"/>
  <c r="E19" i="20"/>
  <c r="E20" i="20"/>
  <c r="E21" i="20"/>
  <c r="E22" i="20"/>
  <c r="E23" i="20"/>
  <c r="F23" i="20" s="1"/>
  <c r="E11" i="20"/>
  <c r="F11" i="20" s="1"/>
  <c r="V16" i="23"/>
  <c r="D13" i="15"/>
  <c r="E13" i="15" s="1"/>
  <c r="D15" i="15"/>
  <c r="D16" i="15"/>
  <c r="D17" i="15"/>
  <c r="D18" i="15"/>
  <c r="D19" i="15"/>
  <c r="D20" i="15"/>
  <c r="E20" i="15" s="1"/>
  <c r="D21" i="15"/>
  <c r="E21" i="15" s="1"/>
  <c r="D22" i="15"/>
  <c r="E22" i="15" s="1"/>
  <c r="D25" i="15"/>
  <c r="D26" i="15"/>
  <c r="D27" i="15"/>
  <c r="E27" i="15" s="1"/>
  <c r="D28" i="15"/>
  <c r="D29" i="15"/>
  <c r="D12" i="15"/>
  <c r="V32" i="15"/>
  <c r="V13" i="2"/>
  <c r="V45" i="2" s="1"/>
  <c r="V47" i="2" s="1"/>
  <c r="U11" i="13"/>
  <c r="V49" i="29"/>
  <c r="C21" i="15"/>
  <c r="J43" i="2"/>
  <c r="U11" i="3"/>
  <c r="U30" i="15"/>
  <c r="D30" i="15"/>
  <c r="E30" i="15" s="1"/>
  <c r="U14" i="15"/>
  <c r="D14" i="15" s="1"/>
  <c r="E14" i="15" s="1"/>
  <c r="C17" i="3"/>
  <c r="T12" i="23"/>
  <c r="U13" i="2"/>
  <c r="E12" i="26"/>
  <c r="F12" i="26"/>
  <c r="S27" i="12"/>
  <c r="T27" i="12"/>
  <c r="U27" i="12"/>
  <c r="C22" i="3"/>
  <c r="R12" i="23"/>
  <c r="S17" i="25"/>
  <c r="E17" i="25"/>
  <c r="R24" i="15"/>
  <c r="D24" i="15"/>
  <c r="E24" i="15" s="1"/>
  <c r="R23" i="15"/>
  <c r="D23" i="15" s="1"/>
  <c r="E23" i="15" s="1"/>
  <c r="C19" i="15"/>
  <c r="S17" i="8"/>
  <c r="S16" i="8"/>
  <c r="R15" i="9"/>
  <c r="R20" i="9" s="1"/>
  <c r="D15" i="9"/>
  <c r="E15" i="9" s="1"/>
  <c r="S43" i="2"/>
  <c r="E43" i="2" s="1"/>
  <c r="F43" i="2" s="1"/>
  <c r="S42" i="2"/>
  <c r="E42" i="2" s="1"/>
  <c r="F42" i="2" s="1"/>
  <c r="S41" i="2"/>
  <c r="E41" i="2"/>
  <c r="S40" i="2"/>
  <c r="E40" i="2"/>
  <c r="F40" i="2" s="1"/>
  <c r="S28" i="2"/>
  <c r="E28" i="2" s="1"/>
  <c r="F28" i="2" s="1"/>
  <c r="S27" i="2"/>
  <c r="E27" i="2" s="1"/>
  <c r="F27" i="2" s="1"/>
  <c r="R20" i="3"/>
  <c r="T14" i="11"/>
  <c r="K34" i="2"/>
  <c r="K45" i="2" s="1"/>
  <c r="R2" i="2"/>
  <c r="R1" i="2"/>
  <c r="J2" i="2"/>
  <c r="J1" i="2"/>
  <c r="F18" i="29"/>
  <c r="F19" i="29"/>
  <c r="F25" i="29"/>
  <c r="F26" i="29"/>
  <c r="F27" i="29"/>
  <c r="F33" i="29"/>
  <c r="F43" i="29"/>
  <c r="F45" i="29"/>
  <c r="F44" i="29"/>
  <c r="F42" i="29"/>
  <c r="D12" i="16"/>
  <c r="E12" i="16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U49" i="29"/>
  <c r="T49" i="29"/>
  <c r="S49" i="29"/>
  <c r="O49" i="29"/>
  <c r="M49" i="29"/>
  <c r="L49" i="29"/>
  <c r="K49" i="29"/>
  <c r="J49" i="29"/>
  <c r="I49" i="29"/>
  <c r="H49" i="29"/>
  <c r="G49" i="29"/>
  <c r="D49" i="29"/>
  <c r="P49" i="29"/>
  <c r="R49" i="29"/>
  <c r="Q49" i="29"/>
  <c r="N49" i="29"/>
  <c r="R2" i="29"/>
  <c r="K2" i="29"/>
  <c r="R1" i="29"/>
  <c r="K1" i="29"/>
  <c r="E38" i="8"/>
  <c r="F38" i="8"/>
  <c r="E37" i="8"/>
  <c r="F37" i="8"/>
  <c r="E36" i="8"/>
  <c r="F36" i="8" s="1"/>
  <c r="E34" i="8"/>
  <c r="F34" i="8" s="1"/>
  <c r="AA47" i="1"/>
  <c r="F19" i="25"/>
  <c r="F14" i="28"/>
  <c r="O14" i="28"/>
  <c r="N14" i="28"/>
  <c r="M14" i="28"/>
  <c r="L14" i="28"/>
  <c r="K14" i="28"/>
  <c r="J14" i="28"/>
  <c r="I14" i="28"/>
  <c r="H14" i="28"/>
  <c r="G14" i="28"/>
  <c r="C14" i="28"/>
  <c r="D12" i="28"/>
  <c r="E12" i="28" s="1"/>
  <c r="E14" i="28" s="1"/>
  <c r="D11" i="28"/>
  <c r="Q2" i="28"/>
  <c r="J2" i="28"/>
  <c r="Q1" i="28"/>
  <c r="J1" i="28"/>
  <c r="P23" i="12"/>
  <c r="P27" i="12" s="1"/>
  <c r="Q27" i="12"/>
  <c r="R27" i="12"/>
  <c r="Q21" i="2"/>
  <c r="Q20" i="2"/>
  <c r="Q19" i="2"/>
  <c r="Q45" i="2" s="1"/>
  <c r="H14" i="27"/>
  <c r="I14" i="27"/>
  <c r="J14" i="27"/>
  <c r="K14" i="27"/>
  <c r="L14" i="27"/>
  <c r="M14" i="27"/>
  <c r="N14" i="27"/>
  <c r="G14" i="27"/>
  <c r="D14" i="27"/>
  <c r="E11" i="27"/>
  <c r="F11" i="27" s="1"/>
  <c r="F14" i="27" s="1"/>
  <c r="F12" i="25"/>
  <c r="F13" i="25"/>
  <c r="F14" i="25"/>
  <c r="F17" i="25"/>
  <c r="F18" i="25"/>
  <c r="F20" i="25"/>
  <c r="F21" i="25"/>
  <c r="F22" i="25"/>
  <c r="F23" i="25"/>
  <c r="E33" i="8"/>
  <c r="F33" i="8"/>
  <c r="D12" i="23"/>
  <c r="E11" i="28"/>
  <c r="P34" i="2"/>
  <c r="P45" i="2" s="1"/>
  <c r="E34" i="2"/>
  <c r="F34" i="2" s="1"/>
  <c r="P35" i="2"/>
  <c r="E35" i="2" s="1"/>
  <c r="F35" i="2" s="1"/>
  <c r="C20" i="3"/>
  <c r="E15" i="15"/>
  <c r="I1" i="27"/>
  <c r="I2" i="27"/>
  <c r="E12" i="27"/>
  <c r="I1" i="26"/>
  <c r="I2" i="26"/>
  <c r="E11" i="26"/>
  <c r="F11" i="26" s="1"/>
  <c r="E16" i="26"/>
  <c r="F16" i="26"/>
  <c r="E15" i="26"/>
  <c r="F15" i="26" s="1"/>
  <c r="E13" i="26"/>
  <c r="F13" i="26"/>
  <c r="E14" i="26"/>
  <c r="F14" i="26" s="1"/>
  <c r="E17" i="26"/>
  <c r="F17" i="26"/>
  <c r="E19" i="26"/>
  <c r="F19" i="26" s="1"/>
  <c r="E18" i="26"/>
  <c r="F18" i="26"/>
  <c r="D21" i="26"/>
  <c r="G21" i="26"/>
  <c r="H21" i="26"/>
  <c r="I21" i="26"/>
  <c r="J21" i="26"/>
  <c r="K21" i="26"/>
  <c r="L21" i="26"/>
  <c r="M21" i="26"/>
  <c r="N21" i="26"/>
  <c r="J1" i="25"/>
  <c r="Q1" i="25"/>
  <c r="J2" i="25"/>
  <c r="Q2" i="25"/>
  <c r="D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A32" i="24"/>
  <c r="A31" i="24"/>
  <c r="A30" i="24"/>
  <c r="A29" i="24"/>
  <c r="A28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D13" i="24"/>
  <c r="E11" i="24"/>
  <c r="F11" i="24" s="1"/>
  <c r="F13" i="24" s="1"/>
  <c r="K2" i="24"/>
  <c r="K1" i="24"/>
  <c r="E35" i="8"/>
  <c r="F35" i="8"/>
  <c r="E21" i="26"/>
  <c r="F12" i="27"/>
  <c r="E13" i="24"/>
  <c r="M25" i="12"/>
  <c r="D25" i="12" s="1"/>
  <c r="E25" i="12" s="1"/>
  <c r="M23" i="12"/>
  <c r="M20" i="12"/>
  <c r="D20" i="12" s="1"/>
  <c r="E20" i="12" s="1"/>
  <c r="M18" i="12"/>
  <c r="D18" i="12"/>
  <c r="E18" i="12" s="1"/>
  <c r="M15" i="12"/>
  <c r="D15" i="12" s="1"/>
  <c r="E15" i="12" s="1"/>
  <c r="M14" i="12"/>
  <c r="D14" i="12"/>
  <c r="M12" i="12"/>
  <c r="D12" i="12" s="1"/>
  <c r="M17" i="13"/>
  <c r="D17" i="13"/>
  <c r="E17" i="13" s="1"/>
  <c r="M11" i="13"/>
  <c r="D11" i="13" s="1"/>
  <c r="N21" i="2"/>
  <c r="E21" i="2" s="1"/>
  <c r="F21" i="2" s="1"/>
  <c r="N20" i="2"/>
  <c r="E20" i="2"/>
  <c r="F20" i="2" s="1"/>
  <c r="N19" i="2"/>
  <c r="E19" i="2" s="1"/>
  <c r="F19" i="2" s="1"/>
  <c r="E32" i="8"/>
  <c r="F32" i="8"/>
  <c r="E28" i="15"/>
  <c r="E31" i="8"/>
  <c r="F31" i="8"/>
  <c r="D13" i="5"/>
  <c r="E13" i="5" s="1"/>
  <c r="D33" i="1"/>
  <c r="D11" i="1"/>
  <c r="E19" i="15"/>
  <c r="F22" i="20"/>
  <c r="D13" i="16"/>
  <c r="E13" i="16"/>
  <c r="E12" i="3"/>
  <c r="E13" i="3"/>
  <c r="E14" i="3"/>
  <c r="E15" i="3"/>
  <c r="E16" i="3"/>
  <c r="E18" i="3"/>
  <c r="E19" i="3"/>
  <c r="E20" i="3"/>
  <c r="E22" i="3"/>
  <c r="E24" i="3"/>
  <c r="E26" i="3"/>
  <c r="E27" i="3"/>
  <c r="E16" i="15"/>
  <c r="E17" i="15"/>
  <c r="E18" i="15"/>
  <c r="E25" i="15"/>
  <c r="E26" i="15"/>
  <c r="E29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C32" i="15"/>
  <c r="E13" i="12"/>
  <c r="E14" i="12"/>
  <c r="E21" i="12"/>
  <c r="E22" i="12"/>
  <c r="E24" i="12"/>
  <c r="E11" i="12"/>
  <c r="E12" i="13"/>
  <c r="E14" i="13"/>
  <c r="E18" i="13"/>
  <c r="E19" i="13"/>
  <c r="D11" i="14"/>
  <c r="D13" i="14" s="1"/>
  <c r="E11" i="14"/>
  <c r="E13" i="14" s="1"/>
  <c r="D12" i="17"/>
  <c r="E12" i="17" s="1"/>
  <c r="D13" i="17"/>
  <c r="E13" i="17"/>
  <c r="D11" i="17"/>
  <c r="D15" i="17" s="1"/>
  <c r="E11" i="17"/>
  <c r="E15" i="17" s="1"/>
  <c r="F13" i="20"/>
  <c r="F14" i="20"/>
  <c r="F15" i="20"/>
  <c r="F19" i="20"/>
  <c r="F20" i="20"/>
  <c r="F21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D25" i="20"/>
  <c r="E12" i="23"/>
  <c r="E11" i="23"/>
  <c r="E16" i="23" s="1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C16" i="23"/>
  <c r="E13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C18" i="21"/>
  <c r="E13" i="22"/>
  <c r="E14" i="22"/>
  <c r="E15" i="22"/>
  <c r="E16" i="22"/>
  <c r="E17" i="22"/>
  <c r="E21" i="22"/>
  <c r="E22" i="22"/>
  <c r="E23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C25" i="22"/>
  <c r="E15" i="19"/>
  <c r="E16" i="19"/>
  <c r="E17" i="19"/>
  <c r="E18" i="19"/>
  <c r="E19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C23" i="19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C17" i="1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G41" i="8"/>
  <c r="H41" i="8"/>
  <c r="D41" i="8"/>
  <c r="E12" i="8"/>
  <c r="F12" i="8" s="1"/>
  <c r="E13" i="8"/>
  <c r="F13" i="8"/>
  <c r="E14" i="8"/>
  <c r="F14" i="8"/>
  <c r="E15" i="8"/>
  <c r="F15" i="8"/>
  <c r="E16" i="8"/>
  <c r="F16" i="8" s="1"/>
  <c r="E17" i="8"/>
  <c r="F17" i="8"/>
  <c r="E18" i="8"/>
  <c r="F18" i="8"/>
  <c r="E19" i="8"/>
  <c r="F19" i="8"/>
  <c r="E20" i="8"/>
  <c r="F20" i="8" s="1"/>
  <c r="E21" i="8"/>
  <c r="F21" i="8"/>
  <c r="E22" i="8"/>
  <c r="F22" i="8"/>
  <c r="E23" i="8"/>
  <c r="F23" i="8"/>
  <c r="E24" i="8"/>
  <c r="F24" i="8" s="1"/>
  <c r="E25" i="8"/>
  <c r="F25" i="8"/>
  <c r="E26" i="8"/>
  <c r="F26" i="8"/>
  <c r="E27" i="8"/>
  <c r="F27" i="8"/>
  <c r="E28" i="8"/>
  <c r="F28" i="8" s="1"/>
  <c r="E29" i="8"/>
  <c r="F29" i="8"/>
  <c r="E30" i="8"/>
  <c r="F30" i="8"/>
  <c r="E11" i="8"/>
  <c r="F11" i="8"/>
  <c r="E39" i="8"/>
  <c r="F39" i="8" s="1"/>
  <c r="D12" i="18"/>
  <c r="E12" i="18"/>
  <c r="D13" i="18"/>
  <c r="D17" i="18" s="1"/>
  <c r="E13" i="18"/>
  <c r="D14" i="18"/>
  <c r="E14" i="18"/>
  <c r="D15" i="18"/>
  <c r="E15" i="18" s="1"/>
  <c r="D11" i="18"/>
  <c r="A40" i="20"/>
  <c r="A41" i="20"/>
  <c r="A42" i="20"/>
  <c r="A43" i="20"/>
  <c r="A44" i="20"/>
  <c r="Q2" i="23"/>
  <c r="J2" i="23"/>
  <c r="Q1" i="23"/>
  <c r="J1" i="23"/>
  <c r="K1" i="8"/>
  <c r="Q2" i="22"/>
  <c r="J2" i="22"/>
  <c r="Q1" i="22"/>
  <c r="J1" i="22"/>
  <c r="J2" i="21"/>
  <c r="J1" i="21"/>
  <c r="P2" i="20"/>
  <c r="K2" i="20"/>
  <c r="P1" i="20"/>
  <c r="K1" i="20"/>
  <c r="E11" i="21"/>
  <c r="E11" i="18"/>
  <c r="E17" i="18" s="1"/>
  <c r="D16" i="23"/>
  <c r="E41" i="8"/>
  <c r="J2" i="19"/>
  <c r="J1" i="19"/>
  <c r="Q2" i="18"/>
  <c r="J2" i="18"/>
  <c r="Q1" i="18"/>
  <c r="J1" i="18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C15" i="17"/>
  <c r="Q2" i="17"/>
  <c r="J2" i="17"/>
  <c r="Q1" i="17"/>
  <c r="J1" i="17"/>
  <c r="D11" i="16"/>
  <c r="E11" i="16" s="1"/>
  <c r="E15" i="16" s="1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C15" i="16"/>
  <c r="AF2" i="16"/>
  <c r="X2" i="16"/>
  <c r="P2" i="16"/>
  <c r="H2" i="16"/>
  <c r="AF1" i="16"/>
  <c r="X1" i="16"/>
  <c r="P1" i="16"/>
  <c r="H1" i="16"/>
  <c r="P2" i="15"/>
  <c r="J2" i="15"/>
  <c r="P1" i="15"/>
  <c r="J1" i="15"/>
  <c r="C21" i="3"/>
  <c r="E21" i="3" s="1"/>
  <c r="C23" i="3"/>
  <c r="E23" i="3"/>
  <c r="C25" i="3"/>
  <c r="E25" i="3" s="1"/>
  <c r="E17" i="3"/>
  <c r="D20" i="5"/>
  <c r="E20" i="5" s="1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C13" i="14"/>
  <c r="Q2" i="14"/>
  <c r="J2" i="14"/>
  <c r="Q1" i="14"/>
  <c r="J1" i="14"/>
  <c r="U21" i="13"/>
  <c r="T21" i="13"/>
  <c r="S21" i="13"/>
  <c r="R21" i="13"/>
  <c r="Q21" i="13"/>
  <c r="P21" i="13"/>
  <c r="O21" i="13"/>
  <c r="N21" i="13"/>
  <c r="L21" i="13"/>
  <c r="K21" i="13"/>
  <c r="J21" i="13"/>
  <c r="I21" i="13"/>
  <c r="H21" i="13"/>
  <c r="G21" i="13"/>
  <c r="F21" i="13"/>
  <c r="C21" i="13"/>
  <c r="Q2" i="13"/>
  <c r="J2" i="13"/>
  <c r="Q1" i="13"/>
  <c r="J1" i="13"/>
  <c r="O27" i="12"/>
  <c r="N27" i="12"/>
  <c r="L27" i="12"/>
  <c r="K27" i="12"/>
  <c r="J27" i="12"/>
  <c r="I27" i="12"/>
  <c r="H27" i="12"/>
  <c r="G27" i="12"/>
  <c r="F27" i="12"/>
  <c r="C27" i="12"/>
  <c r="Q2" i="12"/>
  <c r="J2" i="12"/>
  <c r="Q1" i="12"/>
  <c r="J1" i="12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D16" i="11" s="1"/>
  <c r="E16" i="11" s="1"/>
  <c r="J16" i="11"/>
  <c r="I16" i="11"/>
  <c r="H16" i="11"/>
  <c r="G16" i="11"/>
  <c r="F16" i="11"/>
  <c r="C16" i="11"/>
  <c r="D14" i="11"/>
  <c r="E14" i="11"/>
  <c r="D13" i="11"/>
  <c r="E13" i="11" s="1"/>
  <c r="D12" i="11"/>
  <c r="E12" i="11"/>
  <c r="Q2" i="11"/>
  <c r="J2" i="11"/>
  <c r="Q1" i="11"/>
  <c r="J1" i="11"/>
  <c r="E14" i="9"/>
  <c r="E16" i="9"/>
  <c r="E17" i="9"/>
  <c r="E18" i="9"/>
  <c r="U20" i="9"/>
  <c r="T20" i="9"/>
  <c r="S20" i="9"/>
  <c r="Q20" i="9"/>
  <c r="P20" i="9"/>
  <c r="O20" i="9"/>
  <c r="N20" i="9"/>
  <c r="M20" i="9"/>
  <c r="L20" i="9"/>
  <c r="K20" i="9"/>
  <c r="J20" i="9"/>
  <c r="I20" i="9"/>
  <c r="H20" i="9"/>
  <c r="G20" i="9"/>
  <c r="F20" i="9"/>
  <c r="D20" i="9" s="1"/>
  <c r="C20" i="9"/>
  <c r="E12" i="9"/>
  <c r="J2" i="9"/>
  <c r="J1" i="9"/>
  <c r="AF2" i="5"/>
  <c r="X2" i="5"/>
  <c r="P2" i="5"/>
  <c r="H2" i="5"/>
  <c r="AF1" i="5"/>
  <c r="X1" i="5"/>
  <c r="P1" i="5"/>
  <c r="H1" i="5"/>
  <c r="AJ1" i="1"/>
  <c r="AJ2" i="1"/>
  <c r="AG2" i="1"/>
  <c r="AG1" i="1"/>
  <c r="X2" i="1"/>
  <c r="X1" i="1"/>
  <c r="P2" i="1"/>
  <c r="P1" i="1"/>
  <c r="H2" i="1"/>
  <c r="H1" i="1"/>
  <c r="R2" i="8"/>
  <c r="K2" i="8"/>
  <c r="R1" i="8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C42" i="6"/>
  <c r="D41" i="6"/>
  <c r="E41" i="6"/>
  <c r="D40" i="6"/>
  <c r="E40" i="6" s="1"/>
  <c r="D39" i="6"/>
  <c r="E39" i="6"/>
  <c r="D38" i="6"/>
  <c r="E38" i="6"/>
  <c r="D37" i="6"/>
  <c r="E37" i="6"/>
  <c r="D36" i="6"/>
  <c r="E36" i="6" s="1"/>
  <c r="D35" i="6"/>
  <c r="E35" i="6"/>
  <c r="D34" i="6"/>
  <c r="E34" i="6"/>
  <c r="D33" i="6"/>
  <c r="E33" i="6"/>
  <c r="D32" i="6"/>
  <c r="E32" i="6" s="1"/>
  <c r="D31" i="6"/>
  <c r="E31" i="6"/>
  <c r="D30" i="6"/>
  <c r="E30" i="6"/>
  <c r="D29" i="6"/>
  <c r="E29" i="6"/>
  <c r="D28" i="6"/>
  <c r="E28" i="6" s="1"/>
  <c r="D27" i="6"/>
  <c r="E27" i="6"/>
  <c r="D26" i="6"/>
  <c r="E26" i="6"/>
  <c r="D25" i="6"/>
  <c r="E25" i="6"/>
  <c r="D24" i="6"/>
  <c r="E24" i="6" s="1"/>
  <c r="D23" i="6"/>
  <c r="E23" i="6"/>
  <c r="D22" i="6"/>
  <c r="E22" i="6"/>
  <c r="D21" i="6"/>
  <c r="E21" i="6"/>
  <c r="D20" i="6"/>
  <c r="E20" i="6" s="1"/>
  <c r="D19" i="6"/>
  <c r="E19" i="6"/>
  <c r="D18" i="6"/>
  <c r="E18" i="6"/>
  <c r="D17" i="6"/>
  <c r="E17" i="6"/>
  <c r="D16" i="6"/>
  <c r="E16" i="6" s="1"/>
  <c r="D15" i="6"/>
  <c r="E15" i="6"/>
  <c r="D14" i="6"/>
  <c r="E14" i="6"/>
  <c r="D13" i="6"/>
  <c r="E13" i="6"/>
  <c r="D12" i="6"/>
  <c r="E12" i="6" s="1"/>
  <c r="D11" i="6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U45" i="2"/>
  <c r="T45" i="2"/>
  <c r="R45" i="2"/>
  <c r="O45" i="2"/>
  <c r="M45" i="2"/>
  <c r="L45" i="2"/>
  <c r="J45" i="2"/>
  <c r="I45" i="2"/>
  <c r="H45" i="2"/>
  <c r="G45" i="2"/>
  <c r="D45" i="2"/>
  <c r="F41" i="2"/>
  <c r="F37" i="2"/>
  <c r="F32" i="2"/>
  <c r="F31" i="2"/>
  <c r="F29" i="2"/>
  <c r="F22" i="2"/>
  <c r="F17" i="2"/>
  <c r="F16" i="2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AI47" i="1"/>
  <c r="AH47" i="1"/>
  <c r="AG47" i="1"/>
  <c r="AF47" i="1"/>
  <c r="AE47" i="1"/>
  <c r="AD47" i="1"/>
  <c r="AC47" i="1"/>
  <c r="A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D19" i="5"/>
  <c r="E19" i="5" s="1"/>
  <c r="D18" i="5"/>
  <c r="E18" i="5"/>
  <c r="D17" i="5"/>
  <c r="E17" i="5"/>
  <c r="D16" i="5"/>
  <c r="E16" i="5"/>
  <c r="D15" i="5"/>
  <c r="E15" i="5" s="1"/>
  <c r="D14" i="5"/>
  <c r="E14" i="5"/>
  <c r="D11" i="5"/>
  <c r="D22" i="5" s="1"/>
  <c r="E11" i="5"/>
  <c r="E22" i="5" s="1"/>
  <c r="D12" i="5"/>
  <c r="E12" i="5" s="1"/>
  <c r="F22" i="5"/>
  <c r="C22" i="5"/>
  <c r="C47" i="1"/>
  <c r="AK47" i="1"/>
  <c r="AJ47" i="1"/>
  <c r="F47" i="1"/>
  <c r="D45" i="1"/>
  <c r="E45" i="1" s="1"/>
  <c r="D44" i="1"/>
  <c r="E44" i="1"/>
  <c r="D43" i="1"/>
  <c r="E43" i="1"/>
  <c r="D42" i="1"/>
  <c r="E42" i="1"/>
  <c r="D41" i="1"/>
  <c r="E41" i="1" s="1"/>
  <c r="D40" i="1"/>
  <c r="E40" i="1"/>
  <c r="D39" i="1"/>
  <c r="E39" i="1"/>
  <c r="D38" i="1"/>
  <c r="E38" i="1"/>
  <c r="D37" i="1"/>
  <c r="E37" i="1" s="1"/>
  <c r="D36" i="1"/>
  <c r="E36" i="1"/>
  <c r="D35" i="1"/>
  <c r="E35" i="1"/>
  <c r="D34" i="1"/>
  <c r="E34" i="1"/>
  <c r="E33" i="1"/>
  <c r="D32" i="1"/>
  <c r="E32" i="1" s="1"/>
  <c r="D31" i="1"/>
  <c r="E31" i="1"/>
  <c r="D30" i="1"/>
  <c r="E30" i="1"/>
  <c r="D29" i="1"/>
  <c r="E29" i="1"/>
  <c r="D28" i="1"/>
  <c r="E28" i="1" s="1"/>
  <c r="D27" i="1"/>
  <c r="E27" i="1"/>
  <c r="D26" i="1"/>
  <c r="E26" i="1"/>
  <c r="D25" i="1"/>
  <c r="E25" i="1"/>
  <c r="D24" i="1"/>
  <c r="E24" i="1" s="1"/>
  <c r="D23" i="1"/>
  <c r="E23" i="1"/>
  <c r="D22" i="1"/>
  <c r="E22" i="1"/>
  <c r="D21" i="1"/>
  <c r="E21" i="1"/>
  <c r="D20" i="1"/>
  <c r="E20" i="1" s="1"/>
  <c r="D19" i="1"/>
  <c r="E19" i="1"/>
  <c r="D18" i="1"/>
  <c r="E18" i="1"/>
  <c r="D17" i="1"/>
  <c r="E17" i="1"/>
  <c r="D16" i="1"/>
  <c r="E16" i="1" s="1"/>
  <c r="D15" i="1"/>
  <c r="E15" i="1"/>
  <c r="D14" i="1"/>
  <c r="E14" i="1"/>
  <c r="D13" i="1"/>
  <c r="D47" i="1" s="1"/>
  <c r="E13" i="1"/>
  <c r="D12" i="1"/>
  <c r="E12" i="1" s="1"/>
  <c r="E11" i="1"/>
  <c r="D10" i="1"/>
  <c r="E10" i="1"/>
  <c r="E11" i="6"/>
  <c r="C29" i="3"/>
  <c r="D32" i="15" l="1"/>
  <c r="E25" i="20"/>
  <c r="D18" i="21"/>
  <c r="E18" i="21"/>
  <c r="E49" i="29"/>
  <c r="E42" i="6"/>
  <c r="D27" i="12"/>
  <c r="E12" i="12"/>
  <c r="E27" i="12" s="1"/>
  <c r="F21" i="26"/>
  <c r="E20" i="9"/>
  <c r="E25" i="22"/>
  <c r="F41" i="8"/>
  <c r="D21" i="13"/>
  <c r="E11" i="13"/>
  <c r="E21" i="13" s="1"/>
  <c r="E47" i="1"/>
  <c r="F27" i="25"/>
  <c r="M27" i="12"/>
  <c r="E11" i="19"/>
  <c r="E23" i="19" s="1"/>
  <c r="E12" i="15"/>
  <c r="E32" i="15" s="1"/>
  <c r="E13" i="2"/>
  <c r="N45" i="2"/>
  <c r="E27" i="25"/>
  <c r="F17" i="20"/>
  <c r="F25" i="20" s="1"/>
  <c r="D14" i="28"/>
  <c r="F13" i="29"/>
  <c r="F49" i="29" s="1"/>
  <c r="E11" i="3"/>
  <c r="E29" i="3" s="1"/>
  <c r="D42" i="6"/>
  <c r="M21" i="13"/>
  <c r="D23" i="12"/>
  <c r="E23" i="12" s="1"/>
  <c r="E14" i="27"/>
  <c r="D15" i="16"/>
  <c r="S45" i="2"/>
  <c r="D25" i="22"/>
  <c r="U32" i="15"/>
  <c r="F13" i="2" l="1"/>
  <c r="F45" i="2" s="1"/>
  <c r="E45" i="2"/>
</calcChain>
</file>

<file path=xl/comments1.xml><?xml version="1.0" encoding="utf-8"?>
<comments xmlns="http://schemas.openxmlformats.org/spreadsheetml/2006/main">
  <authors>
    <author>Tim Kahle</author>
    <author>Marti M. Rodriguez</author>
  </authors>
  <commentList>
    <comment ref="E28" authorId="0">
      <text>
        <r>
          <rPr>
            <b/>
            <sz val="8"/>
            <color indexed="81"/>
            <rFont val="Tahoma"/>
            <family val="2"/>
          </rPr>
          <t>Email sent 6/20/12 requesting refund of overpayment of $42,000 made on last distribution.</t>
        </r>
      </text>
    </comment>
    <comment ref="AG28" authorId="0">
      <text>
        <r>
          <rPr>
            <b/>
            <sz val="8"/>
            <color indexed="81"/>
            <rFont val="Tahoma"/>
            <charset val="1"/>
          </rPr>
          <t>Refund of overpayment.</t>
        </r>
      </text>
    </comment>
    <comment ref="E29" authorId="0">
      <text>
        <r>
          <rPr>
            <b/>
            <sz val="8"/>
            <color indexed="81"/>
            <rFont val="Tahoma"/>
            <family val="2"/>
          </rPr>
          <t>Email sent 6/21/12 requesting refund of overpayment of $51,576 made on last distribution.</t>
        </r>
      </text>
    </comment>
    <comment ref="AE29" authorId="0">
      <text>
        <r>
          <rPr>
            <b/>
            <sz val="8"/>
            <color indexed="81"/>
            <rFont val="Tahoma"/>
            <family val="2"/>
          </rPr>
          <t>Refund of overpayment against allocation from June 2012 payment.</t>
        </r>
      </text>
    </comment>
    <comment ref="E35" authorId="0">
      <text>
        <r>
          <rPr>
            <b/>
            <sz val="8"/>
            <color indexed="81"/>
            <rFont val="Tahoma"/>
            <family val="2"/>
          </rPr>
          <t>Email sent 6/20/12 requesting refund of overpayment of $9,546 made on last distribution.</t>
        </r>
      </text>
    </comment>
    <comment ref="AC35" authorId="0">
      <text>
        <r>
          <rPr>
            <b/>
            <sz val="8"/>
            <color indexed="81"/>
            <rFont val="Tahoma"/>
            <family val="2"/>
          </rPr>
          <t xml:space="preserve">Refund of overpayment from June check. </t>
        </r>
      </text>
    </comment>
    <comment ref="K47" authorId="1">
      <text>
        <r>
          <rPr>
            <b/>
            <sz val="8"/>
            <color indexed="81"/>
            <rFont val="Tahoma"/>
            <family val="2"/>
          </rPr>
          <t xml:space="preserve">Two separate 110-$325,975 + $30,066=$356,041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Marti M. Rodriguez</author>
    <author>Tim Kahle</author>
  </authors>
  <commentList>
    <comment ref="C13" authorId="0">
      <text>
        <r>
          <rPr>
            <sz val="8"/>
            <color indexed="81"/>
            <rFont val="Tahoma"/>
            <family val="2"/>
          </rPr>
          <t>This amount reflects current year allocation of $2662,400,074 plus $48,560 of approved carryover from FY2010-11  mr</t>
        </r>
      </text>
    </comment>
    <comment ref="C15" authorId="0">
      <text>
        <r>
          <rPr>
            <sz val="8"/>
            <color indexed="81"/>
            <rFont val="Tahoma"/>
            <family val="2"/>
          </rPr>
          <t xml:space="preserve">This amount reflects current year allocation of $233,074 plus $43,701 of approved carryover from FY2010-11  mr
</t>
        </r>
      </text>
    </comment>
    <comment ref="C16" authorId="0">
      <text>
        <r>
          <rPr>
            <sz val="8"/>
            <color indexed="81"/>
            <rFont val="Tahoma"/>
            <family val="2"/>
          </rPr>
          <t xml:space="preserve">This amount reflects current year allocation of $280,000 plus $17,732 of approved carryover from FY2010-11  mr
</t>
        </r>
      </text>
    </comment>
    <comment ref="L16" authorId="1">
      <text>
        <r>
          <rPr>
            <b/>
            <sz val="8"/>
            <color indexed="81"/>
            <rFont val="Tahoma"/>
            <family val="2"/>
          </rPr>
          <t>Includes current request of $42,873 and missing payment from Dec for $21,438.</t>
        </r>
      </text>
    </comment>
  </commentList>
</comments>
</file>

<file path=xl/comments3.xml><?xml version="1.0" encoding="utf-8"?>
<comments xmlns="http://schemas.openxmlformats.org/spreadsheetml/2006/main">
  <authors>
    <author>Marti M. Rodriguez</author>
    <author>Tim Kahle</author>
  </authors>
  <commentList>
    <comment ref="D15" authorId="0">
      <text>
        <r>
          <rPr>
            <b/>
            <sz val="8"/>
            <color indexed="81"/>
            <rFont val="Tahoma"/>
            <family val="2"/>
          </rPr>
          <t>Allocation for FY11-12 was $135,000 plus $48,064 carryover from 0910 payment spreadsheet minus $13,370 payment posted on 10-11 payment spreadsheet for a total of $169,694. mr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Includes current year allocation of $121,476 and approved carryover of $103,115.
</t>
        </r>
      </text>
    </comment>
    <comment ref="D18" authorId="0">
      <text>
        <r>
          <rPr>
            <sz val="8"/>
            <color indexed="81"/>
            <rFont val="Tahoma"/>
            <family val="2"/>
          </rPr>
          <t xml:space="preserve">Allocation for 11-12 $402,938 less $1,408 which is reflected in the 09-10 allocation.  Adjustment due to change in fiscal years. mr
</t>
        </r>
      </text>
    </comment>
    <comment ref="D23" authorId="0">
      <text>
        <r>
          <rPr>
            <sz val="8"/>
            <color indexed="81"/>
            <rFont val="Tahoma"/>
            <family val="2"/>
          </rPr>
          <t xml:space="preserve">The allocation for FY11-12 is $130,072 plus $3,375 carryover from 09-10 minus the $11,361 payment posted on the 10-11 payment spreadsheet. Mr
</t>
        </r>
      </text>
    </comment>
    <comment ref="D26" authorId="0">
      <text>
        <r>
          <rPr>
            <sz val="8"/>
            <color indexed="81"/>
            <rFont val="Tahoma"/>
            <family val="2"/>
          </rPr>
          <t xml:space="preserve">Allocation $134,915 plus $14,991 carryover for tal allocation of $149,906. mr
</t>
        </r>
      </text>
    </comment>
    <comment ref="D27" authorId="1">
      <text>
        <r>
          <rPr>
            <b/>
            <sz val="8"/>
            <color indexed="81"/>
            <rFont val="Tahoma"/>
            <family val="2"/>
          </rPr>
          <t>Allocation $204,651 plus $26,288 carryover for a total  allocation of $230,939.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0">
      <text>
        <r>
          <rPr>
            <b/>
            <sz val="8"/>
            <color indexed="81"/>
            <rFont val="Tahoma"/>
            <family val="2"/>
          </rPr>
          <t xml:space="preserve">FY11-12 Allocation $270,000 plus $56,958 carryover less $14,190 payment posted on 10-11 payment spreadsheet. Mr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3" authorId="0">
      <text>
        <r>
          <rPr>
            <b/>
            <sz val="8"/>
            <color indexed="81"/>
            <rFont val="Tahoma"/>
            <family val="2"/>
          </rPr>
          <t xml:space="preserve">Allocation of $135,357 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Marti M. Rodriguez</author>
    <author>Tim Kahle</author>
  </authors>
  <commentList>
    <comment ref="C11" authorId="0">
      <text>
        <r>
          <rPr>
            <sz val="8"/>
            <color indexed="81"/>
            <rFont val="Tahoma"/>
            <family val="2"/>
          </rPr>
          <t xml:space="preserve">Allocation Represents $44,000 award in FY2011-12 plus $6,750 in approved carryover from FY2010-11.
</t>
        </r>
      </text>
    </comment>
    <comment ref="C12" authorId="0">
      <text>
        <r>
          <rPr>
            <sz val="8"/>
            <color indexed="81"/>
            <rFont val="Tahoma"/>
            <family val="2"/>
          </rPr>
          <t xml:space="preserve">Allocation Represents $43,500 award in FY2011-12 plus $0 carryover. Mr
</t>
        </r>
      </text>
    </comment>
    <comment ref="M12" authorId="1">
      <text>
        <r>
          <rPr>
            <b/>
            <sz val="8"/>
            <color indexed="81"/>
            <rFont val="Tahoma"/>
            <family val="2"/>
          </rPr>
          <t>Refund of cash on hand.</t>
        </r>
      </text>
    </comment>
    <comment ref="C13" authorId="0">
      <text>
        <r>
          <rPr>
            <b/>
            <sz val="8"/>
            <color indexed="81"/>
            <rFont val="Tahoma"/>
            <family val="2"/>
          </rPr>
          <t>Allocation Represents $36,500 award in FY2011-12 plus $2,013
in approved carryover from FY2010-11.</t>
        </r>
      </text>
    </comment>
    <comment ref="C14" authorId="0">
      <text>
        <r>
          <rPr>
            <sz val="8"/>
            <color indexed="81"/>
            <rFont val="Tahoma"/>
            <family val="2"/>
          </rPr>
          <t xml:space="preserve">Allocation Represents $19,500 awarded in FY2011-12 and $0 carryover from FY2010-11.
</t>
        </r>
      </text>
    </comment>
    <comment ref="C15" authorId="0">
      <text>
        <r>
          <rPr>
            <sz val="8"/>
            <color indexed="81"/>
            <rFont val="Tahoma"/>
            <family val="2"/>
          </rPr>
          <t xml:space="preserve">Allocation Represents $37,000 award in FY2011-12 plus $5,704 in approved carryover from FY2010-11.
</t>
        </r>
      </text>
    </comment>
    <comment ref="C17" authorId="0">
      <text>
        <r>
          <rPr>
            <sz val="8"/>
            <color indexed="81"/>
            <rFont val="Tahoma"/>
            <family val="2"/>
          </rPr>
          <t xml:space="preserve">Allocation Represents $44,000 awarded in FY2011-12 plus $3,739
iin approved carryover from FY2010-11.
</t>
        </r>
      </text>
    </comment>
    <comment ref="C18" authorId="0">
      <text>
        <r>
          <rPr>
            <sz val="8"/>
            <color indexed="81"/>
            <rFont val="Tahoma"/>
            <family val="2"/>
          </rPr>
          <t xml:space="preserve">Allocation Represents $44,000 award in FY2011-12 plus $0  carryover from FY2010-11.
</t>
        </r>
      </text>
    </comment>
    <comment ref="C19" authorId="0">
      <text>
        <r>
          <rPr>
            <sz val="8"/>
            <color indexed="81"/>
            <rFont val="Tahoma"/>
            <family val="2"/>
          </rPr>
          <t xml:space="preserve">Allocation Represents $24,500 awarded in FY2011-12 plus $0 approved carryover from FY2010-11.
</t>
        </r>
      </text>
    </comment>
    <comment ref="C20" authorId="0">
      <text>
        <r>
          <rPr>
            <sz val="8"/>
            <color indexed="81"/>
            <rFont val="Tahoma"/>
            <family val="2"/>
          </rPr>
          <t xml:space="preserve">Allocation Represents $39,000 awarded in FY2011-12 plus $7,583 in approved carryover from FY2010-11.
</t>
        </r>
      </text>
    </comment>
    <comment ref="C21" authorId="0">
      <text>
        <r>
          <rPr>
            <sz val="8"/>
            <color indexed="81"/>
            <rFont val="Tahoma"/>
            <family val="2"/>
          </rPr>
          <t xml:space="preserve">Allocation Represents $44,000 awarded in FY2011-12 plus $6,750 approved carryover from FY2010-11.
</t>
        </r>
      </text>
    </comment>
    <comment ref="C22" authorId="0">
      <text>
        <r>
          <rPr>
            <sz val="8"/>
            <color indexed="81"/>
            <rFont val="Tahoma"/>
            <family val="2"/>
          </rPr>
          <t xml:space="preserve">Allocation Represents $37,000 award in FY2011-12 plus $1,203 in approved carryover from FY2010-11.
</t>
        </r>
      </text>
    </comment>
    <comment ref="C23" authorId="0">
      <text>
        <r>
          <rPr>
            <sz val="8"/>
            <color indexed="81"/>
            <rFont val="Tahoma"/>
            <family val="2"/>
          </rPr>
          <t xml:space="preserve">Allocation Represents $44,000 awarded in FY2011-12 plus $6,750 approved carryover from FY2010-11.
</t>
        </r>
      </text>
    </comment>
    <comment ref="C24" authorId="0">
      <text>
        <r>
          <rPr>
            <sz val="8"/>
            <color indexed="81"/>
            <rFont val="Tahoma"/>
            <family val="2"/>
          </rPr>
          <t xml:space="preserve">Allocation Represents $9,800 awarded in FY2011-12 plus $0 approved carryover from FY2010-11.
</t>
        </r>
      </text>
    </comment>
    <comment ref="C25" authorId="0">
      <text>
        <r>
          <rPr>
            <sz val="8"/>
            <color indexed="81"/>
            <rFont val="Tahoma"/>
            <family val="2"/>
          </rPr>
          <t xml:space="preserve">Allocation Represents $27,000 awarded in FY2011-12 plus $4,125 approved carryover from FY2010-11.
</t>
        </r>
      </text>
    </comment>
    <comment ref="C26" authorId="0">
      <text>
        <r>
          <rPr>
            <sz val="8"/>
            <color indexed="81"/>
            <rFont val="Tahoma"/>
            <family val="2"/>
          </rPr>
          <t xml:space="preserve">Allocation Represents $44,500 awarded in FY2011-12 plus $0 approved carryover from FY2010-11.
</t>
        </r>
      </text>
    </comment>
    <comment ref="C27" authorId="0">
      <text>
        <r>
          <rPr>
            <sz val="8"/>
            <color indexed="81"/>
            <rFont val="Tahoma"/>
            <family val="2"/>
          </rPr>
          <t xml:space="preserve">Allocation Represents $43,000 awarded in FY2011-12 plus $0 approved carryover from FY2010-11.
</t>
        </r>
      </text>
    </comment>
    <comment ref="T27" authorId="1">
      <text>
        <r>
          <rPr>
            <b/>
            <sz val="8"/>
            <color indexed="81"/>
            <rFont val="Tahoma"/>
            <family val="2"/>
          </rPr>
          <t>Refund of cash on hand. TK 10/18/12</t>
        </r>
      </text>
    </comment>
  </commentList>
</comments>
</file>

<file path=xl/comments5.xml><?xml version="1.0" encoding="utf-8"?>
<comments xmlns="http://schemas.openxmlformats.org/spreadsheetml/2006/main">
  <authors>
    <author>Tim Kahle</author>
    <author>Rodriguez, Marti</author>
  </authors>
  <commentList>
    <comment ref="C14" authorId="0">
      <text>
        <r>
          <rPr>
            <b/>
            <sz val="8"/>
            <color indexed="81"/>
            <rFont val="Tahoma"/>
            <family val="2"/>
          </rPr>
          <t>This allocation amount includes the current year allocation of $270,000 as well as the approved carryover of $41,910.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0">
      <text>
        <r>
          <rPr>
            <b/>
            <sz val="8"/>
            <color indexed="81"/>
            <rFont val="Tahoma"/>
            <family val="2"/>
          </rPr>
          <t>Allocation amount includes current year allocation of $100,000 plus approved carryover of $36,432.</t>
        </r>
      </text>
    </comment>
    <comment ref="C19" authorId="0">
      <text>
        <r>
          <rPr>
            <b/>
            <sz val="8"/>
            <color indexed="81"/>
            <rFont val="Tahoma"/>
            <family val="2"/>
          </rPr>
          <t>Allocation amount includes current year allocation of $399,601 plus approved carryover of $99,900.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" authorId="0">
      <text>
        <r>
          <rPr>
            <b/>
            <sz val="8"/>
            <color indexed="81"/>
            <rFont val="Tahoma"/>
            <charset val="1"/>
          </rPr>
          <t>Allocation amount includes current year allocation of $134,836 plus approved carryover of $33,709.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C23" authorId="0">
      <text>
        <r>
          <rPr>
            <b/>
            <sz val="8"/>
            <color indexed="81"/>
            <rFont val="Tahoma"/>
            <charset val="1"/>
          </rPr>
          <t>Allocation amount includes current year allocation of $235,000 plus approved FY11 carryover of $60,872.</t>
        </r>
      </text>
    </comment>
    <comment ref="U27" authorId="1">
      <text>
        <r>
          <rPr>
            <b/>
            <sz val="8"/>
            <color indexed="81"/>
            <rFont val="Tahoma"/>
            <charset val="1"/>
          </rPr>
          <t xml:space="preserve">The $3,639 paid October 2012 was moved to the FY12-13 spreadsheet to reflect accurate carrover. Mr
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C30" authorId="0">
      <text>
        <r>
          <rPr>
            <b/>
            <sz val="8"/>
            <color indexed="81"/>
            <rFont val="Tahoma"/>
            <family val="2"/>
          </rPr>
          <t>This allocation amount includes the current year allocation of $30,536 as well as the approved carryover of $7,634.</t>
        </r>
      </text>
    </comment>
  </commentList>
</comments>
</file>

<file path=xl/comments6.xml><?xml version="1.0" encoding="utf-8"?>
<comments xmlns="http://schemas.openxmlformats.org/spreadsheetml/2006/main">
  <authors>
    <author>Tim Kahle</author>
  </authors>
  <commentList>
    <comment ref="P23" authorId="0">
      <text>
        <r>
          <rPr>
            <b/>
            <sz val="8"/>
            <color indexed="81"/>
            <rFont val="Tahoma"/>
            <family val="2"/>
          </rPr>
          <t>Includes April request for $66,393 and May request for $91,196.</t>
        </r>
      </text>
    </comment>
  </commentList>
</comments>
</file>

<file path=xl/comments7.xml><?xml version="1.0" encoding="utf-8"?>
<comments xmlns="http://schemas.openxmlformats.org/spreadsheetml/2006/main">
  <authors>
    <author>Tim Kahle</author>
  </authors>
  <commentList>
    <comment ref="D21" authorId="0">
      <text>
        <r>
          <rPr>
            <b/>
            <sz val="8"/>
            <color indexed="81"/>
            <rFont val="Tahoma"/>
            <charset val="1"/>
          </rPr>
          <t>Includes Phase I and Phase II award amounts.</t>
        </r>
      </text>
    </comment>
  </commentList>
</comments>
</file>

<file path=xl/comments8.xml><?xml version="1.0" encoding="utf-8"?>
<comments xmlns="http://schemas.openxmlformats.org/spreadsheetml/2006/main">
  <authors>
    <author>Tim Kahle</author>
  </authors>
  <commentList>
    <comment ref="L22" authorId="0">
      <text>
        <r>
          <rPr>
            <b/>
            <sz val="8"/>
            <color indexed="81"/>
            <rFont val="Tahoma"/>
            <family val="2"/>
          </rPr>
          <t>Includes current request of $100,966 and missed payment from Dec for $4,982.</t>
        </r>
      </text>
    </comment>
  </commentList>
</comments>
</file>

<file path=xl/comments9.xml><?xml version="1.0" encoding="utf-8"?>
<comments xmlns="http://schemas.openxmlformats.org/spreadsheetml/2006/main">
  <authors>
    <author>Tim Kahle</author>
  </authors>
  <commentList>
    <comment ref="U18" authorId="0">
      <text>
        <r>
          <rPr>
            <b/>
            <sz val="8"/>
            <color indexed="81"/>
            <rFont val="Tahoma"/>
            <charset val="1"/>
          </rPr>
          <t>IT YYY DAA13000021</t>
        </r>
      </text>
    </comment>
  </commentList>
</comments>
</file>

<file path=xl/sharedStrings.xml><?xml version="1.0" encoding="utf-8"?>
<sst xmlns="http://schemas.openxmlformats.org/spreadsheetml/2006/main" count="1609" uniqueCount="570">
  <si>
    <t>Grant:</t>
  </si>
  <si>
    <t>CFDA #</t>
  </si>
  <si>
    <t>GRANT NUMBER:</t>
  </si>
  <si>
    <t>FISCAL YEAR:</t>
  </si>
  <si>
    <t>Code</t>
  </si>
  <si>
    <t>District/Agency Name</t>
  </si>
  <si>
    <t>2011-12</t>
  </si>
  <si>
    <t>0030</t>
  </si>
  <si>
    <t>0140</t>
  </si>
  <si>
    <t>0180</t>
  </si>
  <si>
    <t>0470</t>
  </si>
  <si>
    <t>St. Vrain Adult Education</t>
  </si>
  <si>
    <t>0480</t>
  </si>
  <si>
    <t>1010</t>
  </si>
  <si>
    <t>Adult &amp; Family Education SD11</t>
  </si>
  <si>
    <t>1510</t>
  </si>
  <si>
    <t>Lake County School District R-1</t>
  </si>
  <si>
    <t>2180</t>
  </si>
  <si>
    <t>Montrose School District RE-1J</t>
  </si>
  <si>
    <t>9060</t>
  </si>
  <si>
    <t>South Central BOCES</t>
  </si>
  <si>
    <t>Y001</t>
  </si>
  <si>
    <t>TSJC - Adult Education Services</t>
  </si>
  <si>
    <t>Y002</t>
  </si>
  <si>
    <t>LaLlave Family Resource Center</t>
  </si>
  <si>
    <t>Y003</t>
  </si>
  <si>
    <t>Unlimited Learning</t>
  </si>
  <si>
    <t>Y004</t>
  </si>
  <si>
    <t>Y295</t>
  </si>
  <si>
    <t>Front Range Community College</t>
  </si>
  <si>
    <t>Y646</t>
  </si>
  <si>
    <t>Colorado Mountain College</t>
  </si>
  <si>
    <t>Y651</t>
  </si>
  <si>
    <t>Y693</t>
  </si>
  <si>
    <t>Y694</t>
  </si>
  <si>
    <t>Adult Learning Center, Inc./Pine River Community Learning Center</t>
  </si>
  <si>
    <t>Y695</t>
  </si>
  <si>
    <t>Y697</t>
  </si>
  <si>
    <t>Literacy Coalition of Colorado</t>
  </si>
  <si>
    <t>Y699</t>
  </si>
  <si>
    <t>Northeastern Junior College</t>
  </si>
  <si>
    <t>Y700</t>
  </si>
  <si>
    <t>Y701</t>
  </si>
  <si>
    <t>Spring Institute for Intercultural Learning</t>
  </si>
  <si>
    <t>Y703</t>
  </si>
  <si>
    <t>Y704</t>
  </si>
  <si>
    <t>Y705</t>
  </si>
  <si>
    <t>Y706</t>
  </si>
  <si>
    <t>Y707</t>
  </si>
  <si>
    <t>Y709</t>
  </si>
  <si>
    <t>CCD ABE/GED Institute</t>
  </si>
  <si>
    <t>Y711</t>
  </si>
  <si>
    <t>Y743</t>
  </si>
  <si>
    <t>Y790</t>
  </si>
  <si>
    <t>Y815</t>
  </si>
  <si>
    <t>Y863</t>
  </si>
  <si>
    <t>Summer Scholars Adult ELL</t>
  </si>
  <si>
    <t>Y871</t>
  </si>
  <si>
    <t>Lamar Community College</t>
  </si>
  <si>
    <t>Y927</t>
  </si>
  <si>
    <t>Gunnison County Literacy Action</t>
  </si>
  <si>
    <t>ALLOCATION</t>
  </si>
  <si>
    <t>PAYMENTS TO DATE</t>
  </si>
  <si>
    <t>BALANCE</t>
  </si>
  <si>
    <t>JULY 2011</t>
  </si>
  <si>
    <t>AUGUST 2011</t>
  </si>
  <si>
    <t>SEPTEMBER 2011</t>
  </si>
  <si>
    <t>OCTOBER 2011</t>
  </si>
  <si>
    <t>NOVEMBER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</si>
  <si>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</si>
  <si>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</si>
  <si>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</si>
  <si>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</si>
  <si>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</si>
  <si>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</si>
  <si>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</si>
  <si>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</si>
  <si>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</si>
  <si>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</si>
  <si>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DECEMBER 2011</t>
  </si>
  <si>
    <t>LAST DAY TO SUBMIT REQUEST FOR THIS GRANT  - SEPTEMBER 30, 2012</t>
  </si>
  <si>
    <t>ILC Adams SD 14.</t>
  </si>
  <si>
    <t>LPS</t>
  </si>
  <si>
    <t>APS</t>
  </si>
  <si>
    <t xml:space="preserve">Boulder Valley Family Literacy </t>
  </si>
  <si>
    <t>Boys &amp; Girls Club Metro Denver</t>
  </si>
  <si>
    <t>Metro State College Fam Lit</t>
  </si>
  <si>
    <t xml:space="preserve">Focus Points Family Resource </t>
  </si>
  <si>
    <t xml:space="preserve">Learning Source </t>
  </si>
  <si>
    <t xml:space="preserve">Phillips County Family Education </t>
  </si>
  <si>
    <t xml:space="preserve">Spring Institute </t>
  </si>
  <si>
    <t xml:space="preserve">Pueblo Community College-AEP </t>
  </si>
  <si>
    <t>Durango Adult Education Center</t>
  </si>
  <si>
    <t xml:space="preserve">Delta County Adult Literacy </t>
  </si>
  <si>
    <t>Archuleta County Education</t>
  </si>
  <si>
    <t>Right to Read of Weld County</t>
  </si>
  <si>
    <t>Valley Campus of TSJC</t>
  </si>
  <si>
    <t>Asian Pacific Develop.Center</t>
  </si>
  <si>
    <t>Morgan Community CollegeABE</t>
  </si>
  <si>
    <t>21st CENTURY GRANT</t>
  </si>
  <si>
    <t>COHORT:</t>
  </si>
  <si>
    <t>Question regarding payments:</t>
  </si>
  <si>
    <t>Tim Kahle  303-866-6034 or kahle_t@cde.state.co.us</t>
  </si>
  <si>
    <t xml:space="preserve">Questions regarding grant: </t>
  </si>
  <si>
    <t>Marti Rodriguez 303-866-6769 or rodrigue_m@cde.state.co.us</t>
  </si>
  <si>
    <t xml:space="preserve">Adult Education </t>
  </si>
  <si>
    <t>Tim Kahle   303-866-6034 or kahle_t@cde.state.co.us</t>
  </si>
  <si>
    <t>Marti Rodriguez  303-866-6769 or rodriguez_m@cde.state.co.us</t>
  </si>
  <si>
    <t>EL CIVICS</t>
  </si>
  <si>
    <t>Colorado Springs 11</t>
  </si>
  <si>
    <t>St. Vrain Valley Adult Education</t>
  </si>
  <si>
    <t>Montrose County School District</t>
  </si>
  <si>
    <t>Trinidad State Junior College</t>
  </si>
  <si>
    <t>Focus Points/Open Book</t>
  </si>
  <si>
    <t>The Literacy Coalition of Jefferson County</t>
  </si>
  <si>
    <t>Morgan Community College</t>
  </si>
  <si>
    <t>Adult Education Center of Durango</t>
  </si>
  <si>
    <t>Education and Life Training Ctr</t>
  </si>
  <si>
    <t>SEPT 2012</t>
  </si>
  <si>
    <t>OCT 2012</t>
  </si>
  <si>
    <t>0020</t>
  </si>
  <si>
    <t>0120</t>
  </si>
  <si>
    <t>0880</t>
  </si>
  <si>
    <t>0980</t>
  </si>
  <si>
    <t>Y897</t>
  </si>
  <si>
    <t>Adams 12 Five Star Schools</t>
  </si>
  <si>
    <t>Adams County 14</t>
  </si>
  <si>
    <t>Englewood Schools 1</t>
  </si>
  <si>
    <t>Adams-Arapahoe 28J</t>
  </si>
  <si>
    <t>Boulder Valley-RE 2</t>
  </si>
  <si>
    <t>Denver County 1</t>
  </si>
  <si>
    <t>Harrison 2</t>
  </si>
  <si>
    <t>Hanover 28</t>
  </si>
  <si>
    <t>Garfield RE-2</t>
  </si>
  <si>
    <t>Huerfano RE-1</t>
  </si>
  <si>
    <t>Jefferson County R-1</t>
  </si>
  <si>
    <t>Lake County R-1</t>
  </si>
  <si>
    <t>Poudre R-1</t>
  </si>
  <si>
    <t>Trinidad 1</t>
  </si>
  <si>
    <t>Mesa County Valley 51</t>
  </si>
  <si>
    <t>Montezuma-Cortez RE-1</t>
  </si>
  <si>
    <t>Montrose County RE-1J</t>
  </si>
  <si>
    <t xml:space="preserve">Pueblo City 60 </t>
  </si>
  <si>
    <t>Pueblo County 70</t>
  </si>
  <si>
    <t>Cripple Creek-Victor RE-1</t>
  </si>
  <si>
    <t>Greeley 6</t>
  </si>
  <si>
    <t>Summer Scholars</t>
  </si>
  <si>
    <t>YMCA of the Pikes Peak Region</t>
  </si>
  <si>
    <t>LAST DAY TO SUBMIT REQUEST FOR THIS GRANT  - SEPTEMBER 30, 2013</t>
  </si>
  <si>
    <t>April 1, 2012 through June 30, 2013 YEAR ONE ONLY</t>
  </si>
  <si>
    <t>McKinney-Vento Homeless</t>
  </si>
  <si>
    <t>0070</t>
  </si>
  <si>
    <t>0123</t>
  </si>
  <si>
    <t>Adams 12</t>
  </si>
  <si>
    <t>Adams 14</t>
  </si>
  <si>
    <t>Adams 50</t>
  </si>
  <si>
    <t>Sheridan</t>
  </si>
  <si>
    <t>St Vrain</t>
  </si>
  <si>
    <t>BVSD</t>
  </si>
  <si>
    <t>DPS</t>
  </si>
  <si>
    <t>Fountain</t>
  </si>
  <si>
    <t>Jeffco</t>
  </si>
  <si>
    <t>Poudre</t>
  </si>
  <si>
    <t>Mesa 51</t>
  </si>
  <si>
    <t>Pueblo 60</t>
  </si>
  <si>
    <t>Mt. Valley</t>
  </si>
  <si>
    <t>CBOCES</t>
  </si>
  <si>
    <t>SLVBOCES</t>
  </si>
  <si>
    <t>FY 2011-12</t>
  </si>
  <si>
    <t>7/1/11-6/30/12</t>
  </si>
  <si>
    <t>LAST DAY TO SUBMIT REQUESTS FOR THIS GRANT  - SEPTEMBER 30, 2012</t>
  </si>
  <si>
    <t>CARRYOVER:</t>
  </si>
  <si>
    <t>Not allowed on this grant</t>
  </si>
  <si>
    <t>Limited to 10%</t>
  </si>
  <si>
    <t>Adam Klett 303-866-6905 or klett_a@cde.state.co.us</t>
  </si>
  <si>
    <t>July 1, 2011 - June 30, 2012</t>
  </si>
  <si>
    <t>Title II-B Math &amp; Science Partnerships</t>
  </si>
  <si>
    <t>LAST DAY TO SUBMIT REQUEST FOR THIS GRANT  - November 15, 2012</t>
  </si>
  <si>
    <t>Limited to 15%</t>
  </si>
  <si>
    <t>Westminster 50</t>
  </si>
  <si>
    <t>Denver Public Schools</t>
  </si>
  <si>
    <t>0910</t>
  </si>
  <si>
    <t>Eagle SD</t>
  </si>
  <si>
    <t>IMPORTANT NOTE:  Funds approved for carryover are included in the Allocation Amount-please refer to comments.</t>
  </si>
  <si>
    <t>Title I-B Even Start Close Out Year</t>
  </si>
  <si>
    <t>No carryover-grant ends 9/30/12</t>
  </si>
  <si>
    <t>LAST DAY TO SUBMIT REQUEST FOR THIS GRANT  - October 15, 2012</t>
  </si>
  <si>
    <t>0870</t>
  </si>
  <si>
    <t>Delta SD</t>
  </si>
  <si>
    <t>Center SD</t>
  </si>
  <si>
    <t xml:space="preserve">Y651 </t>
  </si>
  <si>
    <t>Metro College Family Literacy</t>
  </si>
  <si>
    <t>Tiered Intervention Grant</t>
  </si>
  <si>
    <t>6534-S</t>
  </si>
  <si>
    <t>HANSON ELEMENTARY SCHOOL</t>
  </si>
  <si>
    <t>3054-S</t>
  </si>
  <si>
    <t>FORT LOGAN ELEMENTARY SCHOOL</t>
  </si>
  <si>
    <t>3426-S</t>
  </si>
  <si>
    <t>GILPIN K-8 SCHOOL</t>
  </si>
  <si>
    <t>3638-S</t>
  </si>
  <si>
    <t>GREENLEE K-8 SCHOOL</t>
  </si>
  <si>
    <t>4910-S</t>
  </si>
  <si>
    <t>LAKE MIDDLE SCHOOL</t>
  </si>
  <si>
    <t>5995-S</t>
  </si>
  <si>
    <t>MONTBELLO HIGH SCHOOL</t>
  </si>
  <si>
    <t>6314-S</t>
  </si>
  <si>
    <t>NORTH HIGH SCHOOL</t>
  </si>
  <si>
    <t>6784-S</t>
  </si>
  <si>
    <t>NOEL MIDDLE SCHOOL</t>
  </si>
  <si>
    <t>1686-S</t>
  </si>
  <si>
    <t>CLIFTON ELEMENTARY SCHOOL</t>
  </si>
  <si>
    <t>1454-S</t>
  </si>
  <si>
    <t>CENTRAL HIGH SCHOOL</t>
  </si>
  <si>
    <t>3206-S</t>
  </si>
  <si>
    <t>FREED MIDDLE SCHOOL</t>
  </si>
  <si>
    <t>4376-S</t>
  </si>
  <si>
    <t>JAMES H RISLEY MIDDLE SCHOOL</t>
  </si>
  <si>
    <t>5048-S</t>
  </si>
  <si>
    <t>LEMUEL PITTS MIDDLE SCHOOL</t>
  </si>
  <si>
    <t>7481-S</t>
  </si>
  <si>
    <t>RONCALLI MIDDLE SCHOOL</t>
  </si>
  <si>
    <t>1412-S</t>
  </si>
  <si>
    <t>HASKIN ELEMENTARY SCHOOL</t>
  </si>
  <si>
    <t>0502</t>
  </si>
  <si>
    <t>Meadow Community School</t>
  </si>
  <si>
    <t>2876</t>
  </si>
  <si>
    <t>Fairview Elementary School</t>
  </si>
  <si>
    <t>3144</t>
  </si>
  <si>
    <t>FM Day Elementary School</t>
  </si>
  <si>
    <t>5834</t>
  </si>
  <si>
    <t>Mesa Elementary School</t>
  </si>
  <si>
    <t>7860</t>
  </si>
  <si>
    <t>Sherrelwood Elementary School</t>
  </si>
  <si>
    <t>9462</t>
  </si>
  <si>
    <t>Westminster Elementary School</t>
  </si>
  <si>
    <t>3272</t>
  </si>
  <si>
    <t>Fulton Elementary School</t>
  </si>
  <si>
    <t>8909</t>
  </si>
  <si>
    <t>8143</t>
  </si>
  <si>
    <t>Spann Elementary School</t>
  </si>
  <si>
    <t>School Name</t>
  </si>
  <si>
    <t>Trevista ECE-8 at Horace Mann</t>
  </si>
  <si>
    <t>Title 1A School Improvement - Compass Learning Grant</t>
  </si>
  <si>
    <t>9055-7</t>
  </si>
  <si>
    <t>San Luis Valley BOCES</t>
  </si>
  <si>
    <t>Title 1A School Improvement - ELSS Math Grant</t>
  </si>
  <si>
    <t>East Central BOCES</t>
  </si>
  <si>
    <t>Centennial BOCES</t>
  </si>
  <si>
    <t>Northeast BOCES</t>
  </si>
  <si>
    <t>RESOURCE CENTERS</t>
  </si>
  <si>
    <t>0130</t>
  </si>
  <si>
    <t>Title 1A School Improvement - Formative Assessment</t>
  </si>
  <si>
    <t>0030-9</t>
  </si>
  <si>
    <t>0070-9</t>
  </si>
  <si>
    <t>0480-9</t>
  </si>
  <si>
    <t>Boulder Valley RE-2</t>
  </si>
  <si>
    <t>3080-9</t>
  </si>
  <si>
    <t>Weld RE-1</t>
  </si>
  <si>
    <t>3120-9</t>
  </si>
  <si>
    <t>Greeley R-6</t>
  </si>
  <si>
    <t>Title 1A School Improvement - Prevention Integration Grant</t>
  </si>
  <si>
    <t>LAST DAY TO SUBMIT REQUESTS FOR THIS GRANT  - November 15, 2012</t>
  </si>
  <si>
    <t>LAST DAY TO SUBMIT REQUESTS FOR THIS GRANT  - September 15, 2012</t>
  </si>
  <si>
    <t>LAST DAY TO SUBMIT REQUESTS FOR THIS GRANT  - August 15, 2012</t>
  </si>
  <si>
    <t>07/01/2011-09/30/2012</t>
  </si>
  <si>
    <t>District Name</t>
  </si>
  <si>
    <t>Boulder Valley School District RE-2</t>
  </si>
  <si>
    <t>0290</t>
  </si>
  <si>
    <t>Las Animas School District RE-1</t>
  </si>
  <si>
    <t>2000</t>
  </si>
  <si>
    <t>Mesa County Valley School District 51</t>
  </si>
  <si>
    <t>3120</t>
  </si>
  <si>
    <t>Weld County School District 6</t>
  </si>
  <si>
    <t>8001</t>
  </si>
  <si>
    <t>Charter School Institute</t>
  </si>
  <si>
    <t>0900</t>
  </si>
  <si>
    <t>Douglas County School District RE-1</t>
  </si>
  <si>
    <t>Adams County School District 50</t>
  </si>
  <si>
    <t>Aurora Public School District</t>
  </si>
  <si>
    <t>0010</t>
  </si>
  <si>
    <t>Mapleton Public Schools</t>
  </si>
  <si>
    <t>Montrose County School District RE-1J</t>
  </si>
  <si>
    <t>84.010</t>
  </si>
  <si>
    <t>Title 1A School Improvement</t>
  </si>
  <si>
    <t>0070-28</t>
  </si>
  <si>
    <t>0470-21</t>
  </si>
  <si>
    <t>St. Vrain Valley</t>
  </si>
  <si>
    <t>0480-23</t>
  </si>
  <si>
    <t>0480-24</t>
  </si>
  <si>
    <t>1180-20</t>
  </si>
  <si>
    <t>Roaring Fork RE-1</t>
  </si>
  <si>
    <t>3120-26</t>
  </si>
  <si>
    <t>Weld County 6</t>
  </si>
  <si>
    <t>Alicia Sanchez Elementary</t>
  </si>
  <si>
    <t>Emerald Elementary School</t>
  </si>
  <si>
    <t>Glenwood Springs Elementary</t>
  </si>
  <si>
    <t>0070-30</t>
  </si>
  <si>
    <t>Skyline Vista Elementary</t>
  </si>
  <si>
    <t>0480-25</t>
  </si>
  <si>
    <t>Pioneer Bilingual Elementary</t>
  </si>
  <si>
    <t>0880-63</t>
  </si>
  <si>
    <t xml:space="preserve">Eagleton Elementary </t>
  </si>
  <si>
    <t>Northridge Elementary</t>
  </si>
  <si>
    <t>Sherrelwood Elementary</t>
  </si>
  <si>
    <t>Centennial Elementary</t>
  </si>
  <si>
    <t>1560-21</t>
  </si>
  <si>
    <t>Thompson School District</t>
  </si>
  <si>
    <t xml:space="preserve">Monroe Elementary </t>
  </si>
  <si>
    <t>8001-20</t>
  </si>
  <si>
    <t>Scholars to Leaders Academy</t>
  </si>
  <si>
    <t>3145-20</t>
  </si>
  <si>
    <t>Ault-Highland RE9</t>
  </si>
  <si>
    <t>Highland Elementary</t>
  </si>
  <si>
    <t>Title 1A District Improvement</t>
  </si>
  <si>
    <t>0290-41</t>
  </si>
  <si>
    <t>Las Animas School District RE1J</t>
  </si>
  <si>
    <t>0770-41</t>
  </si>
  <si>
    <t>Crowley County School District RE1J</t>
  </si>
  <si>
    <t>1750-41</t>
  </si>
  <si>
    <t>Branson School District RE82</t>
  </si>
  <si>
    <t>2395-41</t>
  </si>
  <si>
    <t>Brush</t>
  </si>
  <si>
    <t>2690-41</t>
  </si>
  <si>
    <t>Pueblo City Schools</t>
  </si>
  <si>
    <t>0070-99</t>
  </si>
  <si>
    <t>0100-99</t>
  </si>
  <si>
    <t>0120-99</t>
  </si>
  <si>
    <t>1390-99</t>
  </si>
  <si>
    <t>1540-99</t>
  </si>
  <si>
    <t>1620-99</t>
  </si>
  <si>
    <t>1810-99</t>
  </si>
  <si>
    <t>2035-99</t>
  </si>
  <si>
    <t>2405-99</t>
  </si>
  <si>
    <t>2520-99</t>
  </si>
  <si>
    <t>2530-99</t>
  </si>
  <si>
    <t>Alamosa</t>
  </si>
  <si>
    <t>Englewood 1</t>
  </si>
  <si>
    <t>Huerfano</t>
  </si>
  <si>
    <t>Ignacio</t>
  </si>
  <si>
    <t>Aguilar</t>
  </si>
  <si>
    <t>Karval</t>
  </si>
  <si>
    <t>Montezuma</t>
  </si>
  <si>
    <t>Ft. Morgan RE-3</t>
  </si>
  <si>
    <t>East Otero</t>
  </si>
  <si>
    <t>Rocky Ford R-2</t>
  </si>
  <si>
    <t>1510-99</t>
  </si>
  <si>
    <t>Lake</t>
  </si>
  <si>
    <t>0580-99</t>
  </si>
  <si>
    <t>South Conejos RE10</t>
  </si>
  <si>
    <t>Title V - Abstinence Education Grant Program</t>
  </si>
  <si>
    <t>Center Consolidated Schools</t>
  </si>
  <si>
    <t>Y582</t>
  </si>
  <si>
    <t>Pueblo City-County Health Dept</t>
  </si>
  <si>
    <t>Y583</t>
  </si>
  <si>
    <t>Friends First, INC</t>
  </si>
  <si>
    <t>Y584</t>
  </si>
  <si>
    <t>The Center for Relationship Education</t>
  </si>
  <si>
    <t>Title V-B Charter School Grant Program</t>
  </si>
  <si>
    <t>84.282A</t>
  </si>
  <si>
    <t>Y948</t>
  </si>
  <si>
    <t>Y110</t>
  </si>
  <si>
    <t>Y111</t>
  </si>
  <si>
    <t>Y112</t>
  </si>
  <si>
    <t>Y113</t>
  </si>
  <si>
    <t>Y114</t>
  </si>
  <si>
    <t>Y115</t>
  </si>
  <si>
    <t>Y116</t>
  </si>
  <si>
    <t>Y117</t>
  </si>
  <si>
    <t>Y119</t>
  </si>
  <si>
    <t>Y121</t>
  </si>
  <si>
    <t>Y123</t>
  </si>
  <si>
    <t>Y124</t>
  </si>
  <si>
    <t>Y125</t>
  </si>
  <si>
    <t>Y126</t>
  </si>
  <si>
    <t>Y127</t>
  </si>
  <si>
    <t xml:space="preserve">Y128 </t>
  </si>
  <si>
    <t>Y129</t>
  </si>
  <si>
    <t>Y130</t>
  </si>
  <si>
    <t>Y131</t>
  </si>
  <si>
    <t>Y132</t>
  </si>
  <si>
    <t>Charter School</t>
  </si>
  <si>
    <t>Charter Account</t>
  </si>
  <si>
    <t>Fiscal Agent</t>
  </si>
  <si>
    <t>Skyview Academy (formerly North Star Academy-West)</t>
  </si>
  <si>
    <t>SOAR GVR</t>
  </si>
  <si>
    <t>Manny Martinez Middle School</t>
  </si>
  <si>
    <t>Academy for Advanced and Creative Learning (AACL)</t>
  </si>
  <si>
    <t>GALS</t>
  </si>
  <si>
    <t>Two Roads</t>
  </si>
  <si>
    <t>Provost</t>
  </si>
  <si>
    <t>Colorado Calvert Academy</t>
  </si>
  <si>
    <t>Denver Language School</t>
  </si>
  <si>
    <t>Ben Franklin Academy</t>
  </si>
  <si>
    <t>Aspen Ridge Preparatory School</t>
  </si>
  <si>
    <t xml:space="preserve">University Preparatory School </t>
  </si>
  <si>
    <t>Eagle Ridge Academy</t>
  </si>
  <si>
    <t>Foundations Academy</t>
  </si>
  <si>
    <t>Global Village Academy</t>
  </si>
  <si>
    <t>STEM School</t>
  </si>
  <si>
    <t>SOAR Oakland</t>
  </si>
  <si>
    <t>Prospect Ridge Academy</t>
  </si>
  <si>
    <t>Mountain Middle School</t>
  </si>
  <si>
    <t>WDP - Highland Campus</t>
  </si>
  <si>
    <t>WDP - Lake Campus</t>
  </si>
  <si>
    <t>Jefferson County Schools</t>
  </si>
  <si>
    <t>Saint Vrain</t>
  </si>
  <si>
    <t>Brighton 27J</t>
  </si>
  <si>
    <t>Douglas County 1</t>
  </si>
  <si>
    <t>Colorado Springs D11</t>
  </si>
  <si>
    <t>Colorado Graduation Pathways</t>
  </si>
  <si>
    <t>1420</t>
  </si>
  <si>
    <t>1990</t>
  </si>
  <si>
    <t>2035</t>
  </si>
  <si>
    <t>Cherry Creek 5</t>
  </si>
  <si>
    <t>Jefferson R-1</t>
  </si>
  <si>
    <t>Plateau 50</t>
  </si>
  <si>
    <t>Mapleton 1</t>
  </si>
  <si>
    <t>Trinidad State Jr. College Adult Ed Svcs</t>
  </si>
  <si>
    <t>CSI - Phase 1 Award</t>
  </si>
  <si>
    <t>CSI - Phase 2 Award</t>
  </si>
  <si>
    <t>Y133</t>
  </si>
  <si>
    <t>Sims Fayola International Academy</t>
  </si>
  <si>
    <t>Pueblo City 60</t>
  </si>
  <si>
    <t>Y134</t>
  </si>
  <si>
    <t>Loveland Classical Schools</t>
  </si>
  <si>
    <t>Thompson R2-J</t>
  </si>
  <si>
    <t>0010-NAS</t>
  </si>
  <si>
    <t>New America Schools</t>
  </si>
  <si>
    <t>Y136</t>
  </si>
  <si>
    <t>Rocky Mountain Prep</t>
  </si>
  <si>
    <t>Title 1A Charter School Student Improvement</t>
  </si>
  <si>
    <t>Fruitvale Elementary</t>
  </si>
  <si>
    <t>Mesa County 51</t>
  </si>
  <si>
    <t>Chatfield Elementary</t>
  </si>
  <si>
    <t>Ellicott SD</t>
  </si>
  <si>
    <t>Escuela Tlateloco</t>
  </si>
  <si>
    <t>LAST DAY TO SUBMIT REQUESTS FOR THIS GRANT  - November 15, 2013</t>
  </si>
  <si>
    <t>Title 1A Improvement Support Partnership</t>
  </si>
  <si>
    <t>Crystal River Elementary School</t>
  </si>
  <si>
    <t>Roaring Fork</t>
  </si>
  <si>
    <t>Sopris Elementary School</t>
  </si>
  <si>
    <t>Abraham Lincoln High School</t>
  </si>
  <si>
    <t>Contemporary Learning Academy</t>
  </si>
  <si>
    <t>Academy of Urban Learning</t>
  </si>
  <si>
    <t>Henry World School</t>
  </si>
  <si>
    <t>Maxwell Elementary</t>
  </si>
  <si>
    <t>Title 1A Diagnostic Review</t>
  </si>
  <si>
    <t>Sheridan High, Middle, and Elementary Schools</t>
  </si>
  <si>
    <t>Sheridan SD</t>
  </si>
  <si>
    <t>Title 1A UVA Leadership Pilot</t>
  </si>
  <si>
    <t>LAST DAY TO SUBMIT REQUESTS FOR THIS GRANT  - August 15, 2013</t>
  </si>
  <si>
    <t>0880-11</t>
  </si>
  <si>
    <t>Fort Morgan</t>
  </si>
  <si>
    <t>Y135</t>
  </si>
  <si>
    <t>DSST Cole Middle School</t>
  </si>
  <si>
    <t>Sheridan 2</t>
  </si>
  <si>
    <t>Sheridan Middle School</t>
  </si>
  <si>
    <t>Sheridan Elementary School</t>
  </si>
  <si>
    <t>Ashley Elementary</t>
  </si>
  <si>
    <t>Cheltenham Elementary</t>
  </si>
  <si>
    <t>College View Elementary</t>
  </si>
  <si>
    <t>Kaiser Elementary</t>
  </si>
  <si>
    <t>Pueblo City</t>
  </si>
  <si>
    <t>Bessemer Academy</t>
  </si>
  <si>
    <t>Huerfano RE-1 - FDA ONLY</t>
  </si>
  <si>
    <t>Heaton Elementary - FDA ONLY</t>
  </si>
  <si>
    <t>Alsup Elementary, Dupont Elementary, Adams City Middle School</t>
  </si>
  <si>
    <t>Weld RE-6</t>
  </si>
  <si>
    <t>Results Matter School Readiness Assessment Pilot</t>
  </si>
  <si>
    <t>Swansea Elementary</t>
  </si>
  <si>
    <t>Y137</t>
  </si>
  <si>
    <t>Union Colony</t>
  </si>
  <si>
    <t>Y138</t>
  </si>
  <si>
    <t>West Denver Prep Green Valley Ranch</t>
  </si>
  <si>
    <t>Y139</t>
  </si>
  <si>
    <t>West Denver Prep Montbello</t>
  </si>
  <si>
    <t>Y140</t>
  </si>
  <si>
    <t>Colorado Early Colleges Fort Collins</t>
  </si>
  <si>
    <t>Y947</t>
  </si>
  <si>
    <t>Y843</t>
  </si>
  <si>
    <t>Y799</t>
  </si>
  <si>
    <t>Y776</t>
  </si>
  <si>
    <t>Adams 14 - HS</t>
  </si>
  <si>
    <t>Adams County SD 14</t>
  </si>
  <si>
    <t>Aurora Public School</t>
  </si>
  <si>
    <t>Boulder Valley SD</t>
  </si>
  <si>
    <t>Denver Public SD</t>
  </si>
  <si>
    <t>DPS Cont Learning</t>
  </si>
  <si>
    <t>LaVeta RE2 SD</t>
  </si>
  <si>
    <t>Jeffco County PS</t>
  </si>
  <si>
    <t>Lake County SD</t>
  </si>
  <si>
    <t>Poudre SD</t>
  </si>
  <si>
    <t>Thompson R2-J SD</t>
  </si>
  <si>
    <t>Genoa-Hugo SD C113</t>
  </si>
  <si>
    <t>Montezuma Cortez RE1</t>
  </si>
  <si>
    <t>Silverton SD #1</t>
  </si>
  <si>
    <t>Cripple Creek</t>
  </si>
  <si>
    <t>Weld 6</t>
  </si>
  <si>
    <t>CSI NAS</t>
  </si>
  <si>
    <t>Garfield 16</t>
  </si>
  <si>
    <t>Metro State College, Center for Urban Education</t>
  </si>
  <si>
    <t>Asian Pacific</t>
  </si>
  <si>
    <t>Mi Casa Resource</t>
  </si>
  <si>
    <t>SUCAP Ignacio</t>
  </si>
  <si>
    <t>Adolescent Counseling Exchance</t>
  </si>
  <si>
    <t>Schools</t>
  </si>
  <si>
    <t>Federal Heights, McElain, Rocky Mountain ES and Vantage Point HS</t>
  </si>
  <si>
    <t>Sheridan HS</t>
  </si>
  <si>
    <t>Denver Center for International Studies Montbello</t>
  </si>
  <si>
    <t>Greenwood Academy</t>
  </si>
  <si>
    <t xml:space="preserve">Escuela Tlatelolco </t>
  </si>
  <si>
    <t>Laveta Jr &amp; SR HS</t>
  </si>
  <si>
    <t>Plesant View &amp; Holholm ES</t>
  </si>
  <si>
    <t>West Park, Margaret Pitts ES and Keystone Science School</t>
  </si>
  <si>
    <t>Poudre Community Academy, FRCC</t>
  </si>
  <si>
    <t>Harold Ferguson HS</t>
  </si>
  <si>
    <t>Genoa-Hugo ES</t>
  </si>
  <si>
    <t>SW Open School</t>
  </si>
  <si>
    <t>Silverton ES, MS &amp; HS</t>
  </si>
  <si>
    <t>Cripple Creek-Victor HS</t>
  </si>
  <si>
    <t>East Memorial, Maplewood &amp; Billie Martinez ES</t>
  </si>
  <si>
    <t>NAS-Aurora, Jeffco &amp; Mapleton</t>
  </si>
  <si>
    <t>Bea Underwood ES</t>
  </si>
  <si>
    <t>Cheltenham&amp;Fairview ES, Abraham Lincholn HS, MLK JH, Early College West HS</t>
  </si>
  <si>
    <t>Westminster HS</t>
  </si>
  <si>
    <t>Ashley &amp; Stedman ES, Florita Pitt Waller &amp; Whitter K-8</t>
  </si>
  <si>
    <t>North HS</t>
  </si>
  <si>
    <t>Ignacio JH, HS &amp; Intermediate</t>
  </si>
  <si>
    <t>Community Challenge School</t>
  </si>
  <si>
    <t>Y005</t>
  </si>
  <si>
    <t>Alicia Sanchez ES</t>
  </si>
  <si>
    <t>Columbine ES, University Hill ES, Casey MS</t>
  </si>
  <si>
    <t>Bruce Randolph 6-12, Cole Arts and Science Academy K-8, Lake MS, Skinner MS</t>
  </si>
  <si>
    <t>Colfax, Cowell, Eagleton, Monroe</t>
  </si>
  <si>
    <t>Force, Johnson, Noel, Place Bridge</t>
  </si>
  <si>
    <t>Foster ES, Russell ES</t>
  </si>
  <si>
    <t>Jefferson HS, Wheat Ridge MS</t>
  </si>
  <si>
    <t>Olathe ES &amp; MS</t>
  </si>
  <si>
    <t>Centennial MS</t>
  </si>
  <si>
    <t>Oakland ES, Ford ES</t>
  </si>
  <si>
    <t>Harrington, Moore, Swansea, Columbine</t>
  </si>
  <si>
    <t>Lorraine Secondary School</t>
  </si>
  <si>
    <t>Sierra HS</t>
  </si>
  <si>
    <t>0180-NAS</t>
  </si>
  <si>
    <t>Justice High School of Denver (4494)</t>
  </si>
  <si>
    <t>Contemporary Learning Academy (5844)</t>
  </si>
  <si>
    <t>Mracheck MS (6160)</t>
  </si>
  <si>
    <t>Paris Elementary (6728)</t>
  </si>
  <si>
    <t>Aurora West College Prep Academy (9396)</t>
  </si>
  <si>
    <t>Title 1A Targeted District Improvement</t>
  </si>
  <si>
    <t>Smith Elementary</t>
  </si>
  <si>
    <t>Adams City &amp; Lester Arnold HS (0024)</t>
  </si>
  <si>
    <t>Alsup, Central, Dupont &amp; Rose Hill ES (0186)</t>
  </si>
  <si>
    <t>Boulder Preparatory HS (0934)</t>
  </si>
  <si>
    <t>Emerald ES (2702)</t>
  </si>
  <si>
    <t>Justice High School of Boulder (4496)</t>
  </si>
  <si>
    <t>Centennial, Fairmont, Kiser &amp; Neton ES ES (1400)</t>
  </si>
  <si>
    <t>NOVEMBER 2012</t>
  </si>
  <si>
    <t>0480-41</t>
  </si>
  <si>
    <t>Boulder Valley RE2</t>
  </si>
  <si>
    <t>DECEMBER 2012</t>
  </si>
  <si>
    <t>JANUARY 2013</t>
  </si>
  <si>
    <t>TRANSFERRED TO FY2012-13 PAYMENT SPREADSHEET</t>
  </si>
  <si>
    <t>PAYMENT HISTORY ALSO LOCATED ON FY2012-13 COHORT VI SPREADSHEET-11/30/12</t>
  </si>
  <si>
    <t>MARCH 2013</t>
  </si>
  <si>
    <t>Transfer to FY12-13</t>
  </si>
  <si>
    <t>Revert to CDE</t>
  </si>
  <si>
    <t>Transferred to FY2012-13</t>
  </si>
  <si>
    <t>Reverted to CDE</t>
  </si>
  <si>
    <t>Marti Rodriguez 303-866-6769 or rodriguez_m@cde.state.co.us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</si>
</sst>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&quot;$&quot;#,##0"/>
  </numFmts>
  <fonts count="23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indexed="81"/>
      <name val="Tahoma"/>
      <charset val="1"/>
    </font>
    <font>
      <sz val="8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48E840"/>
        <bgColor indexed="64"/>
      </patternFill>
    </fill>
    <fill>
      <patternFill patternType="solid">
        <fgColor rgb="FFBCFAB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 style="medium">
        <color theme="6" tint="0.39994506668294322"/>
      </bottom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indexed="64"/>
      </top>
      <bottom/>
      <diagonal/>
    </border>
    <border>
      <left/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 style="medium">
        <color theme="6" tint="0.59996337778862885"/>
      </right>
      <top/>
      <bottom/>
      <diagonal/>
    </border>
    <border>
      <left style="medium">
        <color theme="6" tint="0.59996337778862885"/>
      </left>
      <right/>
      <top/>
      <bottom/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59996337778862885"/>
      </right>
      <top/>
      <bottom style="medium">
        <color theme="6" tint="0.39994506668294322"/>
      </bottom>
      <diagonal/>
    </border>
    <border>
      <left style="medium">
        <color theme="6" tint="0.59996337778862885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medium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theme="6" tint="0.39994506668294322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59996337778862885"/>
      </right>
      <top style="medium">
        <color theme="6" tint="0.39994506668294322"/>
      </top>
      <bottom/>
      <diagonal/>
    </border>
    <border>
      <left style="medium">
        <color theme="6" tint="0.59996337778862885"/>
      </left>
      <right style="medium">
        <color theme="6" tint="0.39994506668294322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/>
      <bottom/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indexed="64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/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 style="medium">
        <color theme="6" tint="0.39994506668294322"/>
      </bottom>
      <diagonal/>
    </border>
    <border>
      <left style="medium">
        <color theme="6" tint="0.39994506668294322"/>
      </left>
      <right style="medium">
        <color theme="6" tint="0.39991454817346722"/>
      </right>
      <top style="medium">
        <color theme="6" tint="0.3999450666829432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6" tint="0.39994506668294322"/>
      </left>
      <right style="medium">
        <color theme="6" tint="0.39991454817346722"/>
      </right>
      <top/>
      <bottom/>
      <diagonal/>
    </border>
    <border>
      <left style="medium">
        <color theme="6" tint="0.39991454817346722"/>
      </left>
      <right/>
      <top style="medium">
        <color theme="6" tint="0.39991454817346722"/>
      </top>
      <bottom style="medium">
        <color theme="6" tint="0.399914548173467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6" tint="0.39994506668294322"/>
      </left>
      <right style="medium">
        <color theme="6" tint="0.39994506668294322"/>
      </right>
      <top style="medium">
        <color theme="6" tint="0.39991454817346722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/>
    <xf numFmtId="44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16" fillId="0" borderId="0"/>
    <xf numFmtId="0" fontId="17" fillId="0" borderId="0"/>
    <xf numFmtId="44" fontId="16" fillId="0" borderId="0" applyFont="0" applyFill="0" applyBorder="0" applyAlignment="0" applyProtection="0"/>
    <xf numFmtId="0" fontId="18" fillId="0" borderId="0"/>
    <xf numFmtId="43" fontId="4" fillId="0" borderId="0" applyFont="0" applyFill="0" applyBorder="0" applyAlignment="0" applyProtection="0"/>
    <xf numFmtId="0" fontId="16" fillId="0" borderId="0"/>
    <xf numFmtId="0" fontId="5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4" fillId="0" borderId="0"/>
  </cellStyleXfs>
  <cellXfs count="259">
    <xf numFmtId="0" fontId="0" fillId="0" borderId="0" xfId="0"/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17" fontId="6" fillId="0" borderId="0" xfId="0" quotePrefix="1" applyNumberFormat="1" applyFont="1" applyAlignment="1">
      <alignment horizontal="center" wrapText="1"/>
    </xf>
    <xf numFmtId="0" fontId="0" fillId="0" borderId="0" xfId="0" applyFill="1"/>
    <xf numFmtId="49" fontId="0" fillId="2" borderId="0" xfId="0" applyNumberForma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8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40" fontId="8" fillId="0" borderId="0" xfId="0" applyNumberFormat="1" applyFont="1" applyFill="1" applyBorder="1"/>
    <xf numFmtId="40" fontId="0" fillId="0" borderId="0" xfId="0" applyNumberFormat="1" applyFill="1"/>
    <xf numFmtId="0" fontId="6" fillId="3" borderId="0" xfId="0" applyFont="1" applyFill="1" applyAlignment="1">
      <alignment horizontal="center" wrapText="1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" fontId="4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0" borderId="0" xfId="0" applyNumberFormat="1" applyFill="1"/>
    <xf numFmtId="49" fontId="0" fillId="0" borderId="0" xfId="0" applyNumberForma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0" fillId="0" borderId="0" xfId="0" applyFill="1" applyAlignment="1">
      <alignment horizontal="center" wrapText="1"/>
    </xf>
    <xf numFmtId="17" fontId="6" fillId="0" borderId="0" xfId="0" quotePrefix="1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4" fontId="0" fillId="0" borderId="0" xfId="0" applyNumberFormat="1" applyFill="1"/>
    <xf numFmtId="4" fontId="0" fillId="0" borderId="0" xfId="0" applyNumberFormat="1" applyFill="1" applyAlignment="1">
      <alignment wrapText="1"/>
    </xf>
    <xf numFmtId="0" fontId="8" fillId="0" borderId="0" xfId="0" applyFont="1" applyFill="1" applyBorder="1"/>
    <xf numFmtId="0" fontId="3" fillId="0" borderId="0" xfId="0" applyFont="1" applyFill="1" applyAlignment="1">
      <alignment horizontal="left"/>
    </xf>
    <xf numFmtId="49" fontId="0" fillId="4" borderId="0" xfId="0" applyNumberForma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17" fontId="6" fillId="0" borderId="3" xfId="0" quotePrefix="1" applyNumberFormat="1" applyFont="1" applyFill="1" applyBorder="1" applyAlignment="1">
      <alignment horizontal="center" vertical="center" wrapText="1"/>
    </xf>
    <xf numFmtId="17" fontId="6" fillId="0" borderId="4" xfId="0" quotePrefix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17" fontId="6" fillId="0" borderId="1" xfId="0" quotePrefix="1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left"/>
    </xf>
    <xf numFmtId="3" fontId="0" fillId="4" borderId="6" xfId="0" applyNumberFormat="1" applyFill="1" applyBorder="1"/>
    <xf numFmtId="3" fontId="0" fillId="4" borderId="8" xfId="0" applyNumberFormat="1" applyFill="1" applyBorder="1"/>
    <xf numFmtId="17" fontId="6" fillId="0" borderId="3" xfId="0" quotePrefix="1" applyNumberFormat="1" applyFont="1" applyBorder="1" applyAlignment="1">
      <alignment horizontal="center" wrapText="1"/>
    </xf>
    <xf numFmtId="17" fontId="6" fillId="0" borderId="1" xfId="0" quotePrefix="1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6" fillId="5" borderId="3" xfId="0" applyFont="1" applyFill="1" applyBorder="1" applyAlignment="1">
      <alignment horizontal="center" wrapText="1"/>
    </xf>
    <xf numFmtId="17" fontId="6" fillId="0" borderId="3" xfId="0" quotePrefix="1" applyNumberFormat="1" applyFont="1" applyFill="1" applyBorder="1" applyAlignment="1">
      <alignment horizontal="center" wrapText="1"/>
    </xf>
    <xf numFmtId="17" fontId="6" fillId="0" borderId="4" xfId="0" quotePrefix="1" applyNumberFormat="1" applyFont="1" applyFill="1" applyBorder="1" applyAlignment="1">
      <alignment horizontal="center" wrapText="1"/>
    </xf>
    <xf numFmtId="17" fontId="6" fillId="0" borderId="1" xfId="0" quotePrefix="1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2" fillId="4" borderId="0" xfId="0" applyFont="1" applyFill="1"/>
    <xf numFmtId="3" fontId="6" fillId="0" borderId="0" xfId="0" applyNumberFormat="1" applyFont="1" applyFill="1"/>
    <xf numFmtId="0" fontId="6" fillId="0" borderId="0" xfId="0" applyFont="1"/>
    <xf numFmtId="0" fontId="6" fillId="0" borderId="0" xfId="0" applyFont="1" applyFill="1"/>
    <xf numFmtId="38" fontId="6" fillId="0" borderId="0" xfId="0" applyNumberFormat="1" applyFont="1" applyFill="1"/>
    <xf numFmtId="0" fontId="10" fillId="4" borderId="0" xfId="0" applyFont="1" applyFill="1" applyAlignment="1">
      <alignment horizontal="center" wrapText="1"/>
    </xf>
    <xf numFmtId="3" fontId="0" fillId="0" borderId="0" xfId="0" applyNumberFormat="1" applyFill="1" applyBorder="1"/>
    <xf numFmtId="0" fontId="0" fillId="0" borderId="0" xfId="0" applyFill="1" applyBorder="1"/>
    <xf numFmtId="0" fontId="13" fillId="4" borderId="0" xfId="0" applyFont="1" applyFill="1"/>
    <xf numFmtId="0" fontId="11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wrapText="1"/>
    </xf>
    <xf numFmtId="17" fontId="6" fillId="0" borderId="1" xfId="0" applyNumberFormat="1" applyFont="1" applyFill="1" applyBorder="1" applyAlignment="1">
      <alignment horizontal="center" wrapText="1"/>
    </xf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11" fillId="4" borderId="0" xfId="0" applyFont="1" applyFill="1"/>
    <xf numFmtId="0" fontId="9" fillId="4" borderId="0" xfId="0" applyFont="1" applyFill="1"/>
    <xf numFmtId="0" fontId="11" fillId="4" borderId="0" xfId="0" applyFont="1" applyFill="1"/>
    <xf numFmtId="3" fontId="6" fillId="4" borderId="8" xfId="0" applyNumberFormat="1" applyFont="1" applyFill="1" applyBorder="1"/>
    <xf numFmtId="3" fontId="6" fillId="4" borderId="9" xfId="0" applyNumberFormat="1" applyFont="1" applyFill="1" applyBorder="1"/>
    <xf numFmtId="3" fontId="6" fillId="0" borderId="9" xfId="0" applyNumberFormat="1" applyFont="1" applyFill="1" applyBorder="1"/>
    <xf numFmtId="0" fontId="8" fillId="0" borderId="16" xfId="0" applyFont="1" applyFill="1" applyBorder="1"/>
    <xf numFmtId="0" fontId="8" fillId="0" borderId="17" xfId="0" applyFont="1" applyFill="1" applyBorder="1"/>
    <xf numFmtId="40" fontId="8" fillId="0" borderId="17" xfId="0" applyNumberFormat="1" applyFont="1" applyFill="1" applyBorder="1"/>
    <xf numFmtId="40" fontId="0" fillId="0" borderId="17" xfId="0" applyNumberFormat="1" applyFill="1" applyBorder="1"/>
    <xf numFmtId="40" fontId="0" fillId="0" borderId="18" xfId="0" applyNumberFormat="1" applyFill="1" applyBorder="1"/>
    <xf numFmtId="0" fontId="7" fillId="4" borderId="19" xfId="0" quotePrefix="1" applyNumberFormat="1" applyFont="1" applyFill="1" applyBorder="1" applyAlignment="1">
      <alignment horizontal="left" vertical="top"/>
    </xf>
    <xf numFmtId="0" fontId="7" fillId="4" borderId="20" xfId="0" applyFont="1" applyFill="1" applyBorder="1" applyAlignment="1">
      <alignment horizontal="left" vertical="top" wrapText="1"/>
    </xf>
    <xf numFmtId="49" fontId="7" fillId="4" borderId="19" xfId="0" applyNumberFormat="1" applyFont="1" applyFill="1" applyBorder="1" applyAlignment="1">
      <alignment horizontal="left" vertical="top"/>
    </xf>
    <xf numFmtId="0" fontId="7" fillId="4" borderId="20" xfId="0" applyFont="1" applyFill="1" applyBorder="1" applyAlignment="1">
      <alignment horizontal="left" vertical="top"/>
    </xf>
    <xf numFmtId="0" fontId="0" fillId="4" borderId="19" xfId="0" applyFont="1" applyFill="1" applyBorder="1" applyAlignment="1">
      <alignment horizontal="left" vertical="top"/>
    </xf>
    <xf numFmtId="0" fontId="0" fillId="4" borderId="20" xfId="0" applyFont="1" applyFill="1" applyBorder="1" applyAlignment="1">
      <alignment horizontal="left" vertical="top"/>
    </xf>
    <xf numFmtId="0" fontId="7" fillId="4" borderId="19" xfId="0" applyNumberFormat="1" applyFont="1" applyFill="1" applyBorder="1" applyAlignment="1">
      <alignment horizontal="left" vertical="top"/>
    </xf>
    <xf numFmtId="0" fontId="7" fillId="4" borderId="20" xfId="0" quotePrefix="1" applyFont="1" applyFill="1" applyBorder="1" applyAlignment="1">
      <alignment horizontal="left" vertical="top" wrapText="1"/>
    </xf>
    <xf numFmtId="0" fontId="7" fillId="4" borderId="19" xfId="0" quotePrefix="1" applyNumberFormat="1" applyFont="1" applyFill="1" applyBorder="1" applyAlignment="1">
      <alignment horizontal="left"/>
    </xf>
    <xf numFmtId="0" fontId="7" fillId="4" borderId="20" xfId="0" applyFont="1" applyFill="1" applyBorder="1" applyAlignment="1">
      <alignment horizontal="left" wrapText="1"/>
    </xf>
    <xf numFmtId="0" fontId="7" fillId="4" borderId="22" xfId="0" quotePrefix="1" applyNumberFormat="1" applyFont="1" applyFill="1" applyBorder="1" applyAlignment="1">
      <alignment horizontal="left" vertical="top"/>
    </xf>
    <xf numFmtId="0" fontId="7" fillId="4" borderId="23" xfId="0" applyFont="1" applyFill="1" applyBorder="1" applyAlignment="1">
      <alignment horizontal="left" vertical="top" wrapText="1"/>
    </xf>
    <xf numFmtId="0" fontId="7" fillId="4" borderId="26" xfId="0" quotePrefix="1" applyNumberFormat="1" applyFont="1" applyFill="1" applyBorder="1" applyAlignment="1">
      <alignment horizontal="left" vertical="top"/>
    </xf>
    <xf numFmtId="0" fontId="7" fillId="4" borderId="27" xfId="0" applyFont="1" applyFill="1" applyBorder="1" applyAlignment="1">
      <alignment horizontal="left" vertical="top" wrapText="1"/>
    </xf>
    <xf numFmtId="49" fontId="6" fillId="4" borderId="25" xfId="0" applyNumberFormat="1" applyFont="1" applyFill="1" applyBorder="1"/>
    <xf numFmtId="0" fontId="6" fillId="4" borderId="25" xfId="0" applyFont="1" applyFill="1" applyBorder="1"/>
    <xf numFmtId="0" fontId="6" fillId="5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/>
    </xf>
    <xf numFmtId="3" fontId="4" fillId="4" borderId="11" xfId="0" applyNumberFormat="1" applyFont="1" applyFill="1" applyBorder="1" applyAlignment="1">
      <alignment horizontal="left"/>
    </xf>
    <xf numFmtId="3" fontId="0" fillId="4" borderId="11" xfId="0" applyNumberFormat="1" applyFill="1" applyBorder="1"/>
    <xf numFmtId="0" fontId="6" fillId="4" borderId="8" xfId="0" applyFont="1" applyFill="1" applyBorder="1"/>
    <xf numFmtId="3" fontId="6" fillId="0" borderId="8" xfId="0" applyNumberFormat="1" applyFont="1" applyFill="1" applyBorder="1"/>
    <xf numFmtId="0" fontId="0" fillId="4" borderId="8" xfId="0" quotePrefix="1" applyFill="1" applyBorder="1" applyAlignment="1">
      <alignment horizontal="center"/>
    </xf>
    <xf numFmtId="0" fontId="0" fillId="4" borderId="8" xfId="0" applyFill="1" applyBorder="1"/>
    <xf numFmtId="3" fontId="0" fillId="4" borderId="8" xfId="0" applyNumberForma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6" xfId="0" quotePrefix="1" applyFill="1" applyBorder="1" applyAlignment="1">
      <alignment horizontal="center"/>
    </xf>
    <xf numFmtId="0" fontId="0" fillId="4" borderId="6" xfId="0" applyFill="1" applyBorder="1"/>
    <xf numFmtId="3" fontId="0" fillId="4" borderId="6" xfId="0" applyNumberFormat="1" applyFill="1" applyBorder="1" applyAlignment="1">
      <alignment horizontal="right"/>
    </xf>
    <xf numFmtId="0" fontId="6" fillId="5" borderId="4" xfId="0" applyFont="1" applyFill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3" fontId="0" fillId="4" borderId="11" xfId="0" applyNumberFormat="1" applyFill="1" applyBorder="1" applyAlignment="1">
      <alignment horizontal="right"/>
    </xf>
    <xf numFmtId="0" fontId="3" fillId="4" borderId="25" xfId="0" applyFont="1" applyFill="1" applyBorder="1" applyAlignment="1">
      <alignment horizontal="left"/>
    </xf>
    <xf numFmtId="3" fontId="6" fillId="4" borderId="25" xfId="0" applyNumberFormat="1" applyFont="1" applyFill="1" applyBorder="1"/>
    <xf numFmtId="3" fontId="6" fillId="0" borderId="25" xfId="0" applyNumberFormat="1" applyFont="1" applyFill="1" applyBorder="1"/>
    <xf numFmtId="4" fontId="0" fillId="4" borderId="8" xfId="0" applyNumberFormat="1" applyFill="1" applyBorder="1"/>
    <xf numFmtId="0" fontId="0" fillId="4" borderId="8" xfId="0" quotePrefix="1" applyNumberFormat="1" applyFill="1" applyBorder="1"/>
    <xf numFmtId="4" fontId="0" fillId="4" borderId="8" xfId="0" quotePrefix="1" applyNumberFormat="1" applyFill="1" applyBorder="1"/>
    <xf numFmtId="0" fontId="0" fillId="4" borderId="6" xfId="0" applyNumberFormat="1" applyFill="1" applyBorder="1"/>
    <xf numFmtId="4" fontId="0" fillId="4" borderId="6" xfId="0" applyNumberFormat="1" applyFill="1" applyBorder="1"/>
    <xf numFmtId="0" fontId="7" fillId="4" borderId="25" xfId="0" applyNumberFormat="1" applyFont="1" applyFill="1" applyBorder="1" applyAlignment="1">
      <alignment horizontal="left" vertical="top"/>
    </xf>
    <xf numFmtId="0" fontId="7" fillId="4" borderId="25" xfId="0" applyFont="1" applyFill="1" applyBorder="1" applyAlignment="1">
      <alignment horizontal="left" vertical="top" wrapText="1"/>
    </xf>
    <xf numFmtId="3" fontId="0" fillId="4" borderId="32" xfId="0" applyNumberFormat="1" applyFill="1" applyBorder="1"/>
    <xf numFmtId="3" fontId="6" fillId="0" borderId="7" xfId="0" applyNumberFormat="1" applyFont="1" applyFill="1" applyBorder="1"/>
    <xf numFmtId="3" fontId="0" fillId="4" borderId="30" xfId="0" applyNumberFormat="1" applyFill="1" applyBorder="1"/>
    <xf numFmtId="3" fontId="0" fillId="4" borderId="33" xfId="0" applyNumberFormat="1" applyFill="1" applyBorder="1"/>
    <xf numFmtId="3" fontId="6" fillId="4" borderId="32" xfId="0" applyNumberFormat="1" applyFont="1" applyFill="1" applyBorder="1"/>
    <xf numFmtId="0" fontId="0" fillId="4" borderId="25" xfId="0" applyFill="1" applyBorder="1" applyAlignment="1">
      <alignment horizontal="center"/>
    </xf>
    <xf numFmtId="0" fontId="0" fillId="4" borderId="25" xfId="0" applyFill="1" applyBorder="1"/>
    <xf numFmtId="3" fontId="0" fillId="4" borderId="25" xfId="0" applyNumberFormat="1" applyFill="1" applyBorder="1" applyAlignment="1">
      <alignment horizontal="right"/>
    </xf>
    <xf numFmtId="3" fontId="0" fillId="4" borderId="25" xfId="0" applyNumberFormat="1" applyFill="1" applyBorder="1"/>
    <xf numFmtId="0" fontId="11" fillId="4" borderId="0" xfId="0" quotePrefix="1" applyFont="1" applyFill="1" applyAlignment="1">
      <alignment horizontal="left"/>
    </xf>
    <xf numFmtId="1" fontId="0" fillId="4" borderId="8" xfId="0" applyNumberFormat="1" applyFill="1" applyBorder="1" applyAlignment="1">
      <alignment horizontal="left"/>
    </xf>
    <xf numFmtId="3" fontId="0" fillId="4" borderId="8" xfId="0" applyNumberFormat="1" applyFont="1" applyFill="1" applyBorder="1"/>
    <xf numFmtId="3" fontId="0" fillId="4" borderId="32" xfId="0" applyNumberFormat="1" applyFont="1" applyFill="1" applyBorder="1"/>
    <xf numFmtId="3" fontId="0" fillId="4" borderId="6" xfId="0" applyNumberFormat="1" applyFont="1" applyFill="1" applyBorder="1"/>
    <xf numFmtId="3" fontId="0" fillId="4" borderId="14" xfId="0" applyNumberFormat="1" applyFont="1" applyFill="1" applyBorder="1"/>
    <xf numFmtId="3" fontId="0" fillId="4" borderId="31" xfId="0" applyNumberFormat="1" applyFont="1" applyFill="1" applyBorder="1"/>
    <xf numFmtId="3" fontId="0" fillId="4" borderId="29" xfId="0" applyNumberFormat="1" applyFont="1" applyFill="1" applyBorder="1"/>
    <xf numFmtId="0" fontId="7" fillId="4" borderId="8" xfId="0" quotePrefix="1" applyFont="1" applyFill="1" applyBorder="1" applyAlignment="1"/>
    <xf numFmtId="0" fontId="7" fillId="4" borderId="8" xfId="0" applyFont="1" applyFill="1" applyBorder="1" applyAlignment="1"/>
    <xf numFmtId="38" fontId="7" fillId="4" borderId="8" xfId="1" applyNumberFormat="1" applyFont="1" applyFill="1" applyBorder="1" applyAlignment="1">
      <alignment horizontal="right"/>
    </xf>
    <xf numFmtId="38" fontId="0" fillId="4" borderId="8" xfId="0" applyNumberFormat="1" applyFont="1" applyFill="1" applyBorder="1" applyAlignment="1">
      <alignment horizontal="right"/>
    </xf>
    <xf numFmtId="38" fontId="0" fillId="0" borderId="0" xfId="0" applyNumberFormat="1" applyFont="1" applyFill="1" applyAlignment="1">
      <alignment horizontal="right"/>
    </xf>
    <xf numFmtId="4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0" fillId="4" borderId="6" xfId="0" applyFont="1" applyFill="1" applyBorder="1" applyAlignment="1">
      <alignment horizontal="left"/>
    </xf>
    <xf numFmtId="0" fontId="0" fillId="4" borderId="6" xfId="0" applyFont="1" applyFill="1" applyBorder="1"/>
    <xf numFmtId="38" fontId="0" fillId="4" borderId="6" xfId="0" applyNumberFormat="1" applyFont="1" applyFill="1" applyBorder="1" applyAlignment="1">
      <alignment horizontal="right"/>
    </xf>
    <xf numFmtId="38" fontId="0" fillId="0" borderId="0" xfId="0" applyNumberFormat="1" applyFont="1" applyFill="1"/>
    <xf numFmtId="38" fontId="6" fillId="4" borderId="8" xfId="0" applyNumberFormat="1" applyFont="1" applyFill="1" applyBorder="1"/>
    <xf numFmtId="38" fontId="6" fillId="0" borderId="8" xfId="0" applyNumberFormat="1" applyFont="1" applyFill="1" applyBorder="1"/>
    <xf numFmtId="38" fontId="6" fillId="0" borderId="0" xfId="0" applyNumberFormat="1" applyFont="1" applyFill="1" applyBorder="1"/>
    <xf numFmtId="0" fontId="0" fillId="4" borderId="6" xfId="0" quotePrefix="1" applyFont="1" applyFill="1" applyBorder="1" applyAlignment="1">
      <alignment horizontal="left"/>
    </xf>
    <xf numFmtId="3" fontId="0" fillId="0" borderId="0" xfId="0" applyNumberFormat="1" applyFont="1"/>
    <xf numFmtId="0" fontId="0" fillId="0" borderId="0" xfId="0" applyFont="1"/>
    <xf numFmtId="3" fontId="0" fillId="4" borderId="13" xfId="0" applyNumberFormat="1" applyFont="1" applyFill="1" applyBorder="1"/>
    <xf numFmtId="3" fontId="0" fillId="4" borderId="15" xfId="0" applyNumberFormat="1" applyFont="1" applyFill="1" applyBorder="1"/>
    <xf numFmtId="3" fontId="0" fillId="4" borderId="30" xfId="0" applyNumberFormat="1" applyFont="1" applyFill="1" applyBorder="1"/>
    <xf numFmtId="0" fontId="19" fillId="4" borderId="7" xfId="0" applyFont="1" applyFill="1" applyBorder="1" applyAlignment="1">
      <alignment horizontal="center"/>
    </xf>
    <xf numFmtId="3" fontId="19" fillId="4" borderId="8" xfId="0" applyNumberFormat="1" applyFont="1" applyFill="1" applyBorder="1" applyAlignment="1">
      <alignment horizontal="left"/>
    </xf>
    <xf numFmtId="0" fontId="19" fillId="4" borderId="7" xfId="0" quotePrefix="1" applyFont="1" applyFill="1" applyBorder="1" applyAlignment="1">
      <alignment horizontal="left"/>
    </xf>
    <xf numFmtId="0" fontId="0" fillId="4" borderId="13" xfId="0" applyFont="1" applyFill="1" applyBorder="1"/>
    <xf numFmtId="3" fontId="7" fillId="4" borderId="8" xfId="0" applyNumberFormat="1" applyFont="1" applyFill="1" applyBorder="1" applyAlignment="1">
      <alignment horizontal="left"/>
    </xf>
    <xf numFmtId="0" fontId="0" fillId="4" borderId="12" xfId="0" quotePrefix="1" applyFont="1" applyFill="1" applyBorder="1" applyAlignment="1">
      <alignment horizontal="center"/>
    </xf>
    <xf numFmtId="0" fontId="0" fillId="4" borderId="5" xfId="0" quotePrefix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4" borderId="12" xfId="0" quotePrefix="1" applyFont="1" applyFill="1" applyBorder="1"/>
    <xf numFmtId="0" fontId="0" fillId="4" borderId="5" xfId="0" quotePrefix="1" applyFont="1" applyFill="1" applyBorder="1"/>
    <xf numFmtId="0" fontId="7" fillId="4" borderId="7" xfId="0" quotePrefix="1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5" xfId="0" quotePrefix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3" fontId="20" fillId="0" borderId="0" xfId="0" applyNumberFormat="1" applyFont="1" applyFill="1"/>
    <xf numFmtId="164" fontId="0" fillId="4" borderId="8" xfId="0" applyNumberFormat="1" applyFill="1" applyBorder="1"/>
    <xf numFmtId="3" fontId="6" fillId="4" borderId="8" xfId="0" applyNumberFormat="1" applyFont="1" applyFill="1" applyBorder="1" applyAlignment="1">
      <alignment horizontal="left"/>
    </xf>
    <xf numFmtId="3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 applyAlignment="1">
      <alignment horizontal="left" vertical="top"/>
    </xf>
    <xf numFmtId="164" fontId="0" fillId="4" borderId="8" xfId="0" applyNumberFormat="1" applyFill="1" applyBorder="1" applyAlignment="1">
      <alignment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vertical="top"/>
    </xf>
    <xf numFmtId="3" fontId="0" fillId="4" borderId="8" xfId="0" applyNumberFormat="1" applyFill="1" applyBorder="1" applyAlignment="1">
      <alignment vertical="top"/>
    </xf>
    <xf numFmtId="3" fontId="0" fillId="4" borderId="8" xfId="0" applyNumberFormat="1" applyFill="1" applyBorder="1" applyAlignment="1">
      <alignment vertical="top" wrapText="1"/>
    </xf>
    <xf numFmtId="1" fontId="0" fillId="4" borderId="8" xfId="0" quotePrefix="1" applyNumberFormat="1" applyFill="1" applyBorder="1" applyAlignment="1">
      <alignment horizontal="left"/>
    </xf>
    <xf numFmtId="3" fontId="0" fillId="4" borderId="8" xfId="0" quotePrefix="1" applyNumberFormat="1" applyFill="1" applyBorder="1"/>
    <xf numFmtId="165" fontId="6" fillId="4" borderId="8" xfId="1" applyNumberFormat="1" applyFont="1" applyFill="1" applyBorder="1"/>
    <xf numFmtId="165" fontId="6" fillId="0" borderId="8" xfId="1" applyNumberFormat="1" applyFont="1" applyFill="1" applyBorder="1"/>
    <xf numFmtId="165" fontId="6" fillId="0" borderId="0" xfId="1" applyNumberFormat="1" applyFont="1" applyFill="1"/>
    <xf numFmtId="0" fontId="6" fillId="5" borderId="34" xfId="0" applyFont="1" applyFill="1" applyBorder="1" applyAlignment="1">
      <alignment horizontal="center" wrapText="1"/>
    </xf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3" fontId="0" fillId="4" borderId="35" xfId="0" applyNumberFormat="1" applyFill="1" applyBorder="1"/>
    <xf numFmtId="3" fontId="4" fillId="4" borderId="6" xfId="0" applyNumberFormat="1" applyFont="1" applyFill="1" applyBorder="1" applyAlignment="1">
      <alignment horizontal="left" wrapText="1"/>
    </xf>
    <xf numFmtId="164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/>
    </xf>
    <xf numFmtId="3" fontId="4" fillId="4" borderId="6" xfId="0" applyNumberFormat="1" applyFont="1" applyFill="1" applyBorder="1" applyAlignment="1">
      <alignment horizontal="left" vertical="top" wrapText="1"/>
    </xf>
    <xf numFmtId="3" fontId="4" fillId="4" borderId="8" xfId="0" applyNumberFormat="1" applyFont="1" applyFill="1" applyBorder="1" applyAlignment="1">
      <alignment horizontal="left" wrapText="1"/>
    </xf>
    <xf numFmtId="3" fontId="4" fillId="4" borderId="11" xfId="0" applyNumberFormat="1" applyFont="1" applyFill="1" applyBorder="1" applyAlignment="1">
      <alignment horizontal="left" wrapText="1"/>
    </xf>
    <xf numFmtId="3" fontId="4" fillId="4" borderId="8" xfId="0" applyNumberFormat="1" applyFont="1" applyFill="1" applyBorder="1" applyAlignment="1">
      <alignment horizontal="left" vertical="top"/>
    </xf>
    <xf numFmtId="3" fontId="4" fillId="4" borderId="11" xfId="0" applyNumberFormat="1" applyFont="1" applyFill="1" applyBorder="1" applyAlignment="1">
      <alignment horizontal="left" vertical="top"/>
    </xf>
    <xf numFmtId="0" fontId="4" fillId="4" borderId="5" xfId="0" quotePrefix="1" applyFont="1" applyFill="1" applyBorder="1" applyAlignment="1">
      <alignment horizontal="left" vertical="top"/>
    </xf>
    <xf numFmtId="0" fontId="4" fillId="4" borderId="7" xfId="0" quotePrefix="1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38" fontId="7" fillId="4" borderId="23" xfId="0" applyNumberFormat="1" applyFont="1" applyFill="1" applyBorder="1" applyAlignment="1">
      <alignment horizontal="right" vertical="top" wrapText="1"/>
    </xf>
    <xf numFmtId="38" fontId="0" fillId="4" borderId="23" xfId="0" applyNumberFormat="1" applyFill="1" applyBorder="1"/>
    <xf numFmtId="38" fontId="0" fillId="4" borderId="24" xfId="0" applyNumberFormat="1" applyFill="1" applyBorder="1"/>
    <xf numFmtId="38" fontId="0" fillId="0" borderId="0" xfId="0" applyNumberFormat="1" applyFill="1" applyAlignment="1">
      <alignment wrapText="1"/>
    </xf>
    <xf numFmtId="38" fontId="0" fillId="0" borderId="0" xfId="0" applyNumberFormat="1" applyFill="1"/>
    <xf numFmtId="38" fontId="7" fillId="4" borderId="20" xfId="0" applyNumberFormat="1" applyFont="1" applyFill="1" applyBorder="1" applyAlignment="1">
      <alignment horizontal="right" vertical="top" wrapText="1"/>
    </xf>
    <xf numFmtId="38" fontId="0" fillId="4" borderId="20" xfId="0" applyNumberFormat="1" applyFill="1" applyBorder="1"/>
    <xf numFmtId="38" fontId="0" fillId="4" borderId="21" xfId="0" applyNumberFormat="1" applyFill="1" applyBorder="1"/>
    <xf numFmtId="38" fontId="7" fillId="4" borderId="20" xfId="0" applyNumberFormat="1" applyFont="1" applyFill="1" applyBorder="1" applyAlignment="1">
      <alignment horizontal="right" vertical="top"/>
    </xf>
    <xf numFmtId="38" fontId="0" fillId="4" borderId="20" xfId="0" applyNumberFormat="1" applyFont="1" applyFill="1" applyBorder="1" applyAlignment="1">
      <alignment horizontal="right" vertical="top"/>
    </xf>
    <xf numFmtId="38" fontId="7" fillId="4" borderId="20" xfId="0" applyNumberFormat="1" applyFont="1" applyFill="1" applyBorder="1" applyAlignment="1">
      <alignment horizontal="right" wrapText="1"/>
    </xf>
    <xf numFmtId="38" fontId="7" fillId="4" borderId="21" xfId="0" applyNumberFormat="1" applyFont="1" applyFill="1" applyBorder="1" applyAlignment="1">
      <alignment horizontal="right" wrapText="1"/>
    </xf>
    <xf numFmtId="38" fontId="0" fillId="4" borderId="20" xfId="0" applyNumberFormat="1" applyFill="1" applyBorder="1" applyAlignment="1"/>
    <xf numFmtId="38" fontId="0" fillId="4" borderId="21" xfId="0" applyNumberFormat="1" applyFill="1" applyBorder="1" applyAlignment="1"/>
    <xf numFmtId="38" fontId="7" fillId="4" borderId="27" xfId="0" applyNumberFormat="1" applyFont="1" applyFill="1" applyBorder="1" applyAlignment="1">
      <alignment horizontal="right" vertical="top" wrapText="1"/>
    </xf>
    <xf numFmtId="38" fontId="0" fillId="4" borderId="27" xfId="0" applyNumberFormat="1" applyFill="1" applyBorder="1"/>
    <xf numFmtId="38" fontId="0" fillId="4" borderId="28" xfId="0" applyNumberFormat="1" applyFill="1" applyBorder="1"/>
    <xf numFmtId="38" fontId="7" fillId="4" borderId="25" xfId="0" applyNumberFormat="1" applyFont="1" applyFill="1" applyBorder="1" applyAlignment="1">
      <alignment horizontal="right" vertical="top" wrapText="1"/>
    </xf>
    <xf numFmtId="38" fontId="0" fillId="4" borderId="25" xfId="0" applyNumberFormat="1" applyFill="1" applyBorder="1"/>
    <xf numFmtId="38" fontId="6" fillId="4" borderId="25" xfId="0" applyNumberFormat="1" applyFont="1" applyFill="1" applyBorder="1" applyAlignment="1">
      <alignment horizontal="right"/>
    </xf>
    <xf numFmtId="38" fontId="6" fillId="0" borderId="25" xfId="0" applyNumberFormat="1" applyFont="1" applyFill="1" applyBorder="1" applyAlignment="1">
      <alignment horizontal="right"/>
    </xf>
    <xf numFmtId="3" fontId="0" fillId="4" borderId="6" xfId="0" applyNumberFormat="1" applyFont="1" applyFill="1" applyBorder="1"/>
    <xf numFmtId="17" fontId="6" fillId="0" borderId="2" xfId="0" quotePrefix="1" applyNumberFormat="1" applyFont="1" applyFill="1" applyBorder="1" applyAlignment="1">
      <alignment horizontal="center" vertical="center" wrapText="1"/>
    </xf>
    <xf numFmtId="3" fontId="6" fillId="0" borderId="36" xfId="0" applyNumberFormat="1" applyFont="1" applyFill="1" applyBorder="1"/>
    <xf numFmtId="0" fontId="6" fillId="0" borderId="37" xfId="0" applyFont="1" applyFill="1" applyBorder="1" applyAlignment="1">
      <alignment horizontal="center" wrapText="1"/>
    </xf>
    <xf numFmtId="3" fontId="0" fillId="4" borderId="38" xfId="0" applyNumberFormat="1" applyFont="1" applyFill="1" applyBorder="1"/>
    <xf numFmtId="17" fontId="6" fillId="0" borderId="39" xfId="0" applyNumberFormat="1" applyFont="1" applyFill="1" applyBorder="1" applyAlignment="1">
      <alignment horizontal="center" wrapText="1"/>
    </xf>
    <xf numFmtId="17" fontId="6" fillId="0" borderId="40" xfId="0" applyNumberFormat="1" applyFont="1" applyFill="1" applyBorder="1" applyAlignment="1">
      <alignment horizontal="center" wrapText="1"/>
    </xf>
  </cellXfs>
  <cellStyles count="25">
    <cellStyle name="Comma 2" xfId="2"/>
    <cellStyle name="Comma 2 2" xfId="6"/>
    <cellStyle name="Comma 2 3" xfId="7"/>
    <cellStyle name="Comma 2 4" xfId="5"/>
    <cellStyle name="Comma 2 5" xfId="21"/>
    <cellStyle name="Comma 3" xfId="18"/>
    <cellStyle name="Currency" xfId="1" builtinId="4"/>
    <cellStyle name="Currency 2" xfId="13"/>
    <cellStyle name="Currency 3" xfId="16"/>
    <cellStyle name="Normal" xfId="0" builtinId="0"/>
    <cellStyle name="Normal 2" xfId="3"/>
    <cellStyle name="Normal 2 2" xfId="9"/>
    <cellStyle name="Normal 2 3" xfId="10"/>
    <cellStyle name="Normal 2 4" xfId="8"/>
    <cellStyle name="Normal 2 5" xfId="19"/>
    <cellStyle name="Normal 3" xfId="14"/>
    <cellStyle name="Normal 3 2" xfId="11"/>
    <cellStyle name="Normal 3 3" xfId="12"/>
    <cellStyle name="Normal 3 4" xfId="20"/>
    <cellStyle name="Normal 4" xfId="15"/>
    <cellStyle name="Normal 4 2" xfId="23"/>
    <cellStyle name="Normal 5" xfId="17"/>
    <cellStyle name="Normal 5 2" xfId="24"/>
    <cellStyle name="Percent 2" xfId="4"/>
    <cellStyle name="Percent 2 2" xfId="2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CFFCC"/>
  </sheetPr>
  <dimension ref="A1:AK159"/>
  <sheetViews>
    <sheetView zoomScaleNormal="100" workbookViewId="0">
      <pane xSplit="5" ySplit="9" topLeftCell="S10" activePane="bottomRight" state="frozen"/>
      <selection pane="topRight" activeCell="F1" sqref="F1"/>
      <selection pane="bottomLeft" activeCell="A10" sqref="A10"/>
      <selection pane="bottomRight" activeCell="D46" sqref="D46"/>
    </sheetView>
  </sheetViews>
  <sheetFormatPr defaultColWidth="9.109375" defaultRowHeight="14.4" x14ac:dyDescent="0.3"/>
  <cols>
    <col min="1" max="1" width="9.44140625" style="27" customWidth="1"/>
    <col min="2" max="2" width="36.109375" style="4" customWidth="1"/>
    <col min="3" max="3" width="12.44140625" style="4" customWidth="1"/>
    <col min="4" max="4" width="16.88671875" style="4" customWidth="1"/>
    <col min="5" max="5" width="12.109375" style="4" customWidth="1"/>
    <col min="6" max="7" width="11.6640625" style="29" customWidth="1"/>
    <col min="8" max="9" width="13.5546875" style="29" customWidth="1"/>
    <col min="10" max="11" width="11.6640625" style="29" customWidth="1"/>
    <col min="12" max="13" width="17.109375" style="29" customWidth="1"/>
    <col min="14" max="15" width="16.88671875" style="29" customWidth="1"/>
    <col min="16" max="17" width="18" style="29" customWidth="1"/>
    <col min="18" max="19" width="15.33203125" style="29" customWidth="1"/>
    <col min="20" max="21" width="15.6640625" style="29" customWidth="1"/>
    <col min="22" max="36" width="11.6640625" style="29" customWidth="1"/>
    <col min="37" max="16384" width="9.109375" style="4"/>
  </cols>
  <sheetData>
    <row r="1" spans="1:37" ht="21" x14ac:dyDescent="0.35">
      <c r="A1" s="39" t="s">
        <v>0</v>
      </c>
      <c r="B1" s="47"/>
      <c r="C1" s="40" t="s">
        <v>105</v>
      </c>
      <c r="D1" s="39"/>
      <c r="E1" s="41"/>
      <c r="F1" s="50"/>
      <c r="G1" s="50"/>
      <c r="H1" s="40" t="str">
        <f>C1</f>
        <v xml:space="preserve">Adult Education </v>
      </c>
      <c r="I1" s="40"/>
      <c r="J1" s="39"/>
      <c r="K1" s="39"/>
      <c r="L1" s="41"/>
      <c r="M1" s="41"/>
      <c r="N1" s="50"/>
      <c r="O1" s="50"/>
      <c r="P1" s="40" t="str">
        <f>C1</f>
        <v xml:space="preserve">Adult Education </v>
      </c>
      <c r="Q1" s="40"/>
      <c r="R1" s="39"/>
      <c r="S1" s="39"/>
      <c r="T1" s="41"/>
      <c r="U1" s="41"/>
      <c r="V1" s="50"/>
      <c r="W1" s="50"/>
      <c r="X1" s="40" t="str">
        <f>C1</f>
        <v xml:space="preserve">Adult Education </v>
      </c>
      <c r="Y1" s="40"/>
      <c r="Z1" s="39"/>
      <c r="AA1" s="93"/>
      <c r="AB1" s="39"/>
      <c r="AC1" s="41"/>
      <c r="AD1" s="41"/>
      <c r="AE1" s="50"/>
      <c r="AF1" s="50"/>
      <c r="AG1" s="40" t="str">
        <f>C1</f>
        <v xml:space="preserve">Adult Education </v>
      </c>
      <c r="AH1" s="40"/>
      <c r="AI1" s="39"/>
      <c r="AJ1" s="40" t="str">
        <f>C1</f>
        <v xml:space="preserve">Adult Education </v>
      </c>
      <c r="AK1" s="39"/>
    </row>
    <row r="2" spans="1:37" ht="15.75" x14ac:dyDescent="0.25">
      <c r="A2" s="42" t="s">
        <v>1</v>
      </c>
      <c r="B2" s="47"/>
      <c r="C2" s="43">
        <v>84.001999999999995</v>
      </c>
      <c r="D2" s="42"/>
      <c r="E2" s="44"/>
      <c r="F2" s="50"/>
      <c r="G2" s="50"/>
      <c r="H2" s="42" t="str">
        <f>"FY"&amp;C4</f>
        <v>FY2011-12</v>
      </c>
      <c r="I2" s="42"/>
      <c r="J2" s="43"/>
      <c r="K2" s="43"/>
      <c r="L2" s="44"/>
      <c r="M2" s="44"/>
      <c r="N2" s="44"/>
      <c r="O2" s="44"/>
      <c r="P2" s="42" t="str">
        <f>"FY"&amp;C4</f>
        <v>FY2011-12</v>
      </c>
      <c r="Q2" s="42"/>
      <c r="R2" s="43"/>
      <c r="S2" s="43"/>
      <c r="T2" s="44"/>
      <c r="U2" s="44"/>
      <c r="V2" s="44"/>
      <c r="W2" s="44"/>
      <c r="X2" s="42" t="str">
        <f>"FY"&amp;C4</f>
        <v>FY2011-12</v>
      </c>
      <c r="Y2" s="42"/>
      <c r="Z2" s="43"/>
      <c r="AA2" s="91"/>
      <c r="AB2" s="43"/>
      <c r="AC2" s="44"/>
      <c r="AD2" s="44"/>
      <c r="AE2" s="44"/>
      <c r="AF2" s="44"/>
      <c r="AG2" s="42" t="str">
        <f>"FY"&amp;C4</f>
        <v>FY2011-12</v>
      </c>
      <c r="AH2" s="42"/>
      <c r="AI2" s="43"/>
      <c r="AJ2" s="42" t="str">
        <f>"FY"&amp;C4</f>
        <v>FY2011-12</v>
      </c>
      <c r="AK2" s="43" t="s">
        <v>6</v>
      </c>
    </row>
    <row r="3" spans="1:37" ht="15.75" x14ac:dyDescent="0.25">
      <c r="A3" s="42" t="s">
        <v>2</v>
      </c>
      <c r="B3" s="47"/>
      <c r="C3" s="43">
        <v>5002</v>
      </c>
      <c r="D3" s="42"/>
      <c r="E3" s="44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88"/>
      <c r="AB3" s="50"/>
      <c r="AC3" s="50"/>
      <c r="AD3" s="50"/>
      <c r="AE3" s="50"/>
      <c r="AF3" s="50"/>
      <c r="AG3" s="50"/>
      <c r="AH3" s="50"/>
      <c r="AI3" s="50"/>
      <c r="AJ3" s="50"/>
      <c r="AK3" s="47"/>
    </row>
    <row r="4" spans="1:37" ht="15.75" x14ac:dyDescent="0.25">
      <c r="A4" s="42" t="s">
        <v>3</v>
      </c>
      <c r="B4" s="47"/>
      <c r="C4" s="43" t="s">
        <v>6</v>
      </c>
      <c r="D4" s="42" t="s">
        <v>169</v>
      </c>
      <c r="E4" s="44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88"/>
      <c r="AB4" s="50"/>
      <c r="AC4" s="50"/>
      <c r="AD4" s="50"/>
      <c r="AE4" s="50"/>
      <c r="AF4" s="50"/>
      <c r="AG4" s="50"/>
      <c r="AH4" s="50"/>
      <c r="AI4" s="50"/>
      <c r="AJ4" s="50"/>
      <c r="AK4" s="47"/>
    </row>
    <row r="5" spans="1:37" ht="15.75" x14ac:dyDescent="0.25">
      <c r="A5" s="42" t="s">
        <v>171</v>
      </c>
      <c r="B5" s="47"/>
      <c r="C5" s="43" t="s">
        <v>172</v>
      </c>
      <c r="D5" s="42"/>
      <c r="E5" s="44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88"/>
      <c r="AB5" s="50"/>
      <c r="AC5" s="50"/>
      <c r="AD5" s="50"/>
      <c r="AE5" s="50"/>
      <c r="AF5" s="50"/>
      <c r="AG5" s="50"/>
      <c r="AH5" s="50"/>
      <c r="AI5" s="50"/>
      <c r="AJ5" s="50"/>
      <c r="AK5" s="47"/>
    </row>
    <row r="6" spans="1:37" ht="15.75" x14ac:dyDescent="0.25">
      <c r="A6" s="42" t="s">
        <v>101</v>
      </c>
      <c r="B6" s="47"/>
      <c r="C6" s="42" t="s">
        <v>106</v>
      </c>
      <c r="D6" s="42"/>
      <c r="E6" s="45"/>
      <c r="F6" s="45"/>
      <c r="G6" s="45"/>
      <c r="H6" s="45"/>
      <c r="I6" s="45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86"/>
      <c r="AB6" s="46"/>
      <c r="AC6" s="46"/>
      <c r="AD6" s="46"/>
      <c r="AE6" s="46"/>
      <c r="AF6" s="46"/>
      <c r="AG6" s="46"/>
      <c r="AH6" s="46"/>
      <c r="AI6" s="46"/>
      <c r="AJ6" s="46"/>
      <c r="AK6" s="58"/>
    </row>
    <row r="7" spans="1:37" ht="15.75" x14ac:dyDescent="0.25">
      <c r="A7" s="42" t="s">
        <v>103</v>
      </c>
      <c r="B7" s="47"/>
      <c r="C7" s="42" t="s">
        <v>107</v>
      </c>
      <c r="D7" s="42"/>
      <c r="E7" s="45"/>
      <c r="F7" s="45"/>
      <c r="G7" s="45"/>
      <c r="H7" s="45"/>
      <c r="I7" s="45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86"/>
      <c r="AB7" s="46"/>
      <c r="AC7" s="46"/>
      <c r="AD7" s="46"/>
      <c r="AE7" s="46"/>
      <c r="AF7" s="46"/>
      <c r="AG7" s="46"/>
      <c r="AH7" s="46"/>
      <c r="AI7" s="46"/>
      <c r="AJ7" s="46"/>
      <c r="AK7" s="58"/>
    </row>
    <row r="8" spans="1:37" ht="21.75" thickBot="1" x14ac:dyDescent="0.4">
      <c r="A8" s="39" t="s">
        <v>170</v>
      </c>
      <c r="B8" s="47"/>
      <c r="C8" s="44"/>
      <c r="D8" s="44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86"/>
      <c r="AB8" s="46"/>
      <c r="AC8" s="46"/>
      <c r="AD8" s="46"/>
      <c r="AE8" s="46"/>
      <c r="AF8" s="46"/>
      <c r="AG8" s="46"/>
      <c r="AH8" s="46"/>
      <c r="AI8" s="46"/>
      <c r="AJ8" s="46"/>
      <c r="AK8" s="58"/>
    </row>
    <row r="9" spans="1:37" s="33" customFormat="1" ht="52.5" customHeight="1" thickBot="1" x14ac:dyDescent="0.3">
      <c r="A9" s="63" t="s">
        <v>4</v>
      </c>
      <c r="B9" s="64" t="s">
        <v>5</v>
      </c>
      <c r="C9" s="64" t="s">
        <v>61</v>
      </c>
      <c r="D9" s="65" t="s">
        <v>62</v>
      </c>
      <c r="E9" s="51" t="s">
        <v>63</v>
      </c>
      <c r="F9" s="48" t="s">
        <v>64</v>
      </c>
      <c r="G9" s="52" t="s">
        <v>64</v>
      </c>
      <c r="H9" s="48" t="s">
        <v>65</v>
      </c>
      <c r="I9" s="52" t="s">
        <v>65</v>
      </c>
      <c r="J9" s="48" t="s">
        <v>66</v>
      </c>
      <c r="K9" s="52" t="s">
        <v>66</v>
      </c>
      <c r="L9" s="48" t="s">
        <v>67</v>
      </c>
      <c r="M9" s="52" t="s">
        <v>67</v>
      </c>
      <c r="N9" s="48" t="s">
        <v>68</v>
      </c>
      <c r="O9" s="52" t="s">
        <v>68</v>
      </c>
      <c r="P9" s="48" t="s">
        <v>79</v>
      </c>
      <c r="Q9" s="52" t="s">
        <v>79</v>
      </c>
      <c r="R9" s="48" t="s">
        <v>69</v>
      </c>
      <c r="S9" s="52" t="s">
        <v>69</v>
      </c>
      <c r="T9" s="48" t="s">
        <v>70</v>
      </c>
      <c r="U9" s="52" t="s">
        <v>70</v>
      </c>
      <c r="V9" s="48" t="s">
        <v>71</v>
      </c>
      <c r="W9" s="52" t="s">
        <v>71</v>
      </c>
      <c r="X9" s="48" t="s">
        <v>72</v>
      </c>
      <c r="Y9" s="52" t="s">
        <v>72</v>
      </c>
      <c r="Z9" s="48" t="s">
        <v>73</v>
      </c>
      <c r="AA9" s="52" t="s">
        <v>73</v>
      </c>
      <c r="AB9" s="52" t="s">
        <v>74</v>
      </c>
      <c r="AC9" s="48" t="s">
        <v>74</v>
      </c>
      <c r="AD9" s="52" t="s">
        <v>75</v>
      </c>
      <c r="AE9" s="48" t="s">
        <v>75</v>
      </c>
      <c r="AF9" s="52" t="s">
        <v>76</v>
      </c>
      <c r="AG9" s="48" t="s">
        <v>76</v>
      </c>
      <c r="AH9" s="253" t="s">
        <v>77</v>
      </c>
      <c r="AI9" s="52" t="s">
        <v>77</v>
      </c>
      <c r="AJ9" s="52" t="s">
        <v>78</v>
      </c>
      <c r="AK9" s="52" t="s">
        <v>78</v>
      </c>
    </row>
    <row r="10" spans="1:37" s="235" customFormat="1" ht="15.75" thickBot="1" x14ac:dyDescent="0.3">
      <c r="A10" s="113" t="s">
        <v>7</v>
      </c>
      <c r="B10" s="114" t="s">
        <v>81</v>
      </c>
      <c r="C10" s="231">
        <v>157557</v>
      </c>
      <c r="D10" s="232">
        <f>SUM(F10:AJ10)</f>
        <v>157557</v>
      </c>
      <c r="E10" s="233">
        <f>C10-D10</f>
        <v>0</v>
      </c>
      <c r="F10" s="234"/>
      <c r="G10" s="234"/>
      <c r="H10" s="234"/>
      <c r="I10" s="234"/>
      <c r="J10" s="234"/>
      <c r="K10" s="234"/>
      <c r="L10" s="234">
        <v>5358</v>
      </c>
      <c r="M10" s="234">
        <v>7617</v>
      </c>
      <c r="N10" s="234"/>
      <c r="O10" s="234">
        <v>11332</v>
      </c>
      <c r="P10" s="234"/>
      <c r="Q10" s="234">
        <v>32028</v>
      </c>
      <c r="R10" s="234"/>
      <c r="S10" s="234">
        <v>14042</v>
      </c>
      <c r="T10" s="234"/>
      <c r="U10" s="234">
        <v>15731</v>
      </c>
      <c r="V10" s="234"/>
      <c r="W10" s="234"/>
      <c r="X10" s="234">
        <v>33924</v>
      </c>
      <c r="Y10" s="234"/>
      <c r="Z10" s="234"/>
      <c r="AA10" s="234">
        <v>11182</v>
      </c>
      <c r="AB10" s="234"/>
      <c r="AC10" s="234">
        <v>20829</v>
      </c>
      <c r="AD10" s="234"/>
      <c r="AE10" s="234">
        <v>5514</v>
      </c>
      <c r="AF10" s="234"/>
      <c r="AG10" s="234"/>
      <c r="AH10" s="234"/>
      <c r="AI10" s="234"/>
      <c r="AJ10" s="234"/>
      <c r="AK10" s="234"/>
    </row>
    <row r="11" spans="1:37" s="235" customFormat="1" ht="15.75" thickBot="1" x14ac:dyDescent="0.3">
      <c r="A11" s="103" t="s">
        <v>8</v>
      </c>
      <c r="B11" s="104" t="s">
        <v>82</v>
      </c>
      <c r="C11" s="236">
        <v>23166</v>
      </c>
      <c r="D11" s="237">
        <f>SUM(F11:AJ11)</f>
        <v>21759</v>
      </c>
      <c r="E11" s="238">
        <f t="shared" ref="E11:E45" si="0">C11-D11</f>
        <v>1407</v>
      </c>
      <c r="F11" s="234"/>
      <c r="G11" s="234"/>
      <c r="H11" s="234"/>
      <c r="I11" s="234"/>
      <c r="J11" s="234"/>
      <c r="K11" s="234"/>
      <c r="L11" s="234"/>
      <c r="M11" s="234">
        <v>2818</v>
      </c>
      <c r="N11" s="234"/>
      <c r="O11" s="234"/>
      <c r="P11" s="234"/>
      <c r="Q11" s="234">
        <v>7659</v>
      </c>
      <c r="R11" s="234"/>
      <c r="S11" s="234"/>
      <c r="T11" s="234"/>
      <c r="U11" s="234"/>
      <c r="V11" s="234">
        <v>4317</v>
      </c>
      <c r="W11" s="234"/>
      <c r="X11" s="234"/>
      <c r="Y11" s="234"/>
      <c r="Z11" s="234"/>
      <c r="AA11" s="234"/>
      <c r="AB11" s="234"/>
      <c r="AC11" s="234"/>
      <c r="AD11" s="234">
        <v>6965</v>
      </c>
      <c r="AE11" s="234"/>
      <c r="AF11" s="234"/>
      <c r="AG11" s="234"/>
      <c r="AH11" s="234"/>
      <c r="AI11" s="234"/>
      <c r="AJ11" s="234"/>
      <c r="AK11" s="234"/>
    </row>
    <row r="12" spans="1:37" s="235" customFormat="1" ht="15.75" thickBot="1" x14ac:dyDescent="0.3">
      <c r="A12" s="105" t="s">
        <v>9</v>
      </c>
      <c r="B12" s="104" t="s">
        <v>83</v>
      </c>
      <c r="C12" s="236">
        <v>18729</v>
      </c>
      <c r="D12" s="237">
        <f t="shared" ref="D12:D45" si="1">SUM(F12:AJ12)</f>
        <v>8583</v>
      </c>
      <c r="E12" s="238">
        <f t="shared" si="0"/>
        <v>10146</v>
      </c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>
        <v>491</v>
      </c>
      <c r="Q12" s="234"/>
      <c r="R12" s="234"/>
      <c r="S12" s="234"/>
      <c r="T12" s="234">
        <v>934</v>
      </c>
      <c r="U12" s="234"/>
      <c r="V12" s="234">
        <v>513</v>
      </c>
      <c r="W12" s="234"/>
      <c r="X12" s="234"/>
      <c r="Y12" s="234"/>
      <c r="Z12" s="234"/>
      <c r="AA12" s="234">
        <v>1471</v>
      </c>
      <c r="AB12" s="234">
        <v>973</v>
      </c>
      <c r="AC12" s="234"/>
      <c r="AD12" s="234">
        <v>4201</v>
      </c>
      <c r="AE12" s="234"/>
      <c r="AF12" s="234"/>
      <c r="AG12" s="234"/>
      <c r="AH12" s="234"/>
      <c r="AI12" s="234"/>
      <c r="AJ12" s="234"/>
      <c r="AK12" s="234"/>
    </row>
    <row r="13" spans="1:37" s="235" customFormat="1" ht="15.75" thickBot="1" x14ac:dyDescent="0.3">
      <c r="A13" s="103" t="s">
        <v>10</v>
      </c>
      <c r="B13" s="104" t="s">
        <v>11</v>
      </c>
      <c r="C13" s="236">
        <v>133246</v>
      </c>
      <c r="D13" s="237">
        <f t="shared" si="1"/>
        <v>133246</v>
      </c>
      <c r="E13" s="238">
        <f t="shared" si="0"/>
        <v>0</v>
      </c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>
        <v>85426</v>
      </c>
      <c r="U13" s="234"/>
      <c r="V13" s="234"/>
      <c r="W13" s="234"/>
      <c r="X13" s="234"/>
      <c r="Y13" s="234"/>
      <c r="Z13" s="234"/>
      <c r="AA13" s="234"/>
      <c r="AB13" s="234"/>
      <c r="AC13" s="234"/>
      <c r="AD13" s="234">
        <v>47820</v>
      </c>
      <c r="AE13" s="234"/>
      <c r="AF13" s="234"/>
      <c r="AG13" s="234"/>
      <c r="AH13" s="234"/>
      <c r="AI13" s="234"/>
      <c r="AJ13" s="234"/>
      <c r="AK13" s="234"/>
    </row>
    <row r="14" spans="1:37" s="235" customFormat="1" ht="15.75" thickBot="1" x14ac:dyDescent="0.3">
      <c r="A14" s="103" t="s">
        <v>12</v>
      </c>
      <c r="B14" s="104" t="s">
        <v>84</v>
      </c>
      <c r="C14" s="236">
        <v>101871</v>
      </c>
      <c r="D14" s="237">
        <f t="shared" si="1"/>
        <v>101864</v>
      </c>
      <c r="E14" s="238">
        <f t="shared" si="0"/>
        <v>7</v>
      </c>
      <c r="F14" s="234"/>
      <c r="G14" s="234"/>
      <c r="H14" s="234"/>
      <c r="I14" s="234"/>
      <c r="J14" s="234"/>
      <c r="K14" s="234"/>
      <c r="L14" s="234"/>
      <c r="M14" s="234"/>
      <c r="N14" s="234">
        <v>16512</v>
      </c>
      <c r="O14" s="234"/>
      <c r="P14" s="234">
        <v>10616</v>
      </c>
      <c r="Q14" s="234"/>
      <c r="R14" s="234">
        <v>11328</v>
      </c>
      <c r="S14" s="234"/>
      <c r="T14" s="234">
        <v>8974</v>
      </c>
      <c r="U14" s="234"/>
      <c r="V14" s="234">
        <v>11014</v>
      </c>
      <c r="W14" s="234"/>
      <c r="X14" s="234">
        <v>25424</v>
      </c>
      <c r="Y14" s="234"/>
      <c r="Z14" s="234"/>
      <c r="AA14" s="234"/>
      <c r="AB14" s="234">
        <v>10864</v>
      </c>
      <c r="AC14" s="234"/>
      <c r="AD14" s="234">
        <v>1838</v>
      </c>
      <c r="AE14" s="234"/>
      <c r="AF14" s="234"/>
      <c r="AG14" s="234">
        <v>5294</v>
      </c>
      <c r="AH14" s="234"/>
      <c r="AI14" s="234"/>
      <c r="AJ14" s="234"/>
      <c r="AK14" s="234"/>
    </row>
    <row r="15" spans="1:37" s="235" customFormat="1" ht="15.75" thickBot="1" x14ac:dyDescent="0.3">
      <c r="A15" s="103" t="s">
        <v>13</v>
      </c>
      <c r="B15" s="104" t="s">
        <v>14</v>
      </c>
      <c r="C15" s="236">
        <v>298051</v>
      </c>
      <c r="D15" s="237">
        <f t="shared" si="1"/>
        <v>254035</v>
      </c>
      <c r="E15" s="238">
        <f t="shared" si="0"/>
        <v>44016</v>
      </c>
      <c r="F15" s="234"/>
      <c r="G15" s="234"/>
      <c r="H15" s="234"/>
      <c r="I15" s="234"/>
      <c r="J15" s="234"/>
      <c r="K15" s="234"/>
      <c r="L15" s="234"/>
      <c r="M15" s="234"/>
      <c r="N15" s="234">
        <v>111583</v>
      </c>
      <c r="O15" s="234"/>
      <c r="P15" s="234">
        <v>42206</v>
      </c>
      <c r="Q15" s="234"/>
      <c r="R15" s="234">
        <v>39477</v>
      </c>
      <c r="S15" s="234"/>
      <c r="T15" s="234">
        <v>40824</v>
      </c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>
        <v>19945</v>
      </c>
      <c r="AH15" s="234"/>
      <c r="AI15" s="234"/>
      <c r="AJ15" s="234"/>
      <c r="AK15" s="234"/>
    </row>
    <row r="16" spans="1:37" s="235" customFormat="1" ht="15.75" thickBot="1" x14ac:dyDescent="0.3">
      <c r="A16" s="103" t="s">
        <v>15</v>
      </c>
      <c r="B16" s="104" t="s">
        <v>16</v>
      </c>
      <c r="C16" s="236">
        <v>47683</v>
      </c>
      <c r="D16" s="237">
        <f t="shared" si="1"/>
        <v>38765</v>
      </c>
      <c r="E16" s="238">
        <f t="shared" si="0"/>
        <v>8918</v>
      </c>
      <c r="F16" s="234"/>
      <c r="G16" s="234"/>
      <c r="H16" s="234"/>
      <c r="I16" s="234"/>
      <c r="J16" s="234"/>
      <c r="K16" s="234"/>
      <c r="L16" s="234"/>
      <c r="M16" s="234"/>
      <c r="N16" s="234">
        <v>8457</v>
      </c>
      <c r="O16" s="234"/>
      <c r="P16" s="234"/>
      <c r="Q16" s="234"/>
      <c r="R16" s="234">
        <v>8916</v>
      </c>
      <c r="S16" s="234"/>
      <c r="T16" s="234">
        <v>935</v>
      </c>
      <c r="U16" s="234"/>
      <c r="V16" s="234">
        <v>3651</v>
      </c>
      <c r="W16" s="234"/>
      <c r="X16" s="234"/>
      <c r="Y16" s="234"/>
      <c r="Z16" s="234"/>
      <c r="AA16" s="234">
        <v>4953</v>
      </c>
      <c r="AB16" s="234"/>
      <c r="AC16" s="234">
        <v>6575</v>
      </c>
      <c r="AD16" s="234"/>
      <c r="AE16" s="234"/>
      <c r="AF16" s="234">
        <v>5278</v>
      </c>
      <c r="AG16" s="234"/>
      <c r="AH16" s="234"/>
      <c r="AI16" s="234"/>
      <c r="AJ16" s="234"/>
      <c r="AK16" s="234"/>
    </row>
    <row r="17" spans="1:37" s="235" customFormat="1" ht="15.75" thickBot="1" x14ac:dyDescent="0.3">
      <c r="A17" s="103" t="s">
        <v>17</v>
      </c>
      <c r="B17" s="104" t="s">
        <v>18</v>
      </c>
      <c r="C17" s="236">
        <v>115209</v>
      </c>
      <c r="D17" s="237">
        <f t="shared" si="1"/>
        <v>115209</v>
      </c>
      <c r="E17" s="238">
        <f t="shared" si="0"/>
        <v>0</v>
      </c>
      <c r="F17" s="234"/>
      <c r="G17" s="234"/>
      <c r="H17" s="234"/>
      <c r="I17" s="234"/>
      <c r="J17" s="234"/>
      <c r="K17" s="234">
        <v>13708</v>
      </c>
      <c r="L17" s="234"/>
      <c r="M17" s="234"/>
      <c r="N17" s="234"/>
      <c r="O17" s="234"/>
      <c r="P17" s="234"/>
      <c r="Q17" s="234">
        <v>30582</v>
      </c>
      <c r="R17" s="234"/>
      <c r="S17" s="234"/>
      <c r="T17" s="234"/>
      <c r="U17" s="234"/>
      <c r="V17" s="234"/>
      <c r="W17" s="234"/>
      <c r="X17" s="234"/>
      <c r="Y17" s="234">
        <v>39417</v>
      </c>
      <c r="Z17" s="234"/>
      <c r="AA17" s="234"/>
      <c r="AB17" s="234"/>
      <c r="AC17" s="234">
        <v>31502</v>
      </c>
      <c r="AD17" s="234"/>
      <c r="AE17" s="234"/>
      <c r="AF17" s="234"/>
      <c r="AG17" s="234"/>
      <c r="AH17" s="234"/>
      <c r="AI17" s="234"/>
      <c r="AJ17" s="234"/>
      <c r="AK17" s="234"/>
    </row>
    <row r="18" spans="1:37" s="235" customFormat="1" ht="15" thickBot="1" x14ac:dyDescent="0.35">
      <c r="A18" s="103" t="s">
        <v>19</v>
      </c>
      <c r="B18" s="104" t="s">
        <v>20</v>
      </c>
      <c r="C18" s="236">
        <v>141449</v>
      </c>
      <c r="D18" s="237">
        <f t="shared" si="1"/>
        <v>141449</v>
      </c>
      <c r="E18" s="238">
        <f t="shared" si="0"/>
        <v>0</v>
      </c>
      <c r="F18" s="234"/>
      <c r="G18" s="234"/>
      <c r="H18" s="234"/>
      <c r="I18" s="234"/>
      <c r="J18" s="234"/>
      <c r="K18" s="234"/>
      <c r="L18" s="234">
        <v>33049</v>
      </c>
      <c r="M18" s="234"/>
      <c r="N18" s="234">
        <v>12010</v>
      </c>
      <c r="O18" s="234"/>
      <c r="P18" s="234">
        <v>13015</v>
      </c>
      <c r="Q18" s="234"/>
      <c r="R18" s="234"/>
      <c r="S18" s="234"/>
      <c r="T18" s="234">
        <v>23579</v>
      </c>
      <c r="U18" s="234"/>
      <c r="V18" s="234">
        <v>12239</v>
      </c>
      <c r="W18" s="234"/>
      <c r="X18" s="234"/>
      <c r="Y18" s="234"/>
      <c r="Z18" s="234"/>
      <c r="AA18" s="234"/>
      <c r="AB18" s="234"/>
      <c r="AC18" s="234"/>
      <c r="AD18" s="234"/>
      <c r="AE18" s="234"/>
      <c r="AF18" s="234">
        <v>47557</v>
      </c>
      <c r="AG18" s="234"/>
      <c r="AH18" s="234"/>
      <c r="AI18" s="234"/>
      <c r="AJ18" s="234"/>
      <c r="AK18" s="234"/>
    </row>
    <row r="19" spans="1:37" s="235" customFormat="1" ht="15" thickBot="1" x14ac:dyDescent="0.35">
      <c r="A19" s="103" t="s">
        <v>21</v>
      </c>
      <c r="B19" s="104" t="s">
        <v>22</v>
      </c>
      <c r="C19" s="236">
        <v>104222</v>
      </c>
      <c r="D19" s="237">
        <f t="shared" si="1"/>
        <v>104222</v>
      </c>
      <c r="E19" s="238">
        <f t="shared" si="0"/>
        <v>0</v>
      </c>
      <c r="F19" s="234"/>
      <c r="G19" s="234"/>
      <c r="H19" s="234"/>
      <c r="I19" s="234"/>
      <c r="J19" s="234"/>
      <c r="K19" s="234"/>
      <c r="L19" s="234"/>
      <c r="M19" s="234">
        <v>17256</v>
      </c>
      <c r="N19" s="234"/>
      <c r="O19" s="234"/>
      <c r="P19" s="234"/>
      <c r="Q19" s="234"/>
      <c r="R19" s="234"/>
      <c r="S19" s="234"/>
      <c r="T19" s="234">
        <v>33048</v>
      </c>
      <c r="U19" s="234"/>
      <c r="V19" s="234"/>
      <c r="W19" s="234"/>
      <c r="X19" s="234"/>
      <c r="Y19" s="234"/>
      <c r="Z19" s="234">
        <v>25326</v>
      </c>
      <c r="AA19" s="234"/>
      <c r="AB19" s="234"/>
      <c r="AC19" s="234"/>
      <c r="AD19" s="234"/>
      <c r="AE19" s="234">
        <v>28592</v>
      </c>
      <c r="AF19" s="234"/>
      <c r="AG19" s="234"/>
      <c r="AH19" s="234"/>
      <c r="AI19" s="234"/>
      <c r="AJ19" s="234"/>
      <c r="AK19" s="234"/>
    </row>
    <row r="20" spans="1:37" s="235" customFormat="1" ht="15" thickBot="1" x14ac:dyDescent="0.35">
      <c r="A20" s="105" t="s">
        <v>23</v>
      </c>
      <c r="B20" s="106" t="s">
        <v>24</v>
      </c>
      <c r="C20" s="239">
        <v>68996</v>
      </c>
      <c r="D20" s="237">
        <f t="shared" si="1"/>
        <v>48580</v>
      </c>
      <c r="E20" s="238">
        <f t="shared" si="0"/>
        <v>20416</v>
      </c>
      <c r="F20" s="234"/>
      <c r="G20" s="234"/>
      <c r="H20" s="234"/>
      <c r="I20" s="234"/>
      <c r="J20" s="234"/>
      <c r="K20" s="234"/>
      <c r="L20" s="234"/>
      <c r="M20" s="234">
        <v>8800</v>
      </c>
      <c r="N20" s="234">
        <v>7900</v>
      </c>
      <c r="O20" s="234"/>
      <c r="P20" s="234">
        <v>7000</v>
      </c>
      <c r="Q20" s="234"/>
      <c r="R20" s="234"/>
      <c r="S20" s="234"/>
      <c r="T20" s="234"/>
      <c r="U20" s="234">
        <v>17880</v>
      </c>
      <c r="V20" s="234">
        <v>7000</v>
      </c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</row>
    <row r="21" spans="1:37" s="235" customFormat="1" ht="15" thickBot="1" x14ac:dyDescent="0.35">
      <c r="A21" s="107" t="s">
        <v>25</v>
      </c>
      <c r="B21" s="108" t="s">
        <v>26</v>
      </c>
      <c r="C21" s="240">
        <v>91370</v>
      </c>
      <c r="D21" s="237">
        <f t="shared" si="1"/>
        <v>91370</v>
      </c>
      <c r="E21" s="238">
        <f t="shared" si="0"/>
        <v>0</v>
      </c>
      <c r="F21" s="234"/>
      <c r="G21" s="234"/>
      <c r="H21" s="234"/>
      <c r="I21" s="234"/>
      <c r="J21" s="234"/>
      <c r="K21" s="234"/>
      <c r="L21" s="234">
        <v>20200</v>
      </c>
      <c r="M21" s="234"/>
      <c r="N21" s="234">
        <v>10000</v>
      </c>
      <c r="O21" s="234"/>
      <c r="P21" s="234"/>
      <c r="Q21" s="234">
        <v>10000</v>
      </c>
      <c r="R21" s="234"/>
      <c r="S21" s="234"/>
      <c r="T21" s="234">
        <v>10000</v>
      </c>
      <c r="U21" s="234"/>
      <c r="V21" s="234"/>
      <c r="W21" s="234"/>
      <c r="X21" s="234"/>
      <c r="Y21" s="234"/>
      <c r="Z21" s="234"/>
      <c r="AA21" s="234">
        <v>20831</v>
      </c>
      <c r="AB21" s="234"/>
      <c r="AC21" s="234">
        <v>20339</v>
      </c>
      <c r="AD21" s="234"/>
      <c r="AE21" s="234"/>
      <c r="AF21" s="234"/>
      <c r="AG21" s="234"/>
      <c r="AH21" s="234"/>
      <c r="AI21" s="234"/>
      <c r="AJ21" s="234"/>
      <c r="AK21" s="234"/>
    </row>
    <row r="22" spans="1:37" s="235" customFormat="1" ht="15" thickBot="1" x14ac:dyDescent="0.35">
      <c r="A22" s="109" t="s">
        <v>27</v>
      </c>
      <c r="B22" s="104" t="s">
        <v>85</v>
      </c>
      <c r="C22" s="236">
        <v>50685</v>
      </c>
      <c r="D22" s="237">
        <f t="shared" si="1"/>
        <v>48195</v>
      </c>
      <c r="E22" s="238">
        <f t="shared" si="0"/>
        <v>2490</v>
      </c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>
        <v>4889</v>
      </c>
      <c r="Q22" s="234">
        <v>5046</v>
      </c>
      <c r="R22" s="234"/>
      <c r="S22" s="234"/>
      <c r="T22" s="234"/>
      <c r="U22" s="234">
        <v>3857</v>
      </c>
      <c r="V22" s="234"/>
      <c r="W22" s="234"/>
      <c r="X22" s="234">
        <v>8099</v>
      </c>
      <c r="Y22" s="234">
        <v>3190</v>
      </c>
      <c r="Z22" s="234"/>
      <c r="AA22" s="234">
        <v>5830</v>
      </c>
      <c r="AB22" s="234"/>
      <c r="AC22" s="234"/>
      <c r="AD22" s="234">
        <v>7180</v>
      </c>
      <c r="AE22" s="234"/>
      <c r="AF22" s="234"/>
      <c r="AG22" s="234"/>
      <c r="AH22" s="234">
        <v>10104</v>
      </c>
      <c r="AI22" s="234"/>
      <c r="AJ22" s="234"/>
      <c r="AK22" s="234"/>
    </row>
    <row r="23" spans="1:37" s="235" customFormat="1" ht="15" thickBot="1" x14ac:dyDescent="0.35">
      <c r="A23" s="103" t="s">
        <v>28</v>
      </c>
      <c r="B23" s="104" t="s">
        <v>29</v>
      </c>
      <c r="C23" s="236">
        <v>192622</v>
      </c>
      <c r="D23" s="237">
        <f t="shared" si="1"/>
        <v>192622</v>
      </c>
      <c r="E23" s="238">
        <f t="shared" si="0"/>
        <v>0</v>
      </c>
      <c r="F23" s="234"/>
      <c r="G23" s="234"/>
      <c r="H23" s="234"/>
      <c r="I23" s="234"/>
      <c r="J23" s="234"/>
      <c r="K23" s="234"/>
      <c r="L23" s="234"/>
      <c r="M23" s="234"/>
      <c r="N23" s="234">
        <v>19237</v>
      </c>
      <c r="O23" s="234"/>
      <c r="P23" s="234"/>
      <c r="Q23" s="234"/>
      <c r="R23" s="234">
        <v>54886</v>
      </c>
      <c r="S23" s="234"/>
      <c r="T23" s="234"/>
      <c r="U23" s="234"/>
      <c r="V23" s="234">
        <v>43022</v>
      </c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>
        <v>75477</v>
      </c>
      <c r="AH23" s="234"/>
      <c r="AI23" s="234"/>
      <c r="AJ23" s="234"/>
      <c r="AK23" s="234"/>
    </row>
    <row r="24" spans="1:37" s="235" customFormat="1" ht="15" thickBot="1" x14ac:dyDescent="0.35">
      <c r="A24" s="103" t="s">
        <v>30</v>
      </c>
      <c r="B24" s="104" t="s">
        <v>31</v>
      </c>
      <c r="C24" s="236">
        <v>200274</v>
      </c>
      <c r="D24" s="237">
        <f t="shared" si="1"/>
        <v>200274</v>
      </c>
      <c r="E24" s="238">
        <f t="shared" si="0"/>
        <v>0</v>
      </c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>
        <v>96450</v>
      </c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>
        <v>103824</v>
      </c>
      <c r="AH24" s="234"/>
      <c r="AI24" s="234"/>
      <c r="AJ24" s="234"/>
      <c r="AK24" s="234"/>
    </row>
    <row r="25" spans="1:37" s="235" customFormat="1" ht="15" thickBot="1" x14ac:dyDescent="0.35">
      <c r="A25" s="103" t="s">
        <v>32</v>
      </c>
      <c r="B25" s="104" t="s">
        <v>86</v>
      </c>
      <c r="C25" s="236">
        <v>58314</v>
      </c>
      <c r="D25" s="237">
        <f t="shared" si="1"/>
        <v>57393</v>
      </c>
      <c r="E25" s="238">
        <f t="shared" si="0"/>
        <v>921</v>
      </c>
      <c r="F25" s="234"/>
      <c r="G25" s="234"/>
      <c r="H25" s="234"/>
      <c r="I25" s="234"/>
      <c r="J25" s="234"/>
      <c r="K25" s="234"/>
      <c r="L25" s="234"/>
      <c r="M25" s="234"/>
      <c r="N25" s="234"/>
      <c r="O25" s="234">
        <v>11986</v>
      </c>
      <c r="P25" s="234"/>
      <c r="Q25" s="234">
        <v>5643</v>
      </c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>
        <v>28390</v>
      </c>
      <c r="AC25" s="234"/>
      <c r="AD25" s="234">
        <v>5687</v>
      </c>
      <c r="AE25" s="234">
        <v>5687</v>
      </c>
      <c r="AF25" s="234"/>
      <c r="AG25" s="234"/>
      <c r="AH25" s="234"/>
      <c r="AI25" s="234"/>
      <c r="AJ25" s="234"/>
      <c r="AK25" s="234"/>
    </row>
    <row r="26" spans="1:37" s="235" customFormat="1" ht="15" thickBot="1" x14ac:dyDescent="0.35">
      <c r="A26" s="103" t="s">
        <v>33</v>
      </c>
      <c r="B26" s="104" t="s">
        <v>87</v>
      </c>
      <c r="C26" s="236">
        <v>207474</v>
      </c>
      <c r="D26" s="237">
        <f t="shared" si="1"/>
        <v>207474</v>
      </c>
      <c r="E26" s="238">
        <f t="shared" si="0"/>
        <v>0</v>
      </c>
      <c r="F26" s="234"/>
      <c r="G26" s="234"/>
      <c r="H26" s="234"/>
      <c r="I26" s="234"/>
      <c r="J26" s="234"/>
      <c r="K26" s="234">
        <v>69158</v>
      </c>
      <c r="L26" s="234"/>
      <c r="M26" s="234">
        <v>34579</v>
      </c>
      <c r="N26" s="234"/>
      <c r="O26" s="234"/>
      <c r="P26" s="234"/>
      <c r="Q26" s="234"/>
      <c r="R26" s="234"/>
      <c r="S26" s="234">
        <v>34579</v>
      </c>
      <c r="T26" s="234"/>
      <c r="U26" s="234"/>
      <c r="V26" s="234">
        <v>69158</v>
      </c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</row>
    <row r="27" spans="1:37" s="235" customFormat="1" ht="36" customHeight="1" thickBot="1" x14ac:dyDescent="0.35">
      <c r="A27" s="103" t="s">
        <v>34</v>
      </c>
      <c r="B27" s="104" t="s">
        <v>35</v>
      </c>
      <c r="C27" s="241">
        <v>133991</v>
      </c>
      <c r="D27" s="241">
        <f t="shared" si="1"/>
        <v>101143</v>
      </c>
      <c r="E27" s="242">
        <f t="shared" si="0"/>
        <v>32848</v>
      </c>
      <c r="F27" s="234"/>
      <c r="G27" s="234"/>
      <c r="H27" s="234"/>
      <c r="I27" s="234"/>
      <c r="J27" s="234"/>
      <c r="K27" s="234"/>
      <c r="L27" s="234"/>
      <c r="M27" s="234"/>
      <c r="N27" s="234">
        <v>44663</v>
      </c>
      <c r="O27" s="234"/>
      <c r="P27" s="234"/>
      <c r="Q27" s="234">
        <v>22332</v>
      </c>
      <c r="R27" s="234"/>
      <c r="S27" s="234"/>
      <c r="T27" s="234">
        <v>22332</v>
      </c>
      <c r="U27" s="234">
        <v>11166</v>
      </c>
      <c r="V27" s="234"/>
      <c r="W27" s="234"/>
      <c r="X27" s="234"/>
      <c r="Y27" s="234"/>
      <c r="Z27" s="234"/>
      <c r="AA27" s="234"/>
      <c r="AB27" s="234">
        <v>650</v>
      </c>
      <c r="AC27" s="234"/>
      <c r="AD27" s="234"/>
      <c r="AE27" s="234"/>
      <c r="AF27" s="234"/>
      <c r="AG27" s="234"/>
      <c r="AH27" s="234"/>
      <c r="AI27" s="234"/>
      <c r="AJ27" s="234"/>
      <c r="AK27" s="234"/>
    </row>
    <row r="28" spans="1:37" s="235" customFormat="1" ht="15" thickBot="1" x14ac:dyDescent="0.35">
      <c r="A28" s="103" t="s">
        <v>36</v>
      </c>
      <c r="B28" s="104" t="s">
        <v>88</v>
      </c>
      <c r="C28" s="236">
        <v>554110</v>
      </c>
      <c r="D28" s="237">
        <f t="shared" si="1"/>
        <v>554110</v>
      </c>
      <c r="E28" s="238">
        <f t="shared" si="0"/>
        <v>0</v>
      </c>
      <c r="F28" s="234"/>
      <c r="G28" s="234"/>
      <c r="H28" s="234">
        <v>125000</v>
      </c>
      <c r="I28" s="234"/>
      <c r="J28" s="234">
        <v>55000</v>
      </c>
      <c r="K28" s="234"/>
      <c r="L28" s="234">
        <v>42000</v>
      </c>
      <c r="M28" s="234"/>
      <c r="N28" s="234">
        <v>42000</v>
      </c>
      <c r="O28" s="234"/>
      <c r="P28" s="234">
        <v>42000</v>
      </c>
      <c r="Q28" s="234"/>
      <c r="R28" s="234">
        <v>42000</v>
      </c>
      <c r="S28" s="234"/>
      <c r="T28" s="234">
        <v>42000</v>
      </c>
      <c r="U28" s="234"/>
      <c r="V28" s="234">
        <v>42000</v>
      </c>
      <c r="W28" s="234"/>
      <c r="X28" s="234">
        <v>54703</v>
      </c>
      <c r="Y28" s="234"/>
      <c r="Z28" s="234">
        <v>55000</v>
      </c>
      <c r="AA28" s="234"/>
      <c r="AB28" s="234">
        <v>54407</v>
      </c>
      <c r="AC28" s="234"/>
      <c r="AD28" s="234"/>
      <c r="AE28" s="234"/>
      <c r="AF28" s="234"/>
      <c r="AG28" s="234">
        <v>-42000</v>
      </c>
      <c r="AH28" s="234"/>
      <c r="AI28" s="234"/>
      <c r="AJ28" s="234"/>
      <c r="AK28" s="234"/>
    </row>
    <row r="29" spans="1:37" s="235" customFormat="1" ht="15" thickBot="1" x14ac:dyDescent="0.35">
      <c r="A29" s="103" t="s">
        <v>37</v>
      </c>
      <c r="B29" s="104" t="s">
        <v>38</v>
      </c>
      <c r="C29" s="236">
        <v>618916</v>
      </c>
      <c r="D29" s="237">
        <f t="shared" si="1"/>
        <v>618916</v>
      </c>
      <c r="E29" s="238">
        <f t="shared" si="0"/>
        <v>0</v>
      </c>
      <c r="F29" s="234"/>
      <c r="G29" s="234"/>
      <c r="H29" s="234"/>
      <c r="I29" s="234"/>
      <c r="J29" s="234"/>
      <c r="K29" s="234">
        <v>154728</v>
      </c>
      <c r="L29" s="234"/>
      <c r="M29" s="234">
        <v>51576</v>
      </c>
      <c r="N29" s="234">
        <v>51576</v>
      </c>
      <c r="O29" s="234"/>
      <c r="P29" s="234">
        <v>51576</v>
      </c>
      <c r="Q29" s="234"/>
      <c r="R29" s="234"/>
      <c r="S29" s="234">
        <v>51576</v>
      </c>
      <c r="T29" s="234"/>
      <c r="U29" s="234">
        <v>51576</v>
      </c>
      <c r="V29" s="234">
        <v>51576</v>
      </c>
      <c r="W29" s="234"/>
      <c r="X29" s="234">
        <v>51580</v>
      </c>
      <c r="Y29" s="234"/>
      <c r="Z29" s="234"/>
      <c r="AA29" s="234">
        <v>51576</v>
      </c>
      <c r="AB29" s="234"/>
      <c r="AC29" s="234">
        <v>103152</v>
      </c>
      <c r="AD29" s="234"/>
      <c r="AE29" s="234">
        <v>-51576</v>
      </c>
      <c r="AF29" s="234"/>
      <c r="AG29" s="234"/>
      <c r="AH29" s="234"/>
      <c r="AI29" s="234"/>
      <c r="AJ29" s="234"/>
      <c r="AK29" s="234"/>
    </row>
    <row r="30" spans="1:37" s="235" customFormat="1" ht="15" thickBot="1" x14ac:dyDescent="0.35">
      <c r="A30" s="103" t="s">
        <v>39</v>
      </c>
      <c r="B30" s="104" t="s">
        <v>40</v>
      </c>
      <c r="C30" s="236">
        <v>87032</v>
      </c>
      <c r="D30" s="237">
        <f t="shared" si="1"/>
        <v>86933</v>
      </c>
      <c r="E30" s="238">
        <f t="shared" si="0"/>
        <v>99</v>
      </c>
      <c r="F30" s="234"/>
      <c r="G30" s="234"/>
      <c r="H30" s="234"/>
      <c r="I30" s="234"/>
      <c r="J30" s="234"/>
      <c r="K30" s="234"/>
      <c r="L30" s="234"/>
      <c r="M30" s="234"/>
      <c r="N30" s="234">
        <v>17865</v>
      </c>
      <c r="O30" s="234"/>
      <c r="P30" s="234">
        <v>19979</v>
      </c>
      <c r="Q30" s="234"/>
      <c r="R30" s="234"/>
      <c r="S30" s="234">
        <v>8873</v>
      </c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>
        <v>40216</v>
      </c>
      <c r="AE30" s="234"/>
      <c r="AF30" s="234"/>
      <c r="AG30" s="234"/>
      <c r="AH30" s="234"/>
      <c r="AI30" s="234"/>
      <c r="AJ30" s="234"/>
      <c r="AK30" s="234"/>
    </row>
    <row r="31" spans="1:37" s="235" customFormat="1" ht="15" thickBot="1" x14ac:dyDescent="0.35">
      <c r="A31" s="103" t="s">
        <v>41</v>
      </c>
      <c r="B31" s="104" t="s">
        <v>89</v>
      </c>
      <c r="C31" s="236">
        <v>26768</v>
      </c>
      <c r="D31" s="237">
        <f t="shared" si="1"/>
        <v>26768</v>
      </c>
      <c r="E31" s="238">
        <f t="shared" si="0"/>
        <v>0</v>
      </c>
      <c r="F31" s="234"/>
      <c r="G31" s="234"/>
      <c r="H31" s="234"/>
      <c r="I31" s="234"/>
      <c r="J31" s="234"/>
      <c r="K31" s="234"/>
      <c r="L31" s="234">
        <v>5601</v>
      </c>
      <c r="M31" s="234"/>
      <c r="N31" s="234">
        <v>3156</v>
      </c>
      <c r="O31" s="234"/>
      <c r="P31" s="234">
        <v>3450</v>
      </c>
      <c r="Q31" s="234"/>
      <c r="R31" s="234"/>
      <c r="S31" s="234">
        <v>3222</v>
      </c>
      <c r="T31" s="234">
        <v>2843</v>
      </c>
      <c r="U31" s="234"/>
      <c r="V31" s="234">
        <v>2800</v>
      </c>
      <c r="W31" s="234"/>
      <c r="X31" s="234"/>
      <c r="Y31" s="234">
        <v>2472</v>
      </c>
      <c r="Z31" s="234"/>
      <c r="AA31" s="234">
        <v>2273</v>
      </c>
      <c r="AB31" s="234"/>
      <c r="AC31" s="234">
        <v>951</v>
      </c>
      <c r="AD31" s="234"/>
      <c r="AE31" s="234"/>
      <c r="AF31" s="234"/>
      <c r="AG31" s="234"/>
      <c r="AH31" s="234"/>
      <c r="AI31" s="234"/>
      <c r="AJ31" s="234"/>
      <c r="AK31" s="234"/>
    </row>
    <row r="32" spans="1:37" s="235" customFormat="1" ht="15" thickBot="1" x14ac:dyDescent="0.35">
      <c r="A32" s="103" t="s">
        <v>42</v>
      </c>
      <c r="B32" s="104" t="s">
        <v>90</v>
      </c>
      <c r="C32" s="236">
        <v>161346</v>
      </c>
      <c r="D32" s="237">
        <f t="shared" si="1"/>
        <v>161346</v>
      </c>
      <c r="E32" s="238">
        <f t="shared" si="0"/>
        <v>0</v>
      </c>
      <c r="F32" s="234"/>
      <c r="G32" s="234"/>
      <c r="H32" s="234"/>
      <c r="I32" s="234"/>
      <c r="J32" s="234"/>
      <c r="K32" s="234"/>
      <c r="L32" s="234"/>
      <c r="M32" s="234">
        <v>63000</v>
      </c>
      <c r="N32" s="234"/>
      <c r="O32" s="234"/>
      <c r="P32" s="234">
        <v>13000</v>
      </c>
      <c r="Q32" s="234"/>
      <c r="R32" s="234">
        <v>13000</v>
      </c>
      <c r="S32" s="234"/>
      <c r="T32" s="234">
        <v>13000</v>
      </c>
      <c r="U32" s="234">
        <v>13000</v>
      </c>
      <c r="V32" s="234"/>
      <c r="W32" s="234"/>
      <c r="X32" s="234">
        <v>12264</v>
      </c>
      <c r="Y32" s="234"/>
      <c r="Z32" s="234"/>
      <c r="AA32" s="234">
        <v>12374</v>
      </c>
      <c r="AB32" s="234"/>
      <c r="AC32" s="234">
        <v>14492</v>
      </c>
      <c r="AD32" s="234"/>
      <c r="AE32" s="234">
        <v>7216</v>
      </c>
      <c r="AF32" s="234"/>
      <c r="AG32" s="234"/>
      <c r="AH32" s="234"/>
      <c r="AI32" s="234"/>
      <c r="AJ32" s="234"/>
      <c r="AK32" s="234"/>
    </row>
    <row r="33" spans="1:37" s="235" customFormat="1" ht="15" thickBot="1" x14ac:dyDescent="0.35">
      <c r="A33" s="103" t="s">
        <v>44</v>
      </c>
      <c r="B33" s="104" t="s">
        <v>98</v>
      </c>
      <c r="C33" s="236">
        <v>178917</v>
      </c>
      <c r="D33" s="237">
        <f>SUM(F33:AJ33)</f>
        <v>178917</v>
      </c>
      <c r="E33" s="238">
        <f t="shared" si="0"/>
        <v>0</v>
      </c>
      <c r="F33" s="234"/>
      <c r="G33" s="234"/>
      <c r="H33" s="234"/>
      <c r="I33" s="234"/>
      <c r="J33" s="234"/>
      <c r="K33" s="234"/>
      <c r="L33" s="234"/>
      <c r="M33" s="234"/>
      <c r="N33" s="234">
        <v>25426</v>
      </c>
      <c r="O33" s="234"/>
      <c r="P33" s="234"/>
      <c r="Q33" s="234"/>
      <c r="R33" s="234"/>
      <c r="S33" s="234">
        <v>50147</v>
      </c>
      <c r="T33" s="234"/>
      <c r="U33" s="234"/>
      <c r="V33" s="234"/>
      <c r="W33" s="234"/>
      <c r="X33" s="234"/>
      <c r="Y33" s="234"/>
      <c r="Z33" s="234"/>
      <c r="AA33" s="234">
        <v>48335</v>
      </c>
      <c r="AB33" s="234"/>
      <c r="AC33" s="234"/>
      <c r="AD33" s="234"/>
      <c r="AE33" s="234"/>
      <c r="AF33" s="234">
        <v>55009</v>
      </c>
      <c r="AG33" s="234"/>
      <c r="AH33" s="234"/>
      <c r="AI33" s="234"/>
      <c r="AJ33" s="234"/>
      <c r="AK33" s="234"/>
    </row>
    <row r="34" spans="1:37" s="235" customFormat="1" ht="15" thickBot="1" x14ac:dyDescent="0.35">
      <c r="A34" s="103" t="s">
        <v>45</v>
      </c>
      <c r="B34" s="104" t="s">
        <v>91</v>
      </c>
      <c r="C34" s="236">
        <v>65696</v>
      </c>
      <c r="D34" s="237">
        <f t="shared" si="1"/>
        <v>61245</v>
      </c>
      <c r="E34" s="238">
        <f t="shared" si="0"/>
        <v>4451</v>
      </c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>
        <v>40604</v>
      </c>
      <c r="AC34" s="234"/>
      <c r="AD34" s="234"/>
      <c r="AE34" s="234"/>
      <c r="AF34" s="234"/>
      <c r="AG34" s="234">
        <v>20641</v>
      </c>
      <c r="AH34" s="234"/>
      <c r="AI34" s="234"/>
      <c r="AJ34" s="234"/>
      <c r="AK34" s="234"/>
    </row>
    <row r="35" spans="1:37" s="235" customFormat="1" ht="15" thickBot="1" x14ac:dyDescent="0.35">
      <c r="A35" s="103" t="s">
        <v>46</v>
      </c>
      <c r="B35" s="110" t="s">
        <v>92</v>
      </c>
      <c r="C35" s="236">
        <v>110347</v>
      </c>
      <c r="D35" s="237">
        <f t="shared" si="1"/>
        <v>110347</v>
      </c>
      <c r="E35" s="238">
        <f t="shared" si="0"/>
        <v>0</v>
      </c>
      <c r="F35" s="234"/>
      <c r="G35" s="234"/>
      <c r="H35" s="234"/>
      <c r="I35" s="234"/>
      <c r="J35" s="234"/>
      <c r="K35" s="234">
        <v>30089</v>
      </c>
      <c r="L35" s="234"/>
      <c r="M35" s="234">
        <v>10039</v>
      </c>
      <c r="N35" s="234">
        <v>10055</v>
      </c>
      <c r="O35" s="234"/>
      <c r="P35" s="234">
        <v>11603</v>
      </c>
      <c r="Q35" s="234"/>
      <c r="R35" s="234">
        <v>8176</v>
      </c>
      <c r="S35" s="234"/>
      <c r="T35" s="234">
        <v>11795</v>
      </c>
      <c r="U35" s="234"/>
      <c r="V35" s="234">
        <v>9546</v>
      </c>
      <c r="W35" s="234"/>
      <c r="X35" s="234">
        <v>14446</v>
      </c>
      <c r="Y35" s="234"/>
      <c r="Z35" s="234"/>
      <c r="AA35" s="234"/>
      <c r="AB35" s="234">
        <v>14144</v>
      </c>
      <c r="AC35" s="234">
        <v>-9546</v>
      </c>
      <c r="AD35" s="234"/>
      <c r="AE35" s="234"/>
      <c r="AF35" s="234"/>
      <c r="AG35" s="234"/>
      <c r="AH35" s="234"/>
      <c r="AI35" s="234"/>
      <c r="AJ35" s="234"/>
      <c r="AK35" s="234"/>
    </row>
    <row r="36" spans="1:37" s="235" customFormat="1" ht="15" thickBot="1" x14ac:dyDescent="0.35">
      <c r="A36" s="103" t="s">
        <v>47</v>
      </c>
      <c r="B36" s="104" t="s">
        <v>93</v>
      </c>
      <c r="C36" s="236">
        <v>63818</v>
      </c>
      <c r="D36" s="237">
        <f t="shared" si="1"/>
        <v>63818</v>
      </c>
      <c r="E36" s="238">
        <f t="shared" si="0"/>
        <v>0</v>
      </c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>
        <v>9253</v>
      </c>
      <c r="V36" s="234"/>
      <c r="W36" s="234"/>
      <c r="X36" s="234"/>
      <c r="Y36" s="234">
        <v>35733</v>
      </c>
      <c r="Z36" s="234"/>
      <c r="AA36" s="234">
        <v>5728</v>
      </c>
      <c r="AB36" s="234"/>
      <c r="AC36" s="234">
        <v>9092</v>
      </c>
      <c r="AD36" s="234"/>
      <c r="AE36" s="234"/>
      <c r="AF36" s="234"/>
      <c r="AG36" s="234"/>
      <c r="AH36" s="234">
        <v>4012</v>
      </c>
      <c r="AI36" s="234"/>
      <c r="AJ36" s="234"/>
      <c r="AK36" s="234"/>
    </row>
    <row r="37" spans="1:37" s="235" customFormat="1" ht="15" thickBot="1" x14ac:dyDescent="0.35">
      <c r="A37" s="103" t="s">
        <v>48</v>
      </c>
      <c r="B37" s="104" t="s">
        <v>94</v>
      </c>
      <c r="C37" s="236">
        <v>47383</v>
      </c>
      <c r="D37" s="237">
        <f t="shared" si="1"/>
        <v>47341</v>
      </c>
      <c r="E37" s="238">
        <f t="shared" si="0"/>
        <v>42</v>
      </c>
      <c r="F37" s="234"/>
      <c r="G37" s="234"/>
      <c r="H37" s="234"/>
      <c r="I37" s="234"/>
      <c r="J37" s="234"/>
      <c r="K37" s="234"/>
      <c r="L37" s="234"/>
      <c r="M37" s="234">
        <v>5364</v>
      </c>
      <c r="N37" s="234"/>
      <c r="O37" s="234">
        <v>4728</v>
      </c>
      <c r="P37" s="234"/>
      <c r="Q37" s="234"/>
      <c r="R37" s="234"/>
      <c r="S37" s="234"/>
      <c r="T37" s="234">
        <v>6474</v>
      </c>
      <c r="U37" s="234"/>
      <c r="V37" s="234"/>
      <c r="W37" s="234"/>
      <c r="X37" s="234"/>
      <c r="Y37" s="234">
        <v>13925</v>
      </c>
      <c r="Z37" s="234"/>
      <c r="AA37" s="234">
        <v>6276</v>
      </c>
      <c r="AB37" s="234"/>
      <c r="AC37" s="234">
        <v>8724</v>
      </c>
      <c r="AD37" s="234"/>
      <c r="AE37" s="234">
        <v>1850</v>
      </c>
      <c r="AF37" s="234"/>
      <c r="AG37" s="234"/>
      <c r="AH37" s="234"/>
      <c r="AI37" s="234"/>
      <c r="AJ37" s="234"/>
      <c r="AK37" s="234"/>
    </row>
    <row r="38" spans="1:37" s="235" customFormat="1" ht="15" thickBot="1" x14ac:dyDescent="0.35">
      <c r="A38" s="103" t="s">
        <v>49</v>
      </c>
      <c r="B38" s="104" t="s">
        <v>50</v>
      </c>
      <c r="C38" s="236">
        <v>250093</v>
      </c>
      <c r="D38" s="237">
        <f t="shared" si="1"/>
        <v>163826</v>
      </c>
      <c r="E38" s="238">
        <f t="shared" si="0"/>
        <v>86267</v>
      </c>
      <c r="F38" s="234"/>
      <c r="G38" s="234"/>
      <c r="H38" s="234"/>
      <c r="I38" s="234"/>
      <c r="J38" s="234"/>
      <c r="K38" s="234">
        <v>21171</v>
      </c>
      <c r="L38" s="234"/>
      <c r="M38" s="234"/>
      <c r="N38" s="234">
        <v>15508</v>
      </c>
      <c r="O38" s="234"/>
      <c r="P38" s="234"/>
      <c r="Q38" s="234">
        <v>15510</v>
      </c>
      <c r="R38" s="234">
        <v>14336</v>
      </c>
      <c r="S38" s="234"/>
      <c r="T38" s="234">
        <v>18946</v>
      </c>
      <c r="U38" s="234">
        <v>6449</v>
      </c>
      <c r="V38" s="234"/>
      <c r="W38" s="234"/>
      <c r="X38" s="234"/>
      <c r="Y38" s="234"/>
      <c r="Z38" s="234"/>
      <c r="AA38" s="234">
        <v>22214</v>
      </c>
      <c r="AB38" s="234">
        <v>7063</v>
      </c>
      <c r="AC38" s="234"/>
      <c r="AD38" s="234">
        <v>15783</v>
      </c>
      <c r="AE38" s="234">
        <v>26846</v>
      </c>
      <c r="AF38" s="234"/>
      <c r="AG38" s="234"/>
      <c r="AH38" s="234"/>
      <c r="AI38" s="234"/>
      <c r="AJ38" s="234"/>
      <c r="AK38" s="234"/>
    </row>
    <row r="39" spans="1:37" s="235" customFormat="1" ht="15" thickBot="1" x14ac:dyDescent="0.35">
      <c r="A39" s="103" t="s">
        <v>51</v>
      </c>
      <c r="B39" s="104" t="s">
        <v>95</v>
      </c>
      <c r="C39" s="236">
        <v>100220</v>
      </c>
      <c r="D39" s="237">
        <f t="shared" si="1"/>
        <v>100220</v>
      </c>
      <c r="E39" s="238">
        <f t="shared" si="0"/>
        <v>0</v>
      </c>
      <c r="F39" s="234"/>
      <c r="G39" s="234"/>
      <c r="H39" s="234"/>
      <c r="I39" s="234"/>
      <c r="J39" s="234"/>
      <c r="K39" s="234"/>
      <c r="L39" s="234">
        <v>30066</v>
      </c>
      <c r="M39" s="234">
        <v>17538</v>
      </c>
      <c r="N39" s="234"/>
      <c r="O39" s="234">
        <v>7516</v>
      </c>
      <c r="P39" s="234">
        <v>7516</v>
      </c>
      <c r="Q39" s="234">
        <v>7516</v>
      </c>
      <c r="R39" s="234">
        <v>7516</v>
      </c>
      <c r="S39" s="234"/>
      <c r="T39" s="234">
        <v>7516</v>
      </c>
      <c r="U39" s="234"/>
      <c r="V39" s="234"/>
      <c r="W39" s="234"/>
      <c r="X39" s="234"/>
      <c r="Y39" s="234">
        <v>15036</v>
      </c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</row>
    <row r="40" spans="1:37" s="235" customFormat="1" ht="15" thickBot="1" x14ac:dyDescent="0.35">
      <c r="A40" s="103" t="s">
        <v>52</v>
      </c>
      <c r="B40" s="104" t="s">
        <v>96</v>
      </c>
      <c r="C40" s="236">
        <v>84233</v>
      </c>
      <c r="D40" s="237">
        <f t="shared" si="1"/>
        <v>80753</v>
      </c>
      <c r="E40" s="238">
        <f t="shared" si="0"/>
        <v>3480</v>
      </c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>
        <v>17659</v>
      </c>
      <c r="S40" s="234"/>
      <c r="T40" s="234"/>
      <c r="U40" s="234"/>
      <c r="V40" s="234"/>
      <c r="W40" s="234"/>
      <c r="X40" s="234"/>
      <c r="Y40" s="234"/>
      <c r="Z40" s="234"/>
      <c r="AA40" s="234"/>
      <c r="AB40" s="234">
        <v>40570</v>
      </c>
      <c r="AC40" s="234"/>
      <c r="AD40" s="234"/>
      <c r="AE40" s="234"/>
      <c r="AF40" s="234"/>
      <c r="AG40" s="234"/>
      <c r="AH40" s="234">
        <v>22524</v>
      </c>
      <c r="AI40" s="234"/>
      <c r="AJ40" s="234"/>
      <c r="AK40" s="234"/>
    </row>
    <row r="41" spans="1:37" s="235" customFormat="1" ht="15" thickBot="1" x14ac:dyDescent="0.35">
      <c r="A41" s="111" t="s">
        <v>53</v>
      </c>
      <c r="B41" s="112" t="s">
        <v>117</v>
      </c>
      <c r="C41" s="241">
        <v>35174</v>
      </c>
      <c r="D41" s="243">
        <f t="shared" si="1"/>
        <v>35174</v>
      </c>
      <c r="E41" s="244">
        <f t="shared" si="0"/>
        <v>0</v>
      </c>
      <c r="F41" s="234"/>
      <c r="G41" s="234"/>
      <c r="H41" s="234"/>
      <c r="I41" s="234"/>
      <c r="J41" s="234"/>
      <c r="K41" s="234">
        <v>8793</v>
      </c>
      <c r="L41" s="234"/>
      <c r="M41" s="234"/>
      <c r="N41" s="234"/>
      <c r="O41" s="234"/>
      <c r="P41" s="234">
        <v>8793</v>
      </c>
      <c r="Q41" s="234"/>
      <c r="R41" s="234"/>
      <c r="S41" s="234"/>
      <c r="T41" s="234"/>
      <c r="U41" s="234"/>
      <c r="V41" s="234"/>
      <c r="W41" s="234"/>
      <c r="X41" s="234">
        <v>8807</v>
      </c>
      <c r="Y41" s="234"/>
      <c r="Z41" s="234"/>
      <c r="AA41" s="234"/>
      <c r="AB41" s="234"/>
      <c r="AC41" s="234"/>
      <c r="AD41" s="234">
        <v>8781</v>
      </c>
      <c r="AE41" s="234"/>
      <c r="AF41" s="234"/>
      <c r="AG41" s="234"/>
      <c r="AH41" s="234"/>
      <c r="AI41" s="234"/>
      <c r="AJ41" s="234"/>
      <c r="AK41" s="234"/>
    </row>
    <row r="42" spans="1:37" s="235" customFormat="1" ht="15" thickBot="1" x14ac:dyDescent="0.35">
      <c r="A42" s="103" t="s">
        <v>54</v>
      </c>
      <c r="B42" s="104" t="s">
        <v>97</v>
      </c>
      <c r="C42" s="236">
        <v>50685</v>
      </c>
      <c r="D42" s="237">
        <f t="shared" si="1"/>
        <v>50685</v>
      </c>
      <c r="E42" s="238">
        <f t="shared" si="0"/>
        <v>0</v>
      </c>
      <c r="F42" s="234"/>
      <c r="G42" s="234"/>
      <c r="H42" s="234"/>
      <c r="I42" s="234"/>
      <c r="J42" s="234"/>
      <c r="K42" s="234"/>
      <c r="L42" s="234">
        <v>7320</v>
      </c>
      <c r="M42" s="234">
        <v>3660</v>
      </c>
      <c r="N42" s="234">
        <v>4218</v>
      </c>
      <c r="O42" s="234"/>
      <c r="P42" s="234">
        <v>4118</v>
      </c>
      <c r="Q42" s="234"/>
      <c r="R42" s="234"/>
      <c r="S42" s="234"/>
      <c r="T42" s="234"/>
      <c r="U42" s="234"/>
      <c r="V42" s="234">
        <v>4276</v>
      </c>
      <c r="W42" s="234"/>
      <c r="X42" s="234"/>
      <c r="Y42" s="234">
        <v>13304</v>
      </c>
      <c r="Z42" s="234"/>
      <c r="AA42" s="234">
        <v>4549</v>
      </c>
      <c r="AB42" s="234"/>
      <c r="AC42" s="234">
        <v>4671</v>
      </c>
      <c r="AD42" s="234">
        <v>4569</v>
      </c>
      <c r="AE42" s="234"/>
      <c r="AF42" s="234"/>
      <c r="AG42" s="234"/>
      <c r="AH42" s="234"/>
      <c r="AI42" s="234"/>
      <c r="AJ42" s="234"/>
      <c r="AK42" s="234"/>
    </row>
    <row r="43" spans="1:37" s="235" customFormat="1" ht="15" thickBot="1" x14ac:dyDescent="0.35">
      <c r="A43" s="103" t="s">
        <v>55</v>
      </c>
      <c r="B43" s="104" t="s">
        <v>56</v>
      </c>
      <c r="C43" s="236">
        <v>41317</v>
      </c>
      <c r="D43" s="237">
        <f t="shared" si="1"/>
        <v>41317</v>
      </c>
      <c r="E43" s="238">
        <f t="shared" si="0"/>
        <v>0</v>
      </c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>
        <v>27545</v>
      </c>
      <c r="W43" s="234"/>
      <c r="X43" s="234"/>
      <c r="Y43" s="234"/>
      <c r="Z43" s="234"/>
      <c r="AA43" s="234">
        <v>6886</v>
      </c>
      <c r="AB43" s="234"/>
      <c r="AC43" s="234"/>
      <c r="AD43" s="234">
        <v>6886</v>
      </c>
      <c r="AE43" s="234"/>
      <c r="AF43" s="234"/>
      <c r="AG43" s="234"/>
      <c r="AH43" s="234"/>
      <c r="AI43" s="234"/>
      <c r="AJ43" s="234"/>
      <c r="AK43" s="234"/>
    </row>
    <row r="44" spans="1:37" s="235" customFormat="1" ht="15" thickBot="1" x14ac:dyDescent="0.35">
      <c r="A44" s="109" t="s">
        <v>57</v>
      </c>
      <c r="B44" s="104" t="s">
        <v>58</v>
      </c>
      <c r="C44" s="236">
        <v>101876</v>
      </c>
      <c r="D44" s="237">
        <f t="shared" si="1"/>
        <v>80007</v>
      </c>
      <c r="E44" s="238">
        <f t="shared" si="0"/>
        <v>21869</v>
      </c>
      <c r="F44" s="234"/>
      <c r="G44" s="234"/>
      <c r="H44" s="234"/>
      <c r="I44" s="234"/>
      <c r="J44" s="234"/>
      <c r="K44" s="234"/>
      <c r="L44" s="234"/>
      <c r="M44" s="234"/>
      <c r="N44" s="234">
        <v>24621</v>
      </c>
      <c r="O44" s="234"/>
      <c r="P44" s="234"/>
      <c r="Q44" s="234"/>
      <c r="R44" s="234">
        <v>10810</v>
      </c>
      <c r="S44" s="234"/>
      <c r="T44" s="234"/>
      <c r="U44" s="234"/>
      <c r="V44" s="234">
        <v>13738</v>
      </c>
      <c r="W44" s="234"/>
      <c r="X44" s="234"/>
      <c r="Y44" s="234"/>
      <c r="Z44" s="234">
        <v>14375</v>
      </c>
      <c r="AA44" s="234"/>
      <c r="AB44" s="234"/>
      <c r="AC44" s="234">
        <v>13002</v>
      </c>
      <c r="AD44" s="234"/>
      <c r="AE44" s="234">
        <v>2298</v>
      </c>
      <c r="AF44" s="234">
        <v>1163</v>
      </c>
      <c r="AG44" s="234"/>
      <c r="AH44" s="234"/>
      <c r="AI44" s="234"/>
      <c r="AJ44" s="234"/>
      <c r="AK44" s="234"/>
    </row>
    <row r="45" spans="1:37" s="235" customFormat="1" ht="15" thickBot="1" x14ac:dyDescent="0.35">
      <c r="A45" s="115" t="s">
        <v>59</v>
      </c>
      <c r="B45" s="116" t="s">
        <v>60</v>
      </c>
      <c r="C45" s="245">
        <v>61319</v>
      </c>
      <c r="D45" s="246">
        <f t="shared" si="1"/>
        <v>60669</v>
      </c>
      <c r="E45" s="247">
        <f t="shared" si="0"/>
        <v>650</v>
      </c>
      <c r="F45" s="234"/>
      <c r="G45" s="234"/>
      <c r="H45" s="234"/>
      <c r="I45" s="234"/>
      <c r="J45" s="234"/>
      <c r="K45" s="234">
        <v>15650</v>
      </c>
      <c r="L45" s="234"/>
      <c r="M45" s="234"/>
      <c r="N45" s="234"/>
      <c r="O45" s="234"/>
      <c r="P45" s="234">
        <v>14957</v>
      </c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>
        <v>13084</v>
      </c>
      <c r="AB45" s="234"/>
      <c r="AC45" s="234">
        <v>16978</v>
      </c>
      <c r="AD45" s="234"/>
      <c r="AE45" s="234"/>
      <c r="AF45" s="234"/>
      <c r="AG45" s="234"/>
      <c r="AH45" s="234"/>
      <c r="AI45" s="234"/>
      <c r="AJ45" s="234"/>
      <c r="AK45" s="234"/>
    </row>
    <row r="46" spans="1:37" s="235" customFormat="1" ht="15" thickBot="1" x14ac:dyDescent="0.35">
      <c r="A46" s="144"/>
      <c r="B46" s="145"/>
      <c r="C46" s="248"/>
      <c r="D46" s="249"/>
      <c r="E46" s="249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</row>
    <row r="47" spans="1:37" s="74" customFormat="1" ht="15" thickBot="1" x14ac:dyDescent="0.35">
      <c r="A47" s="117"/>
      <c r="B47" s="118"/>
      <c r="C47" s="250">
        <f t="shared" ref="C47:AK47" si="2">SUM(C10:C45)</f>
        <v>4784159</v>
      </c>
      <c r="D47" s="250">
        <f t="shared" si="2"/>
        <v>4546132</v>
      </c>
      <c r="E47" s="250">
        <f t="shared" si="2"/>
        <v>238027</v>
      </c>
      <c r="F47" s="251">
        <f t="shared" si="2"/>
        <v>0</v>
      </c>
      <c r="G47" s="251">
        <f t="shared" si="2"/>
        <v>0</v>
      </c>
      <c r="H47" s="251">
        <f t="shared" si="2"/>
        <v>125000</v>
      </c>
      <c r="I47" s="251">
        <f t="shared" si="2"/>
        <v>0</v>
      </c>
      <c r="J47" s="251">
        <f t="shared" si="2"/>
        <v>55000</v>
      </c>
      <c r="K47" s="251">
        <f t="shared" si="2"/>
        <v>313297</v>
      </c>
      <c r="L47" s="251">
        <f t="shared" si="2"/>
        <v>143594</v>
      </c>
      <c r="M47" s="251">
        <f t="shared" si="2"/>
        <v>222247</v>
      </c>
      <c r="N47" s="251">
        <f t="shared" si="2"/>
        <v>424787</v>
      </c>
      <c r="O47" s="251">
        <f t="shared" si="2"/>
        <v>35562</v>
      </c>
      <c r="P47" s="251">
        <f t="shared" si="2"/>
        <v>255209</v>
      </c>
      <c r="Q47" s="251">
        <f t="shared" si="2"/>
        <v>136316</v>
      </c>
      <c r="R47" s="251">
        <f t="shared" si="2"/>
        <v>228104</v>
      </c>
      <c r="S47" s="251">
        <f t="shared" si="2"/>
        <v>162439</v>
      </c>
      <c r="T47" s="251">
        <f t="shared" si="2"/>
        <v>328626</v>
      </c>
      <c r="U47" s="251">
        <f t="shared" si="2"/>
        <v>225362</v>
      </c>
      <c r="V47" s="251">
        <f t="shared" si="2"/>
        <v>302395</v>
      </c>
      <c r="W47" s="251">
        <f t="shared" si="2"/>
        <v>0</v>
      </c>
      <c r="X47" s="251">
        <f t="shared" si="2"/>
        <v>209247</v>
      </c>
      <c r="Y47" s="251">
        <f t="shared" si="2"/>
        <v>123077</v>
      </c>
      <c r="Z47" s="251">
        <f t="shared" si="2"/>
        <v>94701</v>
      </c>
      <c r="AA47" s="251">
        <f t="shared" si="2"/>
        <v>217562</v>
      </c>
      <c r="AB47" s="251">
        <f t="shared" si="2"/>
        <v>197665</v>
      </c>
      <c r="AC47" s="251">
        <f t="shared" si="2"/>
        <v>240761</v>
      </c>
      <c r="AD47" s="251">
        <f t="shared" si="2"/>
        <v>149926</v>
      </c>
      <c r="AE47" s="251">
        <f t="shared" si="2"/>
        <v>26427</v>
      </c>
      <c r="AF47" s="251">
        <f t="shared" si="2"/>
        <v>109007</v>
      </c>
      <c r="AG47" s="251">
        <f t="shared" si="2"/>
        <v>183181</v>
      </c>
      <c r="AH47" s="251">
        <f t="shared" si="2"/>
        <v>36640</v>
      </c>
      <c r="AI47" s="251">
        <f t="shared" si="2"/>
        <v>0</v>
      </c>
      <c r="AJ47" s="251">
        <f t="shared" si="2"/>
        <v>0</v>
      </c>
      <c r="AK47" s="251">
        <f t="shared" si="2"/>
        <v>0</v>
      </c>
    </row>
    <row r="48" spans="1:37" x14ac:dyDescent="0.3">
      <c r="D48" s="34"/>
      <c r="E48" s="34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4"/>
    </row>
    <row r="49" spans="4:37" x14ac:dyDescent="0.3">
      <c r="D49" s="34"/>
      <c r="E49" s="34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4"/>
    </row>
    <row r="50" spans="4:37" x14ac:dyDescent="0.3">
      <c r="D50" s="34"/>
      <c r="E50" s="34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4"/>
    </row>
    <row r="51" spans="4:37" x14ac:dyDescent="0.3">
      <c r="D51" s="34"/>
      <c r="E51" s="34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4"/>
    </row>
    <row r="52" spans="4:37" x14ac:dyDescent="0.3">
      <c r="D52" s="34"/>
      <c r="E52" s="34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4"/>
    </row>
    <row r="53" spans="4:37" x14ac:dyDescent="0.3">
      <c r="D53" s="34"/>
      <c r="E53" s="34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4"/>
    </row>
    <row r="54" spans="4:37" x14ac:dyDescent="0.3">
      <c r="D54" s="34"/>
      <c r="E54" s="34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4"/>
    </row>
    <row r="55" spans="4:37" x14ac:dyDescent="0.3">
      <c r="D55" s="34"/>
      <c r="E55" s="34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4"/>
    </row>
    <row r="56" spans="4:37" x14ac:dyDescent="0.3">
      <c r="D56" s="34"/>
      <c r="E56" s="34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4"/>
    </row>
    <row r="57" spans="4:37" x14ac:dyDescent="0.3">
      <c r="D57" s="34"/>
      <c r="E57" s="34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4"/>
    </row>
    <row r="58" spans="4:37" x14ac:dyDescent="0.3">
      <c r="D58" s="34"/>
      <c r="E58" s="34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4"/>
    </row>
    <row r="59" spans="4:37" x14ac:dyDescent="0.3">
      <c r="D59" s="34"/>
      <c r="E59" s="34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4"/>
    </row>
    <row r="60" spans="4:37" x14ac:dyDescent="0.3">
      <c r="D60" s="34"/>
      <c r="E60" s="34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4"/>
    </row>
    <row r="61" spans="4:37" x14ac:dyDescent="0.3">
      <c r="D61" s="34"/>
      <c r="E61" s="34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4"/>
    </row>
    <row r="62" spans="4:37" x14ac:dyDescent="0.3">
      <c r="D62" s="34"/>
      <c r="E62" s="34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4"/>
    </row>
    <row r="63" spans="4:37" x14ac:dyDescent="0.3">
      <c r="D63" s="34"/>
      <c r="E63" s="34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4"/>
    </row>
    <row r="64" spans="4:37" x14ac:dyDescent="0.3">
      <c r="D64" s="34"/>
      <c r="E64" s="34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4"/>
    </row>
    <row r="65" spans="4:37" x14ac:dyDescent="0.3">
      <c r="D65" s="34"/>
      <c r="E65" s="34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4"/>
    </row>
    <row r="66" spans="4:37" x14ac:dyDescent="0.3">
      <c r="D66" s="34"/>
      <c r="E66" s="34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4"/>
    </row>
    <row r="67" spans="4:37" x14ac:dyDescent="0.3">
      <c r="D67" s="34"/>
      <c r="E67" s="34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4"/>
    </row>
    <row r="68" spans="4:37" x14ac:dyDescent="0.3">
      <c r="D68" s="34"/>
      <c r="E68" s="34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4"/>
    </row>
    <row r="69" spans="4:37" x14ac:dyDescent="0.3">
      <c r="D69" s="34"/>
      <c r="E69" s="34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4"/>
    </row>
    <row r="70" spans="4:37" x14ac:dyDescent="0.3">
      <c r="D70" s="34"/>
      <c r="E70" s="34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4"/>
    </row>
    <row r="71" spans="4:37" x14ac:dyDescent="0.3">
      <c r="D71" s="34"/>
      <c r="E71" s="34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4"/>
    </row>
    <row r="72" spans="4:37" x14ac:dyDescent="0.3">
      <c r="D72" s="34"/>
      <c r="E72" s="34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4"/>
    </row>
    <row r="73" spans="4:37" x14ac:dyDescent="0.3">
      <c r="D73" s="34"/>
      <c r="E73" s="34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4"/>
    </row>
    <row r="74" spans="4:37" x14ac:dyDescent="0.3">
      <c r="D74" s="34"/>
      <c r="E74" s="34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4"/>
    </row>
    <row r="75" spans="4:37" x14ac:dyDescent="0.3">
      <c r="D75" s="34"/>
      <c r="E75" s="34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4"/>
    </row>
    <row r="76" spans="4:37" x14ac:dyDescent="0.3">
      <c r="D76" s="34"/>
      <c r="E76" s="34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4"/>
    </row>
    <row r="77" spans="4:37" x14ac:dyDescent="0.3">
      <c r="D77" s="34"/>
      <c r="E77" s="34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4"/>
    </row>
    <row r="78" spans="4:37" x14ac:dyDescent="0.3">
      <c r="D78" s="34"/>
      <c r="E78" s="34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4"/>
    </row>
    <row r="79" spans="4:37" x14ac:dyDescent="0.3">
      <c r="D79" s="34"/>
      <c r="E79" s="34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4"/>
    </row>
    <row r="80" spans="4:37" x14ac:dyDescent="0.3">
      <c r="D80" s="34"/>
      <c r="E80" s="34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4"/>
    </row>
    <row r="81" spans="4:37" x14ac:dyDescent="0.3">
      <c r="D81" s="34"/>
      <c r="E81" s="34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4"/>
    </row>
    <row r="82" spans="4:37" x14ac:dyDescent="0.3">
      <c r="D82" s="34"/>
      <c r="E82" s="34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4"/>
    </row>
    <row r="83" spans="4:37" x14ac:dyDescent="0.3">
      <c r="D83" s="34"/>
      <c r="E83" s="34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4"/>
    </row>
    <row r="84" spans="4:37" x14ac:dyDescent="0.3">
      <c r="D84" s="34"/>
      <c r="E84" s="34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4"/>
    </row>
    <row r="85" spans="4:37" x14ac:dyDescent="0.3">
      <c r="D85" s="34"/>
      <c r="E85" s="34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4"/>
    </row>
    <row r="86" spans="4:37" x14ac:dyDescent="0.3">
      <c r="D86" s="34"/>
      <c r="E86" s="34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4"/>
    </row>
    <row r="87" spans="4:37" x14ac:dyDescent="0.3">
      <c r="D87" s="34"/>
      <c r="E87" s="34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4"/>
    </row>
    <row r="88" spans="4:37" x14ac:dyDescent="0.3">
      <c r="D88" s="34"/>
      <c r="E88" s="34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4"/>
    </row>
    <row r="89" spans="4:37" x14ac:dyDescent="0.3">
      <c r="D89" s="34"/>
      <c r="E89" s="34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4"/>
    </row>
    <row r="90" spans="4:37" x14ac:dyDescent="0.3">
      <c r="D90" s="34"/>
      <c r="E90" s="34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4"/>
    </row>
    <row r="91" spans="4:37" x14ac:dyDescent="0.3">
      <c r="D91" s="34"/>
      <c r="E91" s="34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4"/>
    </row>
    <row r="92" spans="4:37" x14ac:dyDescent="0.3">
      <c r="D92" s="34"/>
      <c r="E92" s="34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4"/>
    </row>
    <row r="93" spans="4:37" x14ac:dyDescent="0.3">
      <c r="D93" s="34"/>
      <c r="E93" s="34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4"/>
    </row>
    <row r="94" spans="4:37" x14ac:dyDescent="0.3">
      <c r="D94" s="34"/>
      <c r="E94" s="34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4"/>
    </row>
    <row r="95" spans="4:37" x14ac:dyDescent="0.3">
      <c r="D95" s="34"/>
      <c r="E95" s="34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4"/>
    </row>
    <row r="96" spans="4:37" x14ac:dyDescent="0.3">
      <c r="D96" s="34"/>
      <c r="E96" s="34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4"/>
    </row>
    <row r="97" spans="4:37" x14ac:dyDescent="0.3">
      <c r="D97" s="34"/>
      <c r="E97" s="34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4"/>
    </row>
    <row r="98" spans="4:37" x14ac:dyDescent="0.3">
      <c r="D98" s="34"/>
      <c r="E98" s="34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4"/>
    </row>
    <row r="99" spans="4:37" x14ac:dyDescent="0.3">
      <c r="D99" s="34"/>
      <c r="E99" s="34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4"/>
    </row>
    <row r="100" spans="4:37" x14ac:dyDescent="0.3">
      <c r="D100" s="34"/>
      <c r="E100" s="34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4"/>
    </row>
    <row r="101" spans="4:37" x14ac:dyDescent="0.3">
      <c r="D101" s="34"/>
      <c r="E101" s="34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4"/>
    </row>
    <row r="102" spans="4:37" x14ac:dyDescent="0.3">
      <c r="D102" s="34"/>
      <c r="E102" s="34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4"/>
    </row>
    <row r="103" spans="4:37" x14ac:dyDescent="0.3">
      <c r="D103" s="34"/>
      <c r="E103" s="34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4"/>
    </row>
    <row r="104" spans="4:37" x14ac:dyDescent="0.3">
      <c r="D104" s="34"/>
      <c r="E104" s="34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4"/>
    </row>
    <row r="105" spans="4:37" x14ac:dyDescent="0.3">
      <c r="D105" s="34"/>
      <c r="E105" s="34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4"/>
    </row>
    <row r="106" spans="4:37" x14ac:dyDescent="0.3">
      <c r="D106" s="34"/>
      <c r="E106" s="34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4"/>
    </row>
    <row r="107" spans="4:37" x14ac:dyDescent="0.3">
      <c r="D107" s="34"/>
      <c r="E107" s="34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4"/>
    </row>
    <row r="108" spans="4:37" x14ac:dyDescent="0.3">
      <c r="D108" s="34"/>
      <c r="E108" s="34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4"/>
    </row>
    <row r="109" spans="4:37" x14ac:dyDescent="0.3">
      <c r="D109" s="34"/>
      <c r="E109" s="34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4"/>
    </row>
    <row r="110" spans="4:37" x14ac:dyDescent="0.3">
      <c r="D110" s="34"/>
      <c r="E110" s="34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4"/>
    </row>
    <row r="111" spans="4:37" x14ac:dyDescent="0.3">
      <c r="D111" s="34"/>
      <c r="E111" s="34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4"/>
    </row>
    <row r="112" spans="4:37" x14ac:dyDescent="0.3">
      <c r="D112" s="34"/>
      <c r="E112" s="34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4"/>
    </row>
    <row r="113" spans="4:37" x14ac:dyDescent="0.3">
      <c r="D113" s="34"/>
      <c r="E113" s="34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4"/>
    </row>
    <row r="114" spans="4:37" x14ac:dyDescent="0.3">
      <c r="D114" s="34"/>
      <c r="E114" s="34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4"/>
    </row>
    <row r="115" spans="4:37" x14ac:dyDescent="0.3">
      <c r="D115" s="34"/>
      <c r="E115" s="34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4"/>
    </row>
    <row r="116" spans="4:37" x14ac:dyDescent="0.3">
      <c r="D116" s="34"/>
      <c r="E116" s="34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4"/>
    </row>
    <row r="117" spans="4:37" x14ac:dyDescent="0.3">
      <c r="D117" s="34"/>
      <c r="E117" s="34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4"/>
    </row>
    <row r="118" spans="4:37" x14ac:dyDescent="0.3">
      <c r="D118" s="34"/>
      <c r="E118" s="34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4"/>
    </row>
    <row r="119" spans="4:37" x14ac:dyDescent="0.3">
      <c r="D119" s="34"/>
      <c r="E119" s="34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4"/>
    </row>
    <row r="120" spans="4:37" x14ac:dyDescent="0.3">
      <c r="D120" s="34"/>
      <c r="E120" s="34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4"/>
    </row>
    <row r="121" spans="4:37" x14ac:dyDescent="0.3">
      <c r="D121" s="34"/>
      <c r="E121" s="34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4"/>
    </row>
    <row r="122" spans="4:37" x14ac:dyDescent="0.3">
      <c r="D122" s="34"/>
      <c r="E122" s="34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4"/>
    </row>
    <row r="123" spans="4:37" x14ac:dyDescent="0.3">
      <c r="D123" s="34"/>
      <c r="E123" s="34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4"/>
    </row>
    <row r="124" spans="4:37" x14ac:dyDescent="0.3">
      <c r="D124" s="34"/>
      <c r="E124" s="34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4"/>
    </row>
    <row r="125" spans="4:37" x14ac:dyDescent="0.3">
      <c r="D125" s="34"/>
      <c r="E125" s="34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4"/>
    </row>
    <row r="126" spans="4:37" x14ac:dyDescent="0.3">
      <c r="D126" s="34"/>
      <c r="E126" s="34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4"/>
    </row>
    <row r="127" spans="4:37" x14ac:dyDescent="0.3">
      <c r="D127" s="34"/>
      <c r="E127" s="34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4"/>
    </row>
    <row r="128" spans="4:37" x14ac:dyDescent="0.3">
      <c r="D128" s="34"/>
      <c r="E128" s="34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4"/>
    </row>
    <row r="129" spans="4:37" x14ac:dyDescent="0.3">
      <c r="D129" s="34"/>
      <c r="E129" s="34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4"/>
    </row>
    <row r="130" spans="4:37" x14ac:dyDescent="0.3">
      <c r="D130" s="34"/>
      <c r="E130" s="34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4"/>
    </row>
    <row r="131" spans="4:37" x14ac:dyDescent="0.3">
      <c r="D131" s="34"/>
      <c r="E131" s="34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4"/>
    </row>
    <row r="132" spans="4:37" x14ac:dyDescent="0.3">
      <c r="D132" s="34"/>
      <c r="E132" s="34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4"/>
    </row>
    <row r="133" spans="4:37" x14ac:dyDescent="0.3">
      <c r="D133" s="34"/>
      <c r="E133" s="34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4"/>
    </row>
    <row r="134" spans="4:37" x14ac:dyDescent="0.3">
      <c r="D134" s="34"/>
      <c r="E134" s="34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4"/>
    </row>
    <row r="135" spans="4:37" x14ac:dyDescent="0.3">
      <c r="D135" s="34"/>
      <c r="E135" s="34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4"/>
    </row>
    <row r="136" spans="4:37" x14ac:dyDescent="0.3">
      <c r="D136" s="34"/>
      <c r="E136" s="34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4"/>
    </row>
    <row r="137" spans="4:37" x14ac:dyDescent="0.3">
      <c r="D137" s="34"/>
      <c r="E137" s="34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4"/>
    </row>
    <row r="138" spans="4:37" x14ac:dyDescent="0.3">
      <c r="D138" s="34"/>
      <c r="E138" s="34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4"/>
    </row>
    <row r="139" spans="4:37" x14ac:dyDescent="0.3">
      <c r="D139" s="34"/>
      <c r="E139" s="34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4"/>
    </row>
    <row r="140" spans="4:37" x14ac:dyDescent="0.3">
      <c r="D140" s="34"/>
      <c r="E140" s="34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4"/>
    </row>
    <row r="141" spans="4:37" x14ac:dyDescent="0.3">
      <c r="D141" s="34"/>
      <c r="E141" s="34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4"/>
    </row>
    <row r="142" spans="4:37" x14ac:dyDescent="0.3">
      <c r="D142" s="34"/>
      <c r="E142" s="34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4"/>
    </row>
    <row r="143" spans="4:37" x14ac:dyDescent="0.3">
      <c r="D143" s="34"/>
      <c r="E143" s="34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4"/>
    </row>
    <row r="144" spans="4:37" x14ac:dyDescent="0.3">
      <c r="D144" s="34"/>
      <c r="E144" s="34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4"/>
    </row>
    <row r="145" spans="4:37" x14ac:dyDescent="0.3">
      <c r="D145" s="34"/>
      <c r="E145" s="34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4"/>
    </row>
    <row r="146" spans="4:37" x14ac:dyDescent="0.3">
      <c r="D146" s="34"/>
      <c r="E146" s="34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4"/>
    </row>
    <row r="147" spans="4:37" x14ac:dyDescent="0.3">
      <c r="D147" s="34"/>
      <c r="E147" s="34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4"/>
    </row>
    <row r="148" spans="4:37" x14ac:dyDescent="0.3">
      <c r="D148" s="34"/>
      <c r="E148" s="34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4"/>
    </row>
    <row r="149" spans="4:37" x14ac:dyDescent="0.3">
      <c r="D149" s="34"/>
      <c r="E149" s="34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4"/>
    </row>
    <row r="150" spans="4:37" x14ac:dyDescent="0.3">
      <c r="D150" s="34"/>
      <c r="E150" s="34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4"/>
    </row>
    <row r="151" spans="4:37" x14ac:dyDescent="0.3">
      <c r="D151" s="34"/>
      <c r="E151" s="34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4"/>
    </row>
    <row r="152" spans="4:37" x14ac:dyDescent="0.3">
      <c r="D152" s="34"/>
      <c r="E152" s="34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4"/>
    </row>
    <row r="153" spans="4:37" x14ac:dyDescent="0.3">
      <c r="D153" s="34"/>
      <c r="E153" s="34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4"/>
    </row>
    <row r="154" spans="4:37" x14ac:dyDescent="0.3">
      <c r="D154" s="34"/>
      <c r="E154" s="34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4"/>
    </row>
    <row r="155" spans="4:37" x14ac:dyDescent="0.3">
      <c r="D155" s="34"/>
      <c r="E155" s="34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4"/>
    </row>
    <row r="156" spans="4:37" x14ac:dyDescent="0.3">
      <c r="D156" s="34"/>
      <c r="E156" s="34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4"/>
    </row>
    <row r="157" spans="4:37" x14ac:dyDescent="0.3">
      <c r="D157" s="34"/>
      <c r="E157" s="34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4"/>
    </row>
    <row r="158" spans="4:37" x14ac:dyDescent="0.3">
      <c r="D158" s="34"/>
      <c r="E158" s="34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4"/>
    </row>
    <row r="159" spans="4:37" x14ac:dyDescent="0.3">
      <c r="D159" s="34"/>
      <c r="E159" s="34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4"/>
    </row>
  </sheetData>
  <sheetProtection password="CCD4" sheet="1" objects="1" scenarios="1"/>
  <pageMargins left="0.1" right="0.1" top="0.1" bottom="0.1" header="0.3" footer="0.3"/>
  <pageSetup scale="8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CFFCC"/>
  </sheetPr>
  <dimension ref="A1:AM33"/>
  <sheetViews>
    <sheetView zoomScaleNormal="100" workbookViewId="0">
      <pane xSplit="5" ySplit="10" topLeftCell="Z11" activePane="bottomRight" state="frozen"/>
      <selection pane="topRight" activeCell="F1" sqref="F1"/>
      <selection pane="bottomLeft" activeCell="A11" sqref="A11"/>
      <selection pane="bottomRight" activeCell="AJ14" sqref="AJ14"/>
    </sheetView>
  </sheetViews>
  <sheetFormatPr defaultColWidth="9.109375" defaultRowHeight="14.4" x14ac:dyDescent="0.3"/>
  <cols>
    <col min="1" max="1" width="9.109375" style="4"/>
    <col min="2" max="2" width="38.33203125" style="4" customWidth="1"/>
    <col min="3" max="3" width="18.33203125" style="4" customWidth="1"/>
    <col min="4" max="4" width="21.5546875" style="4" customWidth="1"/>
    <col min="5" max="5" width="23" style="4" customWidth="1"/>
    <col min="6" max="7" width="12.109375" style="4" customWidth="1"/>
    <col min="8" max="9" width="13.6640625" style="4" customWidth="1"/>
    <col min="10" max="11" width="12" style="4" customWidth="1"/>
    <col min="12" max="12" width="10.109375" style="4" bestFit="1" customWidth="1"/>
    <col min="13" max="13" width="10.109375" style="4" customWidth="1"/>
    <col min="14" max="15" width="12" style="4" customWidth="1"/>
    <col min="16" max="17" width="13.33203125" style="4" customWidth="1"/>
    <col min="18" max="19" width="9.109375" style="4"/>
    <col min="20" max="21" width="11.109375" style="4" customWidth="1"/>
    <col min="22" max="24" width="9.109375" style="4"/>
    <col min="25" max="25" width="9.88671875" style="4" bestFit="1" customWidth="1"/>
    <col min="26" max="26" width="10.88671875" style="4" bestFit="1" customWidth="1"/>
    <col min="27" max="27" width="9.33203125" style="4" bestFit="1" customWidth="1"/>
    <col min="28" max="28" width="10.88671875" style="4" bestFit="1" customWidth="1"/>
    <col min="29" max="29" width="9.44140625" style="4" bestFit="1" customWidth="1"/>
    <col min="30" max="30" width="10.44140625" style="4" bestFit="1" customWidth="1"/>
    <col min="31" max="32" width="9.33203125" style="4" bestFit="1" customWidth="1"/>
    <col min="33" max="34" width="11.44140625" style="4" customWidth="1"/>
    <col min="35" max="37" width="9.109375" style="4"/>
    <col min="38" max="39" width="11.33203125" style="4" customWidth="1"/>
    <col min="40" max="16384" width="9.109375" style="4"/>
  </cols>
  <sheetData>
    <row r="1" spans="1:39" ht="21" x14ac:dyDescent="0.35">
      <c r="A1" s="39" t="s">
        <v>0</v>
      </c>
      <c r="B1" s="47"/>
      <c r="C1" s="40" t="s">
        <v>108</v>
      </c>
      <c r="D1" s="39"/>
      <c r="E1" s="41"/>
      <c r="F1" s="50"/>
      <c r="G1" s="50"/>
      <c r="H1" s="40" t="str">
        <f>C1</f>
        <v>EL CIVICS</v>
      </c>
      <c r="I1" s="40"/>
      <c r="J1" s="39"/>
      <c r="K1" s="39"/>
      <c r="L1" s="41"/>
      <c r="M1" s="41"/>
      <c r="N1" s="50"/>
      <c r="O1" s="50"/>
      <c r="P1" s="40" t="str">
        <f>C1</f>
        <v>EL CIVICS</v>
      </c>
      <c r="Q1" s="40"/>
      <c r="R1" s="39"/>
      <c r="S1" s="39"/>
      <c r="T1" s="41"/>
      <c r="U1" s="41"/>
      <c r="V1" s="50"/>
      <c r="W1" s="50"/>
      <c r="X1" s="40" t="str">
        <f>C1</f>
        <v>EL CIVICS</v>
      </c>
      <c r="Y1" s="40"/>
      <c r="Z1" s="39"/>
      <c r="AA1" s="39"/>
      <c r="AB1" s="41"/>
      <c r="AC1" s="41"/>
      <c r="AD1" s="50"/>
      <c r="AE1" s="50"/>
      <c r="AF1" s="40" t="str">
        <f>C1</f>
        <v>EL CIVICS</v>
      </c>
      <c r="AG1" s="40"/>
      <c r="AH1" s="39"/>
      <c r="AI1" s="39"/>
      <c r="AJ1" s="41"/>
      <c r="AK1" s="28"/>
      <c r="AL1" s="29"/>
      <c r="AM1" s="29"/>
    </row>
    <row r="2" spans="1:39" ht="15.75" x14ac:dyDescent="0.25">
      <c r="A2" s="42" t="s">
        <v>1</v>
      </c>
      <c r="B2" s="47"/>
      <c r="C2" s="43">
        <v>84.001999999999995</v>
      </c>
      <c r="D2" s="42"/>
      <c r="E2" s="44"/>
      <c r="F2" s="50"/>
      <c r="G2" s="50"/>
      <c r="H2" s="42" t="str">
        <f>"FY"&amp;C4</f>
        <v>FY2011-12</v>
      </c>
      <c r="I2" s="42"/>
      <c r="J2" s="43"/>
      <c r="K2" s="43"/>
      <c r="L2" s="44"/>
      <c r="M2" s="44"/>
      <c r="N2" s="44"/>
      <c r="O2" s="44"/>
      <c r="P2" s="42" t="str">
        <f>"FY"&amp;C4</f>
        <v>FY2011-12</v>
      </c>
      <c r="Q2" s="42"/>
      <c r="R2" s="43"/>
      <c r="S2" s="43"/>
      <c r="T2" s="44"/>
      <c r="U2" s="44"/>
      <c r="V2" s="44"/>
      <c r="W2" s="44"/>
      <c r="X2" s="42" t="str">
        <f>"FY"&amp;C4</f>
        <v>FY2011-12</v>
      </c>
      <c r="Y2" s="42"/>
      <c r="Z2" s="43"/>
      <c r="AA2" s="43"/>
      <c r="AB2" s="44"/>
      <c r="AC2" s="44"/>
      <c r="AD2" s="44"/>
      <c r="AE2" s="44"/>
      <c r="AF2" s="42" t="str">
        <f>"FY"&amp;C4</f>
        <v>FY2011-12</v>
      </c>
      <c r="AG2" s="42"/>
      <c r="AH2" s="43"/>
      <c r="AI2" s="43"/>
      <c r="AJ2" s="44"/>
      <c r="AK2" s="30"/>
      <c r="AL2" s="30"/>
      <c r="AM2" s="30"/>
    </row>
    <row r="3" spans="1:39" ht="15.75" x14ac:dyDescent="0.25">
      <c r="A3" s="42" t="s">
        <v>2</v>
      </c>
      <c r="B3" s="47"/>
      <c r="C3" s="43">
        <v>6002</v>
      </c>
      <c r="D3" s="42"/>
      <c r="E3" s="44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29"/>
      <c r="AL3" s="29"/>
      <c r="AM3" s="29"/>
    </row>
    <row r="4" spans="1:39" ht="15.75" x14ac:dyDescent="0.25">
      <c r="A4" s="42" t="s">
        <v>3</v>
      </c>
      <c r="B4" s="47"/>
      <c r="C4" s="43" t="s">
        <v>6</v>
      </c>
      <c r="D4" s="44"/>
      <c r="E4" s="44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29"/>
      <c r="AL4" s="29"/>
      <c r="AM4" s="29"/>
    </row>
    <row r="5" spans="1:39" ht="15.75" x14ac:dyDescent="0.25">
      <c r="A5" s="42" t="s">
        <v>171</v>
      </c>
      <c r="B5" s="42"/>
      <c r="C5" s="43" t="s">
        <v>172</v>
      </c>
      <c r="D5" s="42"/>
      <c r="E5" s="45"/>
      <c r="F5" s="45"/>
      <c r="G5" s="45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31"/>
      <c r="AL5" s="31"/>
      <c r="AM5" s="31"/>
    </row>
    <row r="6" spans="1:39" ht="15.75" x14ac:dyDescent="0.25">
      <c r="A6" s="42" t="s">
        <v>101</v>
      </c>
      <c r="B6" s="42"/>
      <c r="C6" s="42" t="s">
        <v>106</v>
      </c>
      <c r="D6" s="42"/>
      <c r="E6" s="45"/>
      <c r="F6" s="45"/>
      <c r="G6" s="45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31"/>
      <c r="AL6" s="31"/>
      <c r="AM6" s="31"/>
    </row>
    <row r="7" spans="1:39" ht="15.75" x14ac:dyDescent="0.25">
      <c r="A7" s="42" t="s">
        <v>103</v>
      </c>
      <c r="B7" s="42"/>
      <c r="C7" s="42" t="s">
        <v>107</v>
      </c>
      <c r="D7" s="42"/>
      <c r="E7" s="45"/>
      <c r="F7" s="45"/>
      <c r="G7" s="45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31"/>
      <c r="AL7" s="31"/>
      <c r="AM7" s="31"/>
    </row>
    <row r="8" spans="1:39" ht="21" x14ac:dyDescent="0.35">
      <c r="A8" s="39" t="s">
        <v>170</v>
      </c>
      <c r="B8" s="42"/>
      <c r="C8" s="47"/>
      <c r="D8" s="42"/>
      <c r="E8" s="45"/>
      <c r="F8" s="45"/>
      <c r="G8" s="45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31"/>
      <c r="AL8" s="31"/>
      <c r="AM8" s="31"/>
    </row>
    <row r="9" spans="1:39" ht="16.5" thickBot="1" x14ac:dyDescent="0.3">
      <c r="A9" s="38"/>
      <c r="B9" s="42"/>
      <c r="C9" s="44"/>
      <c r="D9" s="44"/>
      <c r="E9" s="46"/>
      <c r="F9" s="46"/>
      <c r="G9" s="46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</row>
    <row r="10" spans="1:39" s="33" customFormat="1" ht="52.5" customHeight="1" thickBot="1" x14ac:dyDescent="0.3">
      <c r="A10" s="66" t="s">
        <v>4</v>
      </c>
      <c r="B10" s="64" t="s">
        <v>5</v>
      </c>
      <c r="C10" s="65" t="s">
        <v>61</v>
      </c>
      <c r="D10" s="64" t="s">
        <v>62</v>
      </c>
      <c r="E10" s="119" t="s">
        <v>63</v>
      </c>
      <c r="F10" s="52" t="s">
        <v>64</v>
      </c>
      <c r="G10" s="48" t="s">
        <v>64</v>
      </c>
      <c r="H10" s="52" t="s">
        <v>65</v>
      </c>
      <c r="I10" s="48" t="s">
        <v>65</v>
      </c>
      <c r="J10" s="52" t="s">
        <v>66</v>
      </c>
      <c r="K10" s="48" t="s">
        <v>66</v>
      </c>
      <c r="L10" s="52" t="s">
        <v>67</v>
      </c>
      <c r="M10" s="52" t="s">
        <v>67</v>
      </c>
      <c r="N10" s="48" t="s">
        <v>68</v>
      </c>
      <c r="O10" s="52" t="s">
        <v>68</v>
      </c>
      <c r="P10" s="48" t="s">
        <v>79</v>
      </c>
      <c r="Q10" s="52" t="s">
        <v>79</v>
      </c>
      <c r="R10" s="48" t="s">
        <v>69</v>
      </c>
      <c r="S10" s="52" t="s">
        <v>69</v>
      </c>
      <c r="T10" s="48" t="s">
        <v>70</v>
      </c>
      <c r="U10" s="52" t="s">
        <v>70</v>
      </c>
      <c r="V10" s="48" t="s">
        <v>71</v>
      </c>
      <c r="W10" s="52" t="s">
        <v>71</v>
      </c>
      <c r="X10" s="48" t="s">
        <v>72</v>
      </c>
      <c r="Y10" s="52" t="s">
        <v>72</v>
      </c>
      <c r="Z10" s="48" t="s">
        <v>73</v>
      </c>
      <c r="AA10" s="52" t="s">
        <v>73</v>
      </c>
      <c r="AB10" s="48" t="s">
        <v>74</v>
      </c>
      <c r="AC10" s="48" t="s">
        <v>74</v>
      </c>
      <c r="AD10" s="52" t="s">
        <v>75</v>
      </c>
      <c r="AE10" s="48" t="s">
        <v>75</v>
      </c>
      <c r="AF10" s="52" t="s">
        <v>76</v>
      </c>
      <c r="AG10" s="48" t="s">
        <v>77</v>
      </c>
      <c r="AH10" s="52" t="s">
        <v>77</v>
      </c>
      <c r="AI10" s="52" t="s">
        <v>78</v>
      </c>
      <c r="AJ10" s="49" t="s">
        <v>78</v>
      </c>
      <c r="AK10" s="32"/>
      <c r="AL10" s="32"/>
      <c r="AM10" s="32"/>
    </row>
    <row r="11" spans="1:39" s="169" customFormat="1" ht="15.75" thickBot="1" x14ac:dyDescent="0.3">
      <c r="A11" s="163" t="s">
        <v>10</v>
      </c>
      <c r="B11" s="164" t="s">
        <v>110</v>
      </c>
      <c r="C11" s="165">
        <v>27757</v>
      </c>
      <c r="D11" s="166">
        <f t="shared" ref="D11:D19" si="0">SUM(F11:AM11)</f>
        <v>27757</v>
      </c>
      <c r="E11" s="166">
        <f t="shared" ref="E11:E19" si="1">C11-D11</f>
        <v>0</v>
      </c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>
        <v>21200</v>
      </c>
      <c r="U11" s="167"/>
      <c r="V11" s="167"/>
      <c r="W11" s="167"/>
      <c r="X11" s="167"/>
      <c r="Y11" s="167"/>
      <c r="Z11" s="167"/>
      <c r="AA11" s="167"/>
      <c r="AB11" s="167"/>
      <c r="AC11" s="167">
        <v>6557</v>
      </c>
      <c r="AD11" s="167"/>
      <c r="AE11" s="167"/>
      <c r="AF11" s="167"/>
      <c r="AG11" s="167"/>
      <c r="AH11" s="167"/>
      <c r="AI11" s="167"/>
      <c r="AJ11" s="167"/>
      <c r="AK11" s="168"/>
      <c r="AL11" s="168"/>
      <c r="AM11" s="168"/>
    </row>
    <row r="12" spans="1:39" s="169" customFormat="1" ht="15.75" thickBot="1" x14ac:dyDescent="0.3">
      <c r="A12" s="170">
        <v>1010</v>
      </c>
      <c r="B12" s="171" t="s">
        <v>109</v>
      </c>
      <c r="C12" s="172">
        <v>127518</v>
      </c>
      <c r="D12" s="172">
        <f>SUM(F12:AM12)</f>
        <v>117026</v>
      </c>
      <c r="E12" s="172">
        <f>C12-D12</f>
        <v>10492</v>
      </c>
      <c r="F12" s="167"/>
      <c r="G12" s="167"/>
      <c r="H12" s="167"/>
      <c r="I12" s="167"/>
      <c r="J12" s="167"/>
      <c r="K12" s="167"/>
      <c r="L12" s="167"/>
      <c r="M12" s="167"/>
      <c r="N12" s="167">
        <v>18033</v>
      </c>
      <c r="O12" s="167"/>
      <c r="P12" s="167">
        <v>8005</v>
      </c>
      <c r="Q12" s="167"/>
      <c r="R12" s="167">
        <v>7266</v>
      </c>
      <c r="S12" s="167"/>
      <c r="T12" s="167">
        <v>7637</v>
      </c>
      <c r="U12" s="167"/>
      <c r="V12" s="167">
        <v>9158</v>
      </c>
      <c r="W12" s="167"/>
      <c r="X12" s="167">
        <v>7207</v>
      </c>
      <c r="Y12" s="167"/>
      <c r="Z12" s="167">
        <v>8535</v>
      </c>
      <c r="AA12" s="167"/>
      <c r="AB12" s="167">
        <v>8589</v>
      </c>
      <c r="AC12" s="167"/>
      <c r="AD12" s="167"/>
      <c r="AE12" s="167"/>
      <c r="AF12" s="167">
        <v>42596</v>
      </c>
      <c r="AG12" s="167"/>
      <c r="AH12" s="167"/>
      <c r="AI12" s="167"/>
      <c r="AJ12" s="167"/>
      <c r="AK12" s="168"/>
      <c r="AL12" s="168"/>
      <c r="AM12" s="168"/>
    </row>
    <row r="13" spans="1:39" s="169" customFormat="1" ht="15.75" thickBot="1" x14ac:dyDescent="0.3">
      <c r="A13" s="163" t="s">
        <v>17</v>
      </c>
      <c r="B13" s="164" t="s">
        <v>111</v>
      </c>
      <c r="C13" s="165">
        <v>15699</v>
      </c>
      <c r="D13" s="166">
        <f>SUM(F13:AM13)</f>
        <v>15699</v>
      </c>
      <c r="E13" s="166">
        <f t="shared" si="1"/>
        <v>0</v>
      </c>
      <c r="F13" s="167"/>
      <c r="G13" s="167"/>
      <c r="H13" s="167"/>
      <c r="I13" s="167"/>
      <c r="J13" s="167"/>
      <c r="K13" s="167"/>
      <c r="L13" s="167">
        <v>1721</v>
      </c>
      <c r="M13" s="167"/>
      <c r="N13" s="167"/>
      <c r="O13" s="167"/>
      <c r="P13" s="167"/>
      <c r="Q13" s="167">
        <v>5913</v>
      </c>
      <c r="R13" s="167"/>
      <c r="S13" s="167"/>
      <c r="T13" s="167"/>
      <c r="U13" s="167"/>
      <c r="V13" s="167"/>
      <c r="W13" s="167"/>
      <c r="X13" s="167"/>
      <c r="Y13" s="167">
        <v>6325</v>
      </c>
      <c r="Z13" s="167"/>
      <c r="AA13" s="167"/>
      <c r="AB13" s="167">
        <v>1740</v>
      </c>
      <c r="AC13" s="167"/>
      <c r="AD13" s="167"/>
      <c r="AE13" s="167"/>
      <c r="AF13" s="167"/>
      <c r="AG13" s="167"/>
      <c r="AH13" s="167"/>
      <c r="AI13" s="167"/>
      <c r="AJ13" s="167"/>
      <c r="AK13" s="168"/>
      <c r="AL13" s="168"/>
      <c r="AM13" s="168"/>
    </row>
    <row r="14" spans="1:39" s="169" customFormat="1" ht="15.75" thickBot="1" x14ac:dyDescent="0.3">
      <c r="A14" s="164" t="s">
        <v>21</v>
      </c>
      <c r="B14" s="164" t="s">
        <v>112</v>
      </c>
      <c r="C14" s="165">
        <v>46324</v>
      </c>
      <c r="D14" s="166">
        <f t="shared" si="0"/>
        <v>46324</v>
      </c>
      <c r="E14" s="166">
        <f t="shared" si="1"/>
        <v>0</v>
      </c>
      <c r="F14" s="167"/>
      <c r="G14" s="167"/>
      <c r="H14" s="167"/>
      <c r="I14" s="167"/>
      <c r="J14" s="167"/>
      <c r="K14" s="167"/>
      <c r="L14" s="167"/>
      <c r="M14" s="167">
        <v>9213</v>
      </c>
      <c r="N14" s="167"/>
      <c r="O14" s="167"/>
      <c r="P14" s="167"/>
      <c r="Q14" s="167"/>
      <c r="R14" s="167"/>
      <c r="S14" s="167"/>
      <c r="T14" s="167">
        <v>13201</v>
      </c>
      <c r="U14" s="167"/>
      <c r="V14" s="167"/>
      <c r="W14" s="167"/>
      <c r="X14" s="167"/>
      <c r="Y14" s="167"/>
      <c r="Z14" s="167">
        <v>10761</v>
      </c>
      <c r="AA14" s="167"/>
      <c r="AB14" s="167"/>
      <c r="AC14" s="167"/>
      <c r="AD14" s="167">
        <v>13149</v>
      </c>
      <c r="AE14" s="167"/>
      <c r="AF14" s="167"/>
      <c r="AG14" s="167"/>
      <c r="AH14" s="167"/>
      <c r="AI14" s="167"/>
      <c r="AJ14" s="167"/>
      <c r="AK14" s="168"/>
      <c r="AL14" s="168"/>
      <c r="AM14" s="168"/>
    </row>
    <row r="15" spans="1:39" s="169" customFormat="1" ht="15.75" thickBot="1" x14ac:dyDescent="0.3">
      <c r="A15" s="164" t="s">
        <v>33</v>
      </c>
      <c r="B15" s="164" t="s">
        <v>113</v>
      </c>
      <c r="C15" s="165">
        <v>100337</v>
      </c>
      <c r="D15" s="166">
        <f t="shared" si="0"/>
        <v>100337</v>
      </c>
      <c r="E15" s="166">
        <f t="shared" si="1"/>
        <v>0</v>
      </c>
      <c r="F15" s="167"/>
      <c r="G15" s="167"/>
      <c r="H15" s="167"/>
      <c r="I15" s="167"/>
      <c r="J15" s="173"/>
      <c r="K15" s="167">
        <v>33444</v>
      </c>
      <c r="L15" s="173"/>
      <c r="M15" s="167">
        <v>16722</v>
      </c>
      <c r="N15" s="167"/>
      <c r="O15" s="167"/>
      <c r="P15" s="167"/>
      <c r="Q15" s="167"/>
      <c r="R15" s="167"/>
      <c r="S15" s="167">
        <v>16722</v>
      </c>
      <c r="T15" s="167"/>
      <c r="U15" s="167"/>
      <c r="V15" s="167">
        <v>33449</v>
      </c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8"/>
      <c r="AL15" s="168"/>
      <c r="AM15" s="168"/>
    </row>
    <row r="16" spans="1:39" s="169" customFormat="1" ht="15.75" thickBot="1" x14ac:dyDescent="0.3">
      <c r="A16" s="164" t="s">
        <v>37</v>
      </c>
      <c r="B16" s="164" t="s">
        <v>114</v>
      </c>
      <c r="C16" s="165">
        <v>61859</v>
      </c>
      <c r="D16" s="166">
        <f t="shared" si="0"/>
        <v>61856</v>
      </c>
      <c r="E16" s="166">
        <f t="shared" si="1"/>
        <v>3</v>
      </c>
      <c r="F16" s="167"/>
      <c r="G16" s="167"/>
      <c r="H16" s="167"/>
      <c r="I16" s="167"/>
      <c r="J16" s="173"/>
      <c r="K16" s="167">
        <v>15465</v>
      </c>
      <c r="L16" s="173"/>
      <c r="M16" s="167">
        <v>5155</v>
      </c>
      <c r="N16" s="167">
        <v>5155</v>
      </c>
      <c r="O16" s="167"/>
      <c r="P16" s="167">
        <v>5155</v>
      </c>
      <c r="Q16" s="167"/>
      <c r="R16" s="167"/>
      <c r="S16" s="167">
        <v>5154</v>
      </c>
      <c r="T16" s="167"/>
      <c r="U16" s="167">
        <v>5154</v>
      </c>
      <c r="V16" s="167">
        <v>5154</v>
      </c>
      <c r="W16" s="167"/>
      <c r="X16" s="167"/>
      <c r="Y16" s="167"/>
      <c r="Z16" s="167">
        <v>5154</v>
      </c>
      <c r="AA16" s="167">
        <v>5155</v>
      </c>
      <c r="AB16" s="167">
        <v>5155</v>
      </c>
      <c r="AC16" s="167"/>
      <c r="AD16" s="167"/>
      <c r="AE16" s="167"/>
      <c r="AF16" s="167"/>
      <c r="AG16" s="167"/>
      <c r="AH16" s="167"/>
      <c r="AI16" s="167"/>
      <c r="AJ16" s="167"/>
      <c r="AK16" s="168"/>
      <c r="AL16" s="168"/>
      <c r="AM16" s="168"/>
    </row>
    <row r="17" spans="1:39" s="169" customFormat="1" ht="15.75" thickBot="1" x14ac:dyDescent="0.3">
      <c r="A17" s="164" t="s">
        <v>39</v>
      </c>
      <c r="B17" s="164" t="s">
        <v>40</v>
      </c>
      <c r="C17" s="165">
        <v>59192</v>
      </c>
      <c r="D17" s="166">
        <f t="shared" si="0"/>
        <v>42983</v>
      </c>
      <c r="E17" s="166">
        <f t="shared" si="1"/>
        <v>16209</v>
      </c>
      <c r="F17" s="167"/>
      <c r="G17" s="167"/>
      <c r="H17" s="167"/>
      <c r="I17" s="167"/>
      <c r="J17" s="173"/>
      <c r="K17" s="167"/>
      <c r="L17" s="173"/>
      <c r="M17" s="167"/>
      <c r="N17" s="167">
        <v>11978</v>
      </c>
      <c r="O17" s="167"/>
      <c r="P17" s="167">
        <v>13868</v>
      </c>
      <c r="Q17" s="167"/>
      <c r="R17" s="167"/>
      <c r="S17" s="167">
        <v>6678</v>
      </c>
      <c r="T17" s="167"/>
      <c r="U17" s="167"/>
      <c r="V17" s="167">
        <v>10459</v>
      </c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8"/>
      <c r="AL17" s="168"/>
      <c r="AM17" s="168"/>
    </row>
    <row r="18" spans="1:39" s="169" customFormat="1" ht="15.75" thickBot="1" x14ac:dyDescent="0.3">
      <c r="A18" s="164" t="s">
        <v>42</v>
      </c>
      <c r="B18" s="164" t="s">
        <v>43</v>
      </c>
      <c r="C18" s="165">
        <v>76009</v>
      </c>
      <c r="D18" s="166">
        <f t="shared" si="0"/>
        <v>76009</v>
      </c>
      <c r="E18" s="166">
        <f t="shared" si="1"/>
        <v>0</v>
      </c>
      <c r="F18" s="167"/>
      <c r="G18" s="167"/>
      <c r="H18" s="167"/>
      <c r="I18" s="167"/>
      <c r="J18" s="173"/>
      <c r="K18" s="167"/>
      <c r="L18" s="173"/>
      <c r="M18" s="167">
        <v>25000</v>
      </c>
      <c r="N18" s="167"/>
      <c r="O18" s="167"/>
      <c r="P18" s="167">
        <v>7500</v>
      </c>
      <c r="Q18" s="167"/>
      <c r="R18" s="167">
        <v>7200</v>
      </c>
      <c r="S18" s="167"/>
      <c r="T18" s="167">
        <v>7200</v>
      </c>
      <c r="U18" s="167">
        <v>7200</v>
      </c>
      <c r="V18" s="167"/>
      <c r="W18" s="167"/>
      <c r="X18" s="167">
        <v>2353</v>
      </c>
      <c r="Y18" s="167"/>
      <c r="Z18" s="167">
        <v>5818</v>
      </c>
      <c r="AA18" s="167"/>
      <c r="AB18" s="167">
        <v>7592</v>
      </c>
      <c r="AC18" s="167"/>
      <c r="AD18" s="167">
        <v>6146</v>
      </c>
      <c r="AE18" s="167"/>
      <c r="AF18" s="167"/>
      <c r="AG18" s="167"/>
      <c r="AH18" s="167"/>
      <c r="AI18" s="167"/>
      <c r="AJ18" s="167"/>
      <c r="AK18" s="168"/>
      <c r="AL18" s="168"/>
      <c r="AM18" s="168"/>
    </row>
    <row r="19" spans="1:39" s="169" customFormat="1" ht="15" thickBot="1" x14ac:dyDescent="0.35">
      <c r="A19" s="164" t="s">
        <v>44</v>
      </c>
      <c r="B19" s="164" t="s">
        <v>115</v>
      </c>
      <c r="C19" s="165">
        <v>45021</v>
      </c>
      <c r="D19" s="166">
        <f t="shared" si="0"/>
        <v>45021</v>
      </c>
      <c r="E19" s="166">
        <f t="shared" si="1"/>
        <v>0</v>
      </c>
      <c r="F19" s="167"/>
      <c r="G19" s="167"/>
      <c r="H19" s="167"/>
      <c r="I19" s="167"/>
      <c r="J19" s="173"/>
      <c r="K19" s="167"/>
      <c r="L19" s="173"/>
      <c r="M19" s="167"/>
      <c r="N19" s="167">
        <v>2476</v>
      </c>
      <c r="O19" s="167"/>
      <c r="P19" s="167"/>
      <c r="Q19" s="167"/>
      <c r="R19" s="167"/>
      <c r="S19" s="167">
        <v>7772</v>
      </c>
      <c r="T19" s="167"/>
      <c r="U19" s="167"/>
      <c r="V19" s="167"/>
      <c r="W19" s="167"/>
      <c r="X19" s="167"/>
      <c r="Y19" s="167">
        <v>13587</v>
      </c>
      <c r="Z19" s="167"/>
      <c r="AA19" s="167"/>
      <c r="AB19" s="167"/>
      <c r="AC19" s="167"/>
      <c r="AD19" s="167"/>
      <c r="AE19" s="167"/>
      <c r="AF19" s="167"/>
      <c r="AG19" s="167">
        <v>21186</v>
      </c>
      <c r="AH19" s="167"/>
      <c r="AI19" s="167"/>
      <c r="AJ19" s="167"/>
      <c r="AK19" s="168"/>
      <c r="AL19" s="168"/>
      <c r="AM19" s="168"/>
    </row>
    <row r="20" spans="1:39" s="169" customFormat="1" ht="15" thickBot="1" x14ac:dyDescent="0.35">
      <c r="A20" s="164" t="s">
        <v>46</v>
      </c>
      <c r="B20" s="164" t="s">
        <v>116</v>
      </c>
      <c r="C20" s="165">
        <v>68506</v>
      </c>
      <c r="D20" s="166">
        <f>SUM(F20:AM20)</f>
        <v>68506</v>
      </c>
      <c r="E20" s="166">
        <f>C20-D20</f>
        <v>0</v>
      </c>
      <c r="F20" s="167"/>
      <c r="G20" s="167"/>
      <c r="H20" s="167"/>
      <c r="I20" s="167"/>
      <c r="J20" s="173"/>
      <c r="K20" s="167">
        <v>14480</v>
      </c>
      <c r="L20" s="173">
        <v>6286</v>
      </c>
      <c r="M20" s="167"/>
      <c r="N20" s="167">
        <v>12420</v>
      </c>
      <c r="O20" s="167"/>
      <c r="P20" s="167">
        <v>6288</v>
      </c>
      <c r="R20" s="167">
        <v>2382</v>
      </c>
      <c r="S20" s="167"/>
      <c r="T20" s="167">
        <v>7238</v>
      </c>
      <c r="U20" s="167"/>
      <c r="V20" s="167">
        <v>6480</v>
      </c>
      <c r="W20" s="167"/>
      <c r="X20" s="167">
        <v>5799</v>
      </c>
      <c r="Y20" s="167"/>
      <c r="Z20" s="167"/>
      <c r="AA20" s="167"/>
      <c r="AB20" s="167">
        <v>7133</v>
      </c>
      <c r="AC20" s="167"/>
      <c r="AD20" s="167"/>
      <c r="AE20" s="167"/>
      <c r="AF20" s="167"/>
      <c r="AG20" s="167"/>
      <c r="AH20" s="167"/>
      <c r="AI20" s="167"/>
      <c r="AJ20" s="167"/>
      <c r="AK20" s="168"/>
      <c r="AL20" s="168"/>
      <c r="AM20" s="168"/>
    </row>
    <row r="21" spans="1:39" s="169" customFormat="1" ht="15" thickBot="1" x14ac:dyDescent="0.35">
      <c r="A21" s="164"/>
      <c r="B21" s="164"/>
      <c r="C21" s="165"/>
      <c r="D21" s="166"/>
      <c r="E21" s="166"/>
      <c r="F21" s="167"/>
      <c r="G21" s="167"/>
      <c r="H21" s="167"/>
      <c r="I21" s="167"/>
      <c r="J21" s="173"/>
      <c r="K21" s="167"/>
      <c r="L21" s="173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8"/>
      <c r="AL21" s="168"/>
      <c r="AM21" s="168"/>
    </row>
    <row r="22" spans="1:39" s="74" customFormat="1" ht="15" thickBot="1" x14ac:dyDescent="0.35">
      <c r="A22" s="174"/>
      <c r="B22" s="174"/>
      <c r="C22" s="174">
        <f t="shared" ref="C22:AJ22" si="2">SUM(C11:C21)</f>
        <v>628222</v>
      </c>
      <c r="D22" s="174">
        <f t="shared" si="2"/>
        <v>601518</v>
      </c>
      <c r="E22" s="174">
        <f t="shared" si="2"/>
        <v>26704</v>
      </c>
      <c r="F22" s="175">
        <f t="shared" si="2"/>
        <v>0</v>
      </c>
      <c r="G22" s="175">
        <f t="shared" si="2"/>
        <v>0</v>
      </c>
      <c r="H22" s="175">
        <f t="shared" si="2"/>
        <v>0</v>
      </c>
      <c r="I22" s="175">
        <f t="shared" si="2"/>
        <v>0</v>
      </c>
      <c r="J22" s="175">
        <f t="shared" si="2"/>
        <v>0</v>
      </c>
      <c r="K22" s="175">
        <f t="shared" si="2"/>
        <v>63389</v>
      </c>
      <c r="L22" s="175">
        <f t="shared" si="2"/>
        <v>8007</v>
      </c>
      <c r="M22" s="175">
        <f t="shared" si="2"/>
        <v>56090</v>
      </c>
      <c r="N22" s="175">
        <f t="shared" si="2"/>
        <v>50062</v>
      </c>
      <c r="O22" s="175">
        <f t="shared" si="2"/>
        <v>0</v>
      </c>
      <c r="P22" s="175">
        <f t="shared" si="2"/>
        <v>40816</v>
      </c>
      <c r="Q22" s="175">
        <f t="shared" si="2"/>
        <v>5913</v>
      </c>
      <c r="R22" s="175">
        <f t="shared" si="2"/>
        <v>16848</v>
      </c>
      <c r="S22" s="175">
        <f t="shared" si="2"/>
        <v>36326</v>
      </c>
      <c r="T22" s="175">
        <f t="shared" si="2"/>
        <v>56476</v>
      </c>
      <c r="U22" s="175">
        <f t="shared" si="2"/>
        <v>12354</v>
      </c>
      <c r="V22" s="175">
        <f t="shared" si="2"/>
        <v>64700</v>
      </c>
      <c r="W22" s="175">
        <f t="shared" si="2"/>
        <v>0</v>
      </c>
      <c r="X22" s="175">
        <f t="shared" si="2"/>
        <v>15359</v>
      </c>
      <c r="Y22" s="175">
        <f t="shared" si="2"/>
        <v>19912</v>
      </c>
      <c r="Z22" s="175">
        <f t="shared" si="2"/>
        <v>30268</v>
      </c>
      <c r="AA22" s="175">
        <f t="shared" si="2"/>
        <v>5155</v>
      </c>
      <c r="AB22" s="175">
        <f t="shared" si="2"/>
        <v>30209</v>
      </c>
      <c r="AC22" s="175">
        <f t="shared" si="2"/>
        <v>6557</v>
      </c>
      <c r="AD22" s="175">
        <f t="shared" si="2"/>
        <v>19295</v>
      </c>
      <c r="AE22" s="175">
        <f t="shared" si="2"/>
        <v>0</v>
      </c>
      <c r="AF22" s="175">
        <f t="shared" si="2"/>
        <v>42596</v>
      </c>
      <c r="AG22" s="175">
        <f t="shared" si="2"/>
        <v>21186</v>
      </c>
      <c r="AH22" s="175">
        <f t="shared" si="2"/>
        <v>0</v>
      </c>
      <c r="AI22" s="175">
        <f t="shared" si="2"/>
        <v>0</v>
      </c>
      <c r="AJ22" s="175">
        <f t="shared" si="2"/>
        <v>0</v>
      </c>
      <c r="AK22" s="176"/>
      <c r="AL22" s="176"/>
      <c r="AM22" s="176"/>
    </row>
    <row r="23" spans="1:39" ht="15.6" x14ac:dyDescent="0.3">
      <c r="A23" s="98"/>
      <c r="B23" s="99"/>
      <c r="C23" s="100"/>
      <c r="D23" s="101"/>
      <c r="E23" s="10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15.6" x14ac:dyDescent="0.3">
      <c r="A24" s="36"/>
      <c r="B24" s="3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ht="15.6" x14ac:dyDescent="0.3">
      <c r="A25" s="36"/>
      <c r="B25" s="3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15.6" x14ac:dyDescent="0.3">
      <c r="A26" s="36"/>
      <c r="B26" s="36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15.6" x14ac:dyDescent="0.3">
      <c r="A27" s="36"/>
      <c r="B27" s="36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15.6" x14ac:dyDescent="0.3">
      <c r="A28" s="36"/>
      <c r="B28" s="3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x14ac:dyDescent="0.3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x14ac:dyDescent="0.3"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x14ac:dyDescent="0.3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x14ac:dyDescent="0.3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3:39" x14ac:dyDescent="0.3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CCFFCC"/>
  </sheetPr>
  <dimension ref="A1:AM26"/>
  <sheetViews>
    <sheetView workbookViewId="0">
      <pane xSplit="5" ySplit="10" topLeftCell="X11" activePane="bottomRight" state="frozen"/>
      <selection pane="topRight" activeCell="F1" sqref="F1"/>
      <selection pane="bottomLeft" activeCell="A11" sqref="A11"/>
      <selection pane="bottomRight" activeCell="C7" sqref="C7"/>
    </sheetView>
  </sheetViews>
  <sheetFormatPr defaultColWidth="9.109375" defaultRowHeight="14.4" x14ac:dyDescent="0.3"/>
  <cols>
    <col min="1" max="1" width="9.109375" style="4"/>
    <col min="2" max="2" width="36.109375" style="4" customWidth="1"/>
    <col min="3" max="3" width="14.88671875" style="4" customWidth="1"/>
    <col min="4" max="4" width="11.88671875" style="4" customWidth="1"/>
    <col min="5" max="5" width="12" style="4" bestFit="1" customWidth="1"/>
    <col min="6" max="7" width="12.109375" style="4" customWidth="1"/>
    <col min="8" max="9" width="13.6640625" style="4" customWidth="1"/>
    <col min="10" max="11" width="12" style="4" customWidth="1"/>
    <col min="12" max="12" width="10.109375" style="4" bestFit="1" customWidth="1"/>
    <col min="13" max="13" width="10.109375" style="4" customWidth="1"/>
    <col min="14" max="15" width="12" style="4" customWidth="1"/>
    <col min="16" max="17" width="13.33203125" style="4" customWidth="1"/>
    <col min="18" max="19" width="9.109375" style="4"/>
    <col min="20" max="21" width="11.109375" style="4" customWidth="1"/>
    <col min="22" max="37" width="9.109375" style="4"/>
    <col min="38" max="39" width="11.33203125" style="4" customWidth="1"/>
    <col min="40" max="16384" width="9.109375" style="4"/>
  </cols>
  <sheetData>
    <row r="1" spans="1:39" ht="21" x14ac:dyDescent="0.35">
      <c r="A1" s="93" t="s">
        <v>0</v>
      </c>
      <c r="B1" s="87"/>
      <c r="C1" s="81" t="s">
        <v>249</v>
      </c>
      <c r="D1" s="93"/>
      <c r="E1" s="82"/>
      <c r="F1" s="88"/>
      <c r="G1" s="88"/>
      <c r="H1" s="81" t="str">
        <f>C1</f>
        <v>RESOURCE CENTERS</v>
      </c>
      <c r="I1" s="81"/>
      <c r="J1" s="93"/>
      <c r="K1" s="93"/>
      <c r="L1" s="82"/>
      <c r="M1" s="82"/>
      <c r="N1" s="88"/>
      <c r="O1" s="88"/>
      <c r="P1" s="81" t="str">
        <f>C1</f>
        <v>RESOURCE CENTERS</v>
      </c>
      <c r="Q1" s="81"/>
      <c r="R1" s="93"/>
      <c r="S1" s="93"/>
      <c r="T1" s="82"/>
      <c r="U1" s="82"/>
      <c r="V1" s="88"/>
      <c r="W1" s="88"/>
      <c r="X1" s="81" t="str">
        <f>C1</f>
        <v>RESOURCE CENTERS</v>
      </c>
      <c r="Y1" s="81"/>
      <c r="Z1" s="93"/>
      <c r="AA1" s="93"/>
      <c r="AB1" s="82"/>
      <c r="AC1" s="82"/>
      <c r="AD1" s="88"/>
      <c r="AE1" s="88"/>
      <c r="AF1" s="81" t="str">
        <f>C1</f>
        <v>RESOURCE CENTERS</v>
      </c>
      <c r="AG1" s="81"/>
      <c r="AH1" s="93"/>
      <c r="AI1" s="93"/>
      <c r="AJ1" s="82"/>
      <c r="AK1" s="28"/>
      <c r="AL1" s="29"/>
      <c r="AM1" s="29"/>
    </row>
    <row r="2" spans="1:39" ht="15.75" x14ac:dyDescent="0.25">
      <c r="A2" s="94" t="s">
        <v>1</v>
      </c>
      <c r="B2" s="87"/>
      <c r="C2" s="91">
        <v>84.001999999999995</v>
      </c>
      <c r="D2" s="94"/>
      <c r="E2" s="85"/>
      <c r="F2" s="88"/>
      <c r="G2" s="88"/>
      <c r="H2" s="94" t="str">
        <f>"FY"&amp;C4</f>
        <v>FY2011-12</v>
      </c>
      <c r="I2" s="94"/>
      <c r="J2" s="91"/>
      <c r="K2" s="91"/>
      <c r="L2" s="85"/>
      <c r="M2" s="85"/>
      <c r="N2" s="85"/>
      <c r="O2" s="85"/>
      <c r="P2" s="94" t="str">
        <f>"FY"&amp;C4</f>
        <v>FY2011-12</v>
      </c>
      <c r="Q2" s="94"/>
      <c r="R2" s="91"/>
      <c r="S2" s="91"/>
      <c r="T2" s="85"/>
      <c r="U2" s="85"/>
      <c r="V2" s="85"/>
      <c r="W2" s="85"/>
      <c r="X2" s="94" t="str">
        <f>"FY"&amp;C4</f>
        <v>FY2011-12</v>
      </c>
      <c r="Y2" s="94"/>
      <c r="Z2" s="91"/>
      <c r="AA2" s="91"/>
      <c r="AB2" s="85"/>
      <c r="AC2" s="85"/>
      <c r="AD2" s="85"/>
      <c r="AE2" s="85"/>
      <c r="AF2" s="94" t="str">
        <f>"FY"&amp;C4</f>
        <v>FY2011-12</v>
      </c>
      <c r="AG2" s="94"/>
      <c r="AH2" s="91"/>
      <c r="AI2" s="91"/>
      <c r="AJ2" s="85"/>
      <c r="AK2" s="30"/>
      <c r="AL2" s="30"/>
      <c r="AM2" s="30"/>
    </row>
    <row r="3" spans="1:39" ht="15.75" x14ac:dyDescent="0.25">
      <c r="A3" s="94" t="s">
        <v>2</v>
      </c>
      <c r="B3" s="87"/>
      <c r="C3" s="91">
        <v>5002</v>
      </c>
      <c r="D3" s="94"/>
      <c r="E3" s="85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29"/>
      <c r="AL3" s="29"/>
      <c r="AM3" s="29"/>
    </row>
    <row r="4" spans="1:39" ht="15.75" x14ac:dyDescent="0.25">
      <c r="A4" s="94" t="s">
        <v>3</v>
      </c>
      <c r="B4" s="87"/>
      <c r="C4" s="91" t="s">
        <v>6</v>
      </c>
      <c r="D4" s="85"/>
      <c r="E4" s="85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29"/>
      <c r="AL4" s="29"/>
      <c r="AM4" s="29"/>
    </row>
    <row r="5" spans="1:39" ht="15.75" x14ac:dyDescent="0.25">
      <c r="A5" s="94" t="s">
        <v>171</v>
      </c>
      <c r="B5" s="94"/>
      <c r="C5" s="91" t="s">
        <v>172</v>
      </c>
      <c r="D5" s="94"/>
      <c r="E5" s="45"/>
      <c r="F5" s="45"/>
      <c r="G5" s="45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31"/>
      <c r="AL5" s="31"/>
      <c r="AM5" s="31"/>
    </row>
    <row r="6" spans="1:39" ht="15.75" x14ac:dyDescent="0.25">
      <c r="A6" s="94" t="s">
        <v>101</v>
      </c>
      <c r="B6" s="94"/>
      <c r="C6" s="94" t="s">
        <v>106</v>
      </c>
      <c r="D6" s="94"/>
      <c r="E6" s="45"/>
      <c r="F6" s="45"/>
      <c r="G6" s="45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31"/>
      <c r="AL6" s="31"/>
      <c r="AM6" s="31"/>
    </row>
    <row r="7" spans="1:39" ht="15.75" x14ac:dyDescent="0.25">
      <c r="A7" s="94" t="s">
        <v>103</v>
      </c>
      <c r="B7" s="94"/>
      <c r="C7" s="94" t="s">
        <v>107</v>
      </c>
      <c r="D7" s="94"/>
      <c r="E7" s="45"/>
      <c r="F7" s="45"/>
      <c r="G7" s="45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31"/>
      <c r="AL7" s="31"/>
      <c r="AM7" s="31"/>
    </row>
    <row r="8" spans="1:39" ht="21" x14ac:dyDescent="0.35">
      <c r="A8" s="93" t="s">
        <v>170</v>
      </c>
      <c r="B8" s="94"/>
      <c r="C8" s="87"/>
      <c r="D8" s="94"/>
      <c r="E8" s="45"/>
      <c r="F8" s="45"/>
      <c r="G8" s="45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31"/>
      <c r="AL8" s="31"/>
      <c r="AM8" s="31"/>
    </row>
    <row r="9" spans="1:39" ht="16.5" thickBot="1" x14ac:dyDescent="0.3">
      <c r="A9" s="38"/>
      <c r="B9" s="94"/>
      <c r="C9" s="85"/>
      <c r="D9" s="85"/>
      <c r="E9" s="86"/>
      <c r="F9" s="86"/>
      <c r="G9" s="86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9" s="33" customFormat="1" ht="52.5" customHeight="1" thickBot="1" x14ac:dyDescent="0.3">
      <c r="A10" s="66" t="s">
        <v>4</v>
      </c>
      <c r="B10" s="64" t="s">
        <v>5</v>
      </c>
      <c r="C10" s="65" t="s">
        <v>61</v>
      </c>
      <c r="D10" s="64" t="s">
        <v>62</v>
      </c>
      <c r="E10" s="119" t="s">
        <v>63</v>
      </c>
      <c r="F10" s="52" t="s">
        <v>64</v>
      </c>
      <c r="G10" s="48" t="s">
        <v>64</v>
      </c>
      <c r="H10" s="52" t="s">
        <v>65</v>
      </c>
      <c r="I10" s="48" t="s">
        <v>65</v>
      </c>
      <c r="J10" s="52" t="s">
        <v>66</v>
      </c>
      <c r="K10" s="48" t="s">
        <v>66</v>
      </c>
      <c r="L10" s="52" t="s">
        <v>67</v>
      </c>
      <c r="M10" s="52" t="s">
        <v>67</v>
      </c>
      <c r="N10" s="48" t="s">
        <v>68</v>
      </c>
      <c r="O10" s="52" t="s">
        <v>68</v>
      </c>
      <c r="P10" s="48" t="s">
        <v>79</v>
      </c>
      <c r="Q10" s="52" t="s">
        <v>79</v>
      </c>
      <c r="R10" s="48" t="s">
        <v>69</v>
      </c>
      <c r="S10" s="52" t="s">
        <v>69</v>
      </c>
      <c r="T10" s="48" t="s">
        <v>70</v>
      </c>
      <c r="U10" s="52" t="s">
        <v>70</v>
      </c>
      <c r="V10" s="48" t="s">
        <v>71</v>
      </c>
      <c r="W10" s="52" t="s">
        <v>71</v>
      </c>
      <c r="X10" s="48" t="s">
        <v>72</v>
      </c>
      <c r="Y10" s="52" t="s">
        <v>72</v>
      </c>
      <c r="Z10" s="48" t="s">
        <v>73</v>
      </c>
      <c r="AA10" s="52" t="s">
        <v>73</v>
      </c>
      <c r="AB10" s="48" t="s">
        <v>74</v>
      </c>
      <c r="AC10" s="48" t="s">
        <v>74</v>
      </c>
      <c r="AD10" s="52" t="s">
        <v>75</v>
      </c>
      <c r="AE10" s="48" t="s">
        <v>75</v>
      </c>
      <c r="AF10" s="52" t="s">
        <v>76</v>
      </c>
      <c r="AG10" s="48" t="s">
        <v>118</v>
      </c>
      <c r="AH10" s="52" t="s">
        <v>118</v>
      </c>
      <c r="AI10" s="52" t="s">
        <v>119</v>
      </c>
      <c r="AJ10" s="49" t="s">
        <v>119</v>
      </c>
      <c r="AK10" s="32"/>
      <c r="AL10" s="32"/>
      <c r="AM10" s="32"/>
    </row>
    <row r="11" spans="1:39" s="169" customFormat="1" ht="15.75" thickBot="1" x14ac:dyDescent="0.3">
      <c r="A11" s="177" t="s">
        <v>10</v>
      </c>
      <c r="B11" s="164" t="s">
        <v>110</v>
      </c>
      <c r="C11" s="172">
        <v>88105</v>
      </c>
      <c r="D11" s="166">
        <f t="shared" ref="D11:D13" si="0">SUM(F11:AM11)</f>
        <v>85896</v>
      </c>
      <c r="E11" s="172">
        <f>C11-D11</f>
        <v>2209</v>
      </c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>
        <v>33972</v>
      </c>
      <c r="Q11" s="167"/>
      <c r="R11" s="167"/>
      <c r="S11" s="167"/>
      <c r="T11" s="167"/>
      <c r="U11" s="167"/>
      <c r="V11" s="167"/>
      <c r="W11" s="167"/>
      <c r="X11" s="167"/>
      <c r="Y11" s="167">
        <v>26096</v>
      </c>
      <c r="Z11" s="167"/>
      <c r="AA11" s="167"/>
      <c r="AB11" s="167"/>
      <c r="AC11" s="167"/>
      <c r="AD11" s="167"/>
      <c r="AE11" s="167"/>
      <c r="AF11" s="167"/>
      <c r="AG11" s="167"/>
      <c r="AH11" s="167">
        <v>25828</v>
      </c>
      <c r="AI11" s="167"/>
      <c r="AJ11" s="167"/>
      <c r="AK11" s="168"/>
      <c r="AL11" s="168"/>
      <c r="AM11" s="168"/>
    </row>
    <row r="12" spans="1:39" s="169" customFormat="1" ht="15.75" thickBot="1" x14ac:dyDescent="0.3">
      <c r="A12" s="194" t="s">
        <v>21</v>
      </c>
      <c r="B12" s="164" t="s">
        <v>417</v>
      </c>
      <c r="C12" s="172">
        <v>33000</v>
      </c>
      <c r="D12" s="166">
        <f t="shared" ref="D12" si="1">SUM(F12:AM12)</f>
        <v>22492</v>
      </c>
      <c r="E12" s="172">
        <f>C12-D12</f>
        <v>10508</v>
      </c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>
        <v>9263</v>
      </c>
      <c r="U12" s="167"/>
      <c r="V12" s="167"/>
      <c r="W12" s="167"/>
      <c r="X12" s="167"/>
      <c r="Y12" s="167"/>
      <c r="Z12" s="167">
        <v>13229</v>
      </c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8"/>
      <c r="AL12" s="168"/>
      <c r="AM12" s="168"/>
    </row>
    <row r="13" spans="1:39" s="169" customFormat="1" ht="15.75" thickBot="1" x14ac:dyDescent="0.3">
      <c r="A13" s="194" t="s">
        <v>37</v>
      </c>
      <c r="B13" s="164" t="s">
        <v>38</v>
      </c>
      <c r="C13" s="172">
        <v>4500</v>
      </c>
      <c r="D13" s="166">
        <f t="shared" si="0"/>
        <v>1771</v>
      </c>
      <c r="E13" s="172">
        <f>C13-D13</f>
        <v>2729</v>
      </c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>
        <v>1771</v>
      </c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8"/>
      <c r="AL13" s="168"/>
      <c r="AM13" s="168"/>
    </row>
    <row r="14" spans="1:39" s="169" customFormat="1" ht="15.75" thickBot="1" x14ac:dyDescent="0.3">
      <c r="A14" s="163"/>
      <c r="B14" s="164"/>
      <c r="C14" s="165"/>
      <c r="D14" s="166"/>
      <c r="E14" s="166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8"/>
      <c r="AL14" s="168"/>
      <c r="AM14" s="168"/>
    </row>
    <row r="15" spans="1:39" s="74" customFormat="1" ht="15.75" thickBot="1" x14ac:dyDescent="0.3">
      <c r="A15" s="174"/>
      <c r="B15" s="174"/>
      <c r="C15" s="174">
        <f t="shared" ref="C15:AJ15" si="2">SUM(C11:C14)</f>
        <v>125605</v>
      </c>
      <c r="D15" s="174">
        <f t="shared" si="2"/>
        <v>110159</v>
      </c>
      <c r="E15" s="174">
        <f t="shared" si="2"/>
        <v>15446</v>
      </c>
      <c r="F15" s="175">
        <f t="shared" si="2"/>
        <v>0</v>
      </c>
      <c r="G15" s="175">
        <f t="shared" si="2"/>
        <v>0</v>
      </c>
      <c r="H15" s="175">
        <f t="shared" si="2"/>
        <v>0</v>
      </c>
      <c r="I15" s="175">
        <f t="shared" si="2"/>
        <v>0</v>
      </c>
      <c r="J15" s="175">
        <f t="shared" si="2"/>
        <v>0</v>
      </c>
      <c r="K15" s="175">
        <f t="shared" si="2"/>
        <v>0</v>
      </c>
      <c r="L15" s="175">
        <f t="shared" si="2"/>
        <v>0</v>
      </c>
      <c r="M15" s="175">
        <f t="shared" si="2"/>
        <v>0</v>
      </c>
      <c r="N15" s="175">
        <f t="shared" si="2"/>
        <v>0</v>
      </c>
      <c r="O15" s="175">
        <f t="shared" si="2"/>
        <v>0</v>
      </c>
      <c r="P15" s="175">
        <f t="shared" si="2"/>
        <v>33972</v>
      </c>
      <c r="Q15" s="175">
        <f t="shared" si="2"/>
        <v>0</v>
      </c>
      <c r="R15" s="175">
        <f t="shared" si="2"/>
        <v>0</v>
      </c>
      <c r="S15" s="175">
        <f t="shared" si="2"/>
        <v>0</v>
      </c>
      <c r="T15" s="175">
        <f t="shared" si="2"/>
        <v>9263</v>
      </c>
      <c r="U15" s="175">
        <f t="shared" si="2"/>
        <v>0</v>
      </c>
      <c r="V15" s="175">
        <f t="shared" si="2"/>
        <v>0</v>
      </c>
      <c r="W15" s="175">
        <f t="shared" si="2"/>
        <v>0</v>
      </c>
      <c r="X15" s="175">
        <f t="shared" si="2"/>
        <v>0</v>
      </c>
      <c r="Y15" s="175">
        <f t="shared" si="2"/>
        <v>26096</v>
      </c>
      <c r="Z15" s="175">
        <f t="shared" si="2"/>
        <v>15000</v>
      </c>
      <c r="AA15" s="175">
        <f t="shared" si="2"/>
        <v>0</v>
      </c>
      <c r="AB15" s="175">
        <f t="shared" si="2"/>
        <v>0</v>
      </c>
      <c r="AC15" s="175">
        <f t="shared" si="2"/>
        <v>0</v>
      </c>
      <c r="AD15" s="175">
        <f t="shared" si="2"/>
        <v>0</v>
      </c>
      <c r="AE15" s="175">
        <f t="shared" si="2"/>
        <v>0</v>
      </c>
      <c r="AF15" s="175">
        <f t="shared" si="2"/>
        <v>0</v>
      </c>
      <c r="AG15" s="175">
        <f t="shared" si="2"/>
        <v>0</v>
      </c>
      <c r="AH15" s="175">
        <f t="shared" si="2"/>
        <v>25828</v>
      </c>
      <c r="AI15" s="175">
        <f t="shared" si="2"/>
        <v>0</v>
      </c>
      <c r="AJ15" s="175">
        <f t="shared" si="2"/>
        <v>0</v>
      </c>
      <c r="AK15" s="176"/>
      <c r="AL15" s="176"/>
      <c r="AM15" s="176"/>
    </row>
    <row r="16" spans="1:39" ht="15.75" x14ac:dyDescent="0.25">
      <c r="A16" s="98"/>
      <c r="B16" s="99"/>
      <c r="C16" s="100"/>
      <c r="D16" s="101"/>
      <c r="E16" s="102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15.75" x14ac:dyDescent="0.25">
      <c r="A17" s="36"/>
      <c r="B17" s="3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15.75" x14ac:dyDescent="0.25">
      <c r="A18" s="36"/>
      <c r="B18" s="36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5.6" x14ac:dyDescent="0.3">
      <c r="A19" s="36"/>
      <c r="B19" s="3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15.6" x14ac:dyDescent="0.3">
      <c r="A20" s="36"/>
      <c r="B20" s="36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15.6" x14ac:dyDescent="0.3">
      <c r="A21" s="36"/>
      <c r="B21" s="3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x14ac:dyDescent="0.3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x14ac:dyDescent="0.3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x14ac:dyDescent="0.3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x14ac:dyDescent="0.3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x14ac:dyDescent="0.3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</sheetData>
  <sheetProtection password="CCD4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FFCC"/>
  </sheetPr>
  <dimension ref="A1:AN56"/>
  <sheetViews>
    <sheetView workbookViewId="0">
      <pane xSplit="5" ySplit="11" topLeftCell="L12" activePane="bottomRight" state="frozen"/>
      <selection pane="topRight" activeCell="F1" sqref="F1"/>
      <selection pane="bottomLeft" activeCell="A12" sqref="A12"/>
      <selection pane="bottomRight" activeCell="C8" sqref="C8"/>
    </sheetView>
  </sheetViews>
  <sheetFormatPr defaultRowHeight="14.4" x14ac:dyDescent="0.3"/>
  <cols>
    <col min="2" max="2" width="32.109375" customWidth="1"/>
    <col min="3" max="3" width="13.5546875" style="4" customWidth="1"/>
    <col min="4" max="4" width="11.44140625" style="4" customWidth="1"/>
    <col min="5" max="5" width="12" style="4" customWidth="1"/>
    <col min="6" max="6" width="15" customWidth="1"/>
    <col min="7" max="7" width="12.109375" customWidth="1"/>
    <col min="8" max="9" width="12.6640625" customWidth="1"/>
    <col min="10" max="10" width="12.44140625" customWidth="1"/>
    <col min="11" max="11" width="12.6640625" customWidth="1"/>
    <col min="13" max="13" width="11.109375" customWidth="1"/>
    <col min="22" max="22" width="12" customWidth="1"/>
    <col min="23" max="23" width="10.88671875" customWidth="1"/>
  </cols>
  <sheetData>
    <row r="1" spans="1:40" s="4" customFormat="1" ht="21" x14ac:dyDescent="0.35">
      <c r="A1" s="39" t="s">
        <v>0</v>
      </c>
      <c r="B1" s="47"/>
      <c r="C1" s="40" t="s">
        <v>184</v>
      </c>
      <c r="D1" s="39"/>
      <c r="E1" s="41"/>
      <c r="F1" s="50"/>
      <c r="G1" s="47"/>
      <c r="H1" s="47"/>
      <c r="I1" s="47"/>
      <c r="J1" s="40" t="str">
        <f>C1</f>
        <v>Title I-B Even Start Close Out Year</v>
      </c>
      <c r="K1" s="47"/>
      <c r="L1" s="47"/>
      <c r="M1" s="47"/>
      <c r="N1" s="47"/>
      <c r="O1" s="47"/>
      <c r="P1" s="47"/>
      <c r="Q1" s="40" t="str">
        <f>C1</f>
        <v>Title I-B Even Start Close Out Year</v>
      </c>
      <c r="R1" s="47"/>
      <c r="S1" s="47"/>
      <c r="T1" s="47"/>
      <c r="U1" s="47"/>
      <c r="V1" s="47"/>
      <c r="W1" s="47"/>
    </row>
    <row r="2" spans="1:40" s="4" customFormat="1" ht="18.75" x14ac:dyDescent="0.3">
      <c r="A2" s="42" t="s">
        <v>1</v>
      </c>
      <c r="B2" s="47"/>
      <c r="C2" s="43">
        <v>84.212999999999994</v>
      </c>
      <c r="D2" s="42"/>
      <c r="E2" s="44"/>
      <c r="F2" s="50"/>
      <c r="G2" s="47"/>
      <c r="H2" s="47"/>
      <c r="I2" s="47"/>
      <c r="J2" s="70" t="str">
        <f>"FY"&amp;C4</f>
        <v>FY2011-12</v>
      </c>
      <c r="K2" s="47"/>
      <c r="L2" s="47"/>
      <c r="M2" s="47"/>
      <c r="N2" s="47"/>
      <c r="O2" s="47"/>
      <c r="P2" s="47"/>
      <c r="Q2" s="70" t="str">
        <f>"FY"&amp;C4</f>
        <v>FY2011-12</v>
      </c>
      <c r="R2" s="47"/>
      <c r="S2" s="47"/>
      <c r="T2" s="47"/>
      <c r="U2" s="47"/>
      <c r="V2" s="47"/>
      <c r="W2" s="47"/>
    </row>
    <row r="3" spans="1:40" s="4" customFormat="1" ht="15.75" x14ac:dyDescent="0.25">
      <c r="A3" s="42" t="s">
        <v>2</v>
      </c>
      <c r="B3" s="47"/>
      <c r="C3" s="43">
        <v>5213</v>
      </c>
      <c r="D3" s="42"/>
      <c r="E3" s="44"/>
      <c r="F3" s="50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40" s="4" customFormat="1" ht="15.75" x14ac:dyDescent="0.25">
      <c r="A4" s="42" t="s">
        <v>3</v>
      </c>
      <c r="B4" s="47"/>
      <c r="C4" s="43" t="s">
        <v>6</v>
      </c>
      <c r="D4" s="44"/>
      <c r="E4" s="44"/>
      <c r="F4" s="50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40" s="4" customFormat="1" ht="15.75" x14ac:dyDescent="0.25">
      <c r="A5" s="42" t="s">
        <v>171</v>
      </c>
      <c r="B5" s="47"/>
      <c r="C5" s="43" t="s">
        <v>185</v>
      </c>
      <c r="D5" s="44"/>
      <c r="E5" s="44"/>
      <c r="F5" s="50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</row>
    <row r="6" spans="1:40" s="4" customFormat="1" ht="15.75" x14ac:dyDescent="0.25">
      <c r="A6" s="42" t="s">
        <v>101</v>
      </c>
      <c r="B6" s="47"/>
      <c r="C6" s="43" t="s">
        <v>102</v>
      </c>
      <c r="D6" s="44"/>
      <c r="E6" s="44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40" s="4" customFormat="1" ht="15.75" x14ac:dyDescent="0.25">
      <c r="A7" s="42" t="s">
        <v>103</v>
      </c>
      <c r="B7" s="47"/>
      <c r="C7" s="43" t="s">
        <v>569</v>
      </c>
      <c r="D7" s="44"/>
      <c r="E7" s="44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</row>
    <row r="8" spans="1:40" s="4" customFormat="1" ht="15.75" x14ac:dyDescent="0.25">
      <c r="A8" s="42"/>
      <c r="B8" s="47"/>
      <c r="C8" s="43"/>
      <c r="D8" s="44"/>
      <c r="E8" s="44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</row>
    <row r="9" spans="1:40" s="4" customFormat="1" ht="21" x14ac:dyDescent="0.35">
      <c r="A9" s="39" t="s">
        <v>186</v>
      </c>
      <c r="B9" s="47"/>
      <c r="C9" s="43"/>
      <c r="D9" s="44"/>
      <c r="E9" s="44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</row>
    <row r="10" spans="1:40" s="4" customFormat="1" ht="15.75" thickBot="1" x14ac:dyDescent="0.3">
      <c r="A10" s="78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1:40" ht="30.75" thickBot="1" x14ac:dyDescent="0.3">
      <c r="A11" s="67" t="s">
        <v>4</v>
      </c>
      <c r="B11" s="68" t="s">
        <v>5</v>
      </c>
      <c r="C11" s="69" t="s">
        <v>61</v>
      </c>
      <c r="D11" s="68" t="s">
        <v>62</v>
      </c>
      <c r="E11" s="59" t="s">
        <v>63</v>
      </c>
      <c r="F11" s="57" t="s">
        <v>64</v>
      </c>
      <c r="G11" s="56" t="s">
        <v>65</v>
      </c>
      <c r="H11" s="57" t="s">
        <v>66</v>
      </c>
      <c r="I11" s="56" t="s">
        <v>67</v>
      </c>
      <c r="J11" s="57" t="s">
        <v>68</v>
      </c>
      <c r="K11" s="56" t="s">
        <v>79</v>
      </c>
      <c r="L11" s="57" t="s">
        <v>69</v>
      </c>
      <c r="M11" s="57" t="s">
        <v>70</v>
      </c>
      <c r="N11" s="56" t="s">
        <v>71</v>
      </c>
      <c r="O11" s="57" t="s">
        <v>72</v>
      </c>
      <c r="P11" s="56" t="s">
        <v>73</v>
      </c>
      <c r="Q11" s="57" t="s">
        <v>72</v>
      </c>
      <c r="R11" s="56" t="s">
        <v>73</v>
      </c>
      <c r="S11" s="57" t="s">
        <v>74</v>
      </c>
      <c r="T11" s="56" t="s">
        <v>75</v>
      </c>
      <c r="U11" s="57" t="s">
        <v>76</v>
      </c>
      <c r="V11" s="56" t="s">
        <v>77</v>
      </c>
      <c r="W11" s="57" t="s">
        <v>78</v>
      </c>
    </row>
    <row r="12" spans="1:40" s="179" customFormat="1" ht="15.75" thickBot="1" x14ac:dyDescent="0.3">
      <c r="A12" s="188" t="s">
        <v>187</v>
      </c>
      <c r="B12" s="186" t="s">
        <v>188</v>
      </c>
      <c r="C12" s="180">
        <v>74949</v>
      </c>
      <c r="D12" s="181">
        <f>SUM(F12:W12)</f>
        <v>70157</v>
      </c>
      <c r="E12" s="182">
        <f>C12-D12</f>
        <v>4792</v>
      </c>
      <c r="F12" s="178"/>
      <c r="G12" s="178"/>
      <c r="H12" s="178"/>
      <c r="I12" s="178">
        <v>16933</v>
      </c>
      <c r="J12" s="178"/>
      <c r="K12" s="178">
        <v>5373</v>
      </c>
      <c r="L12" s="178">
        <v>3889</v>
      </c>
      <c r="M12" s="178">
        <v>3396</v>
      </c>
      <c r="N12" s="178">
        <v>4035</v>
      </c>
      <c r="O12" s="178">
        <v>5676</v>
      </c>
      <c r="P12" s="178">
        <v>6971</v>
      </c>
      <c r="Q12" s="178"/>
      <c r="R12" s="178"/>
      <c r="S12" s="178">
        <v>7927</v>
      </c>
      <c r="T12" s="178">
        <v>15957</v>
      </c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</row>
    <row r="13" spans="1:40" s="179" customFormat="1" ht="15.75" thickBot="1" x14ac:dyDescent="0.3">
      <c r="A13" s="189">
        <v>2810</v>
      </c>
      <c r="B13" s="171" t="s">
        <v>189</v>
      </c>
      <c r="C13" s="159">
        <v>68640</v>
      </c>
      <c r="D13" s="160">
        <f>SUM(F13:W13)</f>
        <v>68640</v>
      </c>
      <c r="E13" s="161">
        <f>C13-D13</f>
        <v>0</v>
      </c>
      <c r="F13" s="178"/>
      <c r="G13" s="178"/>
      <c r="H13" s="178">
        <v>20204</v>
      </c>
      <c r="I13" s="178">
        <v>9513</v>
      </c>
      <c r="J13" s="178">
        <v>9599</v>
      </c>
      <c r="K13" s="178">
        <v>9038</v>
      </c>
      <c r="L13" s="178">
        <v>9109</v>
      </c>
      <c r="M13" s="178">
        <v>4994</v>
      </c>
      <c r="N13" s="178"/>
      <c r="O13" s="178"/>
      <c r="P13" s="178"/>
      <c r="Q13" s="178"/>
      <c r="R13" s="178"/>
      <c r="S13" s="178">
        <v>6183</v>
      </c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</row>
    <row r="14" spans="1:40" s="179" customFormat="1" ht="15.75" thickBot="1" x14ac:dyDescent="0.3">
      <c r="A14" s="190" t="s">
        <v>190</v>
      </c>
      <c r="B14" s="187" t="s">
        <v>191</v>
      </c>
      <c r="C14" s="157">
        <v>62457</v>
      </c>
      <c r="D14" s="160">
        <f>SUM(F14:W14)</f>
        <v>47196</v>
      </c>
      <c r="E14" s="158">
        <f>C14-D14</f>
        <v>15261</v>
      </c>
      <c r="F14" s="178"/>
      <c r="G14" s="178"/>
      <c r="H14" s="178">
        <v>4633</v>
      </c>
      <c r="I14" s="178">
        <v>6146</v>
      </c>
      <c r="J14" s="178">
        <v>10241</v>
      </c>
      <c r="K14" s="178">
        <v>4824</v>
      </c>
      <c r="L14" s="178"/>
      <c r="M14" s="178"/>
      <c r="N14" s="178">
        <v>9671</v>
      </c>
      <c r="O14" s="178">
        <v>4850</v>
      </c>
      <c r="P14" s="178"/>
      <c r="Q14" s="178"/>
      <c r="R14" s="178"/>
      <c r="S14" s="178"/>
      <c r="T14" s="178">
        <f>4850+1161+820</f>
        <v>6831</v>
      </c>
      <c r="U14" s="178"/>
      <c r="V14" s="178"/>
      <c r="W14" s="178"/>
    </row>
    <row r="15" spans="1:40" s="179" customFormat="1" ht="15.75" thickBot="1" x14ac:dyDescent="0.3">
      <c r="A15" s="183"/>
      <c r="B15" s="184"/>
      <c r="C15" s="157"/>
      <c r="D15" s="162"/>
      <c r="E15" s="15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</row>
    <row r="16" spans="1:40" s="72" customFormat="1" ht="15.75" thickBot="1" x14ac:dyDescent="0.3">
      <c r="A16" s="185"/>
      <c r="B16" s="184"/>
      <c r="C16" s="95">
        <f>SUM(C12:C14)</f>
        <v>206046</v>
      </c>
      <c r="D16" s="95">
        <f>SUM(F16:W16)</f>
        <v>185993</v>
      </c>
      <c r="E16" s="96">
        <f t="shared" ref="E16" si="0">C16-D16</f>
        <v>20053</v>
      </c>
      <c r="F16" s="97">
        <f t="shared" ref="F16:W16" si="1">SUM(F12:F14)</f>
        <v>0</v>
      </c>
      <c r="G16" s="97">
        <f t="shared" si="1"/>
        <v>0</v>
      </c>
      <c r="H16" s="97">
        <f t="shared" si="1"/>
        <v>24837</v>
      </c>
      <c r="I16" s="97">
        <f t="shared" si="1"/>
        <v>32592</v>
      </c>
      <c r="J16" s="97">
        <f t="shared" si="1"/>
        <v>19840</v>
      </c>
      <c r="K16" s="97">
        <f t="shared" si="1"/>
        <v>19235</v>
      </c>
      <c r="L16" s="97">
        <f t="shared" si="1"/>
        <v>12998</v>
      </c>
      <c r="M16" s="97">
        <f t="shared" si="1"/>
        <v>8390</v>
      </c>
      <c r="N16" s="97">
        <f t="shared" si="1"/>
        <v>13706</v>
      </c>
      <c r="O16" s="97">
        <f t="shared" si="1"/>
        <v>10526</v>
      </c>
      <c r="P16" s="97">
        <f t="shared" si="1"/>
        <v>6971</v>
      </c>
      <c r="Q16" s="97">
        <f t="shared" si="1"/>
        <v>0</v>
      </c>
      <c r="R16" s="97">
        <f t="shared" si="1"/>
        <v>0</v>
      </c>
      <c r="S16" s="97">
        <f t="shared" si="1"/>
        <v>14110</v>
      </c>
      <c r="T16" s="97">
        <f t="shared" si="1"/>
        <v>22788</v>
      </c>
      <c r="U16" s="97">
        <f t="shared" si="1"/>
        <v>0</v>
      </c>
      <c r="V16" s="97">
        <f t="shared" si="1"/>
        <v>0</v>
      </c>
      <c r="W16" s="97">
        <f t="shared" si="1"/>
        <v>0</v>
      </c>
    </row>
    <row r="17" spans="3:23" s="77" customFormat="1" ht="15" x14ac:dyDescent="0.25">
      <c r="C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 spans="3:23" s="77" customFormat="1" ht="15" x14ac:dyDescent="0.25">
      <c r="C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</row>
    <row r="19" spans="3:23" s="77" customFormat="1" x14ac:dyDescent="0.3">
      <c r="C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</row>
    <row r="20" spans="3:23" s="77" customFormat="1" x14ac:dyDescent="0.3">
      <c r="C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</row>
    <row r="21" spans="3:23" s="77" customFormat="1" x14ac:dyDescent="0.3">
      <c r="C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</row>
    <row r="22" spans="3:23" s="77" customFormat="1" x14ac:dyDescent="0.3">
      <c r="C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 spans="3:23" s="77" customFormat="1" x14ac:dyDescent="0.3">
      <c r="C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</row>
    <row r="24" spans="3:23" s="77" customFormat="1" x14ac:dyDescent="0.3">
      <c r="C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</row>
    <row r="25" spans="3:23" s="77" customFormat="1" x14ac:dyDescent="0.3">
      <c r="C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</row>
    <row r="26" spans="3:23" s="77" customFormat="1" x14ac:dyDescent="0.3">
      <c r="C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 spans="3:23" s="77" customFormat="1" x14ac:dyDescent="0.3">
      <c r="C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</row>
    <row r="28" spans="3:23" s="77" customFormat="1" x14ac:dyDescent="0.3">
      <c r="C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3:23" s="77" customFormat="1" x14ac:dyDescent="0.3">
      <c r="C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</row>
    <row r="30" spans="3:23" s="77" customFormat="1" x14ac:dyDescent="0.3">
      <c r="C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</row>
    <row r="31" spans="3:23" s="77" customFormat="1" x14ac:dyDescent="0.3">
      <c r="C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</row>
    <row r="32" spans="3:23" s="77" customFormat="1" x14ac:dyDescent="0.3">
      <c r="C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</row>
    <row r="33" spans="3:23" s="77" customFormat="1" x14ac:dyDescent="0.3">
      <c r="C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</row>
    <row r="34" spans="3:23" s="77" customFormat="1" x14ac:dyDescent="0.3">
      <c r="C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5" spans="3:23" s="77" customFormat="1" x14ac:dyDescent="0.3">
      <c r="C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</row>
    <row r="36" spans="3:23" s="77" customFormat="1" x14ac:dyDescent="0.3">
      <c r="C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</row>
    <row r="37" spans="3:23" s="77" customFormat="1" x14ac:dyDescent="0.3">
      <c r="C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</row>
    <row r="38" spans="3:23" s="77" customFormat="1" x14ac:dyDescent="0.3">
      <c r="C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</row>
    <row r="39" spans="3:23" s="77" customFormat="1" x14ac:dyDescent="0.3"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</row>
    <row r="40" spans="3:23" s="77" customFormat="1" x14ac:dyDescent="0.3"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</row>
    <row r="41" spans="3:23" s="77" customFormat="1" x14ac:dyDescent="0.3"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</row>
    <row r="42" spans="3:23" s="77" customFormat="1" x14ac:dyDescent="0.3"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</row>
    <row r="43" spans="3:23" s="77" customFormat="1" x14ac:dyDescent="0.3"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</row>
    <row r="44" spans="3:23" s="77" customFormat="1" x14ac:dyDescent="0.3"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 spans="3:23" s="77" customFormat="1" x14ac:dyDescent="0.3"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 spans="3:23" s="77" customFormat="1" x14ac:dyDescent="0.3"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 spans="3:23" s="77" customFormat="1" x14ac:dyDescent="0.3"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 spans="3:23" s="77" customFormat="1" x14ac:dyDescent="0.3"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 spans="6:23" x14ac:dyDescent="0.3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6:23" x14ac:dyDescent="0.3"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6:23" x14ac:dyDescent="0.3"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6:23" x14ac:dyDescent="0.3"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6:23" x14ac:dyDescent="0.3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6:23" x14ac:dyDescent="0.3"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6:23" x14ac:dyDescent="0.3"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6:23" x14ac:dyDescent="0.3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CCFFCC"/>
  </sheetPr>
  <dimension ref="A1:AL60"/>
  <sheetViews>
    <sheetView workbookViewId="0">
      <pane xSplit="5" ySplit="11" topLeftCell="L12" activePane="bottomRight" state="frozen"/>
      <selection pane="topRight" activeCell="F1" sqref="F1"/>
      <selection pane="bottomLeft" activeCell="A12" sqref="A12"/>
      <selection pane="bottomRight" activeCell="C8" sqref="C8"/>
    </sheetView>
  </sheetViews>
  <sheetFormatPr defaultRowHeight="14.4" x14ac:dyDescent="0.3"/>
  <cols>
    <col min="2" max="2" width="32.109375" customWidth="1"/>
    <col min="3" max="3" width="13.5546875" style="4" customWidth="1"/>
    <col min="4" max="4" width="11.44140625" style="4" customWidth="1"/>
    <col min="5" max="5" width="12" style="4" customWidth="1"/>
    <col min="6" max="6" width="15" customWidth="1"/>
    <col min="7" max="7" width="12.109375" customWidth="1"/>
    <col min="8" max="9" width="12.6640625" customWidth="1"/>
    <col min="10" max="10" width="12.44140625" customWidth="1"/>
    <col min="11" max="11" width="12.6640625" customWidth="1"/>
    <col min="13" max="13" width="11.109375" customWidth="1"/>
    <col min="20" max="20" width="12" customWidth="1"/>
    <col min="21" max="21" width="10.88671875" customWidth="1"/>
    <col min="22" max="22" width="11.88671875" customWidth="1"/>
  </cols>
  <sheetData>
    <row r="1" spans="1:38" s="4" customFormat="1" ht="21" x14ac:dyDescent="0.35">
      <c r="A1" s="39" t="s">
        <v>0</v>
      </c>
      <c r="B1" s="47"/>
      <c r="C1" s="40" t="s">
        <v>176</v>
      </c>
      <c r="D1" s="39"/>
      <c r="E1" s="41"/>
      <c r="F1" s="50"/>
      <c r="G1" s="47"/>
      <c r="H1" s="47"/>
      <c r="I1" s="47"/>
      <c r="J1" s="40" t="str">
        <f>C1</f>
        <v>Title II-B Math &amp; Science Partnerships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87"/>
    </row>
    <row r="2" spans="1:38" s="4" customFormat="1" ht="18.75" x14ac:dyDescent="0.3">
      <c r="A2" s="42" t="s">
        <v>1</v>
      </c>
      <c r="B2" s="47"/>
      <c r="C2" s="43">
        <v>84.366</v>
      </c>
      <c r="D2" s="42"/>
      <c r="E2" s="44"/>
      <c r="F2" s="50"/>
      <c r="G2" s="47"/>
      <c r="H2" s="47"/>
      <c r="I2" s="47"/>
      <c r="J2" s="70" t="str">
        <f>"FY"&amp;C4</f>
        <v>FY2011-12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87"/>
    </row>
    <row r="3" spans="1:38" s="4" customFormat="1" ht="15.75" x14ac:dyDescent="0.25">
      <c r="A3" s="42" t="s">
        <v>2</v>
      </c>
      <c r="B3" s="47"/>
      <c r="C3" s="43">
        <v>5366</v>
      </c>
      <c r="D3" s="42"/>
      <c r="E3" s="44"/>
      <c r="F3" s="50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87"/>
    </row>
    <row r="4" spans="1:38" s="4" customFormat="1" ht="15.75" x14ac:dyDescent="0.25">
      <c r="A4" s="42" t="s">
        <v>3</v>
      </c>
      <c r="B4" s="47"/>
      <c r="C4" s="43" t="s">
        <v>6</v>
      </c>
      <c r="D4" s="44"/>
      <c r="E4" s="44"/>
      <c r="F4" s="50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87"/>
    </row>
    <row r="5" spans="1:38" s="4" customFormat="1" ht="15.75" x14ac:dyDescent="0.25">
      <c r="A5" s="42" t="s">
        <v>171</v>
      </c>
      <c r="B5" s="47"/>
      <c r="C5" s="43" t="s">
        <v>178</v>
      </c>
      <c r="D5" s="44"/>
      <c r="E5" s="44"/>
      <c r="F5" s="50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87"/>
    </row>
    <row r="6" spans="1:38" s="4" customFormat="1" ht="15.75" x14ac:dyDescent="0.25">
      <c r="A6" s="42" t="s">
        <v>101</v>
      </c>
      <c r="B6" s="47"/>
      <c r="C6" s="43" t="s">
        <v>102</v>
      </c>
      <c r="D6" s="44"/>
      <c r="E6" s="44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87"/>
    </row>
    <row r="7" spans="1:38" s="4" customFormat="1" ht="15.75" x14ac:dyDescent="0.25">
      <c r="A7" s="42" t="s">
        <v>103</v>
      </c>
      <c r="B7" s="47"/>
      <c r="C7" s="43" t="s">
        <v>569</v>
      </c>
      <c r="D7" s="44"/>
      <c r="E7" s="44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87"/>
    </row>
    <row r="8" spans="1:38" s="4" customFormat="1" ht="15.75" x14ac:dyDescent="0.25">
      <c r="A8" s="42"/>
      <c r="B8" s="47"/>
      <c r="C8" s="43"/>
      <c r="D8" s="44"/>
      <c r="E8" s="44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87"/>
    </row>
    <row r="9" spans="1:38" s="4" customFormat="1" ht="21" x14ac:dyDescent="0.35">
      <c r="A9" s="39" t="s">
        <v>80</v>
      </c>
      <c r="B9" s="47"/>
      <c r="C9" s="43"/>
      <c r="D9" s="44"/>
      <c r="E9" s="44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87"/>
    </row>
    <row r="10" spans="1:38" s="4" customFormat="1" ht="15.75" thickBot="1" x14ac:dyDescent="0.3">
      <c r="A10" s="78" t="s">
        <v>183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87"/>
    </row>
    <row r="11" spans="1:38" ht="30.75" thickBot="1" x14ac:dyDescent="0.3">
      <c r="A11" s="67" t="s">
        <v>4</v>
      </c>
      <c r="B11" s="68" t="s">
        <v>5</v>
      </c>
      <c r="C11" s="69" t="s">
        <v>61</v>
      </c>
      <c r="D11" s="255" t="s">
        <v>62</v>
      </c>
      <c r="E11" s="59" t="s">
        <v>63</v>
      </c>
      <c r="F11" s="57" t="s">
        <v>64</v>
      </c>
      <c r="G11" s="56" t="s">
        <v>65</v>
      </c>
      <c r="H11" s="57" t="s">
        <v>66</v>
      </c>
      <c r="I11" s="56" t="s">
        <v>67</v>
      </c>
      <c r="J11" s="57" t="s">
        <v>68</v>
      </c>
      <c r="K11" s="56" t="s">
        <v>79</v>
      </c>
      <c r="L11" s="57" t="s">
        <v>69</v>
      </c>
      <c r="M11" s="57" t="s">
        <v>70</v>
      </c>
      <c r="N11" s="56" t="s">
        <v>71</v>
      </c>
      <c r="O11" s="57" t="s">
        <v>72</v>
      </c>
      <c r="P11" s="56" t="s">
        <v>73</v>
      </c>
      <c r="Q11" s="57" t="s">
        <v>74</v>
      </c>
      <c r="R11" s="56" t="s">
        <v>75</v>
      </c>
      <c r="S11" s="57" t="s">
        <v>76</v>
      </c>
      <c r="T11" s="56" t="s">
        <v>77</v>
      </c>
      <c r="U11" s="57" t="s">
        <v>78</v>
      </c>
      <c r="V11" s="57" t="s">
        <v>557</v>
      </c>
    </row>
    <row r="12" spans="1:38" s="179" customFormat="1" ht="15.75" thickBot="1" x14ac:dyDescent="0.3">
      <c r="A12" s="191" t="s">
        <v>7</v>
      </c>
      <c r="B12" s="186" t="s">
        <v>154</v>
      </c>
      <c r="C12" s="180">
        <v>277074</v>
      </c>
      <c r="D12" s="160">
        <f>SUM(F12:Z12)</f>
        <v>277074</v>
      </c>
      <c r="E12" s="182">
        <f>C12-D12</f>
        <v>0</v>
      </c>
      <c r="F12" s="178"/>
      <c r="G12" s="178"/>
      <c r="H12" s="178"/>
      <c r="I12" s="178"/>
      <c r="J12" s="178">
        <v>60129</v>
      </c>
      <c r="K12" s="178">
        <v>8119</v>
      </c>
      <c r="L12" s="178">
        <v>16597</v>
      </c>
      <c r="M12" s="178">
        <v>19176</v>
      </c>
      <c r="N12" s="178">
        <v>27104</v>
      </c>
      <c r="O12" s="178">
        <v>14720</v>
      </c>
      <c r="P12" s="178">
        <v>13230</v>
      </c>
      <c r="Q12" s="178">
        <v>45501</v>
      </c>
      <c r="R12" s="178">
        <v>70470</v>
      </c>
      <c r="S12" s="178"/>
      <c r="T12" s="178">
        <v>2028</v>
      </c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</row>
    <row r="13" spans="1:38" s="179" customFormat="1" ht="15.75" thickBot="1" x14ac:dyDescent="0.3">
      <c r="A13" s="192" t="s">
        <v>151</v>
      </c>
      <c r="B13" s="171" t="s">
        <v>179</v>
      </c>
      <c r="C13" s="159">
        <v>314960</v>
      </c>
      <c r="D13" s="160">
        <f t="shared" ref="D13:D18" si="0">SUM(F13:Z13)</f>
        <v>295847</v>
      </c>
      <c r="E13" s="160">
        <f t="shared" ref="E13:E18" si="1">C13-D13</f>
        <v>19113</v>
      </c>
      <c r="F13" s="178"/>
      <c r="G13" s="178"/>
      <c r="H13" s="178"/>
      <c r="I13" s="178"/>
      <c r="J13" s="178"/>
      <c r="K13" s="178"/>
      <c r="L13" s="178"/>
      <c r="M13" s="178">
        <v>54970</v>
      </c>
      <c r="N13" s="178">
        <v>459</v>
      </c>
      <c r="O13" s="178">
        <v>372</v>
      </c>
      <c r="P13" s="178">
        <v>150310</v>
      </c>
      <c r="Q13" s="178">
        <v>14565</v>
      </c>
      <c r="R13" s="178">
        <v>38408</v>
      </c>
      <c r="S13" s="178"/>
      <c r="T13" s="178">
        <v>36763</v>
      </c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</row>
    <row r="14" spans="1:38" s="179" customFormat="1" ht="15.75" thickBot="1" x14ac:dyDescent="0.3">
      <c r="A14" s="193" t="s">
        <v>9</v>
      </c>
      <c r="B14" s="187" t="s">
        <v>128</v>
      </c>
      <c r="C14" s="157">
        <v>151207</v>
      </c>
      <c r="D14" s="160">
        <f t="shared" si="0"/>
        <v>150828</v>
      </c>
      <c r="E14" s="160">
        <f t="shared" si="1"/>
        <v>379</v>
      </c>
      <c r="F14" s="178"/>
      <c r="G14" s="178"/>
      <c r="H14" s="178"/>
      <c r="I14" s="178"/>
      <c r="J14" s="178">
        <v>14292</v>
      </c>
      <c r="K14" s="178">
        <v>1553</v>
      </c>
      <c r="L14" s="178">
        <v>395</v>
      </c>
      <c r="M14" s="178">
        <v>14408</v>
      </c>
      <c r="N14" s="178">
        <v>797</v>
      </c>
      <c r="O14" s="178">
        <v>4874</v>
      </c>
      <c r="P14" s="178">
        <v>25694</v>
      </c>
      <c r="Q14" s="178">
        <v>3075</v>
      </c>
      <c r="R14" s="178">
        <v>40510</v>
      </c>
      <c r="S14" s="178">
        <v>3513</v>
      </c>
      <c r="T14" s="178">
        <v>5264</v>
      </c>
      <c r="U14" s="178">
        <v>1390</v>
      </c>
      <c r="V14" s="178">
        <v>35063</v>
      </c>
    </row>
    <row r="15" spans="1:38" s="179" customFormat="1" ht="15.75" thickBot="1" x14ac:dyDescent="0.3">
      <c r="A15" s="193" t="s">
        <v>122</v>
      </c>
      <c r="B15" s="187" t="s">
        <v>180</v>
      </c>
      <c r="C15" s="157">
        <v>276775</v>
      </c>
      <c r="D15" s="160">
        <f t="shared" si="0"/>
        <v>197131</v>
      </c>
      <c r="E15" s="160">
        <f t="shared" si="1"/>
        <v>79644</v>
      </c>
      <c r="F15" s="178"/>
      <c r="G15" s="178"/>
      <c r="H15" s="178"/>
      <c r="I15" s="178"/>
      <c r="J15" s="178"/>
      <c r="K15" s="178">
        <v>23802</v>
      </c>
      <c r="L15" s="178">
        <v>4614</v>
      </c>
      <c r="M15" s="178">
        <v>3443</v>
      </c>
      <c r="N15" s="178">
        <v>19385</v>
      </c>
      <c r="O15" s="178">
        <v>5647</v>
      </c>
      <c r="P15" s="178">
        <v>12261</v>
      </c>
      <c r="Q15" s="178"/>
      <c r="R15" s="178">
        <f>11714+21460</f>
        <v>33174</v>
      </c>
      <c r="S15" s="178">
        <v>66783</v>
      </c>
      <c r="T15" s="178">
        <v>16692</v>
      </c>
      <c r="U15" s="178">
        <v>11330</v>
      </c>
    </row>
    <row r="16" spans="1:38" s="179" customFormat="1" ht="15.75" thickBot="1" x14ac:dyDescent="0.3">
      <c r="A16" s="193" t="s">
        <v>181</v>
      </c>
      <c r="B16" s="187" t="s">
        <v>182</v>
      </c>
      <c r="C16" s="157">
        <v>297732</v>
      </c>
      <c r="D16" s="160">
        <f t="shared" si="0"/>
        <v>240082</v>
      </c>
      <c r="E16" s="160">
        <f t="shared" si="1"/>
        <v>57650</v>
      </c>
      <c r="F16" s="178"/>
      <c r="G16" s="178"/>
      <c r="H16" s="178"/>
      <c r="I16" s="178"/>
      <c r="J16" s="178"/>
      <c r="K16" s="178"/>
      <c r="L16" s="178">
        <v>64311</v>
      </c>
      <c r="M16" s="178">
        <v>46299</v>
      </c>
      <c r="N16" s="178">
        <v>30146</v>
      </c>
      <c r="O16" s="178">
        <v>11367</v>
      </c>
      <c r="P16" s="178">
        <v>31533</v>
      </c>
      <c r="Q16" s="178">
        <v>43038</v>
      </c>
      <c r="R16" s="178"/>
      <c r="S16" s="178">
        <v>13388</v>
      </c>
      <c r="T16" s="178"/>
      <c r="U16" s="178"/>
    </row>
    <row r="17" spans="1:22" s="179" customFormat="1" ht="15.75" thickBot="1" x14ac:dyDescent="0.3">
      <c r="A17" s="193">
        <v>1010</v>
      </c>
      <c r="B17" s="187" t="s">
        <v>109</v>
      </c>
      <c r="C17" s="157">
        <v>227714</v>
      </c>
      <c r="D17" s="160">
        <f t="shared" si="0"/>
        <v>139082</v>
      </c>
      <c r="E17" s="160">
        <f t="shared" si="1"/>
        <v>88632</v>
      </c>
      <c r="F17" s="178"/>
      <c r="G17" s="178"/>
      <c r="H17" s="178"/>
      <c r="I17" s="178"/>
      <c r="J17" s="178">
        <v>4910</v>
      </c>
      <c r="K17" s="178"/>
      <c r="L17" s="178"/>
      <c r="M17" s="178"/>
      <c r="N17" s="178"/>
      <c r="O17" s="178"/>
      <c r="P17" s="178"/>
      <c r="Q17" s="178">
        <v>4910</v>
      </c>
      <c r="R17" s="178"/>
      <c r="S17" s="178">
        <v>129262</v>
      </c>
      <c r="T17" s="178"/>
      <c r="U17" s="178"/>
    </row>
    <row r="18" spans="1:22" s="179" customFormat="1" ht="15.75" thickBot="1" x14ac:dyDescent="0.3">
      <c r="A18" s="193">
        <v>3120</v>
      </c>
      <c r="B18" s="187" t="s">
        <v>145</v>
      </c>
      <c r="C18" s="157">
        <v>274030</v>
      </c>
      <c r="D18" s="256">
        <f t="shared" si="0"/>
        <v>264095</v>
      </c>
      <c r="E18" s="160">
        <f t="shared" si="1"/>
        <v>9935</v>
      </c>
      <c r="F18" s="178"/>
      <c r="G18" s="178"/>
      <c r="H18" s="178"/>
      <c r="I18" s="178"/>
      <c r="J18" s="178"/>
      <c r="K18" s="178">
        <v>55165</v>
      </c>
      <c r="L18" s="178">
        <v>18307</v>
      </c>
      <c r="M18" s="178">
        <v>17705</v>
      </c>
      <c r="N18" s="178">
        <v>53917</v>
      </c>
      <c r="O18" s="178">
        <v>19935</v>
      </c>
      <c r="P18" s="178">
        <v>20693</v>
      </c>
      <c r="Q18" s="178">
        <v>24833</v>
      </c>
      <c r="R18" s="178">
        <v>18066</v>
      </c>
      <c r="S18" s="178">
        <v>20524</v>
      </c>
      <c r="T18" s="178">
        <v>14950</v>
      </c>
      <c r="U18" s="178"/>
    </row>
    <row r="19" spans="1:22" s="179" customFormat="1" ht="15.75" thickBot="1" x14ac:dyDescent="0.3">
      <c r="A19" s="185"/>
      <c r="B19" s="187"/>
      <c r="C19" s="157"/>
      <c r="D19" s="162"/>
      <c r="E19" s="15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</row>
    <row r="20" spans="1:22" s="72" customFormat="1" ht="15" thickBot="1" x14ac:dyDescent="0.35">
      <c r="A20" s="185"/>
      <c r="B20" s="184"/>
      <c r="C20" s="95">
        <f>SUM(C12:C18)</f>
        <v>1819492</v>
      </c>
      <c r="D20" s="95">
        <f t="shared" ref="D20" si="2">SUM(F20:U20)</f>
        <v>1529076</v>
      </c>
      <c r="E20" s="96">
        <f t="shared" ref="E20" si="3">C20-D20</f>
        <v>290416</v>
      </c>
      <c r="F20" s="97">
        <f>SUM(F12:F18)</f>
        <v>0</v>
      </c>
      <c r="G20" s="97">
        <f t="shared" ref="G20:V20" si="4">SUM(G12:G18)</f>
        <v>0</v>
      </c>
      <c r="H20" s="97">
        <f t="shared" si="4"/>
        <v>0</v>
      </c>
      <c r="I20" s="97">
        <f t="shared" si="4"/>
        <v>0</v>
      </c>
      <c r="J20" s="97">
        <f t="shared" si="4"/>
        <v>79331</v>
      </c>
      <c r="K20" s="97">
        <f t="shared" si="4"/>
        <v>88639</v>
      </c>
      <c r="L20" s="97">
        <f t="shared" si="4"/>
        <v>104224</v>
      </c>
      <c r="M20" s="97">
        <f t="shared" si="4"/>
        <v>156001</v>
      </c>
      <c r="N20" s="97">
        <f t="shared" si="4"/>
        <v>131808</v>
      </c>
      <c r="O20" s="97">
        <f t="shared" si="4"/>
        <v>56915</v>
      </c>
      <c r="P20" s="97">
        <f t="shared" si="4"/>
        <v>253721</v>
      </c>
      <c r="Q20" s="97">
        <f t="shared" si="4"/>
        <v>135922</v>
      </c>
      <c r="R20" s="97">
        <f t="shared" si="4"/>
        <v>200628</v>
      </c>
      <c r="S20" s="97">
        <f t="shared" si="4"/>
        <v>233470</v>
      </c>
      <c r="T20" s="97">
        <f t="shared" si="4"/>
        <v>75697</v>
      </c>
      <c r="U20" s="97">
        <f t="shared" si="4"/>
        <v>12720</v>
      </c>
      <c r="V20" s="97">
        <f t="shared" si="4"/>
        <v>35063</v>
      </c>
    </row>
    <row r="21" spans="1:22" s="77" customFormat="1" x14ac:dyDescent="0.3">
      <c r="C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</row>
    <row r="22" spans="1:22" s="77" customFormat="1" x14ac:dyDescent="0.3">
      <c r="C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</row>
    <row r="23" spans="1:22" s="77" customFormat="1" x14ac:dyDescent="0.3">
      <c r="C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</row>
    <row r="24" spans="1:22" s="77" customFormat="1" x14ac:dyDescent="0.3">
      <c r="C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</row>
    <row r="25" spans="1:22" s="77" customFormat="1" x14ac:dyDescent="0.3">
      <c r="C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</row>
    <row r="26" spans="1:22" s="77" customFormat="1" x14ac:dyDescent="0.3">
      <c r="C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22" s="77" customFormat="1" x14ac:dyDescent="0.3">
      <c r="C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2" s="77" customFormat="1" x14ac:dyDescent="0.3">
      <c r="C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</row>
    <row r="29" spans="1:22" s="77" customFormat="1" x14ac:dyDescent="0.3">
      <c r="C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</row>
    <row r="30" spans="1:22" s="77" customFormat="1" x14ac:dyDescent="0.3">
      <c r="C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</row>
    <row r="31" spans="1:22" s="77" customFormat="1" x14ac:dyDescent="0.3">
      <c r="C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</row>
    <row r="32" spans="1:22" s="77" customFormat="1" x14ac:dyDescent="0.3">
      <c r="C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</row>
    <row r="33" spans="3:21" s="77" customFormat="1" x14ac:dyDescent="0.3">
      <c r="C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</row>
    <row r="34" spans="3:21" s="77" customFormat="1" x14ac:dyDescent="0.3">
      <c r="C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</row>
    <row r="35" spans="3:21" s="77" customFormat="1" x14ac:dyDescent="0.3">
      <c r="C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</row>
    <row r="36" spans="3:21" s="77" customFormat="1" x14ac:dyDescent="0.3">
      <c r="C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</row>
    <row r="37" spans="3:21" s="77" customFormat="1" x14ac:dyDescent="0.3">
      <c r="C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</row>
    <row r="38" spans="3:21" s="77" customFormat="1" x14ac:dyDescent="0.3">
      <c r="C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</row>
    <row r="39" spans="3:21" s="77" customFormat="1" x14ac:dyDescent="0.3">
      <c r="C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</row>
    <row r="40" spans="3:21" s="77" customFormat="1" x14ac:dyDescent="0.3">
      <c r="C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</row>
    <row r="41" spans="3:21" s="77" customFormat="1" x14ac:dyDescent="0.3">
      <c r="C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</row>
    <row r="42" spans="3:21" s="77" customFormat="1" x14ac:dyDescent="0.3">
      <c r="C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</row>
    <row r="43" spans="3:21" s="77" customFormat="1" x14ac:dyDescent="0.3"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</row>
    <row r="44" spans="3:21" s="77" customFormat="1" x14ac:dyDescent="0.3"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</row>
    <row r="45" spans="3:21" s="77" customFormat="1" x14ac:dyDescent="0.3"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</row>
    <row r="46" spans="3:21" s="77" customFormat="1" x14ac:dyDescent="0.3"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</row>
    <row r="47" spans="3:21" s="77" customFormat="1" x14ac:dyDescent="0.3"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</row>
    <row r="48" spans="3:21" s="77" customFormat="1" x14ac:dyDescent="0.3"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</row>
    <row r="49" spans="6:21" s="77" customFormat="1" x14ac:dyDescent="0.3"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</row>
    <row r="50" spans="6:21" s="77" customFormat="1" x14ac:dyDescent="0.3"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</row>
    <row r="51" spans="6:21" s="77" customFormat="1" x14ac:dyDescent="0.3"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</row>
    <row r="52" spans="6:21" s="77" customFormat="1" x14ac:dyDescent="0.3"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</row>
    <row r="53" spans="6:21" x14ac:dyDescent="0.3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 spans="6:21" x14ac:dyDescent="0.3"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spans="6:21" x14ac:dyDescent="0.3"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 spans="6:21" x14ac:dyDescent="0.3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 spans="6:21" x14ac:dyDescent="0.3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 spans="6:21" x14ac:dyDescent="0.3"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 spans="6:21" x14ac:dyDescent="0.3"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 spans="6:21" x14ac:dyDescent="0.3"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CCFFCC"/>
  </sheetPr>
  <dimension ref="A1:BD88"/>
  <sheetViews>
    <sheetView zoomScaleNormal="100" workbookViewId="0">
      <pane xSplit="6" ySplit="12" topLeftCell="P13" activePane="bottomRight" state="frozen"/>
      <selection pane="topRight" activeCell="F1" sqref="F1"/>
      <selection pane="bottomLeft" activeCell="A13" sqref="A13"/>
      <selection pane="bottomRight" activeCell="Z22" sqref="Z22"/>
    </sheetView>
  </sheetViews>
  <sheetFormatPr defaultRowHeight="14.4" x14ac:dyDescent="0.3"/>
  <cols>
    <col min="2" max="2" width="32.109375" customWidth="1"/>
    <col min="3" max="3" width="32.109375" style="217" customWidth="1"/>
    <col min="4" max="4" width="13.5546875" style="4" customWidth="1"/>
    <col min="5" max="5" width="11.44140625" style="4" customWidth="1"/>
    <col min="6" max="6" width="12" style="4" customWidth="1"/>
    <col min="7" max="7" width="15" customWidth="1"/>
    <col min="8" max="8" width="12.109375" customWidth="1"/>
    <col min="9" max="10" width="12.6640625" customWidth="1"/>
    <col min="11" max="11" width="12.44140625" customWidth="1"/>
    <col min="12" max="12" width="12.6640625" customWidth="1"/>
    <col min="14" max="14" width="11.109375" customWidth="1"/>
    <col min="21" max="21" width="11.109375" customWidth="1"/>
    <col min="23" max="23" width="12" customWidth="1"/>
    <col min="24" max="24" width="10.88671875" customWidth="1"/>
    <col min="25" max="25" width="11.44140625" customWidth="1"/>
  </cols>
  <sheetData>
    <row r="1" spans="1:26" s="4" customFormat="1" ht="21" x14ac:dyDescent="0.35">
      <c r="A1" s="39" t="s">
        <v>0</v>
      </c>
      <c r="B1" s="47"/>
      <c r="C1" s="81" t="s">
        <v>99</v>
      </c>
      <c r="D1" s="40"/>
      <c r="E1" s="39"/>
      <c r="F1" s="41"/>
      <c r="G1" s="50"/>
      <c r="H1" s="47"/>
      <c r="I1" s="47"/>
      <c r="J1" s="40" t="str">
        <f>C1</f>
        <v>21st CENTURY GRANT</v>
      </c>
      <c r="K1" s="87"/>
      <c r="L1" s="47"/>
      <c r="M1" s="47"/>
      <c r="N1" s="47"/>
      <c r="O1" s="47"/>
      <c r="P1" s="47"/>
      <c r="Q1" s="47"/>
      <c r="R1" s="40" t="str">
        <f>C1</f>
        <v>21st CENTURY GRANT</v>
      </c>
      <c r="S1" s="47"/>
      <c r="T1" s="47"/>
      <c r="U1" s="47"/>
      <c r="V1" s="47"/>
      <c r="W1" s="87"/>
      <c r="X1" s="87"/>
      <c r="Y1" s="87"/>
      <c r="Z1" s="87"/>
    </row>
    <row r="2" spans="1:26" s="4" customFormat="1" ht="18.75" x14ac:dyDescent="0.3">
      <c r="A2" s="42" t="s">
        <v>1</v>
      </c>
      <c r="B2" s="47"/>
      <c r="C2" s="91">
        <v>84.287000000000006</v>
      </c>
      <c r="D2" s="43"/>
      <c r="E2" s="42"/>
      <c r="F2" s="44"/>
      <c r="G2" s="50"/>
      <c r="H2" s="47"/>
      <c r="I2" s="47"/>
      <c r="J2" s="70" t="str">
        <f>"FY"&amp;C5</f>
        <v>FY2011-12</v>
      </c>
      <c r="K2" s="87"/>
      <c r="L2" s="47"/>
      <c r="M2" s="47"/>
      <c r="N2" s="47"/>
      <c r="O2" s="47"/>
      <c r="P2" s="47"/>
      <c r="Q2" s="47"/>
      <c r="R2" s="70" t="str">
        <f>"FY"&amp;C5</f>
        <v>FY2011-12</v>
      </c>
      <c r="S2" s="47"/>
      <c r="T2" s="47"/>
      <c r="U2" s="47"/>
      <c r="V2" s="47"/>
      <c r="W2" s="87"/>
      <c r="X2" s="87"/>
      <c r="Y2" s="87"/>
      <c r="Z2" s="87"/>
    </row>
    <row r="3" spans="1:26" s="4" customFormat="1" ht="15.75" x14ac:dyDescent="0.25">
      <c r="A3" s="42" t="s">
        <v>2</v>
      </c>
      <c r="B3" s="47"/>
      <c r="C3" s="91">
        <v>5287</v>
      </c>
      <c r="D3" s="43"/>
      <c r="E3" s="42"/>
      <c r="F3" s="44"/>
      <c r="G3" s="50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87"/>
      <c r="X3" s="87"/>
      <c r="Y3" s="87"/>
      <c r="Z3" s="87"/>
    </row>
    <row r="4" spans="1:26" s="4" customFormat="1" ht="15.75" x14ac:dyDescent="0.25">
      <c r="A4" s="42" t="s">
        <v>100</v>
      </c>
      <c r="B4" s="47"/>
      <c r="C4" s="91">
        <v>5</v>
      </c>
      <c r="D4" s="43"/>
      <c r="E4" s="42"/>
      <c r="F4" s="44"/>
      <c r="G4" s="50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87"/>
      <c r="X4" s="87"/>
      <c r="Y4" s="87"/>
      <c r="Z4" s="87"/>
    </row>
    <row r="5" spans="1:26" s="4" customFormat="1" ht="15.75" x14ac:dyDescent="0.25">
      <c r="A5" s="42" t="s">
        <v>3</v>
      </c>
      <c r="B5" s="47"/>
      <c r="C5" s="91" t="s">
        <v>6</v>
      </c>
      <c r="D5" s="43"/>
      <c r="E5" s="44"/>
      <c r="F5" s="44"/>
      <c r="G5" s="50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87"/>
      <c r="X5" s="87"/>
      <c r="Y5" s="87"/>
      <c r="Z5" s="87"/>
    </row>
    <row r="6" spans="1:26" s="4" customFormat="1" ht="15.75" x14ac:dyDescent="0.25">
      <c r="A6" s="42" t="s">
        <v>171</v>
      </c>
      <c r="B6" s="47"/>
      <c r="C6" s="91" t="s">
        <v>173</v>
      </c>
      <c r="D6" s="43"/>
      <c r="E6" s="44"/>
      <c r="F6" s="44"/>
      <c r="G6" s="50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87"/>
      <c r="X6" s="87"/>
      <c r="Y6" s="87"/>
      <c r="Z6" s="87"/>
    </row>
    <row r="7" spans="1:26" s="4" customFormat="1" ht="15.75" x14ac:dyDescent="0.25">
      <c r="A7" s="42" t="s">
        <v>101</v>
      </c>
      <c r="B7" s="47"/>
      <c r="C7" s="91" t="s">
        <v>102</v>
      </c>
      <c r="D7" s="43"/>
      <c r="E7" s="44"/>
      <c r="F7" s="44"/>
      <c r="G7" s="46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87"/>
      <c r="X7" s="87"/>
      <c r="Y7" s="87"/>
      <c r="Z7" s="87"/>
    </row>
    <row r="8" spans="1:26" s="4" customFormat="1" ht="15.75" x14ac:dyDescent="0.25">
      <c r="A8" s="42" t="s">
        <v>103</v>
      </c>
      <c r="B8" s="47"/>
      <c r="C8" s="91" t="s">
        <v>569</v>
      </c>
      <c r="D8" s="43"/>
      <c r="E8" s="44"/>
      <c r="F8" s="44"/>
      <c r="G8" s="46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87"/>
      <c r="X8" s="87"/>
      <c r="Y8" s="87"/>
      <c r="Z8" s="87"/>
    </row>
    <row r="9" spans="1:26" s="4" customFormat="1" ht="15.75" x14ac:dyDescent="0.25">
      <c r="A9" s="42"/>
      <c r="B9" s="47"/>
      <c r="C9" s="87"/>
      <c r="D9" s="43"/>
      <c r="E9" s="44"/>
      <c r="F9" s="44"/>
      <c r="G9" s="46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87"/>
      <c r="X9" s="87"/>
      <c r="Y9" s="87"/>
      <c r="Z9" s="87"/>
    </row>
    <row r="10" spans="1:26" s="4" customFormat="1" ht="21" x14ac:dyDescent="0.35">
      <c r="A10" s="39" t="s">
        <v>80</v>
      </c>
      <c r="B10" s="47"/>
      <c r="C10" s="87"/>
      <c r="D10" s="43"/>
      <c r="E10" s="44"/>
      <c r="F10" s="44"/>
      <c r="G10" s="46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87"/>
      <c r="X10" s="87"/>
      <c r="Y10" s="87"/>
      <c r="Z10" s="87"/>
    </row>
    <row r="11" spans="1:26" s="4" customFormat="1" ht="15.75" thickBot="1" x14ac:dyDescent="0.3">
      <c r="A11" s="78" t="s">
        <v>183</v>
      </c>
      <c r="B11" s="47"/>
      <c r="C11" s="8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87"/>
      <c r="X11" s="87"/>
      <c r="Y11" s="87"/>
      <c r="Z11" s="87"/>
    </row>
    <row r="12" spans="1:26" ht="45.75" thickBot="1" x14ac:dyDescent="0.3">
      <c r="A12" s="67" t="s">
        <v>4</v>
      </c>
      <c r="B12" s="68" t="s">
        <v>5</v>
      </c>
      <c r="C12" s="68" t="s">
        <v>505</v>
      </c>
      <c r="D12" s="69" t="s">
        <v>61</v>
      </c>
      <c r="E12" s="68" t="s">
        <v>62</v>
      </c>
      <c r="F12" s="59" t="s">
        <v>63</v>
      </c>
      <c r="G12" s="57" t="s">
        <v>64</v>
      </c>
      <c r="H12" s="56" t="s">
        <v>65</v>
      </c>
      <c r="I12" s="57" t="s">
        <v>66</v>
      </c>
      <c r="J12" s="56" t="s">
        <v>67</v>
      </c>
      <c r="K12" s="57" t="s">
        <v>68</v>
      </c>
      <c r="L12" s="56" t="s">
        <v>79</v>
      </c>
      <c r="M12" s="57" t="s">
        <v>69</v>
      </c>
      <c r="N12" s="57" t="s">
        <v>70</v>
      </c>
      <c r="O12" s="56" t="s">
        <v>71</v>
      </c>
      <c r="P12" s="57" t="s">
        <v>72</v>
      </c>
      <c r="Q12" s="56" t="s">
        <v>73</v>
      </c>
      <c r="R12" s="57" t="s">
        <v>74</v>
      </c>
      <c r="S12" s="56" t="s">
        <v>75</v>
      </c>
      <c r="T12" s="57" t="s">
        <v>76</v>
      </c>
      <c r="U12" s="56" t="s">
        <v>77</v>
      </c>
      <c r="V12" s="57" t="s">
        <v>78</v>
      </c>
      <c r="W12" s="57" t="s">
        <v>557</v>
      </c>
      <c r="X12" s="57" t="s">
        <v>560</v>
      </c>
      <c r="Y12" s="57" t="s">
        <v>567</v>
      </c>
      <c r="Z12" s="57" t="s">
        <v>568</v>
      </c>
    </row>
    <row r="13" spans="1:26" ht="15.75" thickBot="1" x14ac:dyDescent="0.3">
      <c r="A13" s="227" t="s">
        <v>120</v>
      </c>
      <c r="B13" s="221" t="s">
        <v>125</v>
      </c>
      <c r="C13" s="219"/>
      <c r="D13" s="54">
        <v>273335</v>
      </c>
      <c r="E13" s="54">
        <f>SUM(G13:Z13)</f>
        <v>273335</v>
      </c>
      <c r="F13" s="148">
        <f>D13-E13</f>
        <v>0</v>
      </c>
      <c r="G13" s="23"/>
      <c r="H13" s="23"/>
      <c r="I13" s="23"/>
      <c r="J13" s="23"/>
      <c r="K13" s="23"/>
      <c r="L13" s="23"/>
      <c r="M13" s="23">
        <v>51019</v>
      </c>
      <c r="N13" s="23"/>
      <c r="O13" s="23">
        <v>26720</v>
      </c>
      <c r="P13" s="23">
        <v>11704</v>
      </c>
      <c r="Q13" s="23">
        <v>11863</v>
      </c>
      <c r="R13" s="23">
        <v>15480</v>
      </c>
      <c r="S13" s="23"/>
      <c r="T13" s="23">
        <v>136</v>
      </c>
      <c r="U13" s="23">
        <f>59381+1514</f>
        <v>60895</v>
      </c>
      <c r="V13" s="23">
        <f>20693+1913</f>
        <v>22606</v>
      </c>
      <c r="W13" s="215"/>
      <c r="Y13">
        <v>30375</v>
      </c>
      <c r="Z13">
        <v>42537</v>
      </c>
    </row>
    <row r="14" spans="1:26" ht="15.75" thickBot="1" x14ac:dyDescent="0.3">
      <c r="A14" s="228" t="s">
        <v>7</v>
      </c>
      <c r="B14" s="225" t="s">
        <v>126</v>
      </c>
      <c r="C14" s="223"/>
      <c r="D14" s="55">
        <v>269948</v>
      </c>
      <c r="E14" s="54">
        <f t="shared" ref="E14:E43" si="0">SUM(G14:Z14)</f>
        <v>269948</v>
      </c>
      <c r="F14" s="146">
        <f t="shared" ref="F14:F43" si="1">D14-E14</f>
        <v>0</v>
      </c>
      <c r="G14" s="23"/>
      <c r="H14" s="23"/>
      <c r="I14" s="23"/>
      <c r="J14" s="23">
        <v>83738</v>
      </c>
      <c r="K14" s="23">
        <v>19619</v>
      </c>
      <c r="L14" s="23">
        <v>16493</v>
      </c>
      <c r="M14" s="23">
        <v>24512</v>
      </c>
      <c r="N14" s="23">
        <v>8835</v>
      </c>
      <c r="O14" s="23"/>
      <c r="P14" s="23">
        <v>44864</v>
      </c>
      <c r="Q14" s="23">
        <v>20442</v>
      </c>
      <c r="R14" s="23">
        <v>18819</v>
      </c>
      <c r="S14" s="23"/>
      <c r="T14" s="23">
        <v>32626</v>
      </c>
      <c r="U14" s="23"/>
      <c r="V14" s="23"/>
      <c r="W14" s="215"/>
      <c r="Y14">
        <v>0</v>
      </c>
      <c r="Z14">
        <v>0</v>
      </c>
    </row>
    <row r="15" spans="1:26" ht="15.75" thickBot="1" x14ac:dyDescent="0.3">
      <c r="A15" s="228" t="s">
        <v>121</v>
      </c>
      <c r="B15" s="225" t="s">
        <v>127</v>
      </c>
      <c r="C15" s="223"/>
      <c r="D15" s="55">
        <v>169694</v>
      </c>
      <c r="E15" s="54">
        <f t="shared" si="0"/>
        <v>169694</v>
      </c>
      <c r="F15" s="146">
        <f t="shared" si="1"/>
        <v>0</v>
      </c>
      <c r="G15" s="23"/>
      <c r="H15" s="23"/>
      <c r="I15" s="23"/>
      <c r="J15" s="23">
        <v>8882</v>
      </c>
      <c r="K15" s="23">
        <v>9501</v>
      </c>
      <c r="L15" s="23">
        <v>10994</v>
      </c>
      <c r="M15" s="23">
        <v>4654</v>
      </c>
      <c r="N15" s="23">
        <v>8992</v>
      </c>
      <c r="O15" s="23">
        <v>37143</v>
      </c>
      <c r="P15" s="23">
        <v>24611</v>
      </c>
      <c r="Q15" s="23">
        <v>12857</v>
      </c>
      <c r="R15" s="23">
        <v>15601</v>
      </c>
      <c r="S15" s="23">
        <v>11684</v>
      </c>
      <c r="T15" s="23"/>
      <c r="U15" s="23"/>
      <c r="V15" s="23"/>
      <c r="W15" s="215"/>
      <c r="Y15">
        <v>24639</v>
      </c>
      <c r="Z15">
        <v>136</v>
      </c>
    </row>
    <row r="16" spans="1:26" ht="15.75" thickBot="1" x14ac:dyDescent="0.3">
      <c r="A16" s="228" t="s">
        <v>9</v>
      </c>
      <c r="B16" s="225" t="s">
        <v>128</v>
      </c>
      <c r="C16" s="223"/>
      <c r="D16" s="55">
        <v>443110</v>
      </c>
      <c r="E16" s="54">
        <f t="shared" si="0"/>
        <v>443110</v>
      </c>
      <c r="F16" s="146">
        <f t="shared" si="1"/>
        <v>0</v>
      </c>
      <c r="G16" s="23"/>
      <c r="H16" s="23"/>
      <c r="I16" s="23"/>
      <c r="J16" s="23"/>
      <c r="K16" s="23">
        <v>81571</v>
      </c>
      <c r="L16" s="23">
        <v>12536</v>
      </c>
      <c r="M16" s="23">
        <v>17243</v>
      </c>
      <c r="N16" s="23">
        <v>15391</v>
      </c>
      <c r="O16" s="23"/>
      <c r="P16" s="23">
        <v>76895</v>
      </c>
      <c r="Q16" s="23">
        <v>43268</v>
      </c>
      <c r="R16" s="23">
        <v>19165</v>
      </c>
      <c r="S16" s="23">
        <v>16370</v>
      </c>
      <c r="T16" s="23">
        <v>86396</v>
      </c>
      <c r="U16" s="23">
        <v>8918</v>
      </c>
      <c r="V16" s="23">
        <v>148</v>
      </c>
      <c r="W16" s="215"/>
      <c r="Y16" s="215">
        <v>65209</v>
      </c>
    </row>
    <row r="17" spans="1:26" ht="15.75" thickBot="1" x14ac:dyDescent="0.3">
      <c r="A17" s="228" t="s">
        <v>12</v>
      </c>
      <c r="B17" s="225" t="s">
        <v>129</v>
      </c>
      <c r="C17" s="223" t="s">
        <v>530</v>
      </c>
      <c r="D17" s="55">
        <v>224991</v>
      </c>
      <c r="E17" s="54">
        <f t="shared" si="0"/>
        <v>224991</v>
      </c>
      <c r="F17" s="146">
        <f t="shared" si="1"/>
        <v>0</v>
      </c>
      <c r="G17" s="23"/>
      <c r="H17" s="23"/>
      <c r="I17" s="23"/>
      <c r="J17" s="23"/>
      <c r="K17" s="23">
        <v>34185</v>
      </c>
      <c r="L17" s="23">
        <v>18885</v>
      </c>
      <c r="M17" s="23">
        <v>6934</v>
      </c>
      <c r="N17" s="23">
        <v>19019</v>
      </c>
      <c r="O17" s="23">
        <v>8085</v>
      </c>
      <c r="P17" s="23">
        <v>11952</v>
      </c>
      <c r="Q17" s="23">
        <v>5609</v>
      </c>
      <c r="R17" s="23">
        <v>17287</v>
      </c>
      <c r="S17" s="23">
        <v>21679</v>
      </c>
      <c r="T17" s="23">
        <v>36933</v>
      </c>
      <c r="U17" s="23">
        <v>16799</v>
      </c>
      <c r="V17" s="23"/>
      <c r="W17" s="215"/>
      <c r="Y17">
        <v>26014</v>
      </c>
      <c r="Z17">
        <v>1610</v>
      </c>
    </row>
    <row r="18" spans="1:26" ht="27" thickBot="1" x14ac:dyDescent="0.3">
      <c r="A18" s="228" t="s">
        <v>12</v>
      </c>
      <c r="B18" s="225" t="s">
        <v>129</v>
      </c>
      <c r="C18" s="223" t="s">
        <v>531</v>
      </c>
      <c r="D18" s="55">
        <v>402938</v>
      </c>
      <c r="E18" s="54">
        <f t="shared" si="0"/>
        <v>402938</v>
      </c>
      <c r="F18" s="146">
        <f t="shared" si="1"/>
        <v>0</v>
      </c>
      <c r="G18" s="23"/>
      <c r="H18" s="23"/>
      <c r="I18" s="23"/>
      <c r="J18" s="23"/>
      <c r="K18" s="23">
        <v>62515</v>
      </c>
      <c r="L18" s="23">
        <v>7720</v>
      </c>
      <c r="M18" s="23">
        <v>20038</v>
      </c>
      <c r="N18" s="23">
        <v>21334</v>
      </c>
      <c r="O18" s="23">
        <v>7930</v>
      </c>
      <c r="P18" s="23">
        <v>19132</v>
      </c>
      <c r="Q18" s="23">
        <v>19696</v>
      </c>
      <c r="R18" s="23">
        <v>18195</v>
      </c>
      <c r="S18" s="23">
        <v>70923</v>
      </c>
      <c r="T18" s="23">
        <v>25072</v>
      </c>
      <c r="U18" s="23">
        <v>103634</v>
      </c>
      <c r="V18" s="23"/>
      <c r="W18" s="215"/>
      <c r="Y18">
        <v>26749</v>
      </c>
    </row>
    <row r="19" spans="1:26" ht="40.950000000000003" thickBot="1" x14ac:dyDescent="0.35">
      <c r="A19" s="228" t="s">
        <v>122</v>
      </c>
      <c r="B19" s="225" t="s">
        <v>130</v>
      </c>
      <c r="C19" s="223" t="s">
        <v>532</v>
      </c>
      <c r="D19" s="55">
        <v>725207.2</v>
      </c>
      <c r="E19" s="54">
        <f t="shared" si="0"/>
        <v>725207</v>
      </c>
      <c r="F19" s="146">
        <f t="shared" si="1"/>
        <v>0.19999999995343387</v>
      </c>
      <c r="G19" s="23"/>
      <c r="H19" s="23"/>
      <c r="I19" s="23"/>
      <c r="J19" s="23"/>
      <c r="K19" s="23"/>
      <c r="L19" s="23">
        <v>59874</v>
      </c>
      <c r="M19" s="23">
        <v>60903</v>
      </c>
      <c r="N19" s="23">
        <f>40242+50118</f>
        <v>90360</v>
      </c>
      <c r="O19" s="23">
        <v>9633</v>
      </c>
      <c r="P19" s="23"/>
      <c r="Q19" s="23">
        <f>8089+10924</f>
        <v>19013</v>
      </c>
      <c r="R19" s="23">
        <v>137348</v>
      </c>
      <c r="S19" s="23">
        <v>33169</v>
      </c>
      <c r="T19" s="23">
        <v>42419</v>
      </c>
      <c r="U19" s="23">
        <v>16398</v>
      </c>
      <c r="V19" s="23">
        <v>11896</v>
      </c>
      <c r="W19" s="215">
        <v>34029</v>
      </c>
      <c r="X19" s="215">
        <v>43269</v>
      </c>
      <c r="Y19" s="215">
        <v>166896</v>
      </c>
    </row>
    <row r="20" spans="1:26" ht="15" thickBot="1" x14ac:dyDescent="0.35">
      <c r="A20" s="228" t="s">
        <v>122</v>
      </c>
      <c r="B20" s="225" t="s">
        <v>130</v>
      </c>
      <c r="C20" s="223" t="s">
        <v>533</v>
      </c>
      <c r="D20" s="55">
        <v>536911.9</v>
      </c>
      <c r="E20" s="54">
        <f t="shared" si="0"/>
        <v>536912</v>
      </c>
      <c r="F20" s="146">
        <f t="shared" si="1"/>
        <v>-9.9999999976716936E-2</v>
      </c>
      <c r="G20" s="23"/>
      <c r="H20" s="23"/>
      <c r="I20" s="23"/>
      <c r="J20" s="23"/>
      <c r="K20" s="23"/>
      <c r="L20" s="23">
        <v>8848</v>
      </c>
      <c r="M20" s="23">
        <v>528</v>
      </c>
      <c r="N20" s="23">
        <f>29373+137437</f>
        <v>166810</v>
      </c>
      <c r="O20" s="23">
        <v>45880</v>
      </c>
      <c r="P20" s="23"/>
      <c r="Q20" s="23">
        <f>41987+74242</f>
        <v>116229</v>
      </c>
      <c r="R20" s="23">
        <v>57471</v>
      </c>
      <c r="S20" s="23"/>
      <c r="T20" s="26">
        <v>108789</v>
      </c>
      <c r="U20" s="23">
        <v>11096</v>
      </c>
      <c r="V20" s="23">
        <v>421</v>
      </c>
      <c r="W20" s="215"/>
      <c r="Y20" s="215">
        <v>20840</v>
      </c>
    </row>
    <row r="21" spans="1:26" ht="15" thickBot="1" x14ac:dyDescent="0.35">
      <c r="A21" s="228" t="s">
        <v>122</v>
      </c>
      <c r="B21" s="225" t="s">
        <v>130</v>
      </c>
      <c r="C21" s="223" t="s">
        <v>534</v>
      </c>
      <c r="D21" s="55">
        <v>522315.1</v>
      </c>
      <c r="E21" s="54">
        <f t="shared" si="0"/>
        <v>522315</v>
      </c>
      <c r="F21" s="146">
        <f t="shared" si="1"/>
        <v>9.9999999976716936E-2</v>
      </c>
      <c r="G21" s="23"/>
      <c r="H21" s="23"/>
      <c r="I21" s="23"/>
      <c r="J21" s="23"/>
      <c r="K21" s="23"/>
      <c r="L21" s="23">
        <v>28902</v>
      </c>
      <c r="M21" s="23">
        <v>62361</v>
      </c>
      <c r="N21" s="23">
        <f>901+45671</f>
        <v>46572</v>
      </c>
      <c r="O21" s="23">
        <v>7023</v>
      </c>
      <c r="P21" s="23"/>
      <c r="Q21" s="23">
        <f>7120+32467</f>
        <v>39587</v>
      </c>
      <c r="R21" s="23">
        <v>57308</v>
      </c>
      <c r="S21" s="23">
        <v>11786</v>
      </c>
      <c r="T21" s="23">
        <v>85348</v>
      </c>
      <c r="U21" s="23">
        <v>13368</v>
      </c>
      <c r="V21" s="23">
        <v>103861</v>
      </c>
      <c r="W21" s="215"/>
      <c r="Y21" s="215">
        <v>66199</v>
      </c>
    </row>
    <row r="22" spans="1:26" ht="15" thickBot="1" x14ac:dyDescent="0.35">
      <c r="A22" s="228" t="s">
        <v>123</v>
      </c>
      <c r="B22" s="225" t="s">
        <v>131</v>
      </c>
      <c r="C22" s="223"/>
      <c r="D22" s="55">
        <v>238691</v>
      </c>
      <c r="E22" s="54">
        <f t="shared" si="0"/>
        <v>238691</v>
      </c>
      <c r="F22" s="146">
        <f t="shared" si="1"/>
        <v>0</v>
      </c>
      <c r="G22" s="23"/>
      <c r="H22" s="23"/>
      <c r="I22" s="23"/>
      <c r="J22" s="23"/>
      <c r="K22" s="23">
        <v>49490</v>
      </c>
      <c r="L22" s="23">
        <v>11680</v>
      </c>
      <c r="M22" s="23">
        <v>16193</v>
      </c>
      <c r="N22" s="23">
        <v>10158</v>
      </c>
      <c r="O22" s="23">
        <v>24742</v>
      </c>
      <c r="P22" s="23">
        <v>18752</v>
      </c>
      <c r="Q22" s="23">
        <v>15638</v>
      </c>
      <c r="R22" s="23">
        <v>19784</v>
      </c>
      <c r="S22" s="23">
        <v>19877</v>
      </c>
      <c r="T22" s="23">
        <v>40639</v>
      </c>
      <c r="U22" s="23">
        <v>7503</v>
      </c>
      <c r="V22" s="23"/>
      <c r="W22" s="215"/>
      <c r="Y22" s="215">
        <v>4235</v>
      </c>
    </row>
    <row r="23" spans="1:26" ht="15" thickBot="1" x14ac:dyDescent="0.35">
      <c r="A23" s="229">
        <v>1010</v>
      </c>
      <c r="B23" s="225" t="s">
        <v>109</v>
      </c>
      <c r="C23" s="223"/>
      <c r="D23" s="55">
        <v>122085.6</v>
      </c>
      <c r="E23" s="54">
        <f t="shared" si="0"/>
        <v>122086</v>
      </c>
      <c r="F23" s="146">
        <f t="shared" si="1"/>
        <v>-0.39999999999417923</v>
      </c>
      <c r="G23" s="23"/>
      <c r="H23" s="23"/>
      <c r="I23" s="23"/>
      <c r="J23" s="23">
        <v>11361</v>
      </c>
      <c r="K23" s="23">
        <v>11586</v>
      </c>
      <c r="L23" s="23">
        <v>11651</v>
      </c>
      <c r="M23" s="23">
        <v>8749</v>
      </c>
      <c r="N23" s="23">
        <v>10934</v>
      </c>
      <c r="O23" s="23">
        <v>10573</v>
      </c>
      <c r="P23" s="23">
        <v>10675</v>
      </c>
      <c r="Q23" s="23">
        <v>11016</v>
      </c>
      <c r="R23" s="23">
        <v>13295</v>
      </c>
      <c r="S23" s="23"/>
      <c r="T23" s="23">
        <v>21201</v>
      </c>
      <c r="U23" s="23"/>
      <c r="V23" s="23"/>
      <c r="W23" s="215"/>
      <c r="Y23" s="215">
        <v>1045</v>
      </c>
    </row>
    <row r="24" spans="1:26" ht="15" thickBot="1" x14ac:dyDescent="0.35">
      <c r="A24" s="229">
        <v>1070</v>
      </c>
      <c r="B24" s="225" t="s">
        <v>132</v>
      </c>
      <c r="C24" s="223"/>
      <c r="D24" s="55">
        <v>123955</v>
      </c>
      <c r="E24" s="54">
        <f t="shared" si="0"/>
        <v>123955</v>
      </c>
      <c r="F24" s="146">
        <f t="shared" si="1"/>
        <v>0</v>
      </c>
      <c r="G24" s="23"/>
      <c r="H24" s="23"/>
      <c r="I24" s="23"/>
      <c r="J24" s="23"/>
      <c r="K24" s="23"/>
      <c r="L24" s="23">
        <v>15954</v>
      </c>
      <c r="M24" s="23">
        <v>4362</v>
      </c>
      <c r="N24" s="23">
        <v>6839</v>
      </c>
      <c r="O24" s="23">
        <v>5451</v>
      </c>
      <c r="P24" s="23">
        <v>6187</v>
      </c>
      <c r="Q24" s="23">
        <v>8958</v>
      </c>
      <c r="R24" s="23">
        <v>6995</v>
      </c>
      <c r="S24" s="23">
        <v>12290</v>
      </c>
      <c r="T24" s="23">
        <v>6161</v>
      </c>
      <c r="U24" s="23">
        <v>4172</v>
      </c>
      <c r="V24" s="23"/>
      <c r="W24" s="215"/>
      <c r="Y24" s="215">
        <v>18590</v>
      </c>
      <c r="Z24">
        <v>27996</v>
      </c>
    </row>
    <row r="25" spans="1:26" ht="15" thickBot="1" x14ac:dyDescent="0.35">
      <c r="A25" s="229">
        <v>1195</v>
      </c>
      <c r="B25" s="225" t="s">
        <v>133</v>
      </c>
      <c r="C25" s="223"/>
      <c r="D25" s="55">
        <v>143156</v>
      </c>
      <c r="E25" s="54">
        <f t="shared" si="0"/>
        <v>143156</v>
      </c>
      <c r="F25" s="146">
        <f t="shared" si="1"/>
        <v>0</v>
      </c>
      <c r="G25" s="23"/>
      <c r="H25" s="23"/>
      <c r="I25" s="23"/>
      <c r="J25" s="23">
        <v>32138</v>
      </c>
      <c r="K25" s="23">
        <v>4567</v>
      </c>
      <c r="L25" s="23">
        <v>8107</v>
      </c>
      <c r="M25" s="23">
        <v>5986</v>
      </c>
      <c r="N25" s="23">
        <v>12292</v>
      </c>
      <c r="O25" s="23">
        <v>7719</v>
      </c>
      <c r="P25" s="23">
        <v>6659</v>
      </c>
      <c r="Q25" s="23">
        <v>6409</v>
      </c>
      <c r="R25" s="23">
        <v>11005</v>
      </c>
      <c r="S25" s="23"/>
      <c r="T25" s="23">
        <v>41446</v>
      </c>
      <c r="U25" s="23"/>
      <c r="V25" s="23"/>
      <c r="W25" s="215"/>
      <c r="Y25" s="215">
        <v>6828</v>
      </c>
    </row>
    <row r="26" spans="1:26" ht="15" thickBot="1" x14ac:dyDescent="0.35">
      <c r="A26" s="229">
        <v>1390</v>
      </c>
      <c r="B26" s="225" t="s">
        <v>134</v>
      </c>
      <c r="C26" s="223"/>
      <c r="D26" s="55">
        <v>149906</v>
      </c>
      <c r="E26" s="54">
        <f t="shared" si="0"/>
        <v>149906</v>
      </c>
      <c r="F26" s="146">
        <f t="shared" si="1"/>
        <v>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>
        <v>53170</v>
      </c>
      <c r="S26" s="23"/>
      <c r="T26" s="23"/>
      <c r="U26" s="23"/>
      <c r="V26" s="23"/>
      <c r="W26" s="215">
        <v>15442</v>
      </c>
      <c r="Y26" s="215">
        <v>20237</v>
      </c>
      <c r="Z26">
        <v>61057</v>
      </c>
    </row>
    <row r="27" spans="1:26" ht="15" thickBot="1" x14ac:dyDescent="0.35">
      <c r="A27" s="229">
        <v>1420</v>
      </c>
      <c r="B27" s="225" t="s">
        <v>135</v>
      </c>
      <c r="C27" s="223" t="s">
        <v>535</v>
      </c>
      <c r="D27" s="55">
        <v>230939</v>
      </c>
      <c r="E27" s="54">
        <f t="shared" si="0"/>
        <v>230939</v>
      </c>
      <c r="F27" s="146">
        <f t="shared" si="1"/>
        <v>0</v>
      </c>
      <c r="G27" s="23"/>
      <c r="H27" s="23"/>
      <c r="I27" s="23"/>
      <c r="J27" s="23">
        <v>9626</v>
      </c>
      <c r="K27" s="23">
        <v>16345</v>
      </c>
      <c r="L27" s="23">
        <v>17100</v>
      </c>
      <c r="M27" s="23">
        <v>17669</v>
      </c>
      <c r="N27" s="23">
        <v>17088</v>
      </c>
      <c r="O27" s="23">
        <v>21600</v>
      </c>
      <c r="P27" s="23">
        <v>20142</v>
      </c>
      <c r="Q27" s="23">
        <v>13787</v>
      </c>
      <c r="R27" s="23"/>
      <c r="S27" s="23">
        <f>52432+30844</f>
        <v>83276</v>
      </c>
      <c r="T27" s="23"/>
      <c r="U27" s="23">
        <v>14051</v>
      </c>
      <c r="V27" s="23"/>
      <c r="W27" s="215"/>
      <c r="Y27" s="215">
        <v>255</v>
      </c>
    </row>
    <row r="28" spans="1:26" ht="15" thickBot="1" x14ac:dyDescent="0.35">
      <c r="A28" s="229">
        <v>1420</v>
      </c>
      <c r="B28" s="225" t="s">
        <v>135</v>
      </c>
      <c r="C28" s="223" t="s">
        <v>536</v>
      </c>
      <c r="D28" s="55">
        <v>315239</v>
      </c>
      <c r="E28" s="54">
        <f t="shared" si="0"/>
        <v>315239</v>
      </c>
      <c r="F28" s="146">
        <f t="shared" si="1"/>
        <v>0</v>
      </c>
      <c r="G28" s="23"/>
      <c r="H28" s="23"/>
      <c r="I28" s="23"/>
      <c r="J28" s="23">
        <v>33042</v>
      </c>
      <c r="K28" s="23">
        <v>39357</v>
      </c>
      <c r="L28" s="23">
        <v>23773</v>
      </c>
      <c r="M28" s="23">
        <v>22988</v>
      </c>
      <c r="N28" s="23">
        <v>24366</v>
      </c>
      <c r="O28" s="23">
        <v>20839</v>
      </c>
      <c r="P28" s="23">
        <v>24689</v>
      </c>
      <c r="Q28" s="23">
        <v>25443</v>
      </c>
      <c r="R28" s="23"/>
      <c r="S28" s="23">
        <f>34125+26411</f>
        <v>60536</v>
      </c>
      <c r="T28" s="23"/>
      <c r="U28" s="23">
        <v>9809</v>
      </c>
      <c r="V28" s="23"/>
      <c r="W28" s="215"/>
      <c r="Y28" s="215">
        <v>30397</v>
      </c>
    </row>
    <row r="29" spans="1:26" ht="15" thickBot="1" x14ac:dyDescent="0.35">
      <c r="A29" s="229">
        <v>1510</v>
      </c>
      <c r="B29" s="225" t="s">
        <v>136</v>
      </c>
      <c r="C29" s="223"/>
      <c r="D29" s="55">
        <v>179082</v>
      </c>
      <c r="E29" s="54">
        <f t="shared" si="0"/>
        <v>179082</v>
      </c>
      <c r="F29" s="146">
        <f t="shared" si="1"/>
        <v>0</v>
      </c>
      <c r="G29" s="23"/>
      <c r="H29" s="23"/>
      <c r="I29" s="23"/>
      <c r="J29" s="23"/>
      <c r="K29" s="23">
        <v>27823</v>
      </c>
      <c r="L29" s="23"/>
      <c r="M29" s="23">
        <v>41779</v>
      </c>
      <c r="N29" s="23">
        <v>6382</v>
      </c>
      <c r="O29" s="23">
        <v>12852</v>
      </c>
      <c r="P29" s="23"/>
      <c r="Q29" s="23">
        <v>29964</v>
      </c>
      <c r="R29" s="23"/>
      <c r="S29" s="23"/>
      <c r="T29" s="23">
        <v>50328</v>
      </c>
      <c r="U29" s="23"/>
      <c r="V29" s="23"/>
      <c r="W29" s="215"/>
      <c r="Y29" s="215">
        <v>9954</v>
      </c>
    </row>
    <row r="30" spans="1:26" ht="15" thickBot="1" x14ac:dyDescent="0.35">
      <c r="A30" s="229">
        <v>1550</v>
      </c>
      <c r="B30" s="225" t="s">
        <v>137</v>
      </c>
      <c r="C30" s="223"/>
      <c r="D30" s="55">
        <v>523767.7</v>
      </c>
      <c r="E30" s="54">
        <f t="shared" si="0"/>
        <v>523768</v>
      </c>
      <c r="F30" s="146">
        <f t="shared" si="1"/>
        <v>-0.29999999998835847</v>
      </c>
      <c r="G30" s="23"/>
      <c r="H30" s="23"/>
      <c r="I30" s="23"/>
      <c r="J30" s="23"/>
      <c r="K30" s="23">
        <v>60973</v>
      </c>
      <c r="L30" s="23"/>
      <c r="M30" s="23"/>
      <c r="N30" s="23">
        <v>70404</v>
      </c>
      <c r="O30" s="23">
        <v>53220</v>
      </c>
      <c r="P30" s="23"/>
      <c r="Q30" s="23">
        <v>63821</v>
      </c>
      <c r="R30" s="23"/>
      <c r="S30" s="23">
        <v>43045</v>
      </c>
      <c r="T30" s="23"/>
      <c r="U30" s="23"/>
      <c r="V30" s="23">
        <v>120269</v>
      </c>
      <c r="W30" s="215"/>
      <c r="Y30" s="215">
        <v>112036</v>
      </c>
    </row>
    <row r="31" spans="1:26" ht="15" thickBot="1" x14ac:dyDescent="0.35">
      <c r="A31" s="229">
        <v>1580</v>
      </c>
      <c r="B31" s="225" t="s">
        <v>138</v>
      </c>
      <c r="C31" s="223"/>
      <c r="D31" s="55">
        <v>163833</v>
      </c>
      <c r="E31" s="54">
        <f t="shared" si="0"/>
        <v>163833</v>
      </c>
      <c r="F31" s="146">
        <f t="shared" si="1"/>
        <v>0</v>
      </c>
      <c r="G31" s="23"/>
      <c r="H31" s="23"/>
      <c r="I31" s="23"/>
      <c r="J31" s="23"/>
      <c r="K31" s="23">
        <v>11403</v>
      </c>
      <c r="L31" s="23">
        <v>14702</v>
      </c>
      <c r="M31" s="23">
        <v>7089</v>
      </c>
      <c r="N31" s="23">
        <v>8721</v>
      </c>
      <c r="O31" s="23">
        <v>10974</v>
      </c>
      <c r="P31" s="23">
        <v>9612</v>
      </c>
      <c r="Q31" s="23">
        <v>7235</v>
      </c>
      <c r="R31" s="23">
        <v>8797</v>
      </c>
      <c r="S31" s="23">
        <v>18395</v>
      </c>
      <c r="T31" s="23">
        <v>2858</v>
      </c>
      <c r="U31" s="23"/>
      <c r="V31" s="23"/>
      <c r="W31" s="215"/>
      <c r="Y31" s="215">
        <v>24575</v>
      </c>
      <c r="Z31">
        <v>39472</v>
      </c>
    </row>
    <row r="32" spans="1:26" ht="15" thickBot="1" x14ac:dyDescent="0.35">
      <c r="A32" s="229">
        <v>2000</v>
      </c>
      <c r="B32" s="225" t="s">
        <v>139</v>
      </c>
      <c r="C32" s="223"/>
      <c r="D32" s="55">
        <v>380000</v>
      </c>
      <c r="E32" s="54">
        <f t="shared" si="0"/>
        <v>380000</v>
      </c>
      <c r="F32" s="146">
        <f t="shared" si="1"/>
        <v>0</v>
      </c>
      <c r="G32" s="23"/>
      <c r="H32" s="23"/>
      <c r="I32" s="23"/>
      <c r="J32" s="23"/>
      <c r="K32" s="23"/>
      <c r="L32" s="23"/>
      <c r="M32" s="23"/>
      <c r="N32" s="23"/>
      <c r="O32" s="23">
        <v>66000</v>
      </c>
      <c r="P32" s="23">
        <v>37000</v>
      </c>
      <c r="Q32" s="23">
        <v>20000</v>
      </c>
      <c r="R32" s="23">
        <v>53000</v>
      </c>
      <c r="S32" s="23"/>
      <c r="T32" s="23">
        <v>170000</v>
      </c>
      <c r="U32" s="23"/>
      <c r="V32" s="23"/>
      <c r="W32" s="215"/>
      <c r="Y32" s="215">
        <v>34000</v>
      </c>
    </row>
    <row r="33" spans="1:56" ht="15" thickBot="1" x14ac:dyDescent="0.35">
      <c r="A33" s="229">
        <v>2035</v>
      </c>
      <c r="B33" s="225" t="s">
        <v>140</v>
      </c>
      <c r="C33" s="223"/>
      <c r="D33" s="55">
        <v>312768</v>
      </c>
      <c r="E33" s="54">
        <f t="shared" si="0"/>
        <v>312768</v>
      </c>
      <c r="F33" s="146">
        <f t="shared" si="1"/>
        <v>0</v>
      </c>
      <c r="G33" s="23"/>
      <c r="H33" s="23"/>
      <c r="I33" s="23"/>
      <c r="J33" s="23">
        <v>20600</v>
      </c>
      <c r="K33" s="23">
        <v>31179</v>
      </c>
      <c r="L33" s="23">
        <v>19697</v>
      </c>
      <c r="M33" s="23">
        <v>38043</v>
      </c>
      <c r="N33" s="23">
        <v>23860</v>
      </c>
      <c r="O33" s="23">
        <v>30029</v>
      </c>
      <c r="P33" s="23">
        <v>25171</v>
      </c>
      <c r="Q33" s="23">
        <v>18881</v>
      </c>
      <c r="R33" s="23">
        <v>60295</v>
      </c>
      <c r="S33" s="23">
        <v>8846</v>
      </c>
      <c r="T33" s="23">
        <v>2478</v>
      </c>
      <c r="U33" s="23">
        <v>30985</v>
      </c>
      <c r="V33" s="23"/>
      <c r="W33" s="215"/>
      <c r="Y33" s="215">
        <v>2704</v>
      </c>
    </row>
    <row r="34" spans="1:56" ht="15" thickBot="1" x14ac:dyDescent="0.35">
      <c r="A34" s="229">
        <v>2180</v>
      </c>
      <c r="B34" s="225" t="s">
        <v>141</v>
      </c>
      <c r="C34" s="223" t="s">
        <v>537</v>
      </c>
      <c r="D34" s="55">
        <v>286026.90000000002</v>
      </c>
      <c r="E34" s="54">
        <f t="shared" si="0"/>
        <v>286027</v>
      </c>
      <c r="F34" s="146">
        <f t="shared" si="1"/>
        <v>-9.9999999976716936E-2</v>
      </c>
      <c r="G34" s="23"/>
      <c r="H34" s="23"/>
      <c r="I34" s="23"/>
      <c r="J34" s="23"/>
      <c r="K34" s="23">
        <f>120200-38821</f>
        <v>81379</v>
      </c>
      <c r="L34" s="23">
        <v>26571</v>
      </c>
      <c r="M34" s="23">
        <v>21831</v>
      </c>
      <c r="N34" s="23"/>
      <c r="O34" s="23">
        <v>21657</v>
      </c>
      <c r="P34" s="23">
        <f>22981+20507</f>
        <v>43488</v>
      </c>
      <c r="Q34" s="23"/>
      <c r="R34" s="23"/>
      <c r="S34" s="23">
        <v>57664</v>
      </c>
      <c r="T34" s="23"/>
      <c r="U34" s="23"/>
      <c r="V34" s="23"/>
      <c r="W34" s="215"/>
      <c r="Y34" s="215">
        <v>33437</v>
      </c>
    </row>
    <row r="35" spans="1:56" ht="15" thickBot="1" x14ac:dyDescent="0.35">
      <c r="A35" s="229">
        <v>2180</v>
      </c>
      <c r="B35" s="225" t="s">
        <v>141</v>
      </c>
      <c r="C35" s="223" t="s">
        <v>538</v>
      </c>
      <c r="D35" s="55">
        <v>135770</v>
      </c>
      <c r="E35" s="54">
        <f t="shared" si="0"/>
        <v>135770</v>
      </c>
      <c r="F35" s="146">
        <f t="shared" si="1"/>
        <v>0</v>
      </c>
      <c r="G35" s="23"/>
      <c r="H35" s="23"/>
      <c r="I35" s="23"/>
      <c r="J35" s="23"/>
      <c r="K35" s="23">
        <v>38821</v>
      </c>
      <c r="L35" s="23">
        <v>11844</v>
      </c>
      <c r="M35" s="23">
        <v>10101</v>
      </c>
      <c r="N35" s="23"/>
      <c r="O35" s="23">
        <v>12077</v>
      </c>
      <c r="P35" s="23">
        <f>14878+10979</f>
        <v>25857</v>
      </c>
      <c r="Q35" s="23"/>
      <c r="R35" s="23"/>
      <c r="S35" s="23">
        <v>35856</v>
      </c>
      <c r="T35" s="23"/>
      <c r="U35" s="23"/>
      <c r="V35" s="23"/>
      <c r="W35" s="215"/>
      <c r="Y35" s="215">
        <v>1214</v>
      </c>
    </row>
    <row r="36" spans="1:56" ht="15" thickBot="1" x14ac:dyDescent="0.35">
      <c r="A36" s="229">
        <v>2690</v>
      </c>
      <c r="B36" s="225" t="s">
        <v>142</v>
      </c>
      <c r="C36" s="223"/>
      <c r="D36" s="55">
        <v>406859</v>
      </c>
      <c r="E36" s="54">
        <f t="shared" si="0"/>
        <v>406859</v>
      </c>
      <c r="F36" s="146">
        <f t="shared" si="1"/>
        <v>0</v>
      </c>
      <c r="G36" s="23"/>
      <c r="H36" s="23"/>
      <c r="I36" s="23"/>
      <c r="J36" s="23"/>
      <c r="K36" s="23">
        <v>48115</v>
      </c>
      <c r="L36" s="23">
        <v>65294</v>
      </c>
      <c r="M36" s="23">
        <v>49962</v>
      </c>
      <c r="N36" s="23">
        <v>13610</v>
      </c>
      <c r="O36" s="23">
        <v>35280</v>
      </c>
      <c r="P36" s="23">
        <v>27725</v>
      </c>
      <c r="Q36" s="23">
        <v>40651</v>
      </c>
      <c r="R36" s="23">
        <v>31026</v>
      </c>
      <c r="S36" s="23">
        <v>44675</v>
      </c>
      <c r="T36" s="23"/>
      <c r="U36" s="23"/>
      <c r="V36" s="23">
        <v>9415</v>
      </c>
      <c r="W36" s="215"/>
      <c r="Y36" s="215">
        <v>41106</v>
      </c>
    </row>
    <row r="37" spans="1:56" ht="15" thickBot="1" x14ac:dyDescent="0.35">
      <c r="A37" s="229">
        <v>2700</v>
      </c>
      <c r="B37" s="225" t="s">
        <v>143</v>
      </c>
      <c r="C37" s="223"/>
      <c r="D37" s="55">
        <v>202433</v>
      </c>
      <c r="E37" s="54">
        <f t="shared" si="0"/>
        <v>202433</v>
      </c>
      <c r="F37" s="146">
        <f t="shared" si="1"/>
        <v>0</v>
      </c>
      <c r="G37" s="23"/>
      <c r="H37" s="23"/>
      <c r="I37" s="23"/>
      <c r="J37" s="23">
        <v>5200</v>
      </c>
      <c r="K37" s="23">
        <v>20246</v>
      </c>
      <c r="L37" s="23"/>
      <c r="M37" s="23"/>
      <c r="N37" s="23">
        <v>35459</v>
      </c>
      <c r="O37" s="23">
        <v>19159</v>
      </c>
      <c r="P37" s="23"/>
      <c r="Q37" s="23">
        <v>11211</v>
      </c>
      <c r="R37" s="23">
        <v>12344</v>
      </c>
      <c r="S37" s="23">
        <v>16310</v>
      </c>
      <c r="T37" s="23"/>
      <c r="U37" s="23"/>
      <c r="V37" s="23"/>
      <c r="W37" s="215"/>
      <c r="Y37" s="215">
        <v>82504</v>
      </c>
    </row>
    <row r="38" spans="1:56" ht="15" thickBot="1" x14ac:dyDescent="0.35">
      <c r="A38" s="229">
        <v>3010</v>
      </c>
      <c r="B38" s="225" t="s">
        <v>144</v>
      </c>
      <c r="C38" s="223"/>
      <c r="D38" s="55">
        <v>154617</v>
      </c>
      <c r="E38" s="54">
        <f t="shared" si="0"/>
        <v>154617</v>
      </c>
      <c r="F38" s="146">
        <f t="shared" si="1"/>
        <v>0</v>
      </c>
      <c r="G38" s="23"/>
      <c r="H38" s="23"/>
      <c r="I38" s="23"/>
      <c r="J38" s="23"/>
      <c r="K38" s="23">
        <v>9247</v>
      </c>
      <c r="L38" s="23">
        <v>11447</v>
      </c>
      <c r="M38" s="23"/>
      <c r="N38" s="23"/>
      <c r="O38" s="23">
        <v>24167</v>
      </c>
      <c r="P38" s="23"/>
      <c r="Q38" s="23">
        <v>16810</v>
      </c>
      <c r="R38" s="23"/>
      <c r="S38" s="23"/>
      <c r="T38" s="23">
        <v>22583</v>
      </c>
      <c r="U38" s="23"/>
      <c r="V38" s="23"/>
      <c r="W38" s="215"/>
      <c r="Y38" s="215">
        <v>70363</v>
      </c>
    </row>
    <row r="39" spans="1:56" ht="15" thickBot="1" x14ac:dyDescent="0.35">
      <c r="A39" s="229">
        <v>3120</v>
      </c>
      <c r="B39" s="225" t="s">
        <v>145</v>
      </c>
      <c r="C39" s="223"/>
      <c r="D39" s="55">
        <v>903867.9</v>
      </c>
      <c r="E39" s="54">
        <f t="shared" si="0"/>
        <v>903868</v>
      </c>
      <c r="F39" s="146">
        <f t="shared" si="1"/>
        <v>-9.9999999976716936E-2</v>
      </c>
      <c r="G39" s="23"/>
      <c r="H39" s="23"/>
      <c r="I39" s="23"/>
      <c r="J39" s="23"/>
      <c r="K39" s="23">
        <v>71587</v>
      </c>
      <c r="L39" s="23">
        <v>68072</v>
      </c>
      <c r="M39" s="23">
        <v>69871</v>
      </c>
      <c r="N39" s="23">
        <v>74331</v>
      </c>
      <c r="O39" s="23">
        <v>66009</v>
      </c>
      <c r="P39" s="23">
        <v>65206</v>
      </c>
      <c r="Q39" s="23">
        <v>106392</v>
      </c>
      <c r="R39" s="23">
        <v>56353</v>
      </c>
      <c r="S39" s="23">
        <v>58668</v>
      </c>
      <c r="T39" s="23">
        <v>130475</v>
      </c>
      <c r="U39" s="23">
        <v>794</v>
      </c>
      <c r="V39" s="23"/>
      <c r="W39" s="215"/>
      <c r="Y39" s="215">
        <v>136110</v>
      </c>
    </row>
    <row r="40" spans="1:56" ht="15" thickBot="1" x14ac:dyDescent="0.35">
      <c r="A40" s="229" t="s">
        <v>55</v>
      </c>
      <c r="B40" s="225" t="s">
        <v>146</v>
      </c>
      <c r="C40" s="223" t="s">
        <v>539</v>
      </c>
      <c r="D40" s="55">
        <v>355500</v>
      </c>
      <c r="E40" s="54">
        <f t="shared" si="0"/>
        <v>355500</v>
      </c>
      <c r="F40" s="146">
        <f t="shared" si="1"/>
        <v>0</v>
      </c>
      <c r="G40" s="23"/>
      <c r="H40" s="23"/>
      <c r="I40" s="23"/>
      <c r="J40" s="23">
        <v>45000</v>
      </c>
      <c r="K40" s="23">
        <v>22500</v>
      </c>
      <c r="L40" s="23">
        <v>22500</v>
      </c>
      <c r="M40" s="23">
        <v>22500</v>
      </c>
      <c r="N40" s="23">
        <v>17500</v>
      </c>
      <c r="O40" s="23">
        <v>42500</v>
      </c>
      <c r="P40" s="23">
        <v>20000</v>
      </c>
      <c r="Q40" s="23">
        <v>20000</v>
      </c>
      <c r="R40" s="23"/>
      <c r="S40" s="23">
        <f>20000+20000</f>
        <v>40000</v>
      </c>
      <c r="T40" s="23">
        <v>20000</v>
      </c>
      <c r="U40" s="23"/>
      <c r="V40" s="23"/>
      <c r="W40" s="215"/>
      <c r="Y40" s="215">
        <v>83000</v>
      </c>
    </row>
    <row r="41" spans="1:56" ht="27.6" thickBot="1" x14ac:dyDescent="0.35">
      <c r="A41" s="229" t="s">
        <v>55</v>
      </c>
      <c r="B41" s="225" t="s">
        <v>146</v>
      </c>
      <c r="C41" s="223" t="s">
        <v>540</v>
      </c>
      <c r="D41" s="55">
        <v>711000</v>
      </c>
      <c r="E41" s="54">
        <f t="shared" si="0"/>
        <v>711000</v>
      </c>
      <c r="F41" s="146">
        <f t="shared" si="1"/>
        <v>0</v>
      </c>
      <c r="G41" s="23"/>
      <c r="H41" s="23"/>
      <c r="I41" s="23"/>
      <c r="J41" s="23">
        <v>90000</v>
      </c>
      <c r="K41" s="23">
        <v>45000</v>
      </c>
      <c r="L41" s="23">
        <v>45000</v>
      </c>
      <c r="M41" s="23">
        <v>45000</v>
      </c>
      <c r="N41" s="23">
        <v>35000</v>
      </c>
      <c r="O41" s="23">
        <v>85000</v>
      </c>
      <c r="P41" s="23">
        <v>40000</v>
      </c>
      <c r="Q41" s="23">
        <v>40000</v>
      </c>
      <c r="R41" s="23"/>
      <c r="S41" s="23">
        <f>40000+40000</f>
        <v>80000</v>
      </c>
      <c r="T41" s="23">
        <v>40000</v>
      </c>
      <c r="U41" s="23"/>
      <c r="V41" s="23"/>
      <c r="W41" s="215"/>
      <c r="Y41" s="215">
        <v>166000</v>
      </c>
    </row>
    <row r="42" spans="1:56" ht="15" thickBot="1" x14ac:dyDescent="0.35">
      <c r="A42" s="229" t="s">
        <v>124</v>
      </c>
      <c r="B42" s="225" t="s">
        <v>147</v>
      </c>
      <c r="C42" s="223" t="s">
        <v>541</v>
      </c>
      <c r="D42" s="55">
        <v>113981</v>
      </c>
      <c r="E42" s="54">
        <f t="shared" si="0"/>
        <v>113981</v>
      </c>
      <c r="F42" s="146">
        <f t="shared" si="1"/>
        <v>0</v>
      </c>
      <c r="G42" s="23">
        <v>2933</v>
      </c>
      <c r="H42" s="23">
        <v>16538</v>
      </c>
      <c r="I42" s="23">
        <v>4149</v>
      </c>
      <c r="J42" s="23">
        <v>5204</v>
      </c>
      <c r="K42" s="23">
        <v>6118</v>
      </c>
      <c r="L42" s="23">
        <v>5700</v>
      </c>
      <c r="M42" s="23">
        <v>6934</v>
      </c>
      <c r="N42" s="23">
        <v>2496</v>
      </c>
      <c r="O42" s="23">
        <v>4550</v>
      </c>
      <c r="P42" s="23">
        <v>6689</v>
      </c>
      <c r="Q42" s="23">
        <v>8329</v>
      </c>
      <c r="R42" s="23"/>
      <c r="S42" s="23">
        <f>24228+9679</f>
        <v>33907</v>
      </c>
      <c r="T42" s="23">
        <v>9017</v>
      </c>
      <c r="U42" s="23">
        <v>0</v>
      </c>
      <c r="V42" s="23"/>
      <c r="W42" s="215"/>
      <c r="Y42" s="215">
        <v>1417</v>
      </c>
    </row>
    <row r="43" spans="1:56" ht="15" thickBot="1" x14ac:dyDescent="0.35">
      <c r="A43" s="230" t="s">
        <v>124</v>
      </c>
      <c r="B43" s="226" t="s">
        <v>147</v>
      </c>
      <c r="C43" s="224" t="s">
        <v>542</v>
      </c>
      <c r="D43" s="122">
        <v>135357</v>
      </c>
      <c r="E43" s="54">
        <f t="shared" si="0"/>
        <v>135357</v>
      </c>
      <c r="F43" s="149">
        <f t="shared" si="1"/>
        <v>0</v>
      </c>
      <c r="G43" s="23"/>
      <c r="H43" s="23">
        <v>13300</v>
      </c>
      <c r="I43" s="23"/>
      <c r="J43" s="23">
        <f>8755+7192</f>
        <v>15947</v>
      </c>
      <c r="K43" s="23">
        <v>6211</v>
      </c>
      <c r="L43" s="23">
        <v>6389</v>
      </c>
      <c r="M43" s="23">
        <v>9446</v>
      </c>
      <c r="N43" s="23">
        <v>6815</v>
      </c>
      <c r="O43" s="23">
        <v>7516</v>
      </c>
      <c r="P43" s="23">
        <v>7664</v>
      </c>
      <c r="Q43" s="23">
        <v>6974</v>
      </c>
      <c r="R43" s="23"/>
      <c r="S43" s="23">
        <f>11906+16496</f>
        <v>28402</v>
      </c>
      <c r="T43" s="23">
        <v>11621</v>
      </c>
      <c r="U43" s="23">
        <v>0</v>
      </c>
      <c r="V43" s="23"/>
      <c r="W43" s="215"/>
      <c r="Y43" s="215">
        <v>15072</v>
      </c>
    </row>
    <row r="44" spans="1:56" ht="15" thickBot="1" x14ac:dyDescent="0.35">
      <c r="A44" s="120"/>
      <c r="B44" s="121"/>
      <c r="C44" s="121"/>
      <c r="D44" s="122"/>
      <c r="E44" s="122"/>
      <c r="F44" s="149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56" s="72" customFormat="1" ht="15" thickBot="1" x14ac:dyDescent="0.35">
      <c r="A45" s="123"/>
      <c r="B45" s="123"/>
      <c r="C45" s="123"/>
      <c r="D45" s="95">
        <f>SUM(D13:D43)</f>
        <v>9857284.3000000007</v>
      </c>
      <c r="E45" s="95">
        <f>SUM(E13:E43)</f>
        <v>9857285</v>
      </c>
      <c r="F45" s="150">
        <f t="shared" ref="F45:BD45" si="2">SUM(F13:F43)</f>
        <v>-0.6999999999825377</v>
      </c>
      <c r="G45" s="147">
        <f t="shared" si="2"/>
        <v>2933</v>
      </c>
      <c r="H45" s="124">
        <f t="shared" si="2"/>
        <v>29838</v>
      </c>
      <c r="I45" s="124">
        <f t="shared" si="2"/>
        <v>4149</v>
      </c>
      <c r="J45" s="124">
        <f t="shared" si="2"/>
        <v>360738</v>
      </c>
      <c r="K45" s="124">
        <f t="shared" si="2"/>
        <v>809338</v>
      </c>
      <c r="L45" s="124">
        <f t="shared" si="2"/>
        <v>549733</v>
      </c>
      <c r="M45" s="124">
        <f t="shared" si="2"/>
        <v>646695</v>
      </c>
      <c r="N45" s="124">
        <f t="shared" si="2"/>
        <v>753568</v>
      </c>
      <c r="O45" s="124">
        <f t="shared" si="2"/>
        <v>724328</v>
      </c>
      <c r="P45" s="124">
        <f t="shared" si="2"/>
        <v>584674</v>
      </c>
      <c r="Q45" s="124">
        <f t="shared" si="2"/>
        <v>760083</v>
      </c>
      <c r="R45" s="124">
        <f t="shared" si="2"/>
        <v>682738</v>
      </c>
      <c r="S45" s="124">
        <f t="shared" si="2"/>
        <v>807358</v>
      </c>
      <c r="T45" s="124">
        <f t="shared" si="2"/>
        <v>986526</v>
      </c>
      <c r="U45" s="124">
        <f t="shared" si="2"/>
        <v>298422</v>
      </c>
      <c r="V45" s="124">
        <f>SUM(V13:V43)</f>
        <v>268616</v>
      </c>
      <c r="W45" s="124">
        <f t="shared" si="2"/>
        <v>49471</v>
      </c>
      <c r="X45" s="124">
        <f t="shared" si="2"/>
        <v>43269</v>
      </c>
      <c r="Y45" s="124">
        <f t="shared" si="2"/>
        <v>1322000</v>
      </c>
      <c r="Z45" s="124">
        <f t="shared" si="2"/>
        <v>172808</v>
      </c>
      <c r="AA45" s="124">
        <f t="shared" si="2"/>
        <v>0</v>
      </c>
      <c r="AB45" s="124">
        <f t="shared" si="2"/>
        <v>0</v>
      </c>
      <c r="AC45" s="124">
        <f t="shared" si="2"/>
        <v>0</v>
      </c>
      <c r="AD45" s="124">
        <f t="shared" si="2"/>
        <v>0</v>
      </c>
      <c r="AE45" s="124">
        <f t="shared" si="2"/>
        <v>0</v>
      </c>
      <c r="AF45" s="124">
        <f t="shared" si="2"/>
        <v>0</v>
      </c>
      <c r="AG45" s="124">
        <f t="shared" si="2"/>
        <v>0</v>
      </c>
      <c r="AH45" s="124">
        <f t="shared" si="2"/>
        <v>0</v>
      </c>
      <c r="AI45" s="124">
        <f t="shared" si="2"/>
        <v>0</v>
      </c>
      <c r="AJ45" s="124">
        <f t="shared" si="2"/>
        <v>0</v>
      </c>
      <c r="AK45" s="124">
        <f t="shared" si="2"/>
        <v>0</v>
      </c>
      <c r="AL45" s="124">
        <f t="shared" si="2"/>
        <v>0</v>
      </c>
      <c r="AM45" s="124">
        <f t="shared" si="2"/>
        <v>0</v>
      </c>
      <c r="AN45" s="124">
        <f t="shared" si="2"/>
        <v>0</v>
      </c>
      <c r="AO45" s="124">
        <f t="shared" si="2"/>
        <v>0</v>
      </c>
      <c r="AP45" s="124">
        <f t="shared" si="2"/>
        <v>0</v>
      </c>
      <c r="AQ45" s="124">
        <f t="shared" si="2"/>
        <v>0</v>
      </c>
      <c r="AR45" s="124">
        <f t="shared" si="2"/>
        <v>0</v>
      </c>
      <c r="AS45" s="124">
        <f t="shared" si="2"/>
        <v>0</v>
      </c>
      <c r="AT45" s="124">
        <f t="shared" si="2"/>
        <v>0</v>
      </c>
      <c r="AU45" s="124">
        <f t="shared" si="2"/>
        <v>0</v>
      </c>
      <c r="AV45" s="124">
        <f t="shared" si="2"/>
        <v>0</v>
      </c>
      <c r="AW45" s="124">
        <f t="shared" si="2"/>
        <v>0</v>
      </c>
      <c r="AX45" s="124">
        <f t="shared" si="2"/>
        <v>0</v>
      </c>
      <c r="AY45" s="124">
        <f t="shared" si="2"/>
        <v>0</v>
      </c>
      <c r="AZ45" s="124">
        <f t="shared" si="2"/>
        <v>0</v>
      </c>
      <c r="BA45" s="124">
        <f t="shared" si="2"/>
        <v>0</v>
      </c>
      <c r="BB45" s="124">
        <f t="shared" si="2"/>
        <v>0</v>
      </c>
      <c r="BC45" s="124">
        <f t="shared" si="2"/>
        <v>0</v>
      </c>
      <c r="BD45" s="124">
        <f t="shared" si="2"/>
        <v>0</v>
      </c>
    </row>
    <row r="46" spans="1:56" x14ac:dyDescent="0.3">
      <c r="D46" s="26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1:56" x14ac:dyDescent="0.3">
      <c r="D47" s="26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>
        <f>V45-32021</f>
        <v>236595</v>
      </c>
      <c r="W47" s="23"/>
      <c r="X47" s="23"/>
    </row>
    <row r="48" spans="1:56" x14ac:dyDescent="0.3">
      <c r="D48" s="26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spans="4:24" x14ac:dyDescent="0.3">
      <c r="D49" s="26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4:24" x14ac:dyDescent="0.3">
      <c r="D50" s="26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4:24" x14ac:dyDescent="0.3">
      <c r="D51" s="26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4:24" x14ac:dyDescent="0.3">
      <c r="D52" s="26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spans="4:24" x14ac:dyDescent="0.3">
      <c r="D53" s="26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spans="4:24" x14ac:dyDescent="0.3">
      <c r="D54" s="26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spans="4:24" x14ac:dyDescent="0.3">
      <c r="D55" s="26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4:24" x14ac:dyDescent="0.3">
      <c r="D56" s="26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spans="4:24" x14ac:dyDescent="0.3">
      <c r="D57" s="26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spans="4:24" x14ac:dyDescent="0.3">
      <c r="D58" s="26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4:24" x14ac:dyDescent="0.3">
      <c r="D59" s="26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spans="4:24" x14ac:dyDescent="0.3">
      <c r="D60" s="26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spans="4:24" x14ac:dyDescent="0.3">
      <c r="D61" s="26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4:24" x14ac:dyDescent="0.3">
      <c r="D62" s="2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spans="4:24" x14ac:dyDescent="0.3">
      <c r="D63" s="26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spans="4:24" x14ac:dyDescent="0.3">
      <c r="D64" s="2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4:24" x14ac:dyDescent="0.3">
      <c r="D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spans="4:24" x14ac:dyDescent="0.3">
      <c r="D66" s="2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4:24" x14ac:dyDescent="0.3">
      <c r="D67" s="26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4:24" x14ac:dyDescent="0.3">
      <c r="D68" s="2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4:24" x14ac:dyDescent="0.3">
      <c r="D69" s="26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4:24" x14ac:dyDescent="0.3">
      <c r="D70" s="2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4:24" x14ac:dyDescent="0.3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4:24" x14ac:dyDescent="0.3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4:24" x14ac:dyDescent="0.3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4:24" x14ac:dyDescent="0.3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4:24" x14ac:dyDescent="0.3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4:24" x14ac:dyDescent="0.3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4:24" x14ac:dyDescent="0.3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4:24" x14ac:dyDescent="0.3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spans="4:24" x14ac:dyDescent="0.3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spans="4:24" x14ac:dyDescent="0.3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spans="7:24" x14ac:dyDescent="0.3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spans="7:24" x14ac:dyDescent="0.3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spans="7:24" x14ac:dyDescent="0.3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7:24" x14ac:dyDescent="0.3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7:24" x14ac:dyDescent="0.3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7:24" x14ac:dyDescent="0.3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 spans="7:24" x14ac:dyDescent="0.3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 spans="7:24" x14ac:dyDescent="0.3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48E840"/>
  </sheetPr>
  <dimension ref="A1:BE195"/>
  <sheetViews>
    <sheetView workbookViewId="0">
      <selection activeCell="B17" sqref="B17:L17"/>
    </sheetView>
  </sheetViews>
  <sheetFormatPr defaultRowHeight="14.4" x14ac:dyDescent="0.3"/>
  <cols>
    <col min="2" max="2" width="32.109375" customWidth="1"/>
    <col min="3" max="3" width="13.5546875" customWidth="1"/>
    <col min="4" max="4" width="11.44140625" customWidth="1"/>
    <col min="5" max="5" width="12" customWidth="1"/>
    <col min="6" max="6" width="15" customWidth="1"/>
    <col min="7" max="7" width="12.109375" customWidth="1"/>
    <col min="8" max="9" width="12.6640625" customWidth="1"/>
    <col min="10" max="10" width="12.44140625" customWidth="1"/>
    <col min="11" max="11" width="12.6640625" customWidth="1"/>
    <col min="22" max="22" width="12" customWidth="1"/>
    <col min="23" max="23" width="10.88671875" customWidth="1"/>
  </cols>
  <sheetData>
    <row r="1" spans="1:23" ht="21" x14ac:dyDescent="0.35">
      <c r="A1" s="5"/>
      <c r="B1" s="6" t="s">
        <v>0</v>
      </c>
      <c r="C1" s="7" t="s">
        <v>99</v>
      </c>
      <c r="D1" s="6"/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.75" x14ac:dyDescent="0.25">
      <c r="A2" s="5"/>
      <c r="B2" s="11" t="s">
        <v>1</v>
      </c>
      <c r="C2" s="12"/>
      <c r="D2" s="11"/>
      <c r="E2" s="13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5.75" x14ac:dyDescent="0.25">
      <c r="A3" s="5"/>
      <c r="B3" s="11" t="s">
        <v>2</v>
      </c>
      <c r="C3" s="12"/>
      <c r="D3" s="11"/>
      <c r="E3" s="13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5.75" x14ac:dyDescent="0.25">
      <c r="A4" s="5"/>
      <c r="B4" s="11" t="s">
        <v>100</v>
      </c>
      <c r="C4" s="12">
        <v>6</v>
      </c>
      <c r="D4" s="11"/>
      <c r="E4" s="13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5.75" x14ac:dyDescent="0.25">
      <c r="A5" s="5"/>
      <c r="B5" s="11" t="s">
        <v>3</v>
      </c>
      <c r="C5" s="12" t="s">
        <v>149</v>
      </c>
      <c r="D5" s="13"/>
      <c r="E5" s="13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5.75" x14ac:dyDescent="0.25">
      <c r="A6" s="5"/>
      <c r="B6" s="11" t="s">
        <v>101</v>
      </c>
      <c r="C6" s="12" t="s">
        <v>102</v>
      </c>
      <c r="D6" s="13"/>
      <c r="E6" s="13"/>
      <c r="F6" s="1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5.75" x14ac:dyDescent="0.25">
      <c r="A7" s="5"/>
      <c r="B7" s="11" t="s">
        <v>103</v>
      </c>
      <c r="C7" s="12" t="s">
        <v>104</v>
      </c>
      <c r="D7" s="13"/>
      <c r="E7" s="13"/>
      <c r="F7" s="1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5.6" x14ac:dyDescent="0.3">
      <c r="A8" s="5"/>
      <c r="B8" s="11" t="s">
        <v>148</v>
      </c>
      <c r="C8" s="12"/>
      <c r="D8" s="13"/>
      <c r="E8" s="13"/>
      <c r="F8" s="1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28.8" x14ac:dyDescent="0.3">
      <c r="A10" s="1" t="s">
        <v>4</v>
      </c>
      <c r="B10" s="2" t="s">
        <v>5</v>
      </c>
      <c r="C10" s="14" t="s">
        <v>61</v>
      </c>
      <c r="D10" s="14" t="s">
        <v>62</v>
      </c>
      <c r="E10" s="18" t="s">
        <v>63</v>
      </c>
      <c r="F10" s="3" t="s">
        <v>64</v>
      </c>
      <c r="G10" s="3" t="s">
        <v>65</v>
      </c>
      <c r="H10" s="3" t="s">
        <v>66</v>
      </c>
      <c r="I10" s="3" t="s">
        <v>67</v>
      </c>
      <c r="J10" s="3" t="s">
        <v>68</v>
      </c>
      <c r="K10" s="3" t="s">
        <v>79</v>
      </c>
      <c r="L10" s="3" t="s">
        <v>69</v>
      </c>
      <c r="M10" s="3" t="s">
        <v>70</v>
      </c>
      <c r="N10" s="3" t="s">
        <v>71</v>
      </c>
      <c r="O10" s="3" t="s">
        <v>72</v>
      </c>
      <c r="P10" s="3" t="s">
        <v>73</v>
      </c>
      <c r="Q10" s="3" t="s">
        <v>72</v>
      </c>
      <c r="R10" s="3" t="s">
        <v>73</v>
      </c>
      <c r="S10" s="3" t="s">
        <v>74</v>
      </c>
      <c r="T10" s="3" t="s">
        <v>75</v>
      </c>
      <c r="U10" s="3" t="s">
        <v>76</v>
      </c>
      <c r="V10" s="3" t="s">
        <v>77</v>
      </c>
      <c r="W10" s="3" t="s">
        <v>78</v>
      </c>
    </row>
    <row r="11" spans="1:23" x14ac:dyDescent="0.3">
      <c r="A11" s="19"/>
      <c r="B11" s="21"/>
      <c r="C11" s="24"/>
      <c r="D11" s="10">
        <f>SUM(F11:W11)</f>
        <v>0</v>
      </c>
      <c r="E11" s="25">
        <f>C11-D11</f>
        <v>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3">
      <c r="A12" s="19"/>
      <c r="B12" s="21"/>
      <c r="C12" s="24"/>
      <c r="D12" s="10">
        <f t="shared" ref="D12:D41" si="0">SUM(F12:W12)</f>
        <v>0</v>
      </c>
      <c r="E12" s="25">
        <f t="shared" ref="E12:E41" si="1">C12-D12</f>
        <v>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3">
      <c r="A13" s="19"/>
      <c r="B13" s="21"/>
      <c r="C13" s="24"/>
      <c r="D13" s="10">
        <f t="shared" si="0"/>
        <v>0</v>
      </c>
      <c r="E13" s="25">
        <f t="shared" si="1"/>
        <v>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3">
      <c r="A14" s="19"/>
      <c r="B14" s="21"/>
      <c r="C14" s="24"/>
      <c r="D14" s="10">
        <f t="shared" si="0"/>
        <v>0</v>
      </c>
      <c r="E14" s="25">
        <f t="shared" si="1"/>
        <v>0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3">
      <c r="A15" s="19"/>
      <c r="B15" s="21"/>
      <c r="C15" s="24"/>
      <c r="D15" s="10">
        <f t="shared" si="0"/>
        <v>0</v>
      </c>
      <c r="E15" s="25">
        <f t="shared" si="1"/>
        <v>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3">
      <c r="A16" s="19"/>
      <c r="B16" s="21"/>
      <c r="C16" s="24"/>
      <c r="D16" s="10">
        <f t="shared" si="0"/>
        <v>0</v>
      </c>
      <c r="E16" s="25">
        <f t="shared" si="1"/>
        <v>0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3">
      <c r="A17" s="19"/>
      <c r="B17" s="21"/>
      <c r="C17" s="24"/>
      <c r="D17" s="10">
        <f t="shared" si="0"/>
        <v>0</v>
      </c>
      <c r="E17" s="25">
        <f t="shared" si="1"/>
        <v>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3">
      <c r="A18" s="19"/>
      <c r="B18" s="21"/>
      <c r="C18" s="24"/>
      <c r="D18" s="10">
        <f t="shared" si="0"/>
        <v>0</v>
      </c>
      <c r="E18" s="25">
        <f t="shared" si="1"/>
        <v>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3">
      <c r="A19" s="19"/>
      <c r="B19" s="22"/>
      <c r="C19" s="24"/>
      <c r="D19" s="10">
        <f t="shared" si="0"/>
        <v>0</v>
      </c>
      <c r="E19" s="25">
        <f t="shared" si="1"/>
        <v>0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3">
      <c r="A20" s="19"/>
      <c r="B20" s="21"/>
      <c r="C20" s="24"/>
      <c r="D20" s="10">
        <f t="shared" si="0"/>
        <v>0</v>
      </c>
      <c r="E20" s="25">
        <f t="shared" si="1"/>
        <v>0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3">
      <c r="A21" s="20"/>
      <c r="B21" s="21"/>
      <c r="C21" s="24"/>
      <c r="D21" s="10">
        <f t="shared" si="0"/>
        <v>0</v>
      </c>
      <c r="E21" s="25">
        <f t="shared" si="1"/>
        <v>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3">
      <c r="A22" s="20"/>
      <c r="B22" s="21"/>
      <c r="C22" s="24"/>
      <c r="D22" s="10">
        <f t="shared" si="0"/>
        <v>0</v>
      </c>
      <c r="E22" s="25">
        <f t="shared" si="1"/>
        <v>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3">
      <c r="A23" s="20"/>
      <c r="B23" s="21"/>
      <c r="C23" s="24"/>
      <c r="D23" s="10">
        <f t="shared" si="0"/>
        <v>0</v>
      </c>
      <c r="E23" s="25">
        <f t="shared" si="1"/>
        <v>0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3">
      <c r="A24" s="20"/>
      <c r="B24" s="21"/>
      <c r="C24" s="24"/>
      <c r="D24" s="10">
        <f t="shared" si="0"/>
        <v>0</v>
      </c>
      <c r="E24" s="25">
        <f t="shared" si="1"/>
        <v>0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3">
      <c r="A25" s="20"/>
      <c r="B25" s="21"/>
      <c r="C25" s="24"/>
      <c r="D25" s="10">
        <f t="shared" si="0"/>
        <v>0</v>
      </c>
      <c r="E25" s="25">
        <f t="shared" si="1"/>
        <v>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3">
      <c r="A26" s="20"/>
      <c r="B26" s="21"/>
      <c r="C26" s="24"/>
      <c r="D26" s="10">
        <f t="shared" si="0"/>
        <v>0</v>
      </c>
      <c r="E26" s="25">
        <f t="shared" si="1"/>
        <v>0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3">
      <c r="A27" s="20"/>
      <c r="B27" s="21"/>
      <c r="C27" s="24"/>
      <c r="D27" s="10">
        <f t="shared" si="0"/>
        <v>0</v>
      </c>
      <c r="E27" s="25">
        <f t="shared" si="1"/>
        <v>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3">
      <c r="A28" s="20"/>
      <c r="B28" s="21"/>
      <c r="C28" s="24"/>
      <c r="D28" s="10">
        <f t="shared" si="0"/>
        <v>0</v>
      </c>
      <c r="E28" s="25">
        <f t="shared" si="1"/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3">
      <c r="A29" s="20"/>
      <c r="B29" s="21"/>
      <c r="C29" s="24"/>
      <c r="D29" s="10">
        <f t="shared" si="0"/>
        <v>0</v>
      </c>
      <c r="E29" s="25">
        <f t="shared" si="1"/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3">
      <c r="A30" s="20"/>
      <c r="B30" s="21"/>
      <c r="C30" s="24"/>
      <c r="D30" s="10">
        <f t="shared" si="0"/>
        <v>0</v>
      </c>
      <c r="E30" s="25">
        <f t="shared" si="1"/>
        <v>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3">
      <c r="A31" s="20"/>
      <c r="B31" s="21"/>
      <c r="C31" s="24"/>
      <c r="D31" s="10">
        <f t="shared" si="0"/>
        <v>0</v>
      </c>
      <c r="E31" s="25">
        <f t="shared" si="1"/>
        <v>0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3">
      <c r="A32" s="20"/>
      <c r="B32" s="21"/>
      <c r="C32" s="24"/>
      <c r="D32" s="10">
        <f t="shared" si="0"/>
        <v>0</v>
      </c>
      <c r="E32" s="25">
        <f t="shared" si="1"/>
        <v>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57" x14ac:dyDescent="0.3">
      <c r="A33" s="20"/>
      <c r="B33" s="21"/>
      <c r="C33" s="24"/>
      <c r="D33" s="10">
        <f t="shared" si="0"/>
        <v>0</v>
      </c>
      <c r="E33" s="25">
        <f t="shared" si="1"/>
        <v>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57" x14ac:dyDescent="0.3">
      <c r="A34" s="20"/>
      <c r="B34" s="21"/>
      <c r="C34" s="24"/>
      <c r="D34" s="10">
        <f t="shared" si="0"/>
        <v>0</v>
      </c>
      <c r="E34" s="25">
        <f t="shared" si="1"/>
        <v>0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57" x14ac:dyDescent="0.3">
      <c r="A35" s="20"/>
      <c r="B35" s="21"/>
      <c r="C35" s="24"/>
      <c r="D35" s="10">
        <f t="shared" si="0"/>
        <v>0</v>
      </c>
      <c r="E35" s="25">
        <f t="shared" si="1"/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57" x14ac:dyDescent="0.3">
      <c r="A36" s="20"/>
      <c r="B36" s="21"/>
      <c r="C36" s="24"/>
      <c r="D36" s="10">
        <f t="shared" si="0"/>
        <v>0</v>
      </c>
      <c r="E36" s="25">
        <f t="shared" si="1"/>
        <v>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57" x14ac:dyDescent="0.3">
      <c r="A37" s="20"/>
      <c r="B37" s="21"/>
      <c r="C37" s="24"/>
      <c r="D37" s="10">
        <f t="shared" si="0"/>
        <v>0</v>
      </c>
      <c r="E37" s="25">
        <f t="shared" si="1"/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57" x14ac:dyDescent="0.3">
      <c r="A38" s="20"/>
      <c r="B38" s="21"/>
      <c r="C38" s="24"/>
      <c r="D38" s="10">
        <f t="shared" si="0"/>
        <v>0</v>
      </c>
      <c r="E38" s="25">
        <f t="shared" si="1"/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57" x14ac:dyDescent="0.3">
      <c r="A39" s="20"/>
      <c r="B39" s="21"/>
      <c r="C39" s="24"/>
      <c r="D39" s="10">
        <f t="shared" si="0"/>
        <v>0</v>
      </c>
      <c r="E39" s="25">
        <f t="shared" si="1"/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57" x14ac:dyDescent="0.3">
      <c r="A40" s="20"/>
      <c r="B40" s="21"/>
      <c r="C40" s="24"/>
      <c r="D40" s="10">
        <f t="shared" si="0"/>
        <v>0</v>
      </c>
      <c r="E40" s="25">
        <f t="shared" si="1"/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57" x14ac:dyDescent="0.3">
      <c r="A41" s="20"/>
      <c r="B41" s="21"/>
      <c r="C41" s="24"/>
      <c r="D41" s="10">
        <f t="shared" si="0"/>
        <v>0</v>
      </c>
      <c r="E41" s="25">
        <f t="shared" si="1"/>
        <v>0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57" x14ac:dyDescent="0.3">
      <c r="C42" s="24">
        <f>SUM(C11:C41)</f>
        <v>0</v>
      </c>
      <c r="D42" s="24">
        <f>SUM(D11:D41)</f>
        <v>0</v>
      </c>
      <c r="E42" s="25">
        <f t="shared" ref="E42:BE42" si="2">SUM(E11:E41)</f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0</v>
      </c>
      <c r="J42" s="26">
        <f t="shared" si="2"/>
        <v>0</v>
      </c>
      <c r="K42" s="26">
        <f t="shared" si="2"/>
        <v>0</v>
      </c>
      <c r="L42" s="26">
        <f t="shared" si="2"/>
        <v>0</v>
      </c>
      <c r="M42" s="26">
        <f t="shared" si="2"/>
        <v>0</v>
      </c>
      <c r="N42" s="26">
        <f t="shared" si="2"/>
        <v>0</v>
      </c>
      <c r="O42" s="26">
        <f t="shared" si="2"/>
        <v>0</v>
      </c>
      <c r="P42" s="26">
        <f t="shared" si="2"/>
        <v>0</v>
      </c>
      <c r="Q42" s="26">
        <f t="shared" si="2"/>
        <v>0</v>
      </c>
      <c r="R42" s="26">
        <f t="shared" si="2"/>
        <v>0</v>
      </c>
      <c r="S42" s="26">
        <f t="shared" si="2"/>
        <v>0</v>
      </c>
      <c r="T42" s="26">
        <f t="shared" si="2"/>
        <v>0</v>
      </c>
      <c r="U42" s="26">
        <f t="shared" si="2"/>
        <v>0</v>
      </c>
      <c r="V42" s="26">
        <f t="shared" si="2"/>
        <v>0</v>
      </c>
      <c r="W42" s="26">
        <f t="shared" si="2"/>
        <v>0</v>
      </c>
      <c r="X42" s="26">
        <f t="shared" si="2"/>
        <v>0</v>
      </c>
      <c r="Y42" s="26">
        <f t="shared" si="2"/>
        <v>0</v>
      </c>
      <c r="Z42" s="26">
        <f t="shared" si="2"/>
        <v>0</v>
      </c>
      <c r="AA42" s="26">
        <f t="shared" si="2"/>
        <v>0</v>
      </c>
      <c r="AB42" s="26">
        <f t="shared" si="2"/>
        <v>0</v>
      </c>
      <c r="AC42" s="26">
        <f t="shared" si="2"/>
        <v>0</v>
      </c>
      <c r="AD42" s="26">
        <f t="shared" si="2"/>
        <v>0</v>
      </c>
      <c r="AE42" s="26">
        <f t="shared" si="2"/>
        <v>0</v>
      </c>
      <c r="AF42" s="26">
        <f t="shared" si="2"/>
        <v>0</v>
      </c>
      <c r="AG42" s="26">
        <f t="shared" si="2"/>
        <v>0</v>
      </c>
      <c r="AH42" s="26">
        <f t="shared" si="2"/>
        <v>0</v>
      </c>
      <c r="AI42" s="26">
        <f t="shared" si="2"/>
        <v>0</v>
      </c>
      <c r="AJ42" s="26">
        <f t="shared" si="2"/>
        <v>0</v>
      </c>
      <c r="AK42" s="26">
        <f t="shared" si="2"/>
        <v>0</v>
      </c>
      <c r="AL42" s="26">
        <f t="shared" si="2"/>
        <v>0</v>
      </c>
      <c r="AM42" s="26">
        <f t="shared" si="2"/>
        <v>0</v>
      </c>
      <c r="AN42" s="26">
        <f t="shared" si="2"/>
        <v>0</v>
      </c>
      <c r="AO42" s="26">
        <f t="shared" si="2"/>
        <v>0</v>
      </c>
      <c r="AP42" s="26">
        <f t="shared" si="2"/>
        <v>0</v>
      </c>
      <c r="AQ42" s="26">
        <f t="shared" si="2"/>
        <v>0</v>
      </c>
      <c r="AR42" s="26">
        <f t="shared" si="2"/>
        <v>0</v>
      </c>
      <c r="AS42" s="26">
        <f t="shared" si="2"/>
        <v>0</v>
      </c>
      <c r="AT42" s="26">
        <f t="shared" si="2"/>
        <v>0</v>
      </c>
      <c r="AU42" s="26">
        <f t="shared" si="2"/>
        <v>0</v>
      </c>
      <c r="AV42" s="26">
        <f t="shared" si="2"/>
        <v>0</v>
      </c>
      <c r="AW42" s="26">
        <f t="shared" si="2"/>
        <v>0</v>
      </c>
      <c r="AX42" s="26">
        <f t="shared" si="2"/>
        <v>0</v>
      </c>
      <c r="AY42" s="26">
        <f t="shared" si="2"/>
        <v>0</v>
      </c>
      <c r="AZ42" s="26">
        <f t="shared" si="2"/>
        <v>0</v>
      </c>
      <c r="BA42" s="26">
        <f t="shared" si="2"/>
        <v>0</v>
      </c>
      <c r="BB42" s="26">
        <f t="shared" si="2"/>
        <v>0</v>
      </c>
      <c r="BC42" s="26">
        <f t="shared" si="2"/>
        <v>0</v>
      </c>
      <c r="BD42" s="26">
        <f t="shared" si="2"/>
        <v>0</v>
      </c>
      <c r="BE42" s="26">
        <f t="shared" si="2"/>
        <v>0</v>
      </c>
    </row>
    <row r="43" spans="1:57" x14ac:dyDescent="0.3">
      <c r="C43" s="26"/>
      <c r="D43" s="4"/>
      <c r="E43" s="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57" x14ac:dyDescent="0.3">
      <c r="C44" s="26"/>
      <c r="D44" s="4"/>
      <c r="E44" s="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57" x14ac:dyDescent="0.3">
      <c r="C45" s="26"/>
      <c r="D45" s="4"/>
      <c r="E45" s="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57" x14ac:dyDescent="0.3">
      <c r="C46" s="26"/>
      <c r="D46" s="4"/>
      <c r="E46" s="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57" x14ac:dyDescent="0.3">
      <c r="C47" s="26"/>
      <c r="D47" s="4"/>
      <c r="E47" s="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57" x14ac:dyDescent="0.3">
      <c r="C48" s="26"/>
      <c r="D48" s="4"/>
      <c r="E48" s="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3:23" x14ac:dyDescent="0.3">
      <c r="C49" s="26"/>
      <c r="D49" s="4"/>
      <c r="E49" s="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3:23" x14ac:dyDescent="0.3">
      <c r="C50" s="26"/>
      <c r="D50" s="4"/>
      <c r="E50" s="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3:23" x14ac:dyDescent="0.3">
      <c r="C51" s="26"/>
      <c r="D51" s="4"/>
      <c r="E51" s="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3:23" x14ac:dyDescent="0.3">
      <c r="C52" s="26"/>
      <c r="D52" s="4"/>
      <c r="E52" s="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3:23" x14ac:dyDescent="0.3">
      <c r="C53" s="26"/>
      <c r="D53" s="4"/>
      <c r="E53" s="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3:23" x14ac:dyDescent="0.3">
      <c r="C54" s="26"/>
      <c r="D54" s="4"/>
      <c r="E54" s="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3:23" x14ac:dyDescent="0.3">
      <c r="C55" s="26"/>
      <c r="D55" s="4"/>
      <c r="E55" s="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3:23" x14ac:dyDescent="0.3">
      <c r="C56" s="26"/>
      <c r="D56" s="4"/>
      <c r="E56" s="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3:23" x14ac:dyDescent="0.3">
      <c r="C57" s="26"/>
      <c r="D57" s="4"/>
      <c r="E57" s="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3:23" x14ac:dyDescent="0.3">
      <c r="C58" s="26"/>
      <c r="D58" s="4"/>
      <c r="E58" s="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3:23" x14ac:dyDescent="0.3">
      <c r="C59" s="26"/>
      <c r="D59" s="4"/>
      <c r="E59" s="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3:23" x14ac:dyDescent="0.3">
      <c r="C60" s="26"/>
      <c r="D60" s="4"/>
      <c r="E60" s="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3:23" x14ac:dyDescent="0.3">
      <c r="C61" s="26"/>
      <c r="D61" s="4"/>
      <c r="E61" s="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3:23" x14ac:dyDescent="0.3">
      <c r="C62" s="26"/>
      <c r="D62" s="4"/>
      <c r="E62" s="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3:23" x14ac:dyDescent="0.3">
      <c r="C63" s="26"/>
      <c r="D63" s="4"/>
      <c r="E63" s="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3:23" x14ac:dyDescent="0.3">
      <c r="C64" s="26"/>
      <c r="D64" s="4"/>
      <c r="E64" s="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3:23" x14ac:dyDescent="0.3">
      <c r="C65" s="26"/>
      <c r="D65" s="4"/>
      <c r="E65" s="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3:23" x14ac:dyDescent="0.3">
      <c r="C66" s="26"/>
      <c r="D66" s="4"/>
      <c r="E66" s="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3:23" x14ac:dyDescent="0.3">
      <c r="C67" s="26"/>
      <c r="D67" s="4"/>
      <c r="E67" s="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3:23" x14ac:dyDescent="0.3">
      <c r="C68" s="4"/>
      <c r="D68" s="4"/>
      <c r="E68" s="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3:23" x14ac:dyDescent="0.3">
      <c r="C69" s="4"/>
      <c r="D69" s="4"/>
      <c r="E69" s="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3:23" x14ac:dyDescent="0.3">
      <c r="C70" s="4"/>
      <c r="D70" s="4"/>
      <c r="E70" s="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3:23" x14ac:dyDescent="0.3">
      <c r="C71" s="4"/>
      <c r="D71" s="4"/>
      <c r="E71" s="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3:23" x14ac:dyDescent="0.3">
      <c r="C72" s="4"/>
      <c r="D72" s="4"/>
      <c r="E72" s="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3:23" x14ac:dyDescent="0.3">
      <c r="C73" s="4"/>
      <c r="D73" s="4"/>
      <c r="E73" s="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3:23" x14ac:dyDescent="0.3">
      <c r="C74" s="4"/>
      <c r="D74" s="4"/>
      <c r="E74" s="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3:23" x14ac:dyDescent="0.3">
      <c r="C75" s="4"/>
      <c r="D75" s="4"/>
      <c r="E75" s="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3:23" x14ac:dyDescent="0.3">
      <c r="C76" s="4"/>
      <c r="D76" s="4"/>
      <c r="E76" s="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3:23" x14ac:dyDescent="0.3">
      <c r="C77" s="4"/>
      <c r="D77" s="4"/>
      <c r="E77" s="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3:23" x14ac:dyDescent="0.3">
      <c r="C78" s="4"/>
      <c r="D78" s="4"/>
      <c r="E78" s="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3:23" x14ac:dyDescent="0.3">
      <c r="C79" s="4"/>
      <c r="D79" s="4"/>
      <c r="E79" s="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3:23" x14ac:dyDescent="0.3">
      <c r="C80" s="4"/>
      <c r="D80" s="4"/>
      <c r="E80" s="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3:23" x14ac:dyDescent="0.3">
      <c r="C81" s="4"/>
      <c r="D81" s="4"/>
      <c r="E81" s="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3:23" x14ac:dyDescent="0.3">
      <c r="C82" s="4"/>
      <c r="D82" s="4"/>
      <c r="E82" s="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3:23" x14ac:dyDescent="0.3">
      <c r="C83" s="4"/>
      <c r="D83" s="4"/>
      <c r="E83" s="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3:23" x14ac:dyDescent="0.3">
      <c r="C84" s="4"/>
      <c r="D84" s="4"/>
      <c r="E84" s="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3:23" x14ac:dyDescent="0.3">
      <c r="C85" s="4"/>
      <c r="D85" s="4"/>
      <c r="E85" s="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3:23" x14ac:dyDescent="0.3">
      <c r="C86" s="4"/>
      <c r="D86" s="4"/>
      <c r="E86" s="4"/>
    </row>
    <row r="87" spans="3:23" x14ac:dyDescent="0.3">
      <c r="C87" s="4"/>
      <c r="D87" s="4"/>
      <c r="E87" s="4"/>
    </row>
    <row r="88" spans="3:23" x14ac:dyDescent="0.3">
      <c r="C88" s="4"/>
      <c r="D88" s="4"/>
      <c r="E88" s="4"/>
    </row>
    <row r="89" spans="3:23" x14ac:dyDescent="0.3">
      <c r="C89" s="4"/>
      <c r="D89" s="4"/>
      <c r="E89" s="4"/>
    </row>
    <row r="90" spans="3:23" x14ac:dyDescent="0.3">
      <c r="C90" s="4"/>
      <c r="D90" s="4"/>
      <c r="E90" s="4"/>
    </row>
    <row r="91" spans="3:23" x14ac:dyDescent="0.3">
      <c r="C91" s="4"/>
      <c r="D91" s="4"/>
      <c r="E91" s="4"/>
    </row>
    <row r="92" spans="3:23" x14ac:dyDescent="0.3">
      <c r="C92" s="4"/>
      <c r="D92" s="4"/>
      <c r="E92" s="4"/>
    </row>
    <row r="93" spans="3:23" x14ac:dyDescent="0.3">
      <c r="C93" s="4"/>
      <c r="D93" s="4"/>
      <c r="E93" s="4"/>
    </row>
    <row r="94" spans="3:23" x14ac:dyDescent="0.3">
      <c r="C94" s="4"/>
      <c r="D94" s="4"/>
      <c r="E94" s="4"/>
    </row>
    <row r="95" spans="3:23" x14ac:dyDescent="0.3">
      <c r="C95" s="4"/>
      <c r="D95" s="4"/>
      <c r="E95" s="4"/>
    </row>
    <row r="96" spans="3:23" x14ac:dyDescent="0.3">
      <c r="C96" s="4"/>
      <c r="D96" s="4"/>
      <c r="E96" s="4"/>
    </row>
    <row r="97" spans="3:5" x14ac:dyDescent="0.3">
      <c r="C97" s="4"/>
      <c r="D97" s="4"/>
      <c r="E97" s="4"/>
    </row>
    <row r="98" spans="3:5" x14ac:dyDescent="0.3">
      <c r="C98" s="4"/>
      <c r="D98" s="4"/>
      <c r="E98" s="4"/>
    </row>
    <row r="99" spans="3:5" x14ac:dyDescent="0.3">
      <c r="C99" s="4"/>
      <c r="D99" s="4"/>
      <c r="E99" s="4"/>
    </row>
    <row r="100" spans="3:5" x14ac:dyDescent="0.3">
      <c r="C100" s="4"/>
      <c r="D100" s="4"/>
      <c r="E100" s="4"/>
    </row>
    <row r="101" spans="3:5" x14ac:dyDescent="0.3">
      <c r="C101" s="4"/>
      <c r="D101" s="4"/>
      <c r="E101" s="4"/>
    </row>
    <row r="102" spans="3:5" x14ac:dyDescent="0.3">
      <c r="C102" s="4"/>
      <c r="D102" s="4"/>
      <c r="E102" s="4"/>
    </row>
    <row r="103" spans="3:5" x14ac:dyDescent="0.3">
      <c r="C103" s="4"/>
      <c r="D103" s="4"/>
      <c r="E103" s="4"/>
    </row>
    <row r="104" spans="3:5" x14ac:dyDescent="0.3">
      <c r="C104" s="4"/>
      <c r="D104" s="4"/>
      <c r="E104" s="4"/>
    </row>
    <row r="105" spans="3:5" x14ac:dyDescent="0.3">
      <c r="C105" s="4"/>
      <c r="D105" s="4"/>
      <c r="E105" s="4"/>
    </row>
    <row r="106" spans="3:5" x14ac:dyDescent="0.3">
      <c r="C106" s="4"/>
      <c r="D106" s="4"/>
      <c r="E106" s="4"/>
    </row>
    <row r="107" spans="3:5" x14ac:dyDescent="0.3">
      <c r="C107" s="4"/>
      <c r="D107" s="4"/>
      <c r="E107" s="4"/>
    </row>
    <row r="108" spans="3:5" x14ac:dyDescent="0.3">
      <c r="C108" s="4"/>
      <c r="D108" s="4"/>
      <c r="E108" s="4"/>
    </row>
    <row r="109" spans="3:5" x14ac:dyDescent="0.3">
      <c r="C109" s="4"/>
      <c r="D109" s="4"/>
      <c r="E109" s="4"/>
    </row>
    <row r="110" spans="3:5" x14ac:dyDescent="0.3">
      <c r="C110" s="4"/>
      <c r="D110" s="4"/>
      <c r="E110" s="4"/>
    </row>
    <row r="111" spans="3:5" x14ac:dyDescent="0.3">
      <c r="C111" s="4"/>
      <c r="D111" s="4"/>
      <c r="E111" s="4"/>
    </row>
    <row r="112" spans="3:5" x14ac:dyDescent="0.3">
      <c r="C112" s="4"/>
      <c r="D112" s="4"/>
      <c r="E112" s="4"/>
    </row>
    <row r="113" spans="3:5" x14ac:dyDescent="0.3">
      <c r="C113" s="4"/>
      <c r="D113" s="4"/>
      <c r="E113" s="4"/>
    </row>
    <row r="114" spans="3:5" x14ac:dyDescent="0.3">
      <c r="C114" s="4"/>
      <c r="D114" s="4"/>
      <c r="E114" s="4"/>
    </row>
    <row r="115" spans="3:5" x14ac:dyDescent="0.3">
      <c r="C115" s="4"/>
      <c r="D115" s="4"/>
      <c r="E115" s="4"/>
    </row>
    <row r="116" spans="3:5" x14ac:dyDescent="0.3">
      <c r="C116" s="4"/>
      <c r="D116" s="4"/>
      <c r="E116" s="4"/>
    </row>
    <row r="117" spans="3:5" x14ac:dyDescent="0.3">
      <c r="C117" s="4"/>
      <c r="D117" s="4"/>
      <c r="E117" s="4"/>
    </row>
    <row r="118" spans="3:5" x14ac:dyDescent="0.3">
      <c r="C118" s="4"/>
      <c r="D118" s="4"/>
      <c r="E118" s="4"/>
    </row>
    <row r="119" spans="3:5" x14ac:dyDescent="0.3">
      <c r="C119" s="4"/>
      <c r="D119" s="4"/>
      <c r="E119" s="4"/>
    </row>
    <row r="120" spans="3:5" x14ac:dyDescent="0.3">
      <c r="C120" s="4"/>
      <c r="D120" s="4"/>
      <c r="E120" s="4"/>
    </row>
    <row r="121" spans="3:5" x14ac:dyDescent="0.3">
      <c r="C121" s="4"/>
      <c r="D121" s="4"/>
      <c r="E121" s="4"/>
    </row>
    <row r="122" spans="3:5" x14ac:dyDescent="0.3">
      <c r="C122" s="4"/>
      <c r="D122" s="4"/>
      <c r="E122" s="4"/>
    </row>
    <row r="123" spans="3:5" x14ac:dyDescent="0.3">
      <c r="C123" s="4"/>
      <c r="D123" s="4"/>
      <c r="E123" s="4"/>
    </row>
    <row r="124" spans="3:5" x14ac:dyDescent="0.3">
      <c r="C124" s="4"/>
      <c r="D124" s="4"/>
      <c r="E124" s="4"/>
    </row>
    <row r="125" spans="3:5" x14ac:dyDescent="0.3">
      <c r="C125" s="4"/>
      <c r="D125" s="4"/>
      <c r="E125" s="4"/>
    </row>
    <row r="126" spans="3:5" x14ac:dyDescent="0.3">
      <c r="C126" s="4"/>
      <c r="D126" s="4"/>
      <c r="E126" s="4"/>
    </row>
    <row r="127" spans="3:5" x14ac:dyDescent="0.3">
      <c r="C127" s="4"/>
      <c r="D127" s="4"/>
      <c r="E127" s="4"/>
    </row>
    <row r="128" spans="3:5" x14ac:dyDescent="0.3">
      <c r="C128" s="4"/>
      <c r="D128" s="4"/>
      <c r="E128" s="4"/>
    </row>
    <row r="129" spans="3:5" x14ac:dyDescent="0.3">
      <c r="C129" s="4"/>
      <c r="D129" s="4"/>
      <c r="E129" s="4"/>
    </row>
    <row r="130" spans="3:5" x14ac:dyDescent="0.3">
      <c r="C130" s="4"/>
      <c r="D130" s="4"/>
      <c r="E130" s="4"/>
    </row>
    <row r="131" spans="3:5" x14ac:dyDescent="0.3">
      <c r="C131" s="4"/>
      <c r="D131" s="4"/>
      <c r="E131" s="4"/>
    </row>
    <row r="132" spans="3:5" x14ac:dyDescent="0.3">
      <c r="C132" s="4"/>
      <c r="D132" s="4"/>
      <c r="E132" s="4"/>
    </row>
    <row r="133" spans="3:5" x14ac:dyDescent="0.3">
      <c r="C133" s="4"/>
      <c r="D133" s="4"/>
      <c r="E133" s="4"/>
    </row>
    <row r="134" spans="3:5" x14ac:dyDescent="0.3">
      <c r="C134" s="4"/>
      <c r="D134" s="4"/>
      <c r="E134" s="4"/>
    </row>
    <row r="135" spans="3:5" x14ac:dyDescent="0.3">
      <c r="C135" s="4"/>
      <c r="D135" s="4"/>
      <c r="E135" s="4"/>
    </row>
    <row r="136" spans="3:5" x14ac:dyDescent="0.3">
      <c r="C136" s="4"/>
      <c r="D136" s="4"/>
      <c r="E136" s="4"/>
    </row>
    <row r="137" spans="3:5" x14ac:dyDescent="0.3">
      <c r="C137" s="4"/>
      <c r="D137" s="4"/>
      <c r="E137" s="4"/>
    </row>
    <row r="138" spans="3:5" x14ac:dyDescent="0.3">
      <c r="C138" s="4"/>
      <c r="D138" s="4"/>
      <c r="E138" s="4"/>
    </row>
    <row r="139" spans="3:5" x14ac:dyDescent="0.3">
      <c r="C139" s="4"/>
      <c r="D139" s="4"/>
      <c r="E139" s="4"/>
    </row>
    <row r="140" spans="3:5" x14ac:dyDescent="0.3">
      <c r="C140" s="4"/>
      <c r="D140" s="4"/>
      <c r="E140" s="4"/>
    </row>
    <row r="141" spans="3:5" x14ac:dyDescent="0.3">
      <c r="C141" s="4"/>
      <c r="D141" s="4"/>
      <c r="E141" s="4"/>
    </row>
    <row r="142" spans="3:5" x14ac:dyDescent="0.3">
      <c r="C142" s="4"/>
      <c r="D142" s="4"/>
      <c r="E142" s="4"/>
    </row>
    <row r="143" spans="3:5" x14ac:dyDescent="0.3">
      <c r="C143" s="4"/>
      <c r="D143" s="4"/>
      <c r="E143" s="4"/>
    </row>
    <row r="144" spans="3:5" x14ac:dyDescent="0.3">
      <c r="C144" s="4"/>
      <c r="D144" s="4"/>
      <c r="E144" s="4"/>
    </row>
    <row r="145" spans="3:5" x14ac:dyDescent="0.3">
      <c r="C145" s="4"/>
      <c r="D145" s="4"/>
      <c r="E145" s="4"/>
    </row>
    <row r="146" spans="3:5" x14ac:dyDescent="0.3">
      <c r="C146" s="4"/>
      <c r="D146" s="4"/>
      <c r="E146" s="4"/>
    </row>
    <row r="147" spans="3:5" x14ac:dyDescent="0.3">
      <c r="C147" s="4"/>
      <c r="D147" s="4"/>
      <c r="E147" s="4"/>
    </row>
    <row r="148" spans="3:5" x14ac:dyDescent="0.3">
      <c r="C148" s="4"/>
      <c r="D148" s="4"/>
      <c r="E148" s="4"/>
    </row>
    <row r="149" spans="3:5" x14ac:dyDescent="0.3">
      <c r="C149" s="4"/>
      <c r="D149" s="4"/>
      <c r="E149" s="4"/>
    </row>
    <row r="150" spans="3:5" x14ac:dyDescent="0.3">
      <c r="C150" s="4"/>
      <c r="D150" s="4"/>
      <c r="E150" s="4"/>
    </row>
    <row r="151" spans="3:5" x14ac:dyDescent="0.3">
      <c r="C151" s="4"/>
      <c r="D151" s="4"/>
      <c r="E151" s="4"/>
    </row>
    <row r="152" spans="3:5" x14ac:dyDescent="0.3">
      <c r="C152" s="4"/>
      <c r="D152" s="4"/>
      <c r="E152" s="4"/>
    </row>
    <row r="153" spans="3:5" x14ac:dyDescent="0.3">
      <c r="C153" s="4"/>
      <c r="D153" s="4"/>
      <c r="E153" s="4"/>
    </row>
    <row r="154" spans="3:5" x14ac:dyDescent="0.3">
      <c r="C154" s="4"/>
      <c r="D154" s="4"/>
      <c r="E154" s="4"/>
    </row>
    <row r="155" spans="3:5" x14ac:dyDescent="0.3">
      <c r="C155" s="4"/>
      <c r="D155" s="4"/>
      <c r="E155" s="4"/>
    </row>
    <row r="156" spans="3:5" x14ac:dyDescent="0.3">
      <c r="C156" s="4"/>
      <c r="D156" s="4"/>
      <c r="E156" s="4"/>
    </row>
    <row r="157" spans="3:5" x14ac:dyDescent="0.3">
      <c r="C157" s="4"/>
      <c r="D157" s="4"/>
      <c r="E157" s="4"/>
    </row>
    <row r="158" spans="3:5" x14ac:dyDescent="0.3">
      <c r="C158" s="4"/>
      <c r="D158" s="4"/>
      <c r="E158" s="4"/>
    </row>
    <row r="159" spans="3:5" x14ac:dyDescent="0.3">
      <c r="C159" s="4"/>
      <c r="D159" s="4"/>
      <c r="E159" s="4"/>
    </row>
    <row r="160" spans="3:5" x14ac:dyDescent="0.3">
      <c r="C160" s="4"/>
      <c r="D160" s="4"/>
      <c r="E160" s="4"/>
    </row>
    <row r="161" spans="3:5" x14ac:dyDescent="0.3">
      <c r="C161" s="4"/>
      <c r="D161" s="4"/>
      <c r="E161" s="4"/>
    </row>
    <row r="162" spans="3:5" x14ac:dyDescent="0.3">
      <c r="C162" s="4"/>
      <c r="D162" s="4"/>
      <c r="E162" s="4"/>
    </row>
    <row r="163" spans="3:5" x14ac:dyDescent="0.3">
      <c r="C163" s="4"/>
      <c r="D163" s="4"/>
      <c r="E163" s="4"/>
    </row>
    <row r="164" spans="3:5" x14ac:dyDescent="0.3">
      <c r="C164" s="4"/>
      <c r="D164" s="4"/>
      <c r="E164" s="4"/>
    </row>
    <row r="165" spans="3:5" x14ac:dyDescent="0.3">
      <c r="C165" s="4"/>
      <c r="D165" s="4"/>
      <c r="E165" s="4"/>
    </row>
    <row r="166" spans="3:5" x14ac:dyDescent="0.3">
      <c r="C166" s="4"/>
      <c r="D166" s="4"/>
      <c r="E166" s="4"/>
    </row>
    <row r="167" spans="3:5" x14ac:dyDescent="0.3">
      <c r="C167" s="4"/>
      <c r="D167" s="4"/>
      <c r="E167" s="4"/>
    </row>
    <row r="168" spans="3:5" x14ac:dyDescent="0.3">
      <c r="C168" s="4"/>
      <c r="D168" s="4"/>
      <c r="E168" s="4"/>
    </row>
    <row r="169" spans="3:5" x14ac:dyDescent="0.3">
      <c r="C169" s="4"/>
      <c r="D169" s="4"/>
      <c r="E169" s="4"/>
    </row>
    <row r="170" spans="3:5" x14ac:dyDescent="0.3">
      <c r="C170" s="4"/>
      <c r="D170" s="4"/>
      <c r="E170" s="4"/>
    </row>
    <row r="171" spans="3:5" x14ac:dyDescent="0.3">
      <c r="C171" s="4"/>
      <c r="D171" s="4"/>
      <c r="E171" s="4"/>
    </row>
    <row r="172" spans="3:5" x14ac:dyDescent="0.3">
      <c r="C172" s="4"/>
      <c r="D172" s="4"/>
      <c r="E172" s="4"/>
    </row>
    <row r="173" spans="3:5" x14ac:dyDescent="0.3">
      <c r="C173" s="4"/>
      <c r="D173" s="4"/>
      <c r="E173" s="4"/>
    </row>
    <row r="174" spans="3:5" x14ac:dyDescent="0.3">
      <c r="C174" s="4"/>
      <c r="D174" s="4"/>
      <c r="E174" s="4"/>
    </row>
    <row r="175" spans="3:5" x14ac:dyDescent="0.3">
      <c r="C175" s="4"/>
      <c r="D175" s="4"/>
      <c r="E175" s="4"/>
    </row>
    <row r="176" spans="3:5" x14ac:dyDescent="0.3">
      <c r="C176" s="4"/>
      <c r="D176" s="4"/>
      <c r="E176" s="4"/>
    </row>
    <row r="177" spans="3:5" x14ac:dyDescent="0.3">
      <c r="C177" s="4"/>
      <c r="D177" s="4"/>
      <c r="E177" s="4"/>
    </row>
    <row r="178" spans="3:5" x14ac:dyDescent="0.3">
      <c r="C178" s="4"/>
      <c r="D178" s="4"/>
      <c r="E178" s="4"/>
    </row>
    <row r="179" spans="3:5" x14ac:dyDescent="0.3">
      <c r="C179" s="4"/>
      <c r="D179" s="4"/>
      <c r="E179" s="4"/>
    </row>
    <row r="180" spans="3:5" x14ac:dyDescent="0.3">
      <c r="C180" s="4"/>
      <c r="D180" s="4"/>
      <c r="E180" s="4"/>
    </row>
    <row r="181" spans="3:5" x14ac:dyDescent="0.3">
      <c r="C181" s="4"/>
      <c r="D181" s="4"/>
      <c r="E181" s="4"/>
    </row>
    <row r="182" spans="3:5" x14ac:dyDescent="0.3">
      <c r="C182" s="4"/>
      <c r="D182" s="4"/>
      <c r="E182" s="4"/>
    </row>
    <row r="183" spans="3:5" x14ac:dyDescent="0.3">
      <c r="C183" s="4"/>
      <c r="D183" s="4"/>
      <c r="E183" s="4"/>
    </row>
    <row r="184" spans="3:5" x14ac:dyDescent="0.3">
      <c r="C184" s="4"/>
      <c r="D184" s="4"/>
      <c r="E184" s="4"/>
    </row>
    <row r="185" spans="3:5" x14ac:dyDescent="0.3">
      <c r="C185" s="4"/>
      <c r="D185" s="4"/>
      <c r="E185" s="4"/>
    </row>
    <row r="186" spans="3:5" x14ac:dyDescent="0.3">
      <c r="C186" s="4"/>
      <c r="D186" s="4"/>
      <c r="E186" s="4"/>
    </row>
    <row r="187" spans="3:5" x14ac:dyDescent="0.3">
      <c r="C187" s="4"/>
      <c r="D187" s="4"/>
      <c r="E187" s="4"/>
    </row>
    <row r="188" spans="3:5" x14ac:dyDescent="0.3">
      <c r="C188" s="4"/>
      <c r="D188" s="4"/>
      <c r="E188" s="4"/>
    </row>
    <row r="189" spans="3:5" x14ac:dyDescent="0.3">
      <c r="C189" s="4"/>
      <c r="D189" s="4"/>
      <c r="E189" s="4"/>
    </row>
    <row r="190" spans="3:5" x14ac:dyDescent="0.3">
      <c r="C190" s="4"/>
      <c r="D190" s="4"/>
      <c r="E190" s="4"/>
    </row>
    <row r="191" spans="3:5" x14ac:dyDescent="0.3">
      <c r="C191" s="4"/>
      <c r="D191" s="4"/>
      <c r="E191" s="4"/>
    </row>
    <row r="192" spans="3:5" x14ac:dyDescent="0.3">
      <c r="C192" s="4"/>
      <c r="D192" s="4"/>
      <c r="E192" s="4"/>
    </row>
    <row r="193" spans="3:5" x14ac:dyDescent="0.3">
      <c r="C193" s="4"/>
      <c r="D193" s="4"/>
      <c r="E193" s="4"/>
    </row>
    <row r="194" spans="3:5" x14ac:dyDescent="0.3">
      <c r="C194" s="4"/>
      <c r="D194" s="4"/>
      <c r="E194" s="4"/>
    </row>
    <row r="195" spans="3:5" x14ac:dyDescent="0.3">
      <c r="C195" s="4"/>
      <c r="D195" s="4"/>
      <c r="E195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XFD92"/>
  <sheetViews>
    <sheetView workbookViewId="0">
      <pane xSplit="6" ySplit="12" topLeftCell="X40" activePane="bottomRight" state="frozen"/>
      <selection pane="topRight" activeCell="F1" sqref="F1"/>
      <selection pane="bottomLeft" activeCell="A13" sqref="A13"/>
      <selection pane="bottomRight" activeCell="X47" sqref="X47"/>
    </sheetView>
  </sheetViews>
  <sheetFormatPr defaultRowHeight="14.4" x14ac:dyDescent="0.3"/>
  <cols>
    <col min="2" max="2" width="32.109375" customWidth="1"/>
    <col min="3" max="3" width="44.33203125" style="216" customWidth="1"/>
    <col min="4" max="4" width="13.5546875" style="4" customWidth="1"/>
    <col min="5" max="5" width="11.44140625" style="4" customWidth="1"/>
    <col min="6" max="6" width="12" style="4" customWidth="1"/>
    <col min="7" max="7" width="15" customWidth="1"/>
    <col min="8" max="8" width="12.109375" customWidth="1"/>
    <col min="9" max="10" width="12.6640625" customWidth="1"/>
    <col min="11" max="11" width="12.44140625" customWidth="1"/>
    <col min="12" max="12" width="12.6640625" customWidth="1"/>
    <col min="14" max="14" width="11.109375" customWidth="1"/>
    <col min="21" max="21" width="11.33203125" customWidth="1"/>
    <col min="23" max="23" width="12" customWidth="1"/>
    <col min="24" max="24" width="13.44140625" customWidth="1"/>
  </cols>
  <sheetData>
    <row r="1" spans="1:24" s="4" customFormat="1" ht="21" x14ac:dyDescent="0.35">
      <c r="A1" s="93" t="s">
        <v>0</v>
      </c>
      <c r="B1" s="87"/>
      <c r="C1" s="81" t="s">
        <v>99</v>
      </c>
      <c r="D1" s="94"/>
      <c r="E1" s="93"/>
      <c r="F1" s="82"/>
      <c r="G1" s="88"/>
      <c r="H1" s="87"/>
      <c r="I1" s="87"/>
      <c r="J1" s="87"/>
      <c r="K1" s="81" t="str">
        <f>C1</f>
        <v>21st CENTURY GRANT</v>
      </c>
      <c r="L1" s="87"/>
      <c r="M1" s="87"/>
      <c r="N1" s="87"/>
      <c r="O1" s="87"/>
      <c r="P1" s="87"/>
      <c r="Q1" s="87"/>
      <c r="R1" s="81" t="str">
        <f>C1</f>
        <v>21st CENTURY GRANT</v>
      </c>
      <c r="S1" s="87"/>
      <c r="T1" s="87"/>
      <c r="U1" s="87"/>
      <c r="V1" s="87"/>
      <c r="W1" s="87"/>
    </row>
    <row r="2" spans="1:24" s="4" customFormat="1" ht="18.75" x14ac:dyDescent="0.3">
      <c r="A2" s="94" t="s">
        <v>1</v>
      </c>
      <c r="B2" s="87"/>
      <c r="C2" s="91">
        <v>84.287000000000006</v>
      </c>
      <c r="D2" s="94"/>
      <c r="E2" s="94"/>
      <c r="F2" s="85"/>
      <c r="G2" s="88"/>
      <c r="H2" s="87"/>
      <c r="I2" s="87"/>
      <c r="J2" s="87"/>
      <c r="K2" s="70" t="str">
        <f>"FY"&amp;C5</f>
        <v>FY2011-12</v>
      </c>
      <c r="L2" s="87"/>
      <c r="M2" s="87"/>
      <c r="N2" s="87"/>
      <c r="O2" s="87"/>
      <c r="P2" s="87"/>
      <c r="Q2" s="87"/>
      <c r="R2" s="70" t="str">
        <f>"FY"&amp;C5</f>
        <v>FY2011-12</v>
      </c>
      <c r="S2" s="87"/>
      <c r="T2" s="87"/>
      <c r="U2" s="87"/>
      <c r="V2" s="87"/>
      <c r="W2" s="87"/>
    </row>
    <row r="3" spans="1:24" s="4" customFormat="1" ht="15.75" x14ac:dyDescent="0.25">
      <c r="A3" s="94" t="s">
        <v>2</v>
      </c>
      <c r="B3" s="87"/>
      <c r="C3" s="91">
        <v>5287</v>
      </c>
      <c r="D3" s="94"/>
      <c r="E3" s="94"/>
      <c r="F3" s="85"/>
      <c r="G3" s="88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4" s="4" customFormat="1" ht="15.75" x14ac:dyDescent="0.25">
      <c r="A4" s="94" t="s">
        <v>100</v>
      </c>
      <c r="B4" s="87"/>
      <c r="C4" s="91">
        <v>5</v>
      </c>
      <c r="D4" s="94"/>
      <c r="E4" s="94"/>
      <c r="F4" s="85"/>
      <c r="G4" s="88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4" s="4" customFormat="1" ht="15.75" x14ac:dyDescent="0.25">
      <c r="A5" s="94" t="s">
        <v>3</v>
      </c>
      <c r="B5" s="87"/>
      <c r="C5" s="91" t="s">
        <v>6</v>
      </c>
      <c r="D5" s="94"/>
      <c r="E5" s="85"/>
      <c r="F5" s="85"/>
      <c r="G5" s="88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4" s="4" customFormat="1" ht="15.75" x14ac:dyDescent="0.25">
      <c r="A6" s="94" t="s">
        <v>171</v>
      </c>
      <c r="B6" s="87"/>
      <c r="C6" s="91" t="s">
        <v>173</v>
      </c>
      <c r="D6" s="94"/>
      <c r="E6" s="85"/>
      <c r="F6" s="85"/>
      <c r="G6" s="88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4" s="4" customFormat="1" ht="15.75" x14ac:dyDescent="0.25">
      <c r="A7" s="94" t="s">
        <v>101</v>
      </c>
      <c r="B7" s="87"/>
      <c r="C7" s="91" t="s">
        <v>102</v>
      </c>
      <c r="D7" s="94"/>
      <c r="E7" s="85"/>
      <c r="F7" s="85"/>
      <c r="G7" s="86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4" s="4" customFormat="1" ht="15.75" x14ac:dyDescent="0.25">
      <c r="A8" s="94" t="s">
        <v>103</v>
      </c>
      <c r="B8" s="87"/>
      <c r="C8" s="91" t="s">
        <v>569</v>
      </c>
      <c r="D8" s="94"/>
      <c r="E8" s="85"/>
      <c r="F8" s="85"/>
      <c r="G8" s="86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</row>
    <row r="9" spans="1:24" s="4" customFormat="1" ht="15.75" x14ac:dyDescent="0.25">
      <c r="A9" s="94"/>
      <c r="B9" s="87"/>
      <c r="C9" s="87"/>
      <c r="D9" s="91"/>
      <c r="E9" s="85"/>
      <c r="F9" s="85"/>
      <c r="G9" s="86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4" s="4" customFormat="1" ht="21" x14ac:dyDescent="0.35">
      <c r="A10" s="93" t="s">
        <v>563</v>
      </c>
      <c r="B10" s="87"/>
      <c r="C10" s="87"/>
      <c r="D10" s="91"/>
      <c r="E10" s="85"/>
      <c r="F10" s="85"/>
      <c r="G10" s="86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</row>
    <row r="11" spans="1:24" s="4" customFormat="1" ht="15.75" thickBot="1" x14ac:dyDescent="0.3">
      <c r="A11" s="78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</row>
    <row r="12" spans="1:24" ht="58.2" thickBot="1" x14ac:dyDescent="0.35">
      <c r="A12" s="67" t="s">
        <v>4</v>
      </c>
      <c r="B12" s="68" t="s">
        <v>5</v>
      </c>
      <c r="C12" s="68" t="s">
        <v>505</v>
      </c>
      <c r="D12" s="69" t="s">
        <v>61</v>
      </c>
      <c r="E12" s="68" t="s">
        <v>62</v>
      </c>
      <c r="F12" s="213" t="s">
        <v>63</v>
      </c>
      <c r="G12" s="57" t="s">
        <v>64</v>
      </c>
      <c r="H12" s="56" t="s">
        <v>65</v>
      </c>
      <c r="I12" s="57" t="s">
        <v>66</v>
      </c>
      <c r="J12" s="56" t="s">
        <v>67</v>
      </c>
      <c r="K12" s="57" t="s">
        <v>68</v>
      </c>
      <c r="L12" s="56" t="s">
        <v>79</v>
      </c>
      <c r="M12" s="57" t="s">
        <v>69</v>
      </c>
      <c r="N12" s="57" t="s">
        <v>70</v>
      </c>
      <c r="O12" s="56" t="s">
        <v>71</v>
      </c>
      <c r="P12" s="57" t="s">
        <v>72</v>
      </c>
      <c r="Q12" s="56" t="s">
        <v>73</v>
      </c>
      <c r="R12" s="57" t="s">
        <v>74</v>
      </c>
      <c r="S12" s="56" t="s">
        <v>75</v>
      </c>
      <c r="T12" s="57" t="s">
        <v>76</v>
      </c>
      <c r="U12" s="56" t="s">
        <v>77</v>
      </c>
      <c r="V12" s="57" t="s">
        <v>78</v>
      </c>
      <c r="W12" s="57" t="s">
        <v>557</v>
      </c>
      <c r="X12" s="257" t="s">
        <v>562</v>
      </c>
    </row>
    <row r="13" spans="1:24" ht="27.6" thickBot="1" x14ac:dyDescent="0.35">
      <c r="A13" s="220" t="s">
        <v>120</v>
      </c>
      <c r="B13" s="221" t="s">
        <v>153</v>
      </c>
      <c r="C13" s="219" t="s">
        <v>506</v>
      </c>
      <c r="D13" s="54">
        <v>585000</v>
      </c>
      <c r="E13" s="54">
        <f>SUM(G13:Z13)</f>
        <v>585000</v>
      </c>
      <c r="F13" s="55">
        <f t="shared" ref="F13:F46" si="0">D13-E13</f>
        <v>0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>
        <v>6912</v>
      </c>
      <c r="T13" s="23"/>
      <c r="U13" s="23"/>
      <c r="V13" s="215"/>
      <c r="W13" s="215">
        <v>65429</v>
      </c>
      <c r="X13" s="55">
        <v>512659</v>
      </c>
    </row>
    <row r="14" spans="1:24" ht="15" thickBot="1" x14ac:dyDescent="0.35">
      <c r="A14" s="220" t="s">
        <v>7</v>
      </c>
      <c r="B14" s="221" t="s">
        <v>482</v>
      </c>
      <c r="C14" s="219" t="s">
        <v>551</v>
      </c>
      <c r="D14" s="55">
        <v>300000</v>
      </c>
      <c r="E14" s="54">
        <f t="shared" ref="E14:E46" si="1">SUM(G14:Z14)</f>
        <v>300000</v>
      </c>
      <c r="F14" s="55">
        <f t="shared" si="0"/>
        <v>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>
        <v>70868</v>
      </c>
      <c r="V14" s="215">
        <v>6384</v>
      </c>
      <c r="W14" s="215">
        <v>16260</v>
      </c>
      <c r="X14" s="55">
        <v>206488</v>
      </c>
    </row>
    <row r="15" spans="1:24" ht="15" thickBot="1" x14ac:dyDescent="0.35">
      <c r="A15" s="220" t="s">
        <v>7</v>
      </c>
      <c r="B15" s="221" t="s">
        <v>483</v>
      </c>
      <c r="C15" s="219" t="s">
        <v>552</v>
      </c>
      <c r="D15" s="55">
        <v>600000</v>
      </c>
      <c r="E15" s="54">
        <f t="shared" si="1"/>
        <v>600000</v>
      </c>
      <c r="F15" s="55">
        <f t="shared" si="0"/>
        <v>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>
        <v>141288</v>
      </c>
      <c r="V15" s="215">
        <v>33308</v>
      </c>
      <c r="W15" s="215">
        <v>48446</v>
      </c>
      <c r="X15" s="55">
        <v>376958</v>
      </c>
    </row>
    <row r="16" spans="1:24" ht="15" thickBot="1" x14ac:dyDescent="0.35">
      <c r="A16" s="220" t="s">
        <v>152</v>
      </c>
      <c r="B16" s="221" t="s">
        <v>156</v>
      </c>
      <c r="C16" s="219" t="s">
        <v>507</v>
      </c>
      <c r="D16" s="55">
        <v>150000</v>
      </c>
      <c r="E16" s="54">
        <f t="shared" si="1"/>
        <v>150000</v>
      </c>
      <c r="F16" s="55">
        <f t="shared" si="0"/>
        <v>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15"/>
      <c r="W16" s="215">
        <v>37390</v>
      </c>
      <c r="X16" s="55">
        <v>112610</v>
      </c>
    </row>
    <row r="17" spans="1:24" ht="15" thickBot="1" x14ac:dyDescent="0.35">
      <c r="A17" s="220" t="s">
        <v>9</v>
      </c>
      <c r="B17" s="221" t="s">
        <v>484</v>
      </c>
      <c r="C17" s="219" t="s">
        <v>547</v>
      </c>
      <c r="D17" s="55">
        <v>149300</v>
      </c>
      <c r="E17" s="54">
        <f t="shared" si="1"/>
        <v>149300</v>
      </c>
      <c r="F17" s="55">
        <f t="shared" si="0"/>
        <v>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>
        <v>6421</v>
      </c>
      <c r="T17" s="23">
        <v>8587</v>
      </c>
      <c r="U17" s="23">
        <v>8648</v>
      </c>
      <c r="V17" s="215"/>
      <c r="W17" s="215">
        <v>2204</v>
      </c>
      <c r="X17" s="55">
        <v>123440</v>
      </c>
    </row>
    <row r="18" spans="1:24" ht="15" thickBot="1" x14ac:dyDescent="0.35">
      <c r="A18" s="220" t="s">
        <v>9</v>
      </c>
      <c r="B18" s="221" t="s">
        <v>484</v>
      </c>
      <c r="C18" s="219" t="s">
        <v>548</v>
      </c>
      <c r="D18" s="55">
        <v>150000</v>
      </c>
      <c r="E18" s="54">
        <f t="shared" si="1"/>
        <v>150000</v>
      </c>
      <c r="F18" s="55">
        <f t="shared" si="0"/>
        <v>0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>
        <v>410</v>
      </c>
      <c r="T18" s="23">
        <v>2638</v>
      </c>
      <c r="U18" s="23">
        <v>153</v>
      </c>
      <c r="V18" s="215"/>
      <c r="W18" s="215">
        <v>4632</v>
      </c>
      <c r="X18" s="55">
        <v>142167</v>
      </c>
    </row>
    <row r="19" spans="1:24" ht="15" thickBot="1" x14ac:dyDescent="0.35">
      <c r="A19" s="220" t="s">
        <v>9</v>
      </c>
      <c r="B19" s="221" t="s">
        <v>484</v>
      </c>
      <c r="C19" s="219" t="s">
        <v>546</v>
      </c>
      <c r="D19" s="55">
        <v>147200</v>
      </c>
      <c r="E19" s="54">
        <f t="shared" si="1"/>
        <v>147200</v>
      </c>
      <c r="F19" s="55">
        <f t="shared" si="0"/>
        <v>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>
        <v>3278</v>
      </c>
      <c r="T19" s="23">
        <v>4892</v>
      </c>
      <c r="U19" s="23">
        <v>6065</v>
      </c>
      <c r="V19" s="215"/>
      <c r="W19" s="215">
        <v>385</v>
      </c>
      <c r="X19" s="55">
        <v>132580</v>
      </c>
    </row>
    <row r="20" spans="1:24" ht="15" thickBot="1" x14ac:dyDescent="0.35">
      <c r="A20" s="220" t="s">
        <v>12</v>
      </c>
      <c r="B20" s="221" t="s">
        <v>485</v>
      </c>
      <c r="C20" s="219" t="s">
        <v>553</v>
      </c>
      <c r="D20" s="55">
        <v>146100</v>
      </c>
      <c r="E20" s="54">
        <f t="shared" si="1"/>
        <v>146100</v>
      </c>
      <c r="F20" s="55">
        <f t="shared" si="0"/>
        <v>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>
        <v>5136</v>
      </c>
      <c r="V20" s="215"/>
      <c r="W20" s="215"/>
      <c r="X20" s="55">
        <v>140964</v>
      </c>
    </row>
    <row r="21" spans="1:24" ht="15" thickBot="1" x14ac:dyDescent="0.35">
      <c r="A21" s="220" t="s">
        <v>12</v>
      </c>
      <c r="B21" s="221" t="s">
        <v>485</v>
      </c>
      <c r="C21" s="219" t="s">
        <v>554</v>
      </c>
      <c r="D21" s="55">
        <v>150000</v>
      </c>
      <c r="E21" s="54">
        <f t="shared" si="1"/>
        <v>150000</v>
      </c>
      <c r="F21" s="55">
        <f t="shared" si="0"/>
        <v>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>
        <v>9602</v>
      </c>
      <c r="V21" s="215"/>
      <c r="W21" s="215">
        <v>1777</v>
      </c>
      <c r="X21" s="55">
        <v>138621</v>
      </c>
    </row>
    <row r="22" spans="1:24" ht="15" thickBot="1" x14ac:dyDescent="0.35">
      <c r="A22" s="220" t="s">
        <v>12</v>
      </c>
      <c r="B22" s="221" t="s">
        <v>485</v>
      </c>
      <c r="C22" s="222" t="s">
        <v>555</v>
      </c>
      <c r="D22" s="55">
        <v>149100</v>
      </c>
      <c r="E22" s="54">
        <f t="shared" si="1"/>
        <v>149100</v>
      </c>
      <c r="F22" s="55">
        <f t="shared" si="0"/>
        <v>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>
        <v>11434</v>
      </c>
      <c r="V22" s="215"/>
      <c r="W22" s="215">
        <v>25234</v>
      </c>
      <c r="X22" s="55">
        <v>112432</v>
      </c>
    </row>
    <row r="23" spans="1:24" ht="15" thickBot="1" x14ac:dyDescent="0.35">
      <c r="A23" s="220" t="s">
        <v>122</v>
      </c>
      <c r="B23" s="221" t="s">
        <v>486</v>
      </c>
      <c r="C23" s="219" t="s">
        <v>508</v>
      </c>
      <c r="D23" s="55">
        <v>150000</v>
      </c>
      <c r="E23" s="54">
        <f t="shared" si="1"/>
        <v>150000</v>
      </c>
      <c r="F23" s="55">
        <f t="shared" si="0"/>
        <v>0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15"/>
      <c r="W23" s="215"/>
      <c r="X23" s="55">
        <v>150000</v>
      </c>
    </row>
    <row r="24" spans="1:24" ht="15" thickBot="1" x14ac:dyDescent="0.35">
      <c r="A24" s="220" t="s">
        <v>122</v>
      </c>
      <c r="B24" s="221" t="s">
        <v>486</v>
      </c>
      <c r="C24" s="219" t="s">
        <v>556</v>
      </c>
      <c r="D24" s="55">
        <v>600000</v>
      </c>
      <c r="E24" s="54">
        <f t="shared" si="1"/>
        <v>600000</v>
      </c>
      <c r="F24" s="55">
        <f t="shared" si="0"/>
        <v>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15">
        <v>69381</v>
      </c>
      <c r="W24" s="215">
        <v>33545</v>
      </c>
      <c r="X24" s="55">
        <v>497074</v>
      </c>
    </row>
    <row r="25" spans="1:24" ht="15" thickBot="1" x14ac:dyDescent="0.35">
      <c r="A25" s="220" t="s">
        <v>122</v>
      </c>
      <c r="B25" s="221" t="s">
        <v>486</v>
      </c>
      <c r="C25" s="219" t="s">
        <v>509</v>
      </c>
      <c r="D25" s="55">
        <v>125000</v>
      </c>
      <c r="E25" s="54">
        <f t="shared" si="1"/>
        <v>125000</v>
      </c>
      <c r="F25" s="55">
        <f t="shared" si="0"/>
        <v>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15"/>
      <c r="W25" s="215"/>
      <c r="X25" s="55">
        <v>125000</v>
      </c>
    </row>
    <row r="26" spans="1:24" ht="15" thickBot="1" x14ac:dyDescent="0.35">
      <c r="A26" s="220" t="s">
        <v>122</v>
      </c>
      <c r="B26" s="221" t="s">
        <v>486</v>
      </c>
      <c r="C26" s="219" t="s">
        <v>544</v>
      </c>
      <c r="D26" s="55">
        <v>150000</v>
      </c>
      <c r="E26" s="54">
        <f t="shared" si="1"/>
        <v>150000</v>
      </c>
      <c r="F26" s="55">
        <f t="shared" si="0"/>
        <v>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>
        <v>15058</v>
      </c>
      <c r="U26" s="23"/>
      <c r="V26" s="215">
        <v>46701</v>
      </c>
      <c r="W26" s="215"/>
      <c r="X26" s="55">
        <v>88241</v>
      </c>
    </row>
    <row r="27" spans="1:24" ht="15" thickBot="1" x14ac:dyDescent="0.35">
      <c r="A27" s="220" t="s">
        <v>122</v>
      </c>
      <c r="B27" s="221" t="s">
        <v>487</v>
      </c>
      <c r="C27" s="219" t="s">
        <v>545</v>
      </c>
      <c r="D27" s="55">
        <v>300000</v>
      </c>
      <c r="E27" s="54">
        <f t="shared" si="1"/>
        <v>300000</v>
      </c>
      <c r="F27" s="55">
        <f t="shared" si="0"/>
        <v>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>
        <v>38997</v>
      </c>
      <c r="U27" s="23"/>
      <c r="V27" s="215"/>
      <c r="W27" s="215">
        <v>44514</v>
      </c>
      <c r="X27" s="55">
        <v>216489</v>
      </c>
    </row>
    <row r="28" spans="1:24" ht="15" thickBot="1" x14ac:dyDescent="0.35">
      <c r="A28" s="220">
        <v>1220</v>
      </c>
      <c r="B28" s="221" t="s">
        <v>499</v>
      </c>
      <c r="C28" s="219" t="s">
        <v>522</v>
      </c>
      <c r="D28" s="55">
        <v>141600</v>
      </c>
      <c r="E28" s="54">
        <f t="shared" si="1"/>
        <v>141600</v>
      </c>
      <c r="F28" s="55">
        <f t="shared" si="0"/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>
        <v>23334</v>
      </c>
      <c r="U28" s="23"/>
      <c r="V28" s="215"/>
      <c r="W28" s="215"/>
      <c r="X28" s="55">
        <v>118266</v>
      </c>
    </row>
    <row r="29" spans="1:24" ht="15" thickBot="1" x14ac:dyDescent="0.35">
      <c r="A29" s="220">
        <v>1400</v>
      </c>
      <c r="B29" s="221" t="s">
        <v>488</v>
      </c>
      <c r="C29" s="219" t="s">
        <v>511</v>
      </c>
      <c r="D29" s="55">
        <v>150000</v>
      </c>
      <c r="E29" s="54">
        <f t="shared" si="1"/>
        <v>150000</v>
      </c>
      <c r="F29" s="55">
        <f t="shared" si="0"/>
        <v>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>
        <v>36698</v>
      </c>
      <c r="T29" s="23"/>
      <c r="U29" s="23"/>
      <c r="V29" s="215"/>
      <c r="W29" s="215"/>
      <c r="X29" s="55">
        <v>113302</v>
      </c>
    </row>
    <row r="30" spans="1:24" ht="15" thickBot="1" x14ac:dyDescent="0.35">
      <c r="A30" s="220">
        <v>1420</v>
      </c>
      <c r="B30" s="221" t="s">
        <v>489</v>
      </c>
      <c r="C30" s="219" t="s">
        <v>512</v>
      </c>
      <c r="D30" s="55">
        <v>300000</v>
      </c>
      <c r="E30" s="54">
        <f t="shared" si="1"/>
        <v>300000</v>
      </c>
      <c r="F30" s="55">
        <f t="shared" si="0"/>
        <v>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>
        <v>34247</v>
      </c>
      <c r="T30" s="23"/>
      <c r="U30" s="23">
        <v>18505</v>
      </c>
      <c r="V30" s="215">
        <v>5187</v>
      </c>
      <c r="W30" s="215">
        <v>9854</v>
      </c>
      <c r="X30" s="55">
        <v>232207</v>
      </c>
    </row>
    <row r="31" spans="1:24" ht="27.6" thickBot="1" x14ac:dyDescent="0.35">
      <c r="A31" s="220">
        <v>1510</v>
      </c>
      <c r="B31" s="221" t="s">
        <v>490</v>
      </c>
      <c r="C31" s="219" t="s">
        <v>513</v>
      </c>
      <c r="D31" s="55">
        <v>124600</v>
      </c>
      <c r="E31" s="54">
        <f t="shared" si="1"/>
        <v>124600</v>
      </c>
      <c r="F31" s="55">
        <f t="shared" si="0"/>
        <v>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15"/>
      <c r="W31" s="215">
        <v>38138</v>
      </c>
      <c r="X31" s="55">
        <v>86462</v>
      </c>
    </row>
    <row r="32" spans="1:24" ht="15" thickBot="1" x14ac:dyDescent="0.35">
      <c r="A32" s="220">
        <v>1550</v>
      </c>
      <c r="B32" s="221" t="s">
        <v>491</v>
      </c>
      <c r="C32" s="219" t="s">
        <v>514</v>
      </c>
      <c r="D32" s="55">
        <v>150000</v>
      </c>
      <c r="E32" s="54">
        <f t="shared" si="1"/>
        <v>150000</v>
      </c>
      <c r="F32" s="55">
        <f t="shared" si="0"/>
        <v>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15"/>
      <c r="W32" s="215">
        <v>16566</v>
      </c>
      <c r="X32" s="55">
        <v>133434</v>
      </c>
    </row>
    <row r="33" spans="1:16384" ht="15" thickBot="1" x14ac:dyDescent="0.35">
      <c r="A33" s="220">
        <v>1560</v>
      </c>
      <c r="B33" s="221" t="s">
        <v>492</v>
      </c>
      <c r="C33" s="219" t="s">
        <v>515</v>
      </c>
      <c r="D33" s="55">
        <v>149200</v>
      </c>
      <c r="E33" s="54">
        <f t="shared" si="1"/>
        <v>149200</v>
      </c>
      <c r="F33" s="55">
        <f t="shared" si="0"/>
        <v>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>
        <v>10810</v>
      </c>
      <c r="V33" s="215"/>
      <c r="W33" s="215">
        <v>3928</v>
      </c>
      <c r="X33" s="55">
        <v>134462</v>
      </c>
    </row>
    <row r="34" spans="1:16384" ht="15" thickBot="1" x14ac:dyDescent="0.35">
      <c r="A34" s="220">
        <v>1780</v>
      </c>
      <c r="B34" s="221" t="s">
        <v>493</v>
      </c>
      <c r="C34" s="219" t="s">
        <v>516</v>
      </c>
      <c r="D34" s="55">
        <v>150000</v>
      </c>
      <c r="E34" s="54">
        <f t="shared" si="1"/>
        <v>150000</v>
      </c>
      <c r="F34" s="55">
        <f t="shared" si="0"/>
        <v>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>
        <v>643</v>
      </c>
      <c r="S34" s="23">
        <v>24875</v>
      </c>
      <c r="T34" s="23"/>
      <c r="U34" s="23"/>
      <c r="V34" s="215">
        <v>8270</v>
      </c>
      <c r="W34" s="215">
        <v>7009</v>
      </c>
      <c r="X34" s="55">
        <v>109203</v>
      </c>
    </row>
    <row r="35" spans="1:16384" ht="15" thickBot="1" x14ac:dyDescent="0.35">
      <c r="A35" s="220">
        <v>2035</v>
      </c>
      <c r="B35" s="221" t="s">
        <v>494</v>
      </c>
      <c r="C35" s="219" t="s">
        <v>517</v>
      </c>
      <c r="D35" s="55">
        <v>145000</v>
      </c>
      <c r="E35" s="54">
        <f t="shared" si="1"/>
        <v>145000</v>
      </c>
      <c r="F35" s="55">
        <f t="shared" si="0"/>
        <v>0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>
        <v>7415</v>
      </c>
      <c r="V35" s="215">
        <v>5638</v>
      </c>
      <c r="W35" s="215">
        <v>11786</v>
      </c>
      <c r="X35" s="55">
        <v>120161</v>
      </c>
    </row>
    <row r="36" spans="1:16384" ht="15" thickBot="1" x14ac:dyDescent="0.35">
      <c r="A36" s="220">
        <v>2820</v>
      </c>
      <c r="B36" s="221" t="s">
        <v>495</v>
      </c>
      <c r="C36" s="219" t="s">
        <v>518</v>
      </c>
      <c r="D36" s="55">
        <v>148700</v>
      </c>
      <c r="E36" s="54">
        <f t="shared" si="1"/>
        <v>148700</v>
      </c>
      <c r="F36" s="55">
        <f t="shared" si="0"/>
        <v>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15"/>
      <c r="W36" s="215">
        <v>56588</v>
      </c>
      <c r="X36" s="55">
        <v>92112</v>
      </c>
    </row>
    <row r="37" spans="1:16384" ht="15" thickBot="1" x14ac:dyDescent="0.35">
      <c r="A37" s="220">
        <v>3010</v>
      </c>
      <c r="B37" s="221" t="s">
        <v>496</v>
      </c>
      <c r="C37" s="219" t="s">
        <v>519</v>
      </c>
      <c r="D37" s="55">
        <v>150000</v>
      </c>
      <c r="E37" s="54">
        <f t="shared" si="1"/>
        <v>150000</v>
      </c>
      <c r="F37" s="55">
        <f t="shared" si="0"/>
        <v>0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15"/>
      <c r="W37" s="215">
        <v>45423</v>
      </c>
      <c r="X37" s="55">
        <v>104577</v>
      </c>
    </row>
    <row r="38" spans="1:16384" ht="15" thickBot="1" x14ac:dyDescent="0.35">
      <c r="A38" s="220">
        <v>3120</v>
      </c>
      <c r="B38" s="221" t="s">
        <v>497</v>
      </c>
      <c r="C38" s="219" t="s">
        <v>520</v>
      </c>
      <c r="D38" s="55">
        <v>508000</v>
      </c>
      <c r="E38" s="54">
        <f t="shared" si="1"/>
        <v>508000</v>
      </c>
      <c r="F38" s="55">
        <f t="shared" si="0"/>
        <v>0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>
        <v>69972</v>
      </c>
      <c r="U38" s="23"/>
      <c r="V38" s="215">
        <v>90488</v>
      </c>
      <c r="W38" s="215"/>
      <c r="X38" s="55">
        <v>347540</v>
      </c>
    </row>
    <row r="39" spans="1:16384" ht="15" thickBot="1" x14ac:dyDescent="0.35">
      <c r="A39" s="220">
        <v>8001</v>
      </c>
      <c r="B39" s="221" t="s">
        <v>498</v>
      </c>
      <c r="C39" s="219" t="s">
        <v>521</v>
      </c>
      <c r="D39" s="55">
        <v>450000</v>
      </c>
      <c r="E39" s="54">
        <f t="shared" si="1"/>
        <v>450000</v>
      </c>
      <c r="F39" s="55">
        <f t="shared" si="0"/>
        <v>0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>
        <v>20597</v>
      </c>
      <c r="V39" s="215"/>
      <c r="W39" s="215">
        <v>100430</v>
      </c>
      <c r="X39" s="55">
        <v>328973</v>
      </c>
    </row>
    <row r="40" spans="1:16384" ht="15" thickBot="1" x14ac:dyDescent="0.35">
      <c r="A40" s="220" t="s">
        <v>529</v>
      </c>
      <c r="B40" s="219" t="s">
        <v>510</v>
      </c>
      <c r="C40" s="219"/>
      <c r="D40" s="55">
        <v>149500</v>
      </c>
      <c r="E40" s="54">
        <f t="shared" si="1"/>
        <v>149500</v>
      </c>
      <c r="F40" s="55">
        <f t="shared" si="0"/>
        <v>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>
        <v>7287</v>
      </c>
      <c r="R40" s="23">
        <v>14623</v>
      </c>
      <c r="S40" s="23">
        <v>7892</v>
      </c>
      <c r="T40" s="23">
        <v>4286</v>
      </c>
      <c r="U40" s="23">
        <v>2337</v>
      </c>
      <c r="V40" s="215">
        <v>6292</v>
      </c>
      <c r="W40" s="215">
        <v>6033</v>
      </c>
      <c r="X40" s="55">
        <v>100750</v>
      </c>
    </row>
    <row r="41" spans="1:16384" ht="15" thickBot="1" x14ac:dyDescent="0.35">
      <c r="A41" s="220" t="s">
        <v>481</v>
      </c>
      <c r="B41" s="221" t="s">
        <v>504</v>
      </c>
      <c r="C41" s="219" t="s">
        <v>528</v>
      </c>
      <c r="D41" s="55">
        <v>150000</v>
      </c>
      <c r="E41" s="54">
        <f t="shared" si="1"/>
        <v>150000</v>
      </c>
      <c r="F41" s="55">
        <f t="shared" si="0"/>
        <v>0</v>
      </c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>
        <v>28623</v>
      </c>
      <c r="V41" s="215"/>
      <c r="W41" s="215">
        <v>16209</v>
      </c>
      <c r="X41" s="55">
        <v>105168</v>
      </c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  <c r="CB41" s="214"/>
      <c r="CC41" s="214"/>
      <c r="CD41" s="214"/>
      <c r="CE41" s="214"/>
      <c r="CF41" s="214"/>
      <c r="CG41" s="214"/>
      <c r="CH41" s="214"/>
      <c r="CI41" s="214"/>
      <c r="CJ41" s="214"/>
      <c r="CK41" s="214"/>
      <c r="CL41" s="214"/>
      <c r="CM41" s="214"/>
      <c r="CN41" s="214"/>
      <c r="CO41" s="214"/>
      <c r="CP41" s="214"/>
      <c r="CQ41" s="214"/>
      <c r="CR41" s="214"/>
      <c r="CS41" s="214"/>
      <c r="CT41" s="214"/>
      <c r="CU41" s="214"/>
      <c r="CV41" s="214"/>
      <c r="CW41" s="214"/>
      <c r="CX41" s="214"/>
      <c r="CY41" s="214"/>
      <c r="CZ41" s="214"/>
      <c r="DA41" s="214"/>
      <c r="DB41" s="214"/>
      <c r="DC41" s="214"/>
      <c r="DD41" s="214"/>
      <c r="DE41" s="214"/>
      <c r="DF41" s="214"/>
      <c r="DG41" s="214"/>
      <c r="DH41" s="214"/>
      <c r="DI41" s="214"/>
      <c r="DJ41" s="214"/>
      <c r="DK41" s="214"/>
      <c r="DL41" s="214"/>
      <c r="DM41" s="214"/>
      <c r="DN41" s="214"/>
      <c r="DO41" s="214"/>
      <c r="DP41" s="214"/>
      <c r="DQ41" s="214"/>
      <c r="DR41" s="214"/>
      <c r="DS41" s="214"/>
      <c r="DT41" s="214"/>
      <c r="DU41" s="214"/>
      <c r="DV41" s="214"/>
      <c r="DW41" s="214"/>
      <c r="DX41" s="214"/>
      <c r="DY41" s="214"/>
      <c r="DZ41" s="214"/>
      <c r="EA41" s="214"/>
      <c r="EB41" s="214"/>
      <c r="EC41" s="214"/>
      <c r="ED41" s="214"/>
      <c r="EE41" s="214"/>
      <c r="EF41" s="214"/>
      <c r="EG41" s="214"/>
      <c r="EH41" s="214"/>
      <c r="EI41" s="214"/>
      <c r="EJ41" s="214"/>
      <c r="EK41" s="214"/>
      <c r="EL41" s="214"/>
      <c r="EM41" s="214"/>
      <c r="EN41" s="214"/>
      <c r="EO41" s="214"/>
      <c r="EP41" s="214"/>
      <c r="EQ41" s="214"/>
      <c r="ER41" s="214"/>
      <c r="ES41" s="214"/>
      <c r="ET41" s="214"/>
      <c r="EU41" s="214"/>
      <c r="EV41" s="214"/>
      <c r="EW41" s="214"/>
      <c r="EX41" s="214"/>
      <c r="EY41" s="214"/>
      <c r="EZ41" s="214"/>
      <c r="FA41" s="214"/>
      <c r="FB41" s="214"/>
      <c r="FC41" s="214"/>
      <c r="FD41" s="214"/>
      <c r="FE41" s="214"/>
      <c r="FF41" s="214"/>
      <c r="FG41" s="214"/>
      <c r="FH41" s="214"/>
      <c r="FI41" s="214"/>
      <c r="FJ41" s="214"/>
      <c r="FK41" s="214"/>
      <c r="FL41" s="214"/>
      <c r="FM41" s="214"/>
      <c r="FN41" s="214"/>
      <c r="FO41" s="214"/>
      <c r="FP41" s="214"/>
      <c r="FQ41" s="214"/>
      <c r="FR41" s="214"/>
      <c r="FS41" s="214"/>
      <c r="FT41" s="214"/>
      <c r="FU41" s="214"/>
      <c r="FV41" s="214"/>
      <c r="FW41" s="214"/>
      <c r="FX41" s="214"/>
      <c r="FY41" s="214"/>
      <c r="FZ41" s="214"/>
      <c r="GA41" s="214"/>
      <c r="GB41" s="214"/>
      <c r="GC41" s="214"/>
      <c r="GD41" s="214"/>
      <c r="GE41" s="214"/>
      <c r="GF41" s="214"/>
      <c r="GG41" s="214"/>
      <c r="GH41" s="214"/>
      <c r="GI41" s="214"/>
      <c r="GJ41" s="214"/>
      <c r="GK41" s="214"/>
      <c r="GL41" s="214"/>
      <c r="GM41" s="214"/>
      <c r="GN41" s="214"/>
      <c r="GO41" s="214"/>
      <c r="GP41" s="214"/>
      <c r="GQ41" s="214"/>
      <c r="GR41" s="214"/>
      <c r="GS41" s="214"/>
      <c r="GT41" s="214"/>
      <c r="GU41" s="214"/>
      <c r="GV41" s="214"/>
      <c r="GW41" s="214"/>
      <c r="GX41" s="214"/>
      <c r="GY41" s="214"/>
      <c r="GZ41" s="214"/>
      <c r="HA41" s="214"/>
      <c r="HB41" s="214"/>
      <c r="HC41" s="214"/>
      <c r="HD41" s="214"/>
      <c r="HE41" s="214"/>
      <c r="HF41" s="214"/>
      <c r="HG41" s="214"/>
      <c r="HH41" s="214"/>
      <c r="HI41" s="214"/>
      <c r="HJ41" s="214"/>
      <c r="HK41" s="214"/>
      <c r="HL41" s="214"/>
      <c r="HM41" s="214"/>
      <c r="HN41" s="214"/>
      <c r="HO41" s="214"/>
      <c r="HP41" s="214"/>
      <c r="HQ41" s="214"/>
      <c r="HR41" s="214"/>
      <c r="HS41" s="214"/>
      <c r="HT41" s="214"/>
      <c r="HU41" s="214"/>
      <c r="HV41" s="214"/>
      <c r="HW41" s="214"/>
      <c r="HX41" s="214"/>
      <c r="HY41" s="214"/>
      <c r="HZ41" s="214"/>
      <c r="IA41" s="214"/>
      <c r="IB41" s="214"/>
      <c r="IC41" s="214"/>
      <c r="ID41" s="214"/>
      <c r="IE41" s="214"/>
      <c r="IF41" s="214"/>
      <c r="IG41" s="214"/>
      <c r="IH41" s="214"/>
      <c r="II41" s="214"/>
      <c r="IJ41" s="214"/>
      <c r="IK41" s="214"/>
      <c r="IL41" s="214"/>
      <c r="IM41" s="214"/>
      <c r="IN41" s="214"/>
      <c r="IO41" s="214"/>
      <c r="IP41" s="214"/>
      <c r="IQ41" s="214"/>
      <c r="IR41" s="214"/>
      <c r="IS41" s="214"/>
      <c r="IT41" s="214"/>
      <c r="IU41" s="214"/>
      <c r="IV41" s="214"/>
      <c r="IW41" s="214"/>
      <c r="IX41" s="214"/>
      <c r="IY41" s="214"/>
      <c r="IZ41" s="214"/>
      <c r="JA41" s="214"/>
      <c r="JB41" s="214"/>
      <c r="JC41" s="214"/>
      <c r="JD41" s="214"/>
      <c r="JE41" s="214"/>
      <c r="JF41" s="214"/>
      <c r="JG41" s="214"/>
      <c r="JH41" s="214"/>
      <c r="JI41" s="214"/>
      <c r="JJ41" s="214"/>
      <c r="JK41" s="214"/>
      <c r="JL41" s="214"/>
      <c r="JM41" s="214"/>
      <c r="JN41" s="214"/>
      <c r="JO41" s="214"/>
      <c r="JP41" s="214"/>
      <c r="JQ41" s="214"/>
      <c r="JR41" s="214"/>
      <c r="JS41" s="214"/>
      <c r="JT41" s="214"/>
      <c r="JU41" s="214"/>
      <c r="JV41" s="214"/>
      <c r="JW41" s="214"/>
      <c r="JX41" s="214"/>
      <c r="JY41" s="214"/>
      <c r="JZ41" s="214"/>
      <c r="KA41" s="214"/>
      <c r="KB41" s="214"/>
      <c r="KC41" s="214"/>
      <c r="KD41" s="214"/>
      <c r="KE41" s="214"/>
      <c r="KF41" s="214"/>
      <c r="KG41" s="214"/>
      <c r="KH41" s="214"/>
      <c r="KI41" s="214"/>
      <c r="KJ41" s="214"/>
      <c r="KK41" s="214"/>
      <c r="KL41" s="214"/>
      <c r="KM41" s="214"/>
      <c r="KN41" s="214"/>
      <c r="KO41" s="214"/>
      <c r="KP41" s="214"/>
      <c r="KQ41" s="214"/>
      <c r="KR41" s="214"/>
      <c r="KS41" s="214"/>
      <c r="KT41" s="214"/>
      <c r="KU41" s="214"/>
      <c r="KV41" s="214"/>
      <c r="KW41" s="214"/>
      <c r="KX41" s="214"/>
      <c r="KY41" s="214"/>
      <c r="KZ41" s="214"/>
      <c r="LA41" s="214"/>
      <c r="LB41" s="214"/>
      <c r="LC41" s="214"/>
      <c r="LD41" s="214"/>
      <c r="LE41" s="214"/>
      <c r="LF41" s="214"/>
      <c r="LG41" s="214"/>
      <c r="LH41" s="214"/>
      <c r="LI41" s="214"/>
      <c r="LJ41" s="214"/>
      <c r="LK41" s="214"/>
      <c r="LL41" s="214"/>
      <c r="LM41" s="214"/>
      <c r="LN41" s="214"/>
      <c r="LO41" s="214"/>
      <c r="LP41" s="214"/>
      <c r="LQ41" s="214"/>
      <c r="LR41" s="214"/>
      <c r="LS41" s="214"/>
      <c r="LT41" s="214"/>
      <c r="LU41" s="214"/>
      <c r="LV41" s="214"/>
      <c r="LW41" s="214"/>
      <c r="LX41" s="214"/>
      <c r="LY41" s="214"/>
      <c r="LZ41" s="214"/>
      <c r="MA41" s="214"/>
      <c r="MB41" s="214"/>
      <c r="MC41" s="214"/>
      <c r="MD41" s="214"/>
      <c r="ME41" s="214"/>
      <c r="MF41" s="214"/>
      <c r="MG41" s="214"/>
      <c r="MH41" s="214"/>
      <c r="MI41" s="214"/>
      <c r="MJ41" s="214"/>
      <c r="MK41" s="214"/>
      <c r="ML41" s="214"/>
      <c r="MM41" s="214"/>
      <c r="MN41" s="214"/>
      <c r="MO41" s="214"/>
      <c r="MP41" s="214"/>
      <c r="MQ41" s="214"/>
      <c r="MR41" s="214"/>
      <c r="MS41" s="214"/>
      <c r="MT41" s="214"/>
      <c r="MU41" s="214"/>
      <c r="MV41" s="214"/>
      <c r="MW41" s="214"/>
      <c r="MX41" s="214"/>
      <c r="MY41" s="214"/>
      <c r="MZ41" s="214"/>
      <c r="NA41" s="214"/>
      <c r="NB41" s="214"/>
      <c r="NC41" s="214"/>
      <c r="ND41" s="214"/>
      <c r="NE41" s="214"/>
      <c r="NF41" s="214"/>
      <c r="NG41" s="214"/>
      <c r="NH41" s="214"/>
      <c r="NI41" s="214"/>
      <c r="NJ41" s="214"/>
      <c r="NK41" s="214"/>
      <c r="NL41" s="214"/>
      <c r="NM41" s="214"/>
      <c r="NN41" s="214"/>
      <c r="NO41" s="214"/>
      <c r="NP41" s="214"/>
      <c r="NQ41" s="214"/>
      <c r="NR41" s="214"/>
      <c r="NS41" s="214"/>
      <c r="NT41" s="214"/>
      <c r="NU41" s="214"/>
      <c r="NV41" s="214"/>
      <c r="NW41" s="214"/>
      <c r="NX41" s="214"/>
      <c r="NY41" s="214"/>
      <c r="NZ41" s="214"/>
      <c r="OA41" s="214"/>
      <c r="OB41" s="214"/>
      <c r="OC41" s="214"/>
      <c r="OD41" s="214"/>
      <c r="OE41" s="214"/>
      <c r="OF41" s="214"/>
      <c r="OG41" s="214"/>
      <c r="OH41" s="214"/>
      <c r="OI41" s="214"/>
      <c r="OJ41" s="214"/>
      <c r="OK41" s="214"/>
      <c r="OL41" s="214"/>
      <c r="OM41" s="214"/>
      <c r="ON41" s="214"/>
      <c r="OO41" s="214"/>
      <c r="OP41" s="214"/>
      <c r="OQ41" s="214"/>
      <c r="OR41" s="214"/>
      <c r="OS41" s="214"/>
      <c r="OT41" s="214"/>
      <c r="OU41" s="214"/>
      <c r="OV41" s="214"/>
      <c r="OW41" s="214"/>
      <c r="OX41" s="214"/>
      <c r="OY41" s="214"/>
      <c r="OZ41" s="214"/>
      <c r="PA41" s="214"/>
      <c r="PB41" s="214"/>
      <c r="PC41" s="214"/>
      <c r="PD41" s="214"/>
      <c r="PE41" s="214"/>
      <c r="PF41" s="214"/>
      <c r="PG41" s="214"/>
      <c r="PH41" s="214"/>
      <c r="PI41" s="214"/>
      <c r="PJ41" s="214"/>
      <c r="PK41" s="214"/>
      <c r="PL41" s="214"/>
      <c r="PM41" s="214"/>
      <c r="PN41" s="214"/>
      <c r="PO41" s="214"/>
      <c r="PP41" s="214"/>
      <c r="PQ41" s="214"/>
      <c r="PR41" s="214"/>
      <c r="PS41" s="214"/>
      <c r="PT41" s="214"/>
      <c r="PU41" s="214"/>
      <c r="PV41" s="214"/>
      <c r="PW41" s="214"/>
      <c r="PX41" s="214"/>
      <c r="PY41" s="214"/>
      <c r="PZ41" s="214"/>
      <c r="QA41" s="214"/>
      <c r="QB41" s="214"/>
      <c r="QC41" s="214"/>
      <c r="QD41" s="214"/>
      <c r="QE41" s="214"/>
      <c r="QF41" s="214"/>
      <c r="QG41" s="214"/>
      <c r="QH41" s="214"/>
      <c r="QI41" s="214"/>
      <c r="QJ41" s="214"/>
      <c r="QK41" s="214"/>
      <c r="QL41" s="214"/>
      <c r="QM41" s="214"/>
      <c r="QN41" s="214"/>
      <c r="QO41" s="214"/>
      <c r="QP41" s="214"/>
      <c r="QQ41" s="214"/>
      <c r="QR41" s="214"/>
      <c r="QS41" s="214"/>
      <c r="QT41" s="214"/>
      <c r="QU41" s="214"/>
      <c r="QV41" s="214"/>
      <c r="QW41" s="214"/>
      <c r="QX41" s="214"/>
      <c r="QY41" s="214"/>
      <c r="QZ41" s="214"/>
      <c r="RA41" s="214"/>
      <c r="RB41" s="214"/>
      <c r="RC41" s="214"/>
      <c r="RD41" s="214"/>
      <c r="RE41" s="214"/>
      <c r="RF41" s="214"/>
      <c r="RG41" s="214"/>
      <c r="RH41" s="214"/>
      <c r="RI41" s="214"/>
      <c r="RJ41" s="214"/>
      <c r="RK41" s="214"/>
      <c r="RL41" s="214"/>
      <c r="RM41" s="214"/>
      <c r="RN41" s="214"/>
      <c r="RO41" s="214"/>
      <c r="RP41" s="214"/>
      <c r="RQ41" s="214"/>
      <c r="RR41" s="214"/>
      <c r="RS41" s="214"/>
      <c r="RT41" s="214"/>
      <c r="RU41" s="214"/>
      <c r="RV41" s="214"/>
      <c r="RW41" s="214"/>
      <c r="RX41" s="214"/>
      <c r="RY41" s="214"/>
      <c r="RZ41" s="214"/>
      <c r="SA41" s="214"/>
      <c r="SB41" s="214"/>
      <c r="SC41" s="214"/>
      <c r="SD41" s="214"/>
      <c r="SE41" s="214"/>
      <c r="SF41" s="214"/>
      <c r="SG41" s="214"/>
      <c r="SH41" s="214"/>
      <c r="SI41" s="214"/>
      <c r="SJ41" s="214"/>
      <c r="SK41" s="214"/>
      <c r="SL41" s="214"/>
      <c r="SM41" s="214"/>
      <c r="SN41" s="214"/>
      <c r="SO41" s="214"/>
      <c r="SP41" s="214"/>
      <c r="SQ41" s="214"/>
      <c r="SR41" s="214"/>
      <c r="SS41" s="214"/>
      <c r="ST41" s="214"/>
      <c r="SU41" s="214"/>
      <c r="SV41" s="214"/>
      <c r="SW41" s="214"/>
      <c r="SX41" s="214"/>
      <c r="SY41" s="214"/>
      <c r="SZ41" s="214"/>
      <c r="TA41" s="214"/>
      <c r="TB41" s="214"/>
      <c r="TC41" s="214"/>
      <c r="TD41" s="214"/>
      <c r="TE41" s="214"/>
      <c r="TF41" s="214"/>
      <c r="TG41" s="214"/>
      <c r="TH41" s="214"/>
      <c r="TI41" s="214"/>
      <c r="TJ41" s="214"/>
      <c r="TK41" s="214"/>
      <c r="TL41" s="214"/>
      <c r="TM41" s="214"/>
      <c r="TN41" s="214"/>
      <c r="TO41" s="214"/>
      <c r="TP41" s="214"/>
      <c r="TQ41" s="214"/>
      <c r="TR41" s="214"/>
      <c r="TS41" s="214"/>
      <c r="TT41" s="214"/>
      <c r="TU41" s="214"/>
      <c r="TV41" s="214"/>
      <c r="TW41" s="214"/>
      <c r="TX41" s="214"/>
      <c r="TY41" s="214"/>
      <c r="TZ41" s="214"/>
      <c r="UA41" s="214"/>
      <c r="UB41" s="214"/>
      <c r="UC41" s="214"/>
      <c r="UD41" s="214"/>
      <c r="UE41" s="214"/>
      <c r="UF41" s="214"/>
      <c r="UG41" s="214"/>
      <c r="UH41" s="214"/>
      <c r="UI41" s="214"/>
      <c r="UJ41" s="214"/>
      <c r="UK41" s="214"/>
      <c r="UL41" s="214"/>
      <c r="UM41" s="214"/>
      <c r="UN41" s="214"/>
      <c r="UO41" s="214"/>
      <c r="UP41" s="214"/>
      <c r="UQ41" s="214"/>
      <c r="UR41" s="214"/>
      <c r="US41" s="214"/>
      <c r="UT41" s="214"/>
      <c r="UU41" s="214"/>
      <c r="UV41" s="214"/>
      <c r="UW41" s="214"/>
      <c r="UX41" s="214"/>
      <c r="UY41" s="214"/>
      <c r="UZ41" s="214"/>
      <c r="VA41" s="214"/>
      <c r="VB41" s="214"/>
      <c r="VC41" s="214"/>
      <c r="VD41" s="214"/>
      <c r="VE41" s="214"/>
      <c r="VF41" s="214"/>
      <c r="VG41" s="214"/>
      <c r="VH41" s="214"/>
      <c r="VI41" s="214"/>
      <c r="VJ41" s="214"/>
      <c r="VK41" s="214"/>
      <c r="VL41" s="214"/>
      <c r="VM41" s="214"/>
      <c r="VN41" s="214"/>
      <c r="VO41" s="214"/>
      <c r="VP41" s="214"/>
      <c r="VQ41" s="214"/>
      <c r="VR41" s="214"/>
      <c r="VS41" s="214"/>
      <c r="VT41" s="214"/>
      <c r="VU41" s="214"/>
      <c r="VV41" s="214"/>
      <c r="VW41" s="214"/>
      <c r="VX41" s="214"/>
      <c r="VY41" s="214"/>
      <c r="VZ41" s="214"/>
      <c r="WA41" s="214"/>
      <c r="WB41" s="214"/>
      <c r="WC41" s="214"/>
      <c r="WD41" s="214"/>
      <c r="WE41" s="214"/>
      <c r="WF41" s="214"/>
      <c r="WG41" s="214"/>
      <c r="WH41" s="214"/>
      <c r="WI41" s="214"/>
      <c r="WJ41" s="214"/>
      <c r="WK41" s="214"/>
      <c r="WL41" s="214"/>
      <c r="WM41" s="214"/>
      <c r="WN41" s="214"/>
      <c r="WO41" s="214"/>
      <c r="WP41" s="214"/>
      <c r="WQ41" s="214"/>
      <c r="WR41" s="214"/>
      <c r="WS41" s="214"/>
      <c r="WT41" s="214"/>
      <c r="WU41" s="214"/>
      <c r="WV41" s="214"/>
      <c r="WW41" s="214"/>
      <c r="WX41" s="214"/>
      <c r="WY41" s="214"/>
      <c r="WZ41" s="214"/>
      <c r="XA41" s="214"/>
      <c r="XB41" s="214"/>
      <c r="XC41" s="214"/>
      <c r="XD41" s="214"/>
      <c r="XE41" s="214"/>
      <c r="XF41" s="214"/>
      <c r="XG41" s="214"/>
      <c r="XH41" s="214"/>
      <c r="XI41" s="214"/>
      <c r="XJ41" s="214"/>
      <c r="XK41" s="214"/>
      <c r="XL41" s="214"/>
      <c r="XM41" s="214"/>
      <c r="XN41" s="214"/>
      <c r="XO41" s="214"/>
      <c r="XP41" s="214"/>
      <c r="XQ41" s="214"/>
      <c r="XR41" s="214"/>
      <c r="XS41" s="214"/>
      <c r="XT41" s="214"/>
      <c r="XU41" s="214"/>
      <c r="XV41" s="214"/>
      <c r="XW41" s="214"/>
      <c r="XX41" s="214"/>
      <c r="XY41" s="214"/>
      <c r="XZ41" s="214"/>
      <c r="YA41" s="214"/>
      <c r="YB41" s="214"/>
      <c r="YC41" s="214"/>
      <c r="YD41" s="214"/>
      <c r="YE41" s="214"/>
      <c r="YF41" s="214"/>
      <c r="YG41" s="214"/>
      <c r="YH41" s="214"/>
      <c r="YI41" s="214"/>
      <c r="YJ41" s="214"/>
      <c r="YK41" s="214"/>
      <c r="YL41" s="214"/>
      <c r="YM41" s="214"/>
      <c r="YN41" s="214"/>
      <c r="YO41" s="214"/>
      <c r="YP41" s="214"/>
      <c r="YQ41" s="214"/>
      <c r="YR41" s="214"/>
      <c r="YS41" s="214"/>
      <c r="YT41" s="214"/>
      <c r="YU41" s="214"/>
      <c r="YV41" s="214"/>
      <c r="YW41" s="214"/>
      <c r="YX41" s="214"/>
      <c r="YY41" s="214"/>
      <c r="YZ41" s="214"/>
      <c r="ZA41" s="214"/>
      <c r="ZB41" s="214"/>
      <c r="ZC41" s="214"/>
      <c r="ZD41" s="214"/>
      <c r="ZE41" s="214"/>
      <c r="ZF41" s="214"/>
      <c r="ZG41" s="214"/>
      <c r="ZH41" s="214"/>
      <c r="ZI41" s="214"/>
      <c r="ZJ41" s="214"/>
      <c r="ZK41" s="214"/>
      <c r="ZL41" s="214"/>
      <c r="ZM41" s="214"/>
      <c r="ZN41" s="214"/>
      <c r="ZO41" s="214"/>
      <c r="ZP41" s="214"/>
      <c r="ZQ41" s="214"/>
      <c r="ZR41" s="214"/>
      <c r="ZS41" s="214"/>
      <c r="ZT41" s="214"/>
      <c r="ZU41" s="214"/>
      <c r="ZV41" s="214"/>
      <c r="ZW41" s="214"/>
      <c r="ZX41" s="214"/>
      <c r="ZY41" s="214"/>
      <c r="ZZ41" s="214"/>
      <c r="AAA41" s="214"/>
      <c r="AAB41" s="214"/>
      <c r="AAC41" s="214"/>
      <c r="AAD41" s="214"/>
      <c r="AAE41" s="214"/>
      <c r="AAF41" s="214"/>
      <c r="AAG41" s="214"/>
      <c r="AAH41" s="214"/>
      <c r="AAI41" s="214"/>
      <c r="AAJ41" s="214"/>
      <c r="AAK41" s="214"/>
      <c r="AAL41" s="214"/>
      <c r="AAM41" s="214"/>
      <c r="AAN41" s="214"/>
      <c r="AAO41" s="214"/>
      <c r="AAP41" s="214"/>
      <c r="AAQ41" s="214"/>
      <c r="AAR41" s="214"/>
      <c r="AAS41" s="214"/>
      <c r="AAT41" s="214"/>
      <c r="AAU41" s="214"/>
      <c r="AAV41" s="214"/>
      <c r="AAW41" s="214"/>
      <c r="AAX41" s="214"/>
      <c r="AAY41" s="214"/>
      <c r="AAZ41" s="214"/>
      <c r="ABA41" s="214"/>
      <c r="ABB41" s="214"/>
      <c r="ABC41" s="214"/>
      <c r="ABD41" s="214"/>
      <c r="ABE41" s="214"/>
      <c r="ABF41" s="214"/>
      <c r="ABG41" s="214"/>
      <c r="ABH41" s="214"/>
      <c r="ABI41" s="214"/>
      <c r="ABJ41" s="214"/>
      <c r="ABK41" s="214"/>
      <c r="ABL41" s="214"/>
      <c r="ABM41" s="214"/>
      <c r="ABN41" s="214"/>
      <c r="ABO41" s="214"/>
      <c r="ABP41" s="214"/>
      <c r="ABQ41" s="214"/>
      <c r="ABR41" s="214"/>
      <c r="ABS41" s="214"/>
      <c r="ABT41" s="214"/>
      <c r="ABU41" s="214"/>
      <c r="ABV41" s="214"/>
      <c r="ABW41" s="214"/>
      <c r="ABX41" s="214"/>
      <c r="ABY41" s="214"/>
      <c r="ABZ41" s="214"/>
      <c r="ACA41" s="214"/>
      <c r="ACB41" s="214"/>
      <c r="ACC41" s="214"/>
      <c r="ACD41" s="214"/>
      <c r="ACE41" s="214"/>
      <c r="ACF41" s="214"/>
      <c r="ACG41" s="214"/>
      <c r="ACH41" s="214"/>
      <c r="ACI41" s="214"/>
      <c r="ACJ41" s="214"/>
      <c r="ACK41" s="214"/>
      <c r="ACL41" s="214"/>
      <c r="ACM41" s="214"/>
      <c r="ACN41" s="214"/>
      <c r="ACO41" s="214"/>
      <c r="ACP41" s="214"/>
      <c r="ACQ41" s="214"/>
      <c r="ACR41" s="214"/>
      <c r="ACS41" s="214"/>
      <c r="ACT41" s="214"/>
      <c r="ACU41" s="214"/>
      <c r="ACV41" s="214"/>
      <c r="ACW41" s="214"/>
      <c r="ACX41" s="214"/>
      <c r="ACY41" s="214"/>
      <c r="ACZ41" s="214"/>
      <c r="ADA41" s="214"/>
      <c r="ADB41" s="214"/>
      <c r="ADC41" s="214"/>
      <c r="ADD41" s="214"/>
      <c r="ADE41" s="214"/>
      <c r="ADF41" s="214"/>
      <c r="ADG41" s="214"/>
      <c r="ADH41" s="214"/>
      <c r="ADI41" s="214"/>
      <c r="ADJ41" s="214"/>
      <c r="ADK41" s="214"/>
      <c r="ADL41" s="214"/>
      <c r="ADM41" s="214"/>
      <c r="ADN41" s="214"/>
      <c r="ADO41" s="214"/>
      <c r="ADP41" s="214"/>
      <c r="ADQ41" s="214"/>
      <c r="ADR41" s="214"/>
      <c r="ADS41" s="214"/>
      <c r="ADT41" s="214"/>
      <c r="ADU41" s="214"/>
      <c r="ADV41" s="214"/>
      <c r="ADW41" s="214"/>
      <c r="ADX41" s="214"/>
      <c r="ADY41" s="214"/>
      <c r="ADZ41" s="214"/>
      <c r="AEA41" s="214"/>
      <c r="AEB41" s="214"/>
      <c r="AEC41" s="214"/>
      <c r="AED41" s="214"/>
      <c r="AEE41" s="214"/>
      <c r="AEF41" s="214"/>
      <c r="AEG41" s="214"/>
      <c r="AEH41" s="214"/>
      <c r="AEI41" s="214"/>
      <c r="AEJ41" s="214"/>
      <c r="AEK41" s="214"/>
      <c r="AEL41" s="214"/>
      <c r="AEM41" s="214"/>
      <c r="AEN41" s="214"/>
      <c r="AEO41" s="214"/>
      <c r="AEP41" s="214"/>
      <c r="AEQ41" s="214"/>
      <c r="AER41" s="214"/>
      <c r="AES41" s="214"/>
      <c r="AET41" s="214"/>
      <c r="AEU41" s="214"/>
      <c r="AEV41" s="214"/>
      <c r="AEW41" s="214"/>
      <c r="AEX41" s="214"/>
      <c r="AEY41" s="214"/>
      <c r="AEZ41" s="214"/>
      <c r="AFA41" s="214"/>
      <c r="AFB41" s="214"/>
      <c r="AFC41" s="214"/>
      <c r="AFD41" s="214"/>
      <c r="AFE41" s="214"/>
      <c r="AFF41" s="214"/>
      <c r="AFG41" s="214"/>
      <c r="AFH41" s="214"/>
      <c r="AFI41" s="214"/>
      <c r="AFJ41" s="214"/>
      <c r="AFK41" s="214"/>
      <c r="AFL41" s="214"/>
      <c r="AFM41" s="214"/>
      <c r="AFN41" s="214"/>
      <c r="AFO41" s="214"/>
      <c r="AFP41" s="214"/>
      <c r="AFQ41" s="214"/>
      <c r="AFR41" s="214"/>
      <c r="AFS41" s="214"/>
      <c r="AFT41" s="214"/>
      <c r="AFU41" s="214"/>
      <c r="AFV41" s="214"/>
      <c r="AFW41" s="214"/>
      <c r="AFX41" s="214"/>
      <c r="AFY41" s="214"/>
      <c r="AFZ41" s="214"/>
      <c r="AGA41" s="214"/>
      <c r="AGB41" s="214"/>
      <c r="AGC41" s="214"/>
      <c r="AGD41" s="214"/>
      <c r="AGE41" s="214"/>
      <c r="AGF41" s="214"/>
      <c r="AGG41" s="214"/>
      <c r="AGH41" s="214"/>
      <c r="AGI41" s="214"/>
      <c r="AGJ41" s="214"/>
      <c r="AGK41" s="214"/>
      <c r="AGL41" s="214"/>
      <c r="AGM41" s="214"/>
      <c r="AGN41" s="214"/>
      <c r="AGO41" s="214"/>
      <c r="AGP41" s="214"/>
      <c r="AGQ41" s="214"/>
      <c r="AGR41" s="214"/>
      <c r="AGS41" s="214"/>
      <c r="AGT41" s="214"/>
      <c r="AGU41" s="214"/>
      <c r="AGV41" s="214"/>
      <c r="AGW41" s="214"/>
      <c r="AGX41" s="214"/>
      <c r="AGY41" s="214"/>
      <c r="AGZ41" s="214"/>
      <c r="AHA41" s="214"/>
      <c r="AHB41" s="214"/>
      <c r="AHC41" s="214"/>
      <c r="AHD41" s="214"/>
      <c r="AHE41" s="214"/>
      <c r="AHF41" s="214"/>
      <c r="AHG41" s="214"/>
      <c r="AHH41" s="214"/>
      <c r="AHI41" s="214"/>
      <c r="AHJ41" s="214"/>
      <c r="AHK41" s="214"/>
      <c r="AHL41" s="214"/>
      <c r="AHM41" s="214"/>
      <c r="AHN41" s="214"/>
      <c r="AHO41" s="214"/>
      <c r="AHP41" s="214"/>
      <c r="AHQ41" s="214"/>
      <c r="AHR41" s="214"/>
      <c r="AHS41" s="214"/>
      <c r="AHT41" s="214"/>
      <c r="AHU41" s="214"/>
      <c r="AHV41" s="214"/>
      <c r="AHW41" s="214"/>
      <c r="AHX41" s="214"/>
      <c r="AHY41" s="214"/>
      <c r="AHZ41" s="214"/>
      <c r="AIA41" s="214"/>
      <c r="AIB41" s="214"/>
      <c r="AIC41" s="214"/>
      <c r="AID41" s="214"/>
      <c r="AIE41" s="214"/>
      <c r="AIF41" s="214"/>
      <c r="AIG41" s="214"/>
      <c r="AIH41" s="214"/>
      <c r="AII41" s="214"/>
      <c r="AIJ41" s="214"/>
      <c r="AIK41" s="214"/>
      <c r="AIL41" s="214"/>
      <c r="AIM41" s="214"/>
      <c r="AIN41" s="214"/>
      <c r="AIO41" s="214"/>
      <c r="AIP41" s="214"/>
      <c r="AIQ41" s="214"/>
      <c r="AIR41" s="214"/>
      <c r="AIS41" s="214"/>
      <c r="AIT41" s="214"/>
      <c r="AIU41" s="214"/>
      <c r="AIV41" s="214"/>
      <c r="AIW41" s="214"/>
      <c r="AIX41" s="214"/>
      <c r="AIY41" s="214"/>
      <c r="AIZ41" s="214"/>
      <c r="AJA41" s="214"/>
      <c r="AJB41" s="214"/>
      <c r="AJC41" s="214"/>
      <c r="AJD41" s="214"/>
      <c r="AJE41" s="214"/>
      <c r="AJF41" s="214"/>
      <c r="AJG41" s="214"/>
      <c r="AJH41" s="214"/>
      <c r="AJI41" s="214"/>
      <c r="AJJ41" s="214"/>
      <c r="AJK41" s="214"/>
      <c r="AJL41" s="214"/>
      <c r="AJM41" s="214"/>
      <c r="AJN41" s="214"/>
      <c r="AJO41" s="214"/>
      <c r="AJP41" s="214"/>
      <c r="AJQ41" s="214"/>
      <c r="AJR41" s="214"/>
      <c r="AJS41" s="214"/>
      <c r="AJT41" s="214"/>
      <c r="AJU41" s="214"/>
      <c r="AJV41" s="214"/>
      <c r="AJW41" s="214"/>
      <c r="AJX41" s="214"/>
      <c r="AJY41" s="214"/>
      <c r="AJZ41" s="214"/>
      <c r="AKA41" s="214"/>
      <c r="AKB41" s="214"/>
      <c r="AKC41" s="214"/>
      <c r="AKD41" s="214"/>
      <c r="AKE41" s="214"/>
      <c r="AKF41" s="214"/>
      <c r="AKG41" s="214"/>
      <c r="AKH41" s="214"/>
      <c r="AKI41" s="214"/>
      <c r="AKJ41" s="214"/>
      <c r="AKK41" s="214"/>
      <c r="AKL41" s="214"/>
      <c r="AKM41" s="214"/>
      <c r="AKN41" s="214"/>
      <c r="AKO41" s="214"/>
      <c r="AKP41" s="214"/>
      <c r="AKQ41" s="214"/>
      <c r="AKR41" s="214"/>
      <c r="AKS41" s="214"/>
      <c r="AKT41" s="214"/>
      <c r="AKU41" s="214"/>
      <c r="AKV41" s="214"/>
      <c r="AKW41" s="214"/>
      <c r="AKX41" s="214"/>
      <c r="AKY41" s="214"/>
      <c r="AKZ41" s="214"/>
      <c r="ALA41" s="214"/>
      <c r="ALB41" s="214"/>
      <c r="ALC41" s="214"/>
      <c r="ALD41" s="214"/>
      <c r="ALE41" s="214"/>
      <c r="ALF41" s="214"/>
      <c r="ALG41" s="214"/>
      <c r="ALH41" s="214"/>
      <c r="ALI41" s="214"/>
      <c r="ALJ41" s="214"/>
      <c r="ALK41" s="214"/>
      <c r="ALL41" s="214"/>
      <c r="ALM41" s="214"/>
      <c r="ALN41" s="214"/>
      <c r="ALO41" s="214"/>
      <c r="ALP41" s="214"/>
      <c r="ALQ41" s="214"/>
      <c r="ALR41" s="214"/>
      <c r="ALS41" s="214"/>
      <c r="ALT41" s="214"/>
      <c r="ALU41" s="214"/>
      <c r="ALV41" s="214"/>
      <c r="ALW41" s="214"/>
      <c r="ALX41" s="214"/>
      <c r="ALY41" s="214"/>
      <c r="ALZ41" s="214"/>
      <c r="AMA41" s="214"/>
      <c r="AMB41" s="214"/>
      <c r="AMC41" s="214"/>
      <c r="AMD41" s="214"/>
      <c r="AME41" s="214"/>
      <c r="AMF41" s="214"/>
      <c r="AMG41" s="214"/>
      <c r="AMH41" s="214"/>
      <c r="AMI41" s="214"/>
      <c r="AMJ41" s="214"/>
      <c r="AMK41" s="214"/>
      <c r="AML41" s="214"/>
      <c r="AMM41" s="214"/>
      <c r="AMN41" s="214"/>
      <c r="AMO41" s="214"/>
      <c r="AMP41" s="214"/>
      <c r="AMQ41" s="214"/>
      <c r="AMR41" s="214"/>
      <c r="AMS41" s="214"/>
      <c r="AMT41" s="214"/>
      <c r="AMU41" s="214"/>
      <c r="AMV41" s="214"/>
      <c r="AMW41" s="214"/>
      <c r="AMX41" s="214"/>
      <c r="AMY41" s="214"/>
      <c r="AMZ41" s="214"/>
      <c r="ANA41" s="214"/>
      <c r="ANB41" s="214"/>
      <c r="ANC41" s="214"/>
      <c r="AND41" s="214"/>
      <c r="ANE41" s="214"/>
      <c r="ANF41" s="214"/>
      <c r="ANG41" s="214"/>
      <c r="ANH41" s="214"/>
      <c r="ANI41" s="214"/>
      <c r="ANJ41" s="214"/>
      <c r="ANK41" s="214"/>
      <c r="ANL41" s="214"/>
      <c r="ANM41" s="214"/>
      <c r="ANN41" s="214"/>
      <c r="ANO41" s="214"/>
      <c r="ANP41" s="214"/>
      <c r="ANQ41" s="214"/>
      <c r="ANR41" s="214"/>
      <c r="ANS41" s="214"/>
      <c r="ANT41" s="214"/>
      <c r="ANU41" s="214"/>
      <c r="ANV41" s="214"/>
      <c r="ANW41" s="214"/>
      <c r="ANX41" s="214"/>
      <c r="ANY41" s="214"/>
      <c r="ANZ41" s="214"/>
      <c r="AOA41" s="214"/>
      <c r="AOB41" s="214"/>
      <c r="AOC41" s="214"/>
      <c r="AOD41" s="214"/>
      <c r="AOE41" s="214"/>
      <c r="AOF41" s="214"/>
      <c r="AOG41" s="214"/>
      <c r="AOH41" s="214"/>
      <c r="AOI41" s="214"/>
      <c r="AOJ41" s="214"/>
      <c r="AOK41" s="214"/>
      <c r="AOL41" s="214"/>
      <c r="AOM41" s="214"/>
      <c r="AON41" s="214"/>
      <c r="AOO41" s="214"/>
      <c r="AOP41" s="214"/>
      <c r="AOQ41" s="214"/>
      <c r="AOR41" s="214"/>
      <c r="AOS41" s="214"/>
      <c r="AOT41" s="214"/>
      <c r="AOU41" s="214"/>
      <c r="AOV41" s="214"/>
      <c r="AOW41" s="214"/>
      <c r="AOX41" s="214"/>
      <c r="AOY41" s="214"/>
      <c r="AOZ41" s="214"/>
      <c r="APA41" s="214"/>
      <c r="APB41" s="214"/>
      <c r="APC41" s="214"/>
      <c r="APD41" s="214"/>
      <c r="APE41" s="214"/>
      <c r="APF41" s="214"/>
      <c r="APG41" s="214"/>
      <c r="APH41" s="214"/>
      <c r="API41" s="214"/>
      <c r="APJ41" s="214"/>
      <c r="APK41" s="214"/>
      <c r="APL41" s="214"/>
      <c r="APM41" s="214"/>
      <c r="APN41" s="214"/>
      <c r="APO41" s="214"/>
      <c r="APP41" s="214"/>
      <c r="APQ41" s="214"/>
      <c r="APR41" s="214"/>
      <c r="APS41" s="214"/>
      <c r="APT41" s="214"/>
      <c r="APU41" s="214"/>
      <c r="APV41" s="214"/>
      <c r="APW41" s="214"/>
      <c r="APX41" s="214"/>
      <c r="APY41" s="214"/>
      <c r="APZ41" s="214"/>
      <c r="AQA41" s="214"/>
      <c r="AQB41" s="214"/>
      <c r="AQC41" s="214"/>
      <c r="AQD41" s="214"/>
      <c r="AQE41" s="214"/>
      <c r="AQF41" s="214"/>
      <c r="AQG41" s="214"/>
      <c r="AQH41" s="214"/>
      <c r="AQI41" s="214"/>
      <c r="AQJ41" s="214"/>
      <c r="AQK41" s="214"/>
      <c r="AQL41" s="214"/>
      <c r="AQM41" s="214"/>
      <c r="AQN41" s="214"/>
      <c r="AQO41" s="214"/>
      <c r="AQP41" s="214"/>
      <c r="AQQ41" s="214"/>
      <c r="AQR41" s="214"/>
      <c r="AQS41" s="214"/>
      <c r="AQT41" s="214"/>
      <c r="AQU41" s="214"/>
      <c r="AQV41" s="214"/>
      <c r="AQW41" s="214"/>
      <c r="AQX41" s="214"/>
      <c r="AQY41" s="214"/>
      <c r="AQZ41" s="214"/>
      <c r="ARA41" s="214"/>
      <c r="ARB41" s="214"/>
      <c r="ARC41" s="214"/>
      <c r="ARD41" s="214"/>
      <c r="ARE41" s="214"/>
      <c r="ARF41" s="214"/>
      <c r="ARG41" s="214"/>
      <c r="ARH41" s="214"/>
      <c r="ARI41" s="214"/>
      <c r="ARJ41" s="214"/>
      <c r="ARK41" s="214"/>
      <c r="ARL41" s="214"/>
      <c r="ARM41" s="214"/>
      <c r="ARN41" s="214"/>
      <c r="ARO41" s="214"/>
      <c r="ARP41" s="214"/>
      <c r="ARQ41" s="214"/>
      <c r="ARR41" s="214"/>
      <c r="ARS41" s="214"/>
      <c r="ART41" s="214"/>
      <c r="ARU41" s="214"/>
      <c r="ARV41" s="214"/>
      <c r="ARW41" s="214"/>
      <c r="ARX41" s="214"/>
      <c r="ARY41" s="214"/>
      <c r="ARZ41" s="214"/>
      <c r="ASA41" s="214"/>
      <c r="ASB41" s="214"/>
      <c r="ASC41" s="214"/>
      <c r="ASD41" s="214"/>
      <c r="ASE41" s="214"/>
      <c r="ASF41" s="214"/>
      <c r="ASG41" s="214"/>
      <c r="ASH41" s="214"/>
      <c r="ASI41" s="214"/>
      <c r="ASJ41" s="214"/>
      <c r="ASK41" s="214"/>
      <c r="ASL41" s="214"/>
      <c r="ASM41" s="214"/>
      <c r="ASN41" s="214"/>
      <c r="ASO41" s="214"/>
      <c r="ASP41" s="214"/>
      <c r="ASQ41" s="214"/>
      <c r="ASR41" s="214"/>
      <c r="ASS41" s="214"/>
      <c r="AST41" s="214"/>
      <c r="ASU41" s="214"/>
      <c r="ASV41" s="214"/>
      <c r="ASW41" s="214"/>
      <c r="ASX41" s="214"/>
      <c r="ASY41" s="214"/>
      <c r="ASZ41" s="214"/>
      <c r="ATA41" s="214"/>
      <c r="ATB41" s="214"/>
      <c r="ATC41" s="214"/>
      <c r="ATD41" s="214"/>
      <c r="ATE41" s="214"/>
      <c r="ATF41" s="214"/>
      <c r="ATG41" s="214"/>
      <c r="ATH41" s="214"/>
      <c r="ATI41" s="214"/>
      <c r="ATJ41" s="214"/>
      <c r="ATK41" s="214"/>
      <c r="ATL41" s="214"/>
      <c r="ATM41" s="214"/>
      <c r="ATN41" s="214"/>
      <c r="ATO41" s="214"/>
      <c r="ATP41" s="214"/>
      <c r="ATQ41" s="214"/>
      <c r="ATR41" s="214"/>
      <c r="ATS41" s="214"/>
      <c r="ATT41" s="214"/>
      <c r="ATU41" s="214"/>
      <c r="ATV41" s="214"/>
      <c r="ATW41" s="214"/>
      <c r="ATX41" s="214"/>
      <c r="ATY41" s="214"/>
      <c r="ATZ41" s="214"/>
      <c r="AUA41" s="214"/>
      <c r="AUB41" s="214"/>
      <c r="AUC41" s="214"/>
      <c r="AUD41" s="214"/>
      <c r="AUE41" s="214"/>
      <c r="AUF41" s="214"/>
      <c r="AUG41" s="214"/>
      <c r="AUH41" s="214"/>
      <c r="AUI41" s="214"/>
      <c r="AUJ41" s="214"/>
      <c r="AUK41" s="214"/>
      <c r="AUL41" s="214"/>
      <c r="AUM41" s="214"/>
      <c r="AUN41" s="214"/>
      <c r="AUO41" s="214"/>
      <c r="AUP41" s="214"/>
      <c r="AUQ41" s="214"/>
      <c r="AUR41" s="214"/>
      <c r="AUS41" s="214"/>
      <c r="AUT41" s="214"/>
      <c r="AUU41" s="214"/>
      <c r="AUV41" s="214"/>
      <c r="AUW41" s="214"/>
      <c r="AUX41" s="214"/>
      <c r="AUY41" s="214"/>
      <c r="AUZ41" s="214"/>
      <c r="AVA41" s="214"/>
      <c r="AVB41" s="214"/>
      <c r="AVC41" s="214"/>
      <c r="AVD41" s="214"/>
      <c r="AVE41" s="214"/>
      <c r="AVF41" s="214"/>
      <c r="AVG41" s="214"/>
      <c r="AVH41" s="214"/>
      <c r="AVI41" s="214"/>
      <c r="AVJ41" s="214"/>
      <c r="AVK41" s="214"/>
      <c r="AVL41" s="214"/>
      <c r="AVM41" s="214"/>
      <c r="AVN41" s="214"/>
      <c r="AVO41" s="214"/>
      <c r="AVP41" s="214"/>
      <c r="AVQ41" s="214"/>
      <c r="AVR41" s="214"/>
      <c r="AVS41" s="214"/>
      <c r="AVT41" s="214"/>
      <c r="AVU41" s="214"/>
      <c r="AVV41" s="214"/>
      <c r="AVW41" s="214"/>
      <c r="AVX41" s="214"/>
      <c r="AVY41" s="214"/>
      <c r="AVZ41" s="214"/>
      <c r="AWA41" s="214"/>
      <c r="AWB41" s="214"/>
      <c r="AWC41" s="214"/>
      <c r="AWD41" s="214"/>
      <c r="AWE41" s="214"/>
      <c r="AWF41" s="214"/>
      <c r="AWG41" s="214"/>
      <c r="AWH41" s="214"/>
      <c r="AWI41" s="214"/>
      <c r="AWJ41" s="214"/>
      <c r="AWK41" s="214"/>
      <c r="AWL41" s="214"/>
      <c r="AWM41" s="214"/>
      <c r="AWN41" s="214"/>
      <c r="AWO41" s="214"/>
      <c r="AWP41" s="214"/>
      <c r="AWQ41" s="214"/>
      <c r="AWR41" s="214"/>
      <c r="AWS41" s="214"/>
      <c r="AWT41" s="214"/>
      <c r="AWU41" s="214"/>
      <c r="AWV41" s="214"/>
      <c r="AWW41" s="214"/>
      <c r="AWX41" s="214"/>
      <c r="AWY41" s="214"/>
      <c r="AWZ41" s="214"/>
      <c r="AXA41" s="214"/>
      <c r="AXB41" s="214"/>
      <c r="AXC41" s="214"/>
      <c r="AXD41" s="214"/>
      <c r="AXE41" s="214"/>
      <c r="AXF41" s="214"/>
      <c r="AXG41" s="214"/>
      <c r="AXH41" s="214"/>
      <c r="AXI41" s="214"/>
      <c r="AXJ41" s="214"/>
      <c r="AXK41" s="214"/>
      <c r="AXL41" s="214"/>
      <c r="AXM41" s="214"/>
      <c r="AXN41" s="214"/>
      <c r="AXO41" s="214"/>
      <c r="AXP41" s="214"/>
      <c r="AXQ41" s="214"/>
      <c r="AXR41" s="214"/>
      <c r="AXS41" s="214"/>
      <c r="AXT41" s="214"/>
      <c r="AXU41" s="214"/>
      <c r="AXV41" s="214"/>
      <c r="AXW41" s="214"/>
      <c r="AXX41" s="214"/>
      <c r="AXY41" s="214"/>
      <c r="AXZ41" s="214"/>
      <c r="AYA41" s="214"/>
      <c r="AYB41" s="214"/>
      <c r="AYC41" s="214"/>
      <c r="AYD41" s="214"/>
      <c r="AYE41" s="214"/>
      <c r="AYF41" s="214"/>
      <c r="AYG41" s="214"/>
      <c r="AYH41" s="214"/>
      <c r="AYI41" s="214"/>
      <c r="AYJ41" s="214"/>
      <c r="AYK41" s="214"/>
      <c r="AYL41" s="214"/>
      <c r="AYM41" s="214"/>
      <c r="AYN41" s="214"/>
      <c r="AYO41" s="214"/>
      <c r="AYP41" s="214"/>
      <c r="AYQ41" s="214"/>
      <c r="AYR41" s="214"/>
      <c r="AYS41" s="214"/>
      <c r="AYT41" s="214"/>
      <c r="AYU41" s="214"/>
      <c r="AYV41" s="214"/>
      <c r="AYW41" s="214"/>
      <c r="AYX41" s="214"/>
      <c r="AYY41" s="214"/>
      <c r="AYZ41" s="214"/>
      <c r="AZA41" s="214"/>
      <c r="AZB41" s="214"/>
      <c r="AZC41" s="214"/>
      <c r="AZD41" s="214"/>
      <c r="AZE41" s="214"/>
      <c r="AZF41" s="214"/>
      <c r="AZG41" s="214"/>
      <c r="AZH41" s="214"/>
      <c r="AZI41" s="214"/>
      <c r="AZJ41" s="214"/>
      <c r="AZK41" s="214"/>
      <c r="AZL41" s="214"/>
      <c r="AZM41" s="214"/>
      <c r="AZN41" s="214"/>
      <c r="AZO41" s="214"/>
      <c r="AZP41" s="214"/>
      <c r="AZQ41" s="214"/>
      <c r="AZR41" s="214"/>
      <c r="AZS41" s="214"/>
      <c r="AZT41" s="214"/>
      <c r="AZU41" s="214"/>
      <c r="AZV41" s="214"/>
      <c r="AZW41" s="214"/>
      <c r="AZX41" s="214"/>
      <c r="AZY41" s="214"/>
      <c r="AZZ41" s="214"/>
      <c r="BAA41" s="214"/>
      <c r="BAB41" s="214"/>
      <c r="BAC41" s="214"/>
      <c r="BAD41" s="214"/>
      <c r="BAE41" s="214"/>
      <c r="BAF41" s="214"/>
      <c r="BAG41" s="214"/>
      <c r="BAH41" s="214"/>
      <c r="BAI41" s="214"/>
      <c r="BAJ41" s="214"/>
      <c r="BAK41" s="214"/>
      <c r="BAL41" s="214"/>
      <c r="BAM41" s="214"/>
      <c r="BAN41" s="214"/>
      <c r="BAO41" s="214"/>
      <c r="BAP41" s="214"/>
      <c r="BAQ41" s="214"/>
      <c r="BAR41" s="214"/>
      <c r="BAS41" s="214"/>
      <c r="BAT41" s="214"/>
      <c r="BAU41" s="214"/>
      <c r="BAV41" s="214"/>
      <c r="BAW41" s="214"/>
      <c r="BAX41" s="214"/>
      <c r="BAY41" s="214"/>
      <c r="BAZ41" s="214"/>
      <c r="BBA41" s="214"/>
      <c r="BBB41" s="214"/>
      <c r="BBC41" s="214"/>
      <c r="BBD41" s="214"/>
      <c r="BBE41" s="214"/>
      <c r="BBF41" s="214"/>
      <c r="BBG41" s="214"/>
      <c r="BBH41" s="214"/>
      <c r="BBI41" s="214"/>
      <c r="BBJ41" s="214"/>
      <c r="BBK41" s="214"/>
      <c r="BBL41" s="214"/>
      <c r="BBM41" s="214"/>
      <c r="BBN41" s="214"/>
      <c r="BBO41" s="214"/>
      <c r="BBP41" s="214"/>
      <c r="BBQ41" s="214"/>
      <c r="BBR41" s="214"/>
      <c r="BBS41" s="214"/>
      <c r="BBT41" s="214"/>
      <c r="BBU41" s="214"/>
      <c r="BBV41" s="214"/>
      <c r="BBW41" s="214"/>
      <c r="BBX41" s="214"/>
      <c r="BBY41" s="214"/>
      <c r="BBZ41" s="214"/>
      <c r="BCA41" s="214"/>
      <c r="BCB41" s="214"/>
      <c r="BCC41" s="214"/>
      <c r="BCD41" s="214"/>
      <c r="BCE41" s="214"/>
      <c r="BCF41" s="214"/>
      <c r="BCG41" s="214"/>
      <c r="BCH41" s="214"/>
      <c r="BCI41" s="214"/>
      <c r="BCJ41" s="214"/>
      <c r="BCK41" s="214"/>
      <c r="BCL41" s="214"/>
      <c r="BCM41" s="214"/>
      <c r="BCN41" s="214"/>
      <c r="BCO41" s="214"/>
      <c r="BCP41" s="214"/>
      <c r="BCQ41" s="214"/>
      <c r="BCR41" s="214"/>
      <c r="BCS41" s="214"/>
      <c r="BCT41" s="214"/>
      <c r="BCU41" s="214"/>
      <c r="BCV41" s="214"/>
      <c r="BCW41" s="214"/>
      <c r="BCX41" s="214"/>
      <c r="BCY41" s="214"/>
      <c r="BCZ41" s="214"/>
      <c r="BDA41" s="214"/>
      <c r="BDB41" s="214"/>
      <c r="BDC41" s="214"/>
      <c r="BDD41" s="214"/>
      <c r="BDE41" s="214"/>
      <c r="BDF41" s="214"/>
      <c r="BDG41" s="214"/>
      <c r="BDH41" s="214"/>
      <c r="BDI41" s="214"/>
      <c r="BDJ41" s="214"/>
      <c r="BDK41" s="214"/>
      <c r="BDL41" s="214"/>
      <c r="BDM41" s="214"/>
      <c r="BDN41" s="214"/>
      <c r="BDO41" s="214"/>
      <c r="BDP41" s="214"/>
      <c r="BDQ41" s="214"/>
      <c r="BDR41" s="214"/>
      <c r="BDS41" s="214"/>
      <c r="BDT41" s="214"/>
      <c r="BDU41" s="214"/>
      <c r="BDV41" s="214"/>
      <c r="BDW41" s="214"/>
      <c r="BDX41" s="214"/>
      <c r="BDY41" s="214"/>
      <c r="BDZ41" s="214"/>
      <c r="BEA41" s="214"/>
      <c r="BEB41" s="214"/>
      <c r="BEC41" s="214"/>
      <c r="BED41" s="214"/>
      <c r="BEE41" s="214"/>
      <c r="BEF41" s="214"/>
      <c r="BEG41" s="214"/>
      <c r="BEH41" s="214"/>
      <c r="BEI41" s="214"/>
      <c r="BEJ41" s="214"/>
      <c r="BEK41" s="214"/>
      <c r="BEL41" s="214"/>
      <c r="BEM41" s="214"/>
      <c r="BEN41" s="214"/>
      <c r="BEO41" s="214"/>
      <c r="BEP41" s="214"/>
      <c r="BEQ41" s="214"/>
      <c r="BER41" s="214"/>
      <c r="BES41" s="214"/>
      <c r="BET41" s="214"/>
      <c r="BEU41" s="214"/>
      <c r="BEV41" s="214"/>
      <c r="BEW41" s="214"/>
      <c r="BEX41" s="214"/>
      <c r="BEY41" s="214"/>
      <c r="BEZ41" s="214"/>
      <c r="BFA41" s="214"/>
      <c r="BFB41" s="214"/>
      <c r="BFC41" s="214"/>
      <c r="BFD41" s="214"/>
      <c r="BFE41" s="214"/>
      <c r="BFF41" s="214"/>
      <c r="BFG41" s="214"/>
      <c r="BFH41" s="214"/>
      <c r="BFI41" s="214"/>
      <c r="BFJ41" s="214"/>
      <c r="BFK41" s="214"/>
      <c r="BFL41" s="214"/>
      <c r="BFM41" s="214"/>
      <c r="BFN41" s="214"/>
      <c r="BFO41" s="214"/>
      <c r="BFP41" s="214"/>
      <c r="BFQ41" s="214"/>
      <c r="BFR41" s="214"/>
      <c r="BFS41" s="214"/>
      <c r="BFT41" s="214"/>
      <c r="BFU41" s="214"/>
      <c r="BFV41" s="214"/>
      <c r="BFW41" s="214"/>
      <c r="BFX41" s="214"/>
      <c r="BFY41" s="214"/>
      <c r="BFZ41" s="214"/>
      <c r="BGA41" s="214"/>
      <c r="BGB41" s="214"/>
      <c r="BGC41" s="214"/>
      <c r="BGD41" s="214"/>
      <c r="BGE41" s="214"/>
      <c r="BGF41" s="214"/>
      <c r="BGG41" s="214"/>
      <c r="BGH41" s="214"/>
      <c r="BGI41" s="214"/>
      <c r="BGJ41" s="214"/>
      <c r="BGK41" s="214"/>
      <c r="BGL41" s="214"/>
      <c r="BGM41" s="214"/>
      <c r="BGN41" s="214"/>
      <c r="BGO41" s="214"/>
      <c r="BGP41" s="214"/>
      <c r="BGQ41" s="214"/>
      <c r="BGR41" s="214"/>
      <c r="BGS41" s="214"/>
      <c r="BGT41" s="214"/>
      <c r="BGU41" s="214"/>
      <c r="BGV41" s="214"/>
      <c r="BGW41" s="214"/>
      <c r="BGX41" s="214"/>
      <c r="BGY41" s="214"/>
      <c r="BGZ41" s="214"/>
      <c r="BHA41" s="214"/>
      <c r="BHB41" s="214"/>
      <c r="BHC41" s="214"/>
      <c r="BHD41" s="214"/>
      <c r="BHE41" s="214"/>
      <c r="BHF41" s="214"/>
      <c r="BHG41" s="214"/>
      <c r="BHH41" s="214"/>
      <c r="BHI41" s="214"/>
      <c r="BHJ41" s="214"/>
      <c r="BHK41" s="214"/>
      <c r="BHL41" s="214"/>
      <c r="BHM41" s="214"/>
      <c r="BHN41" s="214"/>
      <c r="BHO41" s="214"/>
      <c r="BHP41" s="214"/>
      <c r="BHQ41" s="214"/>
      <c r="BHR41" s="214"/>
      <c r="BHS41" s="214"/>
      <c r="BHT41" s="214"/>
      <c r="BHU41" s="214"/>
      <c r="BHV41" s="214"/>
      <c r="BHW41" s="214"/>
      <c r="BHX41" s="214"/>
      <c r="BHY41" s="214"/>
      <c r="BHZ41" s="214"/>
      <c r="BIA41" s="214"/>
      <c r="BIB41" s="214"/>
      <c r="BIC41" s="214"/>
      <c r="BID41" s="214"/>
      <c r="BIE41" s="214"/>
      <c r="BIF41" s="214"/>
      <c r="BIG41" s="214"/>
      <c r="BIH41" s="214"/>
      <c r="BII41" s="214"/>
      <c r="BIJ41" s="214"/>
      <c r="BIK41" s="214"/>
      <c r="BIL41" s="214"/>
      <c r="BIM41" s="214"/>
      <c r="BIN41" s="214"/>
      <c r="BIO41" s="214"/>
      <c r="BIP41" s="214"/>
      <c r="BIQ41" s="214"/>
      <c r="BIR41" s="214"/>
      <c r="BIS41" s="214"/>
      <c r="BIT41" s="214"/>
      <c r="BIU41" s="214"/>
      <c r="BIV41" s="214"/>
      <c r="BIW41" s="214"/>
      <c r="BIX41" s="214"/>
      <c r="BIY41" s="214"/>
      <c r="BIZ41" s="214"/>
      <c r="BJA41" s="214"/>
      <c r="BJB41" s="214"/>
      <c r="BJC41" s="214"/>
      <c r="BJD41" s="214"/>
      <c r="BJE41" s="214"/>
      <c r="BJF41" s="214"/>
      <c r="BJG41" s="214"/>
      <c r="BJH41" s="214"/>
      <c r="BJI41" s="214"/>
      <c r="BJJ41" s="214"/>
      <c r="BJK41" s="214"/>
      <c r="BJL41" s="214"/>
      <c r="BJM41" s="214"/>
      <c r="BJN41" s="214"/>
      <c r="BJO41" s="214"/>
      <c r="BJP41" s="214"/>
      <c r="BJQ41" s="214"/>
      <c r="BJR41" s="214"/>
      <c r="BJS41" s="214"/>
      <c r="BJT41" s="214"/>
      <c r="BJU41" s="214"/>
      <c r="BJV41" s="214"/>
      <c r="BJW41" s="214"/>
      <c r="BJX41" s="214"/>
      <c r="BJY41" s="214"/>
      <c r="BJZ41" s="214"/>
      <c r="BKA41" s="214"/>
      <c r="BKB41" s="214"/>
      <c r="BKC41" s="214"/>
      <c r="BKD41" s="214"/>
      <c r="BKE41" s="214"/>
      <c r="BKF41" s="214"/>
      <c r="BKG41" s="214"/>
      <c r="BKH41" s="214"/>
      <c r="BKI41" s="214"/>
      <c r="BKJ41" s="214"/>
      <c r="BKK41" s="214"/>
      <c r="BKL41" s="214"/>
      <c r="BKM41" s="214"/>
      <c r="BKN41" s="214"/>
      <c r="BKO41" s="214"/>
      <c r="BKP41" s="214"/>
      <c r="BKQ41" s="214"/>
      <c r="BKR41" s="214"/>
      <c r="BKS41" s="214"/>
      <c r="BKT41" s="214"/>
      <c r="BKU41" s="214"/>
      <c r="BKV41" s="214"/>
      <c r="BKW41" s="214"/>
      <c r="BKX41" s="214"/>
      <c r="BKY41" s="214"/>
      <c r="BKZ41" s="214"/>
      <c r="BLA41" s="214"/>
      <c r="BLB41" s="214"/>
      <c r="BLC41" s="214"/>
      <c r="BLD41" s="214"/>
      <c r="BLE41" s="214"/>
      <c r="BLF41" s="214"/>
      <c r="BLG41" s="214"/>
      <c r="BLH41" s="214"/>
      <c r="BLI41" s="214"/>
      <c r="BLJ41" s="214"/>
      <c r="BLK41" s="214"/>
      <c r="BLL41" s="214"/>
      <c r="BLM41" s="214"/>
      <c r="BLN41" s="214"/>
      <c r="BLO41" s="214"/>
      <c r="BLP41" s="214"/>
      <c r="BLQ41" s="214"/>
      <c r="BLR41" s="214"/>
      <c r="BLS41" s="214"/>
      <c r="BLT41" s="214"/>
      <c r="BLU41" s="214"/>
      <c r="BLV41" s="214"/>
      <c r="BLW41" s="214"/>
      <c r="BLX41" s="214"/>
      <c r="BLY41" s="214"/>
      <c r="BLZ41" s="214"/>
      <c r="BMA41" s="214"/>
      <c r="BMB41" s="214"/>
      <c r="BMC41" s="214"/>
      <c r="BMD41" s="214"/>
      <c r="BME41" s="214"/>
      <c r="BMF41" s="214"/>
      <c r="BMG41" s="214"/>
      <c r="BMH41" s="214"/>
      <c r="BMI41" s="214"/>
      <c r="BMJ41" s="214"/>
      <c r="BMK41" s="214"/>
      <c r="BML41" s="214"/>
      <c r="BMM41" s="214"/>
      <c r="BMN41" s="214"/>
      <c r="BMO41" s="214"/>
      <c r="BMP41" s="214"/>
      <c r="BMQ41" s="214"/>
      <c r="BMR41" s="214"/>
      <c r="BMS41" s="214"/>
      <c r="BMT41" s="214"/>
      <c r="BMU41" s="214"/>
      <c r="BMV41" s="214"/>
      <c r="BMW41" s="214"/>
      <c r="BMX41" s="214"/>
      <c r="BMY41" s="214"/>
      <c r="BMZ41" s="214"/>
      <c r="BNA41" s="214"/>
      <c r="BNB41" s="214"/>
      <c r="BNC41" s="214"/>
      <c r="BND41" s="214"/>
      <c r="BNE41" s="214"/>
      <c r="BNF41" s="214"/>
      <c r="BNG41" s="214"/>
      <c r="BNH41" s="214"/>
      <c r="BNI41" s="214"/>
      <c r="BNJ41" s="214"/>
      <c r="BNK41" s="214"/>
      <c r="BNL41" s="214"/>
      <c r="BNM41" s="214"/>
      <c r="BNN41" s="214"/>
      <c r="BNO41" s="214"/>
      <c r="BNP41" s="214"/>
      <c r="BNQ41" s="214"/>
      <c r="BNR41" s="214"/>
      <c r="BNS41" s="214"/>
      <c r="BNT41" s="214"/>
      <c r="BNU41" s="214"/>
      <c r="BNV41" s="214"/>
      <c r="BNW41" s="214"/>
      <c r="BNX41" s="214"/>
      <c r="BNY41" s="214"/>
      <c r="BNZ41" s="214"/>
      <c r="BOA41" s="214"/>
      <c r="BOB41" s="214"/>
      <c r="BOC41" s="214"/>
      <c r="BOD41" s="214"/>
      <c r="BOE41" s="214"/>
      <c r="BOF41" s="214"/>
      <c r="BOG41" s="214"/>
      <c r="BOH41" s="214"/>
      <c r="BOI41" s="214"/>
      <c r="BOJ41" s="214"/>
      <c r="BOK41" s="214"/>
      <c r="BOL41" s="214"/>
      <c r="BOM41" s="214"/>
      <c r="BON41" s="214"/>
      <c r="BOO41" s="214"/>
      <c r="BOP41" s="214"/>
      <c r="BOQ41" s="214"/>
      <c r="BOR41" s="214"/>
      <c r="BOS41" s="214"/>
      <c r="BOT41" s="214"/>
      <c r="BOU41" s="214"/>
      <c r="BOV41" s="214"/>
      <c r="BOW41" s="214"/>
      <c r="BOX41" s="214"/>
      <c r="BOY41" s="214"/>
      <c r="BOZ41" s="214"/>
      <c r="BPA41" s="214"/>
      <c r="BPB41" s="214"/>
      <c r="BPC41" s="214"/>
      <c r="BPD41" s="214"/>
      <c r="BPE41" s="214"/>
      <c r="BPF41" s="214"/>
      <c r="BPG41" s="214"/>
      <c r="BPH41" s="214"/>
      <c r="BPI41" s="214"/>
      <c r="BPJ41" s="214"/>
      <c r="BPK41" s="214"/>
      <c r="BPL41" s="214"/>
      <c r="BPM41" s="214"/>
      <c r="BPN41" s="214"/>
      <c r="BPO41" s="214"/>
      <c r="BPP41" s="214"/>
      <c r="BPQ41" s="214"/>
      <c r="BPR41" s="214"/>
      <c r="BPS41" s="214"/>
      <c r="BPT41" s="214"/>
      <c r="BPU41" s="214"/>
      <c r="BPV41" s="214"/>
      <c r="BPW41" s="214"/>
      <c r="BPX41" s="214"/>
      <c r="BPY41" s="214"/>
      <c r="BPZ41" s="214"/>
      <c r="BQA41" s="214"/>
      <c r="BQB41" s="214"/>
      <c r="BQC41" s="214"/>
      <c r="BQD41" s="214"/>
      <c r="BQE41" s="214"/>
      <c r="BQF41" s="214"/>
      <c r="BQG41" s="214"/>
      <c r="BQH41" s="214"/>
      <c r="BQI41" s="214"/>
      <c r="BQJ41" s="214"/>
      <c r="BQK41" s="214"/>
      <c r="BQL41" s="214"/>
      <c r="BQM41" s="214"/>
      <c r="BQN41" s="214"/>
      <c r="BQO41" s="214"/>
      <c r="BQP41" s="214"/>
      <c r="BQQ41" s="214"/>
      <c r="BQR41" s="214"/>
      <c r="BQS41" s="214"/>
      <c r="BQT41" s="214"/>
      <c r="BQU41" s="214"/>
      <c r="BQV41" s="214"/>
      <c r="BQW41" s="214"/>
      <c r="BQX41" s="214"/>
      <c r="BQY41" s="214"/>
      <c r="BQZ41" s="214"/>
      <c r="BRA41" s="214"/>
      <c r="BRB41" s="214"/>
      <c r="BRC41" s="214"/>
      <c r="BRD41" s="214"/>
      <c r="BRE41" s="214"/>
      <c r="BRF41" s="214"/>
      <c r="BRG41" s="214"/>
      <c r="BRH41" s="214"/>
      <c r="BRI41" s="214"/>
      <c r="BRJ41" s="214"/>
      <c r="BRK41" s="214"/>
      <c r="BRL41" s="214"/>
      <c r="BRM41" s="214"/>
      <c r="BRN41" s="214"/>
      <c r="BRO41" s="214"/>
      <c r="BRP41" s="214"/>
      <c r="BRQ41" s="214"/>
      <c r="BRR41" s="214"/>
      <c r="BRS41" s="214"/>
      <c r="BRT41" s="214"/>
      <c r="BRU41" s="214"/>
      <c r="BRV41" s="214"/>
      <c r="BRW41" s="214"/>
      <c r="BRX41" s="214"/>
      <c r="BRY41" s="214"/>
      <c r="BRZ41" s="214"/>
      <c r="BSA41" s="214"/>
      <c r="BSB41" s="214"/>
      <c r="BSC41" s="214"/>
      <c r="BSD41" s="214"/>
      <c r="BSE41" s="214"/>
      <c r="BSF41" s="214"/>
      <c r="BSG41" s="214"/>
      <c r="BSH41" s="214"/>
      <c r="BSI41" s="214"/>
      <c r="BSJ41" s="214"/>
      <c r="BSK41" s="214"/>
      <c r="BSL41" s="214"/>
      <c r="BSM41" s="214"/>
      <c r="BSN41" s="214"/>
      <c r="BSO41" s="214"/>
      <c r="BSP41" s="214"/>
      <c r="BSQ41" s="214"/>
      <c r="BSR41" s="214"/>
      <c r="BSS41" s="214"/>
      <c r="BST41" s="214"/>
      <c r="BSU41" s="214"/>
      <c r="BSV41" s="214"/>
      <c r="BSW41" s="214"/>
      <c r="BSX41" s="214"/>
      <c r="BSY41" s="214"/>
      <c r="BSZ41" s="214"/>
      <c r="BTA41" s="214"/>
      <c r="BTB41" s="214"/>
      <c r="BTC41" s="214"/>
      <c r="BTD41" s="214"/>
      <c r="BTE41" s="214"/>
      <c r="BTF41" s="214"/>
      <c r="BTG41" s="214"/>
      <c r="BTH41" s="214"/>
      <c r="BTI41" s="214"/>
      <c r="BTJ41" s="214"/>
      <c r="BTK41" s="214"/>
      <c r="BTL41" s="214"/>
      <c r="BTM41" s="214"/>
      <c r="BTN41" s="214"/>
      <c r="BTO41" s="214"/>
      <c r="BTP41" s="214"/>
      <c r="BTQ41" s="214"/>
      <c r="BTR41" s="214"/>
      <c r="BTS41" s="214"/>
      <c r="BTT41" s="214"/>
      <c r="BTU41" s="214"/>
      <c r="BTV41" s="214"/>
      <c r="BTW41" s="214"/>
      <c r="BTX41" s="214"/>
      <c r="BTY41" s="214"/>
      <c r="BTZ41" s="214"/>
      <c r="BUA41" s="214"/>
      <c r="BUB41" s="214"/>
      <c r="BUC41" s="214"/>
      <c r="BUD41" s="214"/>
      <c r="BUE41" s="214"/>
      <c r="BUF41" s="214"/>
      <c r="BUG41" s="214"/>
      <c r="BUH41" s="214"/>
      <c r="BUI41" s="214"/>
      <c r="BUJ41" s="214"/>
      <c r="BUK41" s="214"/>
      <c r="BUL41" s="214"/>
      <c r="BUM41" s="214"/>
      <c r="BUN41" s="214"/>
      <c r="BUO41" s="214"/>
      <c r="BUP41" s="214"/>
      <c r="BUQ41" s="214"/>
      <c r="BUR41" s="214"/>
      <c r="BUS41" s="214"/>
      <c r="BUT41" s="214"/>
      <c r="BUU41" s="214"/>
      <c r="BUV41" s="214"/>
      <c r="BUW41" s="214"/>
      <c r="BUX41" s="214"/>
      <c r="BUY41" s="214"/>
      <c r="BUZ41" s="214"/>
      <c r="BVA41" s="214"/>
      <c r="BVB41" s="214"/>
      <c r="BVC41" s="214"/>
      <c r="BVD41" s="214"/>
      <c r="BVE41" s="214"/>
      <c r="BVF41" s="214"/>
      <c r="BVG41" s="214"/>
      <c r="BVH41" s="214"/>
      <c r="BVI41" s="214"/>
      <c r="BVJ41" s="214"/>
      <c r="BVK41" s="214"/>
      <c r="BVL41" s="214"/>
      <c r="BVM41" s="214"/>
      <c r="BVN41" s="214"/>
      <c r="BVO41" s="214"/>
      <c r="BVP41" s="214"/>
      <c r="BVQ41" s="214"/>
      <c r="BVR41" s="214"/>
      <c r="BVS41" s="214"/>
      <c r="BVT41" s="214"/>
      <c r="BVU41" s="214"/>
      <c r="BVV41" s="214"/>
      <c r="BVW41" s="214"/>
      <c r="BVX41" s="214"/>
      <c r="BVY41" s="214"/>
      <c r="BVZ41" s="214"/>
      <c r="BWA41" s="214"/>
      <c r="BWB41" s="214"/>
      <c r="BWC41" s="214"/>
      <c r="BWD41" s="214"/>
      <c r="BWE41" s="214"/>
      <c r="BWF41" s="214"/>
      <c r="BWG41" s="214"/>
      <c r="BWH41" s="214"/>
      <c r="BWI41" s="214"/>
      <c r="BWJ41" s="214"/>
      <c r="BWK41" s="214"/>
      <c r="BWL41" s="214"/>
      <c r="BWM41" s="214"/>
      <c r="BWN41" s="214"/>
      <c r="BWO41" s="214"/>
      <c r="BWP41" s="214"/>
      <c r="BWQ41" s="214"/>
      <c r="BWR41" s="214"/>
      <c r="BWS41" s="214"/>
      <c r="BWT41" s="214"/>
      <c r="BWU41" s="214"/>
      <c r="BWV41" s="214"/>
      <c r="BWW41" s="214"/>
      <c r="BWX41" s="214"/>
      <c r="BWY41" s="214"/>
      <c r="BWZ41" s="214"/>
      <c r="BXA41" s="214"/>
      <c r="BXB41" s="214"/>
      <c r="BXC41" s="214"/>
      <c r="BXD41" s="214"/>
      <c r="BXE41" s="214"/>
      <c r="BXF41" s="214"/>
      <c r="BXG41" s="214"/>
      <c r="BXH41" s="214"/>
      <c r="BXI41" s="214"/>
      <c r="BXJ41" s="214"/>
      <c r="BXK41" s="214"/>
      <c r="BXL41" s="214"/>
      <c r="BXM41" s="214"/>
      <c r="BXN41" s="214"/>
      <c r="BXO41" s="214"/>
      <c r="BXP41" s="214"/>
      <c r="BXQ41" s="214"/>
      <c r="BXR41" s="214"/>
      <c r="BXS41" s="214"/>
      <c r="BXT41" s="214"/>
      <c r="BXU41" s="214"/>
      <c r="BXV41" s="214"/>
      <c r="BXW41" s="214"/>
      <c r="BXX41" s="214"/>
      <c r="BXY41" s="214"/>
      <c r="BXZ41" s="214"/>
      <c r="BYA41" s="214"/>
      <c r="BYB41" s="214"/>
      <c r="BYC41" s="214"/>
      <c r="BYD41" s="214"/>
      <c r="BYE41" s="214"/>
      <c r="BYF41" s="214"/>
      <c r="BYG41" s="214"/>
      <c r="BYH41" s="214"/>
      <c r="BYI41" s="214"/>
      <c r="BYJ41" s="214"/>
      <c r="BYK41" s="214"/>
      <c r="BYL41" s="214"/>
      <c r="BYM41" s="214"/>
      <c r="BYN41" s="214"/>
      <c r="BYO41" s="214"/>
      <c r="BYP41" s="214"/>
      <c r="BYQ41" s="214"/>
      <c r="BYR41" s="214"/>
      <c r="BYS41" s="214"/>
      <c r="BYT41" s="214"/>
      <c r="BYU41" s="214"/>
      <c r="BYV41" s="214"/>
      <c r="BYW41" s="214"/>
      <c r="BYX41" s="214"/>
      <c r="BYY41" s="214"/>
      <c r="BYZ41" s="214"/>
      <c r="BZA41" s="214"/>
      <c r="BZB41" s="214"/>
      <c r="BZC41" s="214"/>
      <c r="BZD41" s="214"/>
      <c r="BZE41" s="214"/>
      <c r="BZF41" s="214"/>
      <c r="BZG41" s="214"/>
      <c r="BZH41" s="214"/>
      <c r="BZI41" s="214"/>
      <c r="BZJ41" s="214"/>
      <c r="BZK41" s="214"/>
      <c r="BZL41" s="214"/>
      <c r="BZM41" s="214"/>
      <c r="BZN41" s="214"/>
      <c r="BZO41" s="214"/>
      <c r="BZP41" s="214"/>
      <c r="BZQ41" s="214"/>
      <c r="BZR41" s="214"/>
      <c r="BZS41" s="214"/>
      <c r="BZT41" s="214"/>
      <c r="BZU41" s="214"/>
      <c r="BZV41" s="214"/>
      <c r="BZW41" s="214"/>
      <c r="BZX41" s="214"/>
      <c r="BZY41" s="214"/>
      <c r="BZZ41" s="214"/>
      <c r="CAA41" s="214"/>
      <c r="CAB41" s="214"/>
      <c r="CAC41" s="214"/>
      <c r="CAD41" s="214"/>
      <c r="CAE41" s="214"/>
      <c r="CAF41" s="214"/>
      <c r="CAG41" s="214"/>
      <c r="CAH41" s="214"/>
      <c r="CAI41" s="214"/>
      <c r="CAJ41" s="214"/>
      <c r="CAK41" s="214"/>
      <c r="CAL41" s="214"/>
      <c r="CAM41" s="214"/>
      <c r="CAN41" s="214"/>
      <c r="CAO41" s="214"/>
      <c r="CAP41" s="214"/>
      <c r="CAQ41" s="214"/>
      <c r="CAR41" s="214"/>
      <c r="CAS41" s="214"/>
      <c r="CAT41" s="214"/>
      <c r="CAU41" s="214"/>
      <c r="CAV41" s="214"/>
      <c r="CAW41" s="214"/>
      <c r="CAX41" s="214"/>
      <c r="CAY41" s="214"/>
      <c r="CAZ41" s="214"/>
      <c r="CBA41" s="214"/>
      <c r="CBB41" s="214"/>
      <c r="CBC41" s="214"/>
      <c r="CBD41" s="214"/>
      <c r="CBE41" s="214"/>
      <c r="CBF41" s="214"/>
      <c r="CBG41" s="214"/>
      <c r="CBH41" s="214"/>
      <c r="CBI41" s="214"/>
      <c r="CBJ41" s="214"/>
      <c r="CBK41" s="214"/>
      <c r="CBL41" s="214"/>
      <c r="CBM41" s="214"/>
      <c r="CBN41" s="214"/>
      <c r="CBO41" s="214"/>
      <c r="CBP41" s="214"/>
      <c r="CBQ41" s="214"/>
      <c r="CBR41" s="214"/>
      <c r="CBS41" s="214"/>
      <c r="CBT41" s="214"/>
      <c r="CBU41" s="214"/>
      <c r="CBV41" s="214"/>
      <c r="CBW41" s="214"/>
      <c r="CBX41" s="214"/>
      <c r="CBY41" s="214"/>
      <c r="CBZ41" s="214"/>
      <c r="CCA41" s="214"/>
      <c r="CCB41" s="214"/>
      <c r="CCC41" s="214"/>
      <c r="CCD41" s="214"/>
      <c r="CCE41" s="214"/>
      <c r="CCF41" s="214"/>
      <c r="CCG41" s="214"/>
      <c r="CCH41" s="214"/>
      <c r="CCI41" s="214"/>
      <c r="CCJ41" s="214"/>
      <c r="CCK41" s="214"/>
      <c r="CCL41" s="214"/>
      <c r="CCM41" s="214"/>
      <c r="CCN41" s="214"/>
      <c r="CCO41" s="214"/>
      <c r="CCP41" s="214"/>
      <c r="CCQ41" s="214"/>
      <c r="CCR41" s="214"/>
      <c r="CCS41" s="214"/>
      <c r="CCT41" s="214"/>
      <c r="CCU41" s="214"/>
      <c r="CCV41" s="214"/>
      <c r="CCW41" s="214"/>
      <c r="CCX41" s="214"/>
      <c r="CCY41" s="214"/>
      <c r="CCZ41" s="214"/>
      <c r="CDA41" s="214"/>
      <c r="CDB41" s="214"/>
      <c r="CDC41" s="214"/>
      <c r="CDD41" s="214"/>
      <c r="CDE41" s="214"/>
      <c r="CDF41" s="214"/>
      <c r="CDG41" s="214"/>
      <c r="CDH41" s="214"/>
      <c r="CDI41" s="214"/>
      <c r="CDJ41" s="214"/>
      <c r="CDK41" s="214"/>
      <c r="CDL41" s="214"/>
      <c r="CDM41" s="214"/>
      <c r="CDN41" s="214"/>
      <c r="CDO41" s="214"/>
      <c r="CDP41" s="214"/>
      <c r="CDQ41" s="214"/>
      <c r="CDR41" s="214"/>
      <c r="CDS41" s="214"/>
      <c r="CDT41" s="214"/>
      <c r="CDU41" s="214"/>
      <c r="CDV41" s="214"/>
      <c r="CDW41" s="214"/>
      <c r="CDX41" s="214"/>
      <c r="CDY41" s="214"/>
      <c r="CDZ41" s="214"/>
      <c r="CEA41" s="214"/>
      <c r="CEB41" s="214"/>
      <c r="CEC41" s="214"/>
      <c r="CED41" s="214"/>
      <c r="CEE41" s="214"/>
      <c r="CEF41" s="214"/>
      <c r="CEG41" s="214"/>
      <c r="CEH41" s="214"/>
      <c r="CEI41" s="214"/>
      <c r="CEJ41" s="214"/>
      <c r="CEK41" s="214"/>
      <c r="CEL41" s="214"/>
      <c r="CEM41" s="214"/>
      <c r="CEN41" s="214"/>
      <c r="CEO41" s="214"/>
      <c r="CEP41" s="214"/>
      <c r="CEQ41" s="214"/>
      <c r="CER41" s="214"/>
      <c r="CES41" s="214"/>
      <c r="CET41" s="214"/>
      <c r="CEU41" s="214"/>
      <c r="CEV41" s="214"/>
      <c r="CEW41" s="214"/>
      <c r="CEX41" s="214"/>
      <c r="CEY41" s="214"/>
      <c r="CEZ41" s="214"/>
      <c r="CFA41" s="214"/>
      <c r="CFB41" s="214"/>
      <c r="CFC41" s="214"/>
      <c r="CFD41" s="214"/>
      <c r="CFE41" s="214"/>
      <c r="CFF41" s="214"/>
      <c r="CFG41" s="214"/>
      <c r="CFH41" s="214"/>
      <c r="CFI41" s="214"/>
      <c r="CFJ41" s="214"/>
      <c r="CFK41" s="214"/>
      <c r="CFL41" s="214"/>
      <c r="CFM41" s="214"/>
      <c r="CFN41" s="214"/>
      <c r="CFO41" s="214"/>
      <c r="CFP41" s="214"/>
      <c r="CFQ41" s="214"/>
      <c r="CFR41" s="214"/>
      <c r="CFS41" s="214"/>
      <c r="CFT41" s="214"/>
      <c r="CFU41" s="214"/>
      <c r="CFV41" s="214"/>
      <c r="CFW41" s="214"/>
      <c r="CFX41" s="214"/>
      <c r="CFY41" s="214"/>
      <c r="CFZ41" s="214"/>
      <c r="CGA41" s="214"/>
      <c r="CGB41" s="214"/>
      <c r="CGC41" s="214"/>
      <c r="CGD41" s="214"/>
      <c r="CGE41" s="214"/>
      <c r="CGF41" s="214"/>
      <c r="CGG41" s="214"/>
      <c r="CGH41" s="214"/>
      <c r="CGI41" s="214"/>
      <c r="CGJ41" s="214"/>
      <c r="CGK41" s="214"/>
      <c r="CGL41" s="214"/>
      <c r="CGM41" s="214"/>
      <c r="CGN41" s="214"/>
      <c r="CGO41" s="214"/>
      <c r="CGP41" s="214"/>
      <c r="CGQ41" s="214"/>
      <c r="CGR41" s="214"/>
      <c r="CGS41" s="214"/>
      <c r="CGT41" s="214"/>
      <c r="CGU41" s="214"/>
      <c r="CGV41" s="214"/>
      <c r="CGW41" s="214"/>
      <c r="CGX41" s="214"/>
      <c r="CGY41" s="214"/>
      <c r="CGZ41" s="214"/>
      <c r="CHA41" s="214"/>
      <c r="CHB41" s="214"/>
      <c r="CHC41" s="214"/>
      <c r="CHD41" s="214"/>
      <c r="CHE41" s="214"/>
      <c r="CHF41" s="214"/>
      <c r="CHG41" s="214"/>
      <c r="CHH41" s="214"/>
      <c r="CHI41" s="214"/>
      <c r="CHJ41" s="214"/>
      <c r="CHK41" s="214"/>
      <c r="CHL41" s="214"/>
      <c r="CHM41" s="214"/>
      <c r="CHN41" s="214"/>
      <c r="CHO41" s="214"/>
      <c r="CHP41" s="214"/>
      <c r="CHQ41" s="214"/>
      <c r="CHR41" s="214"/>
      <c r="CHS41" s="214"/>
      <c r="CHT41" s="214"/>
      <c r="CHU41" s="214"/>
      <c r="CHV41" s="214"/>
      <c r="CHW41" s="214"/>
      <c r="CHX41" s="214"/>
      <c r="CHY41" s="214"/>
      <c r="CHZ41" s="214"/>
      <c r="CIA41" s="214"/>
      <c r="CIB41" s="214"/>
      <c r="CIC41" s="214"/>
      <c r="CID41" s="214"/>
      <c r="CIE41" s="214"/>
      <c r="CIF41" s="214"/>
      <c r="CIG41" s="214"/>
      <c r="CIH41" s="214"/>
      <c r="CII41" s="214"/>
      <c r="CIJ41" s="214"/>
      <c r="CIK41" s="214"/>
      <c r="CIL41" s="214"/>
      <c r="CIM41" s="214"/>
      <c r="CIN41" s="214"/>
      <c r="CIO41" s="214"/>
      <c r="CIP41" s="214"/>
      <c r="CIQ41" s="214"/>
      <c r="CIR41" s="214"/>
      <c r="CIS41" s="214"/>
      <c r="CIT41" s="214"/>
      <c r="CIU41" s="214"/>
      <c r="CIV41" s="214"/>
      <c r="CIW41" s="214"/>
      <c r="CIX41" s="214"/>
      <c r="CIY41" s="214"/>
      <c r="CIZ41" s="214"/>
      <c r="CJA41" s="214"/>
      <c r="CJB41" s="214"/>
      <c r="CJC41" s="214"/>
      <c r="CJD41" s="214"/>
      <c r="CJE41" s="214"/>
      <c r="CJF41" s="214"/>
      <c r="CJG41" s="214"/>
      <c r="CJH41" s="214"/>
      <c r="CJI41" s="214"/>
      <c r="CJJ41" s="214"/>
      <c r="CJK41" s="214"/>
      <c r="CJL41" s="214"/>
      <c r="CJM41" s="214"/>
      <c r="CJN41" s="214"/>
      <c r="CJO41" s="214"/>
      <c r="CJP41" s="214"/>
      <c r="CJQ41" s="214"/>
      <c r="CJR41" s="214"/>
      <c r="CJS41" s="214"/>
      <c r="CJT41" s="214"/>
      <c r="CJU41" s="214"/>
      <c r="CJV41" s="214"/>
      <c r="CJW41" s="214"/>
      <c r="CJX41" s="214"/>
      <c r="CJY41" s="214"/>
      <c r="CJZ41" s="214"/>
      <c r="CKA41" s="214"/>
      <c r="CKB41" s="214"/>
      <c r="CKC41" s="214"/>
      <c r="CKD41" s="214"/>
      <c r="CKE41" s="214"/>
      <c r="CKF41" s="214"/>
      <c r="CKG41" s="214"/>
      <c r="CKH41" s="214"/>
      <c r="CKI41" s="214"/>
      <c r="CKJ41" s="214"/>
      <c r="CKK41" s="214"/>
      <c r="CKL41" s="214"/>
      <c r="CKM41" s="214"/>
      <c r="CKN41" s="214"/>
      <c r="CKO41" s="214"/>
      <c r="CKP41" s="214"/>
      <c r="CKQ41" s="214"/>
      <c r="CKR41" s="214"/>
      <c r="CKS41" s="214"/>
      <c r="CKT41" s="214"/>
      <c r="CKU41" s="214"/>
      <c r="CKV41" s="214"/>
      <c r="CKW41" s="214"/>
      <c r="CKX41" s="214"/>
      <c r="CKY41" s="214"/>
      <c r="CKZ41" s="214"/>
      <c r="CLA41" s="214"/>
      <c r="CLB41" s="214"/>
      <c r="CLC41" s="214"/>
      <c r="CLD41" s="214"/>
      <c r="CLE41" s="214"/>
      <c r="CLF41" s="214"/>
      <c r="CLG41" s="214"/>
      <c r="CLH41" s="214"/>
      <c r="CLI41" s="214"/>
      <c r="CLJ41" s="214"/>
      <c r="CLK41" s="214"/>
      <c r="CLL41" s="214"/>
      <c r="CLM41" s="214"/>
      <c r="CLN41" s="214"/>
      <c r="CLO41" s="214"/>
      <c r="CLP41" s="214"/>
      <c r="CLQ41" s="214"/>
      <c r="CLR41" s="214"/>
      <c r="CLS41" s="214"/>
      <c r="CLT41" s="214"/>
      <c r="CLU41" s="214"/>
      <c r="CLV41" s="214"/>
      <c r="CLW41" s="214"/>
      <c r="CLX41" s="214"/>
      <c r="CLY41" s="214"/>
      <c r="CLZ41" s="214"/>
      <c r="CMA41" s="214"/>
      <c r="CMB41" s="214"/>
      <c r="CMC41" s="214"/>
      <c r="CMD41" s="214"/>
      <c r="CME41" s="214"/>
      <c r="CMF41" s="214"/>
      <c r="CMG41" s="214"/>
      <c r="CMH41" s="214"/>
      <c r="CMI41" s="214"/>
      <c r="CMJ41" s="214"/>
      <c r="CMK41" s="214"/>
      <c r="CML41" s="214"/>
      <c r="CMM41" s="214"/>
      <c r="CMN41" s="214"/>
      <c r="CMO41" s="214"/>
      <c r="CMP41" s="214"/>
      <c r="CMQ41" s="214"/>
      <c r="CMR41" s="214"/>
      <c r="CMS41" s="214"/>
      <c r="CMT41" s="214"/>
      <c r="CMU41" s="214"/>
      <c r="CMV41" s="214"/>
      <c r="CMW41" s="214"/>
      <c r="CMX41" s="214"/>
      <c r="CMY41" s="214"/>
      <c r="CMZ41" s="214"/>
      <c r="CNA41" s="214"/>
      <c r="CNB41" s="214"/>
      <c r="CNC41" s="214"/>
      <c r="CND41" s="214"/>
      <c r="CNE41" s="214"/>
      <c r="CNF41" s="214"/>
      <c r="CNG41" s="214"/>
      <c r="CNH41" s="214"/>
      <c r="CNI41" s="214"/>
      <c r="CNJ41" s="214"/>
      <c r="CNK41" s="214"/>
      <c r="CNL41" s="214"/>
      <c r="CNM41" s="214"/>
      <c r="CNN41" s="214"/>
      <c r="CNO41" s="214"/>
      <c r="CNP41" s="214"/>
      <c r="CNQ41" s="214"/>
      <c r="CNR41" s="214"/>
      <c r="CNS41" s="214"/>
      <c r="CNT41" s="214"/>
      <c r="CNU41" s="214"/>
      <c r="CNV41" s="214"/>
      <c r="CNW41" s="214"/>
      <c r="CNX41" s="214"/>
      <c r="CNY41" s="214"/>
      <c r="CNZ41" s="214"/>
      <c r="COA41" s="214"/>
      <c r="COB41" s="214"/>
      <c r="COC41" s="214"/>
      <c r="COD41" s="214"/>
      <c r="COE41" s="214"/>
      <c r="COF41" s="214"/>
      <c r="COG41" s="214"/>
      <c r="COH41" s="214"/>
      <c r="COI41" s="214"/>
      <c r="COJ41" s="214"/>
      <c r="COK41" s="214"/>
      <c r="COL41" s="214"/>
      <c r="COM41" s="214"/>
      <c r="CON41" s="214"/>
      <c r="COO41" s="214"/>
      <c r="COP41" s="214"/>
      <c r="COQ41" s="214"/>
      <c r="COR41" s="214"/>
      <c r="COS41" s="214"/>
      <c r="COT41" s="214"/>
      <c r="COU41" s="214"/>
      <c r="COV41" s="214"/>
      <c r="COW41" s="214"/>
      <c r="COX41" s="214"/>
      <c r="COY41" s="214"/>
      <c r="COZ41" s="214"/>
      <c r="CPA41" s="214"/>
      <c r="CPB41" s="214"/>
      <c r="CPC41" s="214"/>
      <c r="CPD41" s="214"/>
      <c r="CPE41" s="214"/>
      <c r="CPF41" s="214"/>
      <c r="CPG41" s="214"/>
      <c r="CPH41" s="214"/>
      <c r="CPI41" s="214"/>
      <c r="CPJ41" s="214"/>
      <c r="CPK41" s="214"/>
      <c r="CPL41" s="214"/>
      <c r="CPM41" s="214"/>
      <c r="CPN41" s="214"/>
      <c r="CPO41" s="214"/>
      <c r="CPP41" s="214"/>
      <c r="CPQ41" s="214"/>
      <c r="CPR41" s="214"/>
      <c r="CPS41" s="214"/>
      <c r="CPT41" s="214"/>
      <c r="CPU41" s="214"/>
      <c r="CPV41" s="214"/>
      <c r="CPW41" s="214"/>
      <c r="CPX41" s="214"/>
      <c r="CPY41" s="214"/>
      <c r="CPZ41" s="214"/>
      <c r="CQA41" s="214"/>
      <c r="CQB41" s="214"/>
      <c r="CQC41" s="214"/>
      <c r="CQD41" s="214"/>
      <c r="CQE41" s="214"/>
      <c r="CQF41" s="214"/>
      <c r="CQG41" s="214"/>
      <c r="CQH41" s="214"/>
      <c r="CQI41" s="214"/>
      <c r="CQJ41" s="214"/>
      <c r="CQK41" s="214"/>
      <c r="CQL41" s="214"/>
      <c r="CQM41" s="214"/>
      <c r="CQN41" s="214"/>
      <c r="CQO41" s="214"/>
      <c r="CQP41" s="214"/>
      <c r="CQQ41" s="214"/>
      <c r="CQR41" s="214"/>
      <c r="CQS41" s="214"/>
      <c r="CQT41" s="214"/>
      <c r="CQU41" s="214"/>
      <c r="CQV41" s="214"/>
      <c r="CQW41" s="214"/>
      <c r="CQX41" s="214"/>
      <c r="CQY41" s="214"/>
      <c r="CQZ41" s="214"/>
      <c r="CRA41" s="214"/>
      <c r="CRB41" s="214"/>
      <c r="CRC41" s="214"/>
      <c r="CRD41" s="214"/>
      <c r="CRE41" s="214"/>
      <c r="CRF41" s="214"/>
      <c r="CRG41" s="214"/>
      <c r="CRH41" s="214"/>
      <c r="CRI41" s="214"/>
      <c r="CRJ41" s="214"/>
      <c r="CRK41" s="214"/>
      <c r="CRL41" s="214"/>
      <c r="CRM41" s="214"/>
      <c r="CRN41" s="214"/>
      <c r="CRO41" s="214"/>
      <c r="CRP41" s="214"/>
      <c r="CRQ41" s="214"/>
      <c r="CRR41" s="214"/>
      <c r="CRS41" s="214"/>
      <c r="CRT41" s="214"/>
      <c r="CRU41" s="214"/>
      <c r="CRV41" s="214"/>
      <c r="CRW41" s="214"/>
      <c r="CRX41" s="214"/>
      <c r="CRY41" s="214"/>
      <c r="CRZ41" s="214"/>
      <c r="CSA41" s="214"/>
      <c r="CSB41" s="214"/>
      <c r="CSC41" s="214"/>
      <c r="CSD41" s="214"/>
      <c r="CSE41" s="214"/>
      <c r="CSF41" s="214"/>
      <c r="CSG41" s="214"/>
      <c r="CSH41" s="214"/>
      <c r="CSI41" s="214"/>
      <c r="CSJ41" s="214"/>
      <c r="CSK41" s="214"/>
      <c r="CSL41" s="214"/>
      <c r="CSM41" s="214"/>
      <c r="CSN41" s="214"/>
      <c r="CSO41" s="214"/>
      <c r="CSP41" s="214"/>
      <c r="CSQ41" s="214"/>
      <c r="CSR41" s="214"/>
      <c r="CSS41" s="214"/>
      <c r="CST41" s="214"/>
      <c r="CSU41" s="214"/>
      <c r="CSV41" s="214"/>
      <c r="CSW41" s="214"/>
      <c r="CSX41" s="214"/>
      <c r="CSY41" s="214"/>
      <c r="CSZ41" s="214"/>
      <c r="CTA41" s="214"/>
      <c r="CTB41" s="214"/>
      <c r="CTC41" s="214"/>
      <c r="CTD41" s="214"/>
      <c r="CTE41" s="214"/>
      <c r="CTF41" s="214"/>
      <c r="CTG41" s="214"/>
      <c r="CTH41" s="214"/>
      <c r="CTI41" s="214"/>
      <c r="CTJ41" s="214"/>
      <c r="CTK41" s="214"/>
      <c r="CTL41" s="214"/>
      <c r="CTM41" s="214"/>
      <c r="CTN41" s="214"/>
      <c r="CTO41" s="214"/>
      <c r="CTP41" s="214"/>
      <c r="CTQ41" s="214"/>
      <c r="CTR41" s="214"/>
      <c r="CTS41" s="214"/>
      <c r="CTT41" s="214"/>
      <c r="CTU41" s="214"/>
      <c r="CTV41" s="214"/>
      <c r="CTW41" s="214"/>
      <c r="CTX41" s="214"/>
      <c r="CTY41" s="214"/>
      <c r="CTZ41" s="214"/>
      <c r="CUA41" s="214"/>
      <c r="CUB41" s="214"/>
      <c r="CUC41" s="214"/>
      <c r="CUD41" s="214"/>
      <c r="CUE41" s="214"/>
      <c r="CUF41" s="214"/>
      <c r="CUG41" s="214"/>
      <c r="CUH41" s="214"/>
      <c r="CUI41" s="214"/>
      <c r="CUJ41" s="214"/>
      <c r="CUK41" s="214"/>
      <c r="CUL41" s="214"/>
      <c r="CUM41" s="214"/>
      <c r="CUN41" s="214"/>
      <c r="CUO41" s="214"/>
      <c r="CUP41" s="214"/>
      <c r="CUQ41" s="214"/>
      <c r="CUR41" s="214"/>
      <c r="CUS41" s="214"/>
      <c r="CUT41" s="214"/>
      <c r="CUU41" s="214"/>
      <c r="CUV41" s="214"/>
      <c r="CUW41" s="214"/>
      <c r="CUX41" s="214"/>
      <c r="CUY41" s="214"/>
      <c r="CUZ41" s="214"/>
      <c r="CVA41" s="214"/>
      <c r="CVB41" s="214"/>
      <c r="CVC41" s="214"/>
      <c r="CVD41" s="214"/>
      <c r="CVE41" s="214"/>
      <c r="CVF41" s="214"/>
      <c r="CVG41" s="214"/>
      <c r="CVH41" s="214"/>
      <c r="CVI41" s="214"/>
      <c r="CVJ41" s="214"/>
      <c r="CVK41" s="214"/>
      <c r="CVL41" s="214"/>
      <c r="CVM41" s="214"/>
      <c r="CVN41" s="214"/>
      <c r="CVO41" s="214"/>
      <c r="CVP41" s="214"/>
      <c r="CVQ41" s="214"/>
      <c r="CVR41" s="214"/>
      <c r="CVS41" s="214"/>
      <c r="CVT41" s="214"/>
      <c r="CVU41" s="214"/>
      <c r="CVV41" s="214"/>
      <c r="CVW41" s="214"/>
      <c r="CVX41" s="214"/>
      <c r="CVY41" s="214"/>
      <c r="CVZ41" s="214"/>
      <c r="CWA41" s="214"/>
      <c r="CWB41" s="214"/>
      <c r="CWC41" s="214"/>
      <c r="CWD41" s="214"/>
      <c r="CWE41" s="214"/>
      <c r="CWF41" s="214"/>
      <c r="CWG41" s="214"/>
      <c r="CWH41" s="214"/>
      <c r="CWI41" s="214"/>
      <c r="CWJ41" s="214"/>
      <c r="CWK41" s="214"/>
      <c r="CWL41" s="214"/>
      <c r="CWM41" s="214"/>
      <c r="CWN41" s="214"/>
      <c r="CWO41" s="214"/>
      <c r="CWP41" s="214"/>
      <c r="CWQ41" s="214"/>
      <c r="CWR41" s="214"/>
      <c r="CWS41" s="214"/>
      <c r="CWT41" s="214"/>
      <c r="CWU41" s="214"/>
      <c r="CWV41" s="214"/>
      <c r="CWW41" s="214"/>
      <c r="CWX41" s="214"/>
      <c r="CWY41" s="214"/>
      <c r="CWZ41" s="214"/>
      <c r="CXA41" s="214"/>
      <c r="CXB41" s="214"/>
      <c r="CXC41" s="214"/>
      <c r="CXD41" s="214"/>
      <c r="CXE41" s="214"/>
      <c r="CXF41" s="214"/>
      <c r="CXG41" s="214"/>
      <c r="CXH41" s="214"/>
      <c r="CXI41" s="214"/>
      <c r="CXJ41" s="214"/>
      <c r="CXK41" s="214"/>
      <c r="CXL41" s="214"/>
      <c r="CXM41" s="214"/>
      <c r="CXN41" s="214"/>
      <c r="CXO41" s="214"/>
      <c r="CXP41" s="214"/>
      <c r="CXQ41" s="214"/>
      <c r="CXR41" s="214"/>
      <c r="CXS41" s="214"/>
      <c r="CXT41" s="214"/>
      <c r="CXU41" s="214"/>
      <c r="CXV41" s="214"/>
      <c r="CXW41" s="214"/>
      <c r="CXX41" s="214"/>
      <c r="CXY41" s="214"/>
      <c r="CXZ41" s="214"/>
      <c r="CYA41" s="214"/>
      <c r="CYB41" s="214"/>
      <c r="CYC41" s="214"/>
      <c r="CYD41" s="214"/>
      <c r="CYE41" s="214"/>
      <c r="CYF41" s="214"/>
      <c r="CYG41" s="214"/>
      <c r="CYH41" s="214"/>
      <c r="CYI41" s="214"/>
      <c r="CYJ41" s="214"/>
      <c r="CYK41" s="214"/>
      <c r="CYL41" s="214"/>
      <c r="CYM41" s="214"/>
      <c r="CYN41" s="214"/>
      <c r="CYO41" s="214"/>
      <c r="CYP41" s="214"/>
      <c r="CYQ41" s="214"/>
      <c r="CYR41" s="214"/>
      <c r="CYS41" s="214"/>
      <c r="CYT41" s="214"/>
      <c r="CYU41" s="214"/>
      <c r="CYV41" s="214"/>
      <c r="CYW41" s="214"/>
      <c r="CYX41" s="214"/>
      <c r="CYY41" s="214"/>
      <c r="CYZ41" s="214"/>
      <c r="CZA41" s="214"/>
      <c r="CZB41" s="214"/>
      <c r="CZC41" s="214"/>
      <c r="CZD41" s="214"/>
      <c r="CZE41" s="214"/>
      <c r="CZF41" s="214"/>
      <c r="CZG41" s="214"/>
      <c r="CZH41" s="214"/>
      <c r="CZI41" s="214"/>
      <c r="CZJ41" s="214"/>
      <c r="CZK41" s="214"/>
      <c r="CZL41" s="214"/>
      <c r="CZM41" s="214"/>
      <c r="CZN41" s="214"/>
      <c r="CZO41" s="214"/>
      <c r="CZP41" s="214"/>
      <c r="CZQ41" s="214"/>
      <c r="CZR41" s="214"/>
      <c r="CZS41" s="214"/>
      <c r="CZT41" s="214"/>
      <c r="CZU41" s="214"/>
      <c r="CZV41" s="214"/>
      <c r="CZW41" s="214"/>
      <c r="CZX41" s="214"/>
      <c r="CZY41" s="214"/>
      <c r="CZZ41" s="214"/>
      <c r="DAA41" s="214"/>
      <c r="DAB41" s="214"/>
      <c r="DAC41" s="214"/>
      <c r="DAD41" s="214"/>
      <c r="DAE41" s="214"/>
      <c r="DAF41" s="214"/>
      <c r="DAG41" s="214"/>
      <c r="DAH41" s="214"/>
      <c r="DAI41" s="214"/>
      <c r="DAJ41" s="214"/>
      <c r="DAK41" s="214"/>
      <c r="DAL41" s="214"/>
      <c r="DAM41" s="214"/>
      <c r="DAN41" s="214"/>
      <c r="DAO41" s="214"/>
      <c r="DAP41" s="214"/>
      <c r="DAQ41" s="214"/>
      <c r="DAR41" s="214"/>
      <c r="DAS41" s="214"/>
      <c r="DAT41" s="214"/>
      <c r="DAU41" s="214"/>
      <c r="DAV41" s="214"/>
      <c r="DAW41" s="214"/>
      <c r="DAX41" s="214"/>
      <c r="DAY41" s="214"/>
      <c r="DAZ41" s="214"/>
      <c r="DBA41" s="214"/>
      <c r="DBB41" s="214"/>
      <c r="DBC41" s="214"/>
      <c r="DBD41" s="214"/>
      <c r="DBE41" s="214"/>
      <c r="DBF41" s="214"/>
      <c r="DBG41" s="214"/>
      <c r="DBH41" s="214"/>
      <c r="DBI41" s="214"/>
      <c r="DBJ41" s="214"/>
      <c r="DBK41" s="214"/>
      <c r="DBL41" s="214"/>
      <c r="DBM41" s="214"/>
      <c r="DBN41" s="214"/>
      <c r="DBO41" s="214"/>
      <c r="DBP41" s="214"/>
      <c r="DBQ41" s="214"/>
      <c r="DBR41" s="214"/>
      <c r="DBS41" s="214"/>
      <c r="DBT41" s="214"/>
      <c r="DBU41" s="214"/>
      <c r="DBV41" s="214"/>
      <c r="DBW41" s="214"/>
      <c r="DBX41" s="214"/>
      <c r="DBY41" s="214"/>
      <c r="DBZ41" s="214"/>
      <c r="DCA41" s="214"/>
      <c r="DCB41" s="214"/>
      <c r="DCC41" s="214"/>
      <c r="DCD41" s="214"/>
      <c r="DCE41" s="214"/>
      <c r="DCF41" s="214"/>
      <c r="DCG41" s="214"/>
      <c r="DCH41" s="214"/>
      <c r="DCI41" s="214"/>
      <c r="DCJ41" s="214"/>
      <c r="DCK41" s="214"/>
      <c r="DCL41" s="214"/>
      <c r="DCM41" s="214"/>
      <c r="DCN41" s="214"/>
      <c r="DCO41" s="214"/>
      <c r="DCP41" s="214"/>
      <c r="DCQ41" s="214"/>
      <c r="DCR41" s="214"/>
      <c r="DCS41" s="214"/>
      <c r="DCT41" s="214"/>
      <c r="DCU41" s="214"/>
      <c r="DCV41" s="214"/>
      <c r="DCW41" s="214"/>
      <c r="DCX41" s="214"/>
      <c r="DCY41" s="214"/>
      <c r="DCZ41" s="214"/>
      <c r="DDA41" s="214"/>
      <c r="DDB41" s="214"/>
      <c r="DDC41" s="214"/>
      <c r="DDD41" s="214"/>
      <c r="DDE41" s="214"/>
      <c r="DDF41" s="214"/>
      <c r="DDG41" s="214"/>
      <c r="DDH41" s="214"/>
      <c r="DDI41" s="214"/>
      <c r="DDJ41" s="214"/>
      <c r="DDK41" s="214"/>
      <c r="DDL41" s="214"/>
      <c r="DDM41" s="214"/>
      <c r="DDN41" s="214"/>
      <c r="DDO41" s="214"/>
      <c r="DDP41" s="214"/>
      <c r="DDQ41" s="214"/>
      <c r="DDR41" s="214"/>
      <c r="DDS41" s="214"/>
      <c r="DDT41" s="214"/>
      <c r="DDU41" s="214"/>
      <c r="DDV41" s="214"/>
      <c r="DDW41" s="214"/>
      <c r="DDX41" s="214"/>
      <c r="DDY41" s="214"/>
      <c r="DDZ41" s="214"/>
      <c r="DEA41" s="214"/>
      <c r="DEB41" s="214"/>
      <c r="DEC41" s="214"/>
      <c r="DED41" s="214"/>
      <c r="DEE41" s="214"/>
      <c r="DEF41" s="214"/>
      <c r="DEG41" s="214"/>
      <c r="DEH41" s="214"/>
      <c r="DEI41" s="214"/>
      <c r="DEJ41" s="214"/>
      <c r="DEK41" s="214"/>
      <c r="DEL41" s="214"/>
      <c r="DEM41" s="214"/>
      <c r="DEN41" s="214"/>
      <c r="DEO41" s="214"/>
      <c r="DEP41" s="214"/>
      <c r="DEQ41" s="214"/>
      <c r="DER41" s="214"/>
      <c r="DES41" s="214"/>
      <c r="DET41" s="214"/>
      <c r="DEU41" s="214"/>
      <c r="DEV41" s="214"/>
      <c r="DEW41" s="214"/>
      <c r="DEX41" s="214"/>
      <c r="DEY41" s="214"/>
      <c r="DEZ41" s="214"/>
      <c r="DFA41" s="214"/>
      <c r="DFB41" s="214"/>
      <c r="DFC41" s="214"/>
      <c r="DFD41" s="214"/>
      <c r="DFE41" s="214"/>
      <c r="DFF41" s="214"/>
      <c r="DFG41" s="214"/>
      <c r="DFH41" s="214"/>
      <c r="DFI41" s="214"/>
      <c r="DFJ41" s="214"/>
      <c r="DFK41" s="214"/>
      <c r="DFL41" s="214"/>
      <c r="DFM41" s="214"/>
      <c r="DFN41" s="214"/>
      <c r="DFO41" s="214"/>
      <c r="DFP41" s="214"/>
      <c r="DFQ41" s="214"/>
      <c r="DFR41" s="214"/>
      <c r="DFS41" s="214"/>
      <c r="DFT41" s="214"/>
      <c r="DFU41" s="214"/>
      <c r="DFV41" s="214"/>
      <c r="DFW41" s="214"/>
      <c r="DFX41" s="214"/>
      <c r="DFY41" s="214"/>
      <c r="DFZ41" s="214"/>
      <c r="DGA41" s="214"/>
      <c r="DGB41" s="214"/>
      <c r="DGC41" s="214"/>
      <c r="DGD41" s="214"/>
      <c r="DGE41" s="214"/>
      <c r="DGF41" s="214"/>
      <c r="DGG41" s="214"/>
      <c r="DGH41" s="214"/>
      <c r="DGI41" s="214"/>
      <c r="DGJ41" s="214"/>
      <c r="DGK41" s="214"/>
      <c r="DGL41" s="214"/>
      <c r="DGM41" s="214"/>
      <c r="DGN41" s="214"/>
      <c r="DGO41" s="214"/>
      <c r="DGP41" s="214"/>
      <c r="DGQ41" s="214"/>
      <c r="DGR41" s="214"/>
      <c r="DGS41" s="214"/>
      <c r="DGT41" s="214"/>
      <c r="DGU41" s="214"/>
      <c r="DGV41" s="214"/>
      <c r="DGW41" s="214"/>
      <c r="DGX41" s="214"/>
      <c r="DGY41" s="214"/>
      <c r="DGZ41" s="214"/>
      <c r="DHA41" s="214"/>
      <c r="DHB41" s="214"/>
      <c r="DHC41" s="214"/>
      <c r="DHD41" s="214"/>
      <c r="DHE41" s="214"/>
      <c r="DHF41" s="214"/>
      <c r="DHG41" s="214"/>
      <c r="DHH41" s="214"/>
      <c r="DHI41" s="214"/>
      <c r="DHJ41" s="214"/>
      <c r="DHK41" s="214"/>
      <c r="DHL41" s="214"/>
      <c r="DHM41" s="214"/>
      <c r="DHN41" s="214"/>
      <c r="DHO41" s="214"/>
      <c r="DHP41" s="214"/>
      <c r="DHQ41" s="214"/>
      <c r="DHR41" s="214"/>
      <c r="DHS41" s="214"/>
      <c r="DHT41" s="214"/>
      <c r="DHU41" s="214"/>
      <c r="DHV41" s="214"/>
      <c r="DHW41" s="214"/>
      <c r="DHX41" s="214"/>
      <c r="DHY41" s="214"/>
      <c r="DHZ41" s="214"/>
      <c r="DIA41" s="214"/>
      <c r="DIB41" s="214"/>
      <c r="DIC41" s="214"/>
      <c r="DID41" s="214"/>
      <c r="DIE41" s="214"/>
      <c r="DIF41" s="214"/>
      <c r="DIG41" s="214"/>
      <c r="DIH41" s="214"/>
      <c r="DII41" s="214"/>
      <c r="DIJ41" s="214"/>
      <c r="DIK41" s="214"/>
      <c r="DIL41" s="214"/>
      <c r="DIM41" s="214"/>
      <c r="DIN41" s="214"/>
      <c r="DIO41" s="214"/>
      <c r="DIP41" s="214"/>
      <c r="DIQ41" s="214"/>
      <c r="DIR41" s="214"/>
      <c r="DIS41" s="214"/>
      <c r="DIT41" s="214"/>
      <c r="DIU41" s="214"/>
      <c r="DIV41" s="214"/>
      <c r="DIW41" s="214"/>
      <c r="DIX41" s="214"/>
      <c r="DIY41" s="214"/>
      <c r="DIZ41" s="214"/>
      <c r="DJA41" s="214"/>
      <c r="DJB41" s="214"/>
      <c r="DJC41" s="214"/>
      <c r="DJD41" s="214"/>
      <c r="DJE41" s="214"/>
      <c r="DJF41" s="214"/>
      <c r="DJG41" s="214"/>
      <c r="DJH41" s="214"/>
      <c r="DJI41" s="214"/>
      <c r="DJJ41" s="214"/>
      <c r="DJK41" s="214"/>
      <c r="DJL41" s="214"/>
      <c r="DJM41" s="214"/>
      <c r="DJN41" s="214"/>
      <c r="DJO41" s="214"/>
      <c r="DJP41" s="214"/>
      <c r="DJQ41" s="214"/>
      <c r="DJR41" s="214"/>
      <c r="DJS41" s="214"/>
      <c r="DJT41" s="214"/>
      <c r="DJU41" s="214"/>
      <c r="DJV41" s="214"/>
      <c r="DJW41" s="214"/>
      <c r="DJX41" s="214"/>
      <c r="DJY41" s="214"/>
      <c r="DJZ41" s="214"/>
      <c r="DKA41" s="214"/>
      <c r="DKB41" s="214"/>
      <c r="DKC41" s="214"/>
      <c r="DKD41" s="214"/>
      <c r="DKE41" s="214"/>
      <c r="DKF41" s="214"/>
      <c r="DKG41" s="214"/>
      <c r="DKH41" s="214"/>
      <c r="DKI41" s="214"/>
      <c r="DKJ41" s="214"/>
      <c r="DKK41" s="214"/>
      <c r="DKL41" s="214"/>
      <c r="DKM41" s="214"/>
      <c r="DKN41" s="214"/>
      <c r="DKO41" s="214"/>
      <c r="DKP41" s="214"/>
      <c r="DKQ41" s="214"/>
      <c r="DKR41" s="214"/>
      <c r="DKS41" s="214"/>
      <c r="DKT41" s="214"/>
      <c r="DKU41" s="214"/>
      <c r="DKV41" s="214"/>
      <c r="DKW41" s="214"/>
      <c r="DKX41" s="214"/>
      <c r="DKY41" s="214"/>
      <c r="DKZ41" s="214"/>
      <c r="DLA41" s="214"/>
      <c r="DLB41" s="214"/>
      <c r="DLC41" s="214"/>
      <c r="DLD41" s="214"/>
      <c r="DLE41" s="214"/>
      <c r="DLF41" s="214"/>
      <c r="DLG41" s="214"/>
      <c r="DLH41" s="214"/>
      <c r="DLI41" s="214"/>
      <c r="DLJ41" s="214"/>
      <c r="DLK41" s="214"/>
      <c r="DLL41" s="214"/>
      <c r="DLM41" s="214"/>
      <c r="DLN41" s="214"/>
      <c r="DLO41" s="214"/>
      <c r="DLP41" s="214"/>
      <c r="DLQ41" s="214"/>
      <c r="DLR41" s="214"/>
      <c r="DLS41" s="214"/>
      <c r="DLT41" s="214"/>
      <c r="DLU41" s="214"/>
      <c r="DLV41" s="214"/>
      <c r="DLW41" s="214"/>
      <c r="DLX41" s="214"/>
      <c r="DLY41" s="214"/>
      <c r="DLZ41" s="214"/>
      <c r="DMA41" s="214"/>
      <c r="DMB41" s="214"/>
      <c r="DMC41" s="214"/>
      <c r="DMD41" s="214"/>
      <c r="DME41" s="214"/>
      <c r="DMF41" s="214"/>
      <c r="DMG41" s="214"/>
      <c r="DMH41" s="214"/>
      <c r="DMI41" s="214"/>
      <c r="DMJ41" s="214"/>
      <c r="DMK41" s="214"/>
      <c r="DML41" s="214"/>
      <c r="DMM41" s="214"/>
      <c r="DMN41" s="214"/>
      <c r="DMO41" s="214"/>
      <c r="DMP41" s="214"/>
      <c r="DMQ41" s="214"/>
      <c r="DMR41" s="214"/>
      <c r="DMS41" s="214"/>
      <c r="DMT41" s="214"/>
      <c r="DMU41" s="214"/>
      <c r="DMV41" s="214"/>
      <c r="DMW41" s="214"/>
      <c r="DMX41" s="214"/>
      <c r="DMY41" s="214"/>
      <c r="DMZ41" s="214"/>
      <c r="DNA41" s="214"/>
      <c r="DNB41" s="214"/>
      <c r="DNC41" s="214"/>
      <c r="DND41" s="214"/>
      <c r="DNE41" s="214"/>
      <c r="DNF41" s="214"/>
      <c r="DNG41" s="214"/>
      <c r="DNH41" s="214"/>
      <c r="DNI41" s="214"/>
      <c r="DNJ41" s="214"/>
      <c r="DNK41" s="214"/>
      <c r="DNL41" s="214"/>
      <c r="DNM41" s="214"/>
      <c r="DNN41" s="214"/>
      <c r="DNO41" s="214"/>
      <c r="DNP41" s="214"/>
      <c r="DNQ41" s="214"/>
      <c r="DNR41" s="214"/>
      <c r="DNS41" s="214"/>
      <c r="DNT41" s="214"/>
      <c r="DNU41" s="214"/>
      <c r="DNV41" s="214"/>
      <c r="DNW41" s="214"/>
      <c r="DNX41" s="214"/>
      <c r="DNY41" s="214"/>
      <c r="DNZ41" s="214"/>
      <c r="DOA41" s="214"/>
      <c r="DOB41" s="214"/>
      <c r="DOC41" s="214"/>
      <c r="DOD41" s="214"/>
      <c r="DOE41" s="214"/>
      <c r="DOF41" s="214"/>
      <c r="DOG41" s="214"/>
      <c r="DOH41" s="214"/>
      <c r="DOI41" s="214"/>
      <c r="DOJ41" s="214"/>
      <c r="DOK41" s="214"/>
      <c r="DOL41" s="214"/>
      <c r="DOM41" s="214"/>
      <c r="DON41" s="214"/>
      <c r="DOO41" s="214"/>
      <c r="DOP41" s="214"/>
      <c r="DOQ41" s="214"/>
      <c r="DOR41" s="214"/>
      <c r="DOS41" s="214"/>
      <c r="DOT41" s="214"/>
      <c r="DOU41" s="214"/>
      <c r="DOV41" s="214"/>
      <c r="DOW41" s="214"/>
      <c r="DOX41" s="214"/>
      <c r="DOY41" s="214"/>
      <c r="DOZ41" s="214"/>
      <c r="DPA41" s="214"/>
      <c r="DPB41" s="214"/>
      <c r="DPC41" s="214"/>
      <c r="DPD41" s="214"/>
      <c r="DPE41" s="214"/>
      <c r="DPF41" s="214"/>
      <c r="DPG41" s="214"/>
      <c r="DPH41" s="214"/>
      <c r="DPI41" s="214"/>
      <c r="DPJ41" s="214"/>
      <c r="DPK41" s="214"/>
      <c r="DPL41" s="214"/>
      <c r="DPM41" s="214"/>
      <c r="DPN41" s="214"/>
      <c r="DPO41" s="214"/>
      <c r="DPP41" s="214"/>
      <c r="DPQ41" s="214"/>
      <c r="DPR41" s="214"/>
      <c r="DPS41" s="214"/>
      <c r="DPT41" s="214"/>
      <c r="DPU41" s="214"/>
      <c r="DPV41" s="214"/>
      <c r="DPW41" s="214"/>
      <c r="DPX41" s="214"/>
      <c r="DPY41" s="214"/>
      <c r="DPZ41" s="214"/>
      <c r="DQA41" s="214"/>
      <c r="DQB41" s="214"/>
      <c r="DQC41" s="214"/>
      <c r="DQD41" s="214"/>
      <c r="DQE41" s="214"/>
      <c r="DQF41" s="214"/>
      <c r="DQG41" s="214"/>
      <c r="DQH41" s="214"/>
      <c r="DQI41" s="214"/>
      <c r="DQJ41" s="214"/>
      <c r="DQK41" s="214"/>
      <c r="DQL41" s="214"/>
      <c r="DQM41" s="214"/>
      <c r="DQN41" s="214"/>
      <c r="DQO41" s="214"/>
      <c r="DQP41" s="214"/>
      <c r="DQQ41" s="214"/>
      <c r="DQR41" s="214"/>
      <c r="DQS41" s="214"/>
      <c r="DQT41" s="214"/>
      <c r="DQU41" s="214"/>
      <c r="DQV41" s="214"/>
      <c r="DQW41" s="214"/>
      <c r="DQX41" s="214"/>
      <c r="DQY41" s="214"/>
      <c r="DQZ41" s="214"/>
      <c r="DRA41" s="214"/>
      <c r="DRB41" s="214"/>
      <c r="DRC41" s="214"/>
      <c r="DRD41" s="214"/>
      <c r="DRE41" s="214"/>
      <c r="DRF41" s="214"/>
      <c r="DRG41" s="214"/>
      <c r="DRH41" s="214"/>
      <c r="DRI41" s="214"/>
      <c r="DRJ41" s="214"/>
      <c r="DRK41" s="214"/>
      <c r="DRL41" s="214"/>
      <c r="DRM41" s="214"/>
      <c r="DRN41" s="214"/>
      <c r="DRO41" s="214"/>
      <c r="DRP41" s="214"/>
      <c r="DRQ41" s="214"/>
      <c r="DRR41" s="214"/>
      <c r="DRS41" s="214"/>
      <c r="DRT41" s="214"/>
      <c r="DRU41" s="214"/>
      <c r="DRV41" s="214"/>
      <c r="DRW41" s="214"/>
      <c r="DRX41" s="214"/>
      <c r="DRY41" s="214"/>
      <c r="DRZ41" s="214"/>
      <c r="DSA41" s="214"/>
      <c r="DSB41" s="214"/>
      <c r="DSC41" s="214"/>
      <c r="DSD41" s="214"/>
      <c r="DSE41" s="214"/>
      <c r="DSF41" s="214"/>
      <c r="DSG41" s="214"/>
      <c r="DSH41" s="214"/>
      <c r="DSI41" s="214"/>
      <c r="DSJ41" s="214"/>
      <c r="DSK41" s="214"/>
      <c r="DSL41" s="214"/>
      <c r="DSM41" s="214"/>
      <c r="DSN41" s="214"/>
      <c r="DSO41" s="214"/>
      <c r="DSP41" s="214"/>
      <c r="DSQ41" s="214"/>
      <c r="DSR41" s="214"/>
      <c r="DSS41" s="214"/>
      <c r="DST41" s="214"/>
      <c r="DSU41" s="214"/>
      <c r="DSV41" s="214"/>
      <c r="DSW41" s="214"/>
      <c r="DSX41" s="214"/>
      <c r="DSY41" s="214"/>
      <c r="DSZ41" s="214"/>
      <c r="DTA41" s="214"/>
      <c r="DTB41" s="214"/>
      <c r="DTC41" s="214"/>
      <c r="DTD41" s="214"/>
      <c r="DTE41" s="214"/>
      <c r="DTF41" s="214"/>
      <c r="DTG41" s="214"/>
      <c r="DTH41" s="214"/>
      <c r="DTI41" s="214"/>
      <c r="DTJ41" s="214"/>
      <c r="DTK41" s="214"/>
      <c r="DTL41" s="214"/>
      <c r="DTM41" s="214"/>
      <c r="DTN41" s="214"/>
      <c r="DTO41" s="214"/>
      <c r="DTP41" s="214"/>
      <c r="DTQ41" s="214"/>
      <c r="DTR41" s="214"/>
      <c r="DTS41" s="214"/>
      <c r="DTT41" s="214"/>
      <c r="DTU41" s="214"/>
      <c r="DTV41" s="214"/>
      <c r="DTW41" s="214"/>
      <c r="DTX41" s="214"/>
      <c r="DTY41" s="214"/>
      <c r="DTZ41" s="214"/>
      <c r="DUA41" s="214"/>
      <c r="DUB41" s="214"/>
      <c r="DUC41" s="214"/>
      <c r="DUD41" s="214"/>
      <c r="DUE41" s="214"/>
      <c r="DUF41" s="214"/>
      <c r="DUG41" s="214"/>
      <c r="DUH41" s="214"/>
      <c r="DUI41" s="214"/>
      <c r="DUJ41" s="214"/>
      <c r="DUK41" s="214"/>
      <c r="DUL41" s="214"/>
      <c r="DUM41" s="214"/>
      <c r="DUN41" s="214"/>
      <c r="DUO41" s="214"/>
      <c r="DUP41" s="214"/>
      <c r="DUQ41" s="214"/>
      <c r="DUR41" s="214"/>
      <c r="DUS41" s="214"/>
      <c r="DUT41" s="214"/>
      <c r="DUU41" s="214"/>
      <c r="DUV41" s="214"/>
      <c r="DUW41" s="214"/>
      <c r="DUX41" s="214"/>
      <c r="DUY41" s="214"/>
      <c r="DUZ41" s="214"/>
      <c r="DVA41" s="214"/>
      <c r="DVB41" s="214"/>
      <c r="DVC41" s="214"/>
      <c r="DVD41" s="214"/>
      <c r="DVE41" s="214"/>
      <c r="DVF41" s="214"/>
      <c r="DVG41" s="214"/>
      <c r="DVH41" s="214"/>
      <c r="DVI41" s="214"/>
      <c r="DVJ41" s="214"/>
      <c r="DVK41" s="214"/>
      <c r="DVL41" s="214"/>
      <c r="DVM41" s="214"/>
      <c r="DVN41" s="214"/>
      <c r="DVO41" s="214"/>
      <c r="DVP41" s="214"/>
      <c r="DVQ41" s="214"/>
      <c r="DVR41" s="214"/>
      <c r="DVS41" s="214"/>
      <c r="DVT41" s="214"/>
      <c r="DVU41" s="214"/>
      <c r="DVV41" s="214"/>
      <c r="DVW41" s="214"/>
      <c r="DVX41" s="214"/>
      <c r="DVY41" s="214"/>
      <c r="DVZ41" s="214"/>
      <c r="DWA41" s="214"/>
      <c r="DWB41" s="214"/>
      <c r="DWC41" s="214"/>
      <c r="DWD41" s="214"/>
      <c r="DWE41" s="214"/>
      <c r="DWF41" s="214"/>
      <c r="DWG41" s="214"/>
      <c r="DWH41" s="214"/>
      <c r="DWI41" s="214"/>
      <c r="DWJ41" s="214"/>
      <c r="DWK41" s="214"/>
      <c r="DWL41" s="214"/>
      <c r="DWM41" s="214"/>
      <c r="DWN41" s="214"/>
      <c r="DWO41" s="214"/>
      <c r="DWP41" s="214"/>
      <c r="DWQ41" s="214"/>
      <c r="DWR41" s="214"/>
      <c r="DWS41" s="214"/>
      <c r="DWT41" s="214"/>
      <c r="DWU41" s="214"/>
      <c r="DWV41" s="214"/>
      <c r="DWW41" s="214"/>
      <c r="DWX41" s="214"/>
      <c r="DWY41" s="214"/>
      <c r="DWZ41" s="214"/>
      <c r="DXA41" s="214"/>
      <c r="DXB41" s="214"/>
      <c r="DXC41" s="214"/>
      <c r="DXD41" s="214"/>
      <c r="DXE41" s="214"/>
      <c r="DXF41" s="214"/>
      <c r="DXG41" s="214"/>
      <c r="DXH41" s="214"/>
      <c r="DXI41" s="214"/>
      <c r="DXJ41" s="214"/>
      <c r="DXK41" s="214"/>
      <c r="DXL41" s="214"/>
      <c r="DXM41" s="214"/>
      <c r="DXN41" s="214"/>
      <c r="DXO41" s="214"/>
      <c r="DXP41" s="214"/>
      <c r="DXQ41" s="214"/>
      <c r="DXR41" s="214"/>
      <c r="DXS41" s="214"/>
      <c r="DXT41" s="214"/>
      <c r="DXU41" s="214"/>
      <c r="DXV41" s="214"/>
      <c r="DXW41" s="214"/>
      <c r="DXX41" s="214"/>
      <c r="DXY41" s="214"/>
      <c r="DXZ41" s="214"/>
      <c r="DYA41" s="214"/>
      <c r="DYB41" s="214"/>
      <c r="DYC41" s="214"/>
      <c r="DYD41" s="214"/>
      <c r="DYE41" s="214"/>
      <c r="DYF41" s="214"/>
      <c r="DYG41" s="214"/>
      <c r="DYH41" s="214"/>
      <c r="DYI41" s="214"/>
      <c r="DYJ41" s="214"/>
      <c r="DYK41" s="214"/>
      <c r="DYL41" s="214"/>
      <c r="DYM41" s="214"/>
      <c r="DYN41" s="214"/>
      <c r="DYO41" s="214"/>
      <c r="DYP41" s="214"/>
      <c r="DYQ41" s="214"/>
      <c r="DYR41" s="214"/>
      <c r="DYS41" s="214"/>
      <c r="DYT41" s="214"/>
      <c r="DYU41" s="214"/>
      <c r="DYV41" s="214"/>
      <c r="DYW41" s="214"/>
      <c r="DYX41" s="214"/>
      <c r="DYY41" s="214"/>
      <c r="DYZ41" s="214"/>
      <c r="DZA41" s="214"/>
      <c r="DZB41" s="214"/>
      <c r="DZC41" s="214"/>
      <c r="DZD41" s="214"/>
      <c r="DZE41" s="214"/>
      <c r="DZF41" s="214"/>
      <c r="DZG41" s="214"/>
      <c r="DZH41" s="214"/>
      <c r="DZI41" s="214"/>
      <c r="DZJ41" s="214"/>
      <c r="DZK41" s="214"/>
      <c r="DZL41" s="214"/>
      <c r="DZM41" s="214"/>
      <c r="DZN41" s="214"/>
      <c r="DZO41" s="214"/>
      <c r="DZP41" s="214"/>
      <c r="DZQ41" s="214"/>
      <c r="DZR41" s="214"/>
      <c r="DZS41" s="214"/>
      <c r="DZT41" s="214"/>
      <c r="DZU41" s="214"/>
      <c r="DZV41" s="214"/>
      <c r="DZW41" s="214"/>
      <c r="DZX41" s="214"/>
      <c r="DZY41" s="214"/>
      <c r="DZZ41" s="214"/>
      <c r="EAA41" s="214"/>
      <c r="EAB41" s="214"/>
      <c r="EAC41" s="214"/>
      <c r="EAD41" s="214"/>
      <c r="EAE41" s="214"/>
      <c r="EAF41" s="214"/>
      <c r="EAG41" s="214"/>
      <c r="EAH41" s="214"/>
      <c r="EAI41" s="214"/>
      <c r="EAJ41" s="214"/>
      <c r="EAK41" s="214"/>
      <c r="EAL41" s="214"/>
      <c r="EAM41" s="214"/>
      <c r="EAN41" s="214"/>
      <c r="EAO41" s="214"/>
      <c r="EAP41" s="214"/>
      <c r="EAQ41" s="214"/>
      <c r="EAR41" s="214"/>
      <c r="EAS41" s="214"/>
      <c r="EAT41" s="214"/>
      <c r="EAU41" s="214"/>
      <c r="EAV41" s="214"/>
      <c r="EAW41" s="214"/>
      <c r="EAX41" s="214"/>
      <c r="EAY41" s="214"/>
      <c r="EAZ41" s="214"/>
      <c r="EBA41" s="214"/>
      <c r="EBB41" s="214"/>
      <c r="EBC41" s="214"/>
      <c r="EBD41" s="214"/>
      <c r="EBE41" s="214"/>
      <c r="EBF41" s="214"/>
      <c r="EBG41" s="214"/>
      <c r="EBH41" s="214"/>
      <c r="EBI41" s="214"/>
      <c r="EBJ41" s="214"/>
      <c r="EBK41" s="214"/>
      <c r="EBL41" s="214"/>
      <c r="EBM41" s="214"/>
      <c r="EBN41" s="214"/>
      <c r="EBO41" s="214"/>
      <c r="EBP41" s="214"/>
      <c r="EBQ41" s="214"/>
      <c r="EBR41" s="214"/>
      <c r="EBS41" s="214"/>
      <c r="EBT41" s="214"/>
      <c r="EBU41" s="214"/>
      <c r="EBV41" s="214"/>
      <c r="EBW41" s="214"/>
      <c r="EBX41" s="214"/>
      <c r="EBY41" s="214"/>
      <c r="EBZ41" s="214"/>
      <c r="ECA41" s="214"/>
      <c r="ECB41" s="214"/>
      <c r="ECC41" s="214"/>
      <c r="ECD41" s="214"/>
      <c r="ECE41" s="214"/>
      <c r="ECF41" s="214"/>
      <c r="ECG41" s="214"/>
      <c r="ECH41" s="214"/>
      <c r="ECI41" s="214"/>
      <c r="ECJ41" s="214"/>
      <c r="ECK41" s="214"/>
      <c r="ECL41" s="214"/>
      <c r="ECM41" s="214"/>
      <c r="ECN41" s="214"/>
      <c r="ECO41" s="214"/>
      <c r="ECP41" s="214"/>
      <c r="ECQ41" s="214"/>
      <c r="ECR41" s="214"/>
      <c r="ECS41" s="214"/>
      <c r="ECT41" s="214"/>
      <c r="ECU41" s="214"/>
      <c r="ECV41" s="214"/>
      <c r="ECW41" s="214"/>
      <c r="ECX41" s="214"/>
      <c r="ECY41" s="214"/>
      <c r="ECZ41" s="214"/>
      <c r="EDA41" s="214"/>
      <c r="EDB41" s="214"/>
      <c r="EDC41" s="214"/>
      <c r="EDD41" s="214"/>
      <c r="EDE41" s="214"/>
      <c r="EDF41" s="214"/>
      <c r="EDG41" s="214"/>
      <c r="EDH41" s="214"/>
      <c r="EDI41" s="214"/>
      <c r="EDJ41" s="214"/>
      <c r="EDK41" s="214"/>
      <c r="EDL41" s="214"/>
      <c r="EDM41" s="214"/>
      <c r="EDN41" s="214"/>
      <c r="EDO41" s="214"/>
      <c r="EDP41" s="214"/>
      <c r="EDQ41" s="214"/>
      <c r="EDR41" s="214"/>
      <c r="EDS41" s="214"/>
      <c r="EDT41" s="214"/>
      <c r="EDU41" s="214"/>
      <c r="EDV41" s="214"/>
      <c r="EDW41" s="214"/>
      <c r="EDX41" s="214"/>
      <c r="EDY41" s="214"/>
      <c r="EDZ41" s="214"/>
      <c r="EEA41" s="214"/>
      <c r="EEB41" s="214"/>
      <c r="EEC41" s="214"/>
      <c r="EED41" s="214"/>
      <c r="EEE41" s="214"/>
      <c r="EEF41" s="214"/>
      <c r="EEG41" s="214"/>
      <c r="EEH41" s="214"/>
      <c r="EEI41" s="214"/>
      <c r="EEJ41" s="214"/>
      <c r="EEK41" s="214"/>
      <c r="EEL41" s="214"/>
      <c r="EEM41" s="214"/>
      <c r="EEN41" s="214"/>
      <c r="EEO41" s="214"/>
      <c r="EEP41" s="214"/>
      <c r="EEQ41" s="214"/>
      <c r="EER41" s="214"/>
      <c r="EES41" s="214"/>
      <c r="EET41" s="214"/>
      <c r="EEU41" s="214"/>
      <c r="EEV41" s="214"/>
      <c r="EEW41" s="214"/>
      <c r="EEX41" s="214"/>
      <c r="EEY41" s="214"/>
      <c r="EEZ41" s="214"/>
      <c r="EFA41" s="214"/>
      <c r="EFB41" s="214"/>
      <c r="EFC41" s="214"/>
      <c r="EFD41" s="214"/>
      <c r="EFE41" s="214"/>
      <c r="EFF41" s="214"/>
      <c r="EFG41" s="214"/>
      <c r="EFH41" s="214"/>
      <c r="EFI41" s="214"/>
      <c r="EFJ41" s="214"/>
      <c r="EFK41" s="214"/>
      <c r="EFL41" s="214"/>
      <c r="EFM41" s="214"/>
      <c r="EFN41" s="214"/>
      <c r="EFO41" s="214"/>
      <c r="EFP41" s="214"/>
      <c r="EFQ41" s="214"/>
      <c r="EFR41" s="214"/>
      <c r="EFS41" s="214"/>
      <c r="EFT41" s="214"/>
      <c r="EFU41" s="214"/>
      <c r="EFV41" s="214"/>
      <c r="EFW41" s="214"/>
      <c r="EFX41" s="214"/>
      <c r="EFY41" s="214"/>
      <c r="EFZ41" s="214"/>
      <c r="EGA41" s="214"/>
      <c r="EGB41" s="214"/>
      <c r="EGC41" s="214"/>
      <c r="EGD41" s="214"/>
      <c r="EGE41" s="214"/>
      <c r="EGF41" s="214"/>
      <c r="EGG41" s="214"/>
      <c r="EGH41" s="214"/>
      <c r="EGI41" s="214"/>
      <c r="EGJ41" s="214"/>
      <c r="EGK41" s="214"/>
      <c r="EGL41" s="214"/>
      <c r="EGM41" s="214"/>
      <c r="EGN41" s="214"/>
      <c r="EGO41" s="214"/>
      <c r="EGP41" s="214"/>
      <c r="EGQ41" s="214"/>
      <c r="EGR41" s="214"/>
      <c r="EGS41" s="214"/>
      <c r="EGT41" s="214"/>
      <c r="EGU41" s="214"/>
      <c r="EGV41" s="214"/>
      <c r="EGW41" s="214"/>
      <c r="EGX41" s="214"/>
      <c r="EGY41" s="214"/>
      <c r="EGZ41" s="214"/>
      <c r="EHA41" s="214"/>
      <c r="EHB41" s="214"/>
      <c r="EHC41" s="214"/>
      <c r="EHD41" s="214"/>
      <c r="EHE41" s="214"/>
      <c r="EHF41" s="214"/>
      <c r="EHG41" s="214"/>
      <c r="EHH41" s="214"/>
      <c r="EHI41" s="214"/>
      <c r="EHJ41" s="214"/>
      <c r="EHK41" s="214"/>
      <c r="EHL41" s="214"/>
      <c r="EHM41" s="214"/>
      <c r="EHN41" s="214"/>
      <c r="EHO41" s="214"/>
      <c r="EHP41" s="214"/>
      <c r="EHQ41" s="214"/>
      <c r="EHR41" s="214"/>
      <c r="EHS41" s="214"/>
      <c r="EHT41" s="214"/>
      <c r="EHU41" s="214"/>
      <c r="EHV41" s="214"/>
      <c r="EHW41" s="214"/>
      <c r="EHX41" s="214"/>
      <c r="EHY41" s="214"/>
      <c r="EHZ41" s="214"/>
      <c r="EIA41" s="214"/>
      <c r="EIB41" s="214"/>
      <c r="EIC41" s="214"/>
      <c r="EID41" s="214"/>
      <c r="EIE41" s="214"/>
      <c r="EIF41" s="214"/>
      <c r="EIG41" s="214"/>
      <c r="EIH41" s="214"/>
      <c r="EII41" s="214"/>
      <c r="EIJ41" s="214"/>
      <c r="EIK41" s="214"/>
      <c r="EIL41" s="214"/>
      <c r="EIM41" s="214"/>
      <c r="EIN41" s="214"/>
      <c r="EIO41" s="214"/>
      <c r="EIP41" s="214"/>
      <c r="EIQ41" s="214"/>
      <c r="EIR41" s="214"/>
      <c r="EIS41" s="214"/>
      <c r="EIT41" s="214"/>
      <c r="EIU41" s="214"/>
      <c r="EIV41" s="214"/>
      <c r="EIW41" s="214"/>
      <c r="EIX41" s="214"/>
      <c r="EIY41" s="214"/>
      <c r="EIZ41" s="214"/>
      <c r="EJA41" s="214"/>
      <c r="EJB41" s="214"/>
      <c r="EJC41" s="214"/>
      <c r="EJD41" s="214"/>
      <c r="EJE41" s="214"/>
      <c r="EJF41" s="214"/>
      <c r="EJG41" s="214"/>
      <c r="EJH41" s="214"/>
      <c r="EJI41" s="214"/>
      <c r="EJJ41" s="214"/>
      <c r="EJK41" s="214"/>
      <c r="EJL41" s="214"/>
      <c r="EJM41" s="214"/>
      <c r="EJN41" s="214"/>
      <c r="EJO41" s="214"/>
      <c r="EJP41" s="214"/>
      <c r="EJQ41" s="214"/>
      <c r="EJR41" s="214"/>
      <c r="EJS41" s="214"/>
      <c r="EJT41" s="214"/>
      <c r="EJU41" s="214"/>
      <c r="EJV41" s="214"/>
      <c r="EJW41" s="214"/>
      <c r="EJX41" s="214"/>
      <c r="EJY41" s="214"/>
      <c r="EJZ41" s="214"/>
      <c r="EKA41" s="214"/>
      <c r="EKB41" s="214"/>
      <c r="EKC41" s="214"/>
      <c r="EKD41" s="214"/>
      <c r="EKE41" s="214"/>
      <c r="EKF41" s="214"/>
      <c r="EKG41" s="214"/>
      <c r="EKH41" s="214"/>
      <c r="EKI41" s="214"/>
      <c r="EKJ41" s="214"/>
      <c r="EKK41" s="214"/>
      <c r="EKL41" s="214"/>
      <c r="EKM41" s="214"/>
      <c r="EKN41" s="214"/>
      <c r="EKO41" s="214"/>
      <c r="EKP41" s="214"/>
      <c r="EKQ41" s="214"/>
      <c r="EKR41" s="214"/>
      <c r="EKS41" s="214"/>
      <c r="EKT41" s="214"/>
      <c r="EKU41" s="214"/>
      <c r="EKV41" s="214"/>
      <c r="EKW41" s="214"/>
      <c r="EKX41" s="214"/>
      <c r="EKY41" s="214"/>
      <c r="EKZ41" s="214"/>
      <c r="ELA41" s="214"/>
      <c r="ELB41" s="214"/>
      <c r="ELC41" s="214"/>
      <c r="ELD41" s="214"/>
      <c r="ELE41" s="214"/>
      <c r="ELF41" s="214"/>
      <c r="ELG41" s="214"/>
      <c r="ELH41" s="214"/>
      <c r="ELI41" s="214"/>
      <c r="ELJ41" s="214"/>
      <c r="ELK41" s="214"/>
      <c r="ELL41" s="214"/>
      <c r="ELM41" s="214"/>
      <c r="ELN41" s="214"/>
      <c r="ELO41" s="214"/>
      <c r="ELP41" s="214"/>
      <c r="ELQ41" s="214"/>
      <c r="ELR41" s="214"/>
      <c r="ELS41" s="214"/>
      <c r="ELT41" s="214"/>
      <c r="ELU41" s="214"/>
      <c r="ELV41" s="214"/>
      <c r="ELW41" s="214"/>
      <c r="ELX41" s="214"/>
      <c r="ELY41" s="214"/>
      <c r="ELZ41" s="214"/>
      <c r="EMA41" s="214"/>
      <c r="EMB41" s="214"/>
      <c r="EMC41" s="214"/>
      <c r="EMD41" s="214"/>
      <c r="EME41" s="214"/>
      <c r="EMF41" s="214"/>
      <c r="EMG41" s="214"/>
      <c r="EMH41" s="214"/>
      <c r="EMI41" s="214"/>
      <c r="EMJ41" s="214"/>
      <c r="EMK41" s="214"/>
      <c r="EML41" s="214"/>
      <c r="EMM41" s="214"/>
      <c r="EMN41" s="214"/>
      <c r="EMO41" s="214"/>
      <c r="EMP41" s="214"/>
      <c r="EMQ41" s="214"/>
      <c r="EMR41" s="214"/>
      <c r="EMS41" s="214"/>
      <c r="EMT41" s="214"/>
      <c r="EMU41" s="214"/>
      <c r="EMV41" s="214"/>
      <c r="EMW41" s="214"/>
      <c r="EMX41" s="214"/>
      <c r="EMY41" s="214"/>
      <c r="EMZ41" s="214"/>
      <c r="ENA41" s="214"/>
      <c r="ENB41" s="214"/>
      <c r="ENC41" s="214"/>
      <c r="END41" s="214"/>
      <c r="ENE41" s="214"/>
      <c r="ENF41" s="214"/>
      <c r="ENG41" s="214"/>
      <c r="ENH41" s="214"/>
      <c r="ENI41" s="214"/>
      <c r="ENJ41" s="214"/>
      <c r="ENK41" s="214"/>
      <c r="ENL41" s="214"/>
      <c r="ENM41" s="214"/>
      <c r="ENN41" s="214"/>
      <c r="ENO41" s="214"/>
      <c r="ENP41" s="214"/>
      <c r="ENQ41" s="214"/>
      <c r="ENR41" s="214"/>
      <c r="ENS41" s="214"/>
      <c r="ENT41" s="214"/>
      <c r="ENU41" s="214"/>
      <c r="ENV41" s="214"/>
      <c r="ENW41" s="214"/>
      <c r="ENX41" s="214"/>
      <c r="ENY41" s="214"/>
      <c r="ENZ41" s="214"/>
      <c r="EOA41" s="214"/>
      <c r="EOB41" s="214"/>
      <c r="EOC41" s="214"/>
      <c r="EOD41" s="214"/>
      <c r="EOE41" s="214"/>
      <c r="EOF41" s="214"/>
      <c r="EOG41" s="214"/>
      <c r="EOH41" s="214"/>
      <c r="EOI41" s="214"/>
      <c r="EOJ41" s="214"/>
      <c r="EOK41" s="214"/>
      <c r="EOL41" s="214"/>
      <c r="EOM41" s="214"/>
      <c r="EON41" s="214"/>
      <c r="EOO41" s="214"/>
      <c r="EOP41" s="214"/>
      <c r="EOQ41" s="214"/>
      <c r="EOR41" s="214"/>
      <c r="EOS41" s="214"/>
      <c r="EOT41" s="214"/>
      <c r="EOU41" s="214"/>
      <c r="EOV41" s="214"/>
      <c r="EOW41" s="214"/>
      <c r="EOX41" s="214"/>
      <c r="EOY41" s="214"/>
      <c r="EOZ41" s="214"/>
      <c r="EPA41" s="214"/>
      <c r="EPB41" s="214"/>
      <c r="EPC41" s="214"/>
      <c r="EPD41" s="214"/>
      <c r="EPE41" s="214"/>
      <c r="EPF41" s="214"/>
      <c r="EPG41" s="214"/>
      <c r="EPH41" s="214"/>
      <c r="EPI41" s="214"/>
      <c r="EPJ41" s="214"/>
      <c r="EPK41" s="214"/>
      <c r="EPL41" s="214"/>
      <c r="EPM41" s="214"/>
      <c r="EPN41" s="214"/>
      <c r="EPO41" s="214"/>
      <c r="EPP41" s="214"/>
      <c r="EPQ41" s="214"/>
      <c r="EPR41" s="214"/>
      <c r="EPS41" s="214"/>
      <c r="EPT41" s="214"/>
      <c r="EPU41" s="214"/>
      <c r="EPV41" s="214"/>
      <c r="EPW41" s="214"/>
      <c r="EPX41" s="214"/>
      <c r="EPY41" s="214"/>
      <c r="EPZ41" s="214"/>
      <c r="EQA41" s="214"/>
      <c r="EQB41" s="214"/>
      <c r="EQC41" s="214"/>
      <c r="EQD41" s="214"/>
      <c r="EQE41" s="214"/>
      <c r="EQF41" s="214"/>
      <c r="EQG41" s="214"/>
      <c r="EQH41" s="214"/>
      <c r="EQI41" s="214"/>
      <c r="EQJ41" s="214"/>
      <c r="EQK41" s="214"/>
      <c r="EQL41" s="214"/>
      <c r="EQM41" s="214"/>
      <c r="EQN41" s="214"/>
      <c r="EQO41" s="214"/>
      <c r="EQP41" s="214"/>
      <c r="EQQ41" s="214"/>
      <c r="EQR41" s="214"/>
      <c r="EQS41" s="214"/>
      <c r="EQT41" s="214"/>
      <c r="EQU41" s="214"/>
      <c r="EQV41" s="214"/>
      <c r="EQW41" s="214"/>
      <c r="EQX41" s="214"/>
      <c r="EQY41" s="214"/>
      <c r="EQZ41" s="214"/>
      <c r="ERA41" s="214"/>
      <c r="ERB41" s="214"/>
      <c r="ERC41" s="214"/>
      <c r="ERD41" s="214"/>
      <c r="ERE41" s="214"/>
      <c r="ERF41" s="214"/>
      <c r="ERG41" s="214"/>
      <c r="ERH41" s="214"/>
      <c r="ERI41" s="214"/>
      <c r="ERJ41" s="214"/>
      <c r="ERK41" s="214"/>
      <c r="ERL41" s="214"/>
      <c r="ERM41" s="214"/>
      <c r="ERN41" s="214"/>
      <c r="ERO41" s="214"/>
      <c r="ERP41" s="214"/>
      <c r="ERQ41" s="214"/>
      <c r="ERR41" s="214"/>
      <c r="ERS41" s="214"/>
      <c r="ERT41" s="214"/>
      <c r="ERU41" s="214"/>
      <c r="ERV41" s="214"/>
      <c r="ERW41" s="214"/>
      <c r="ERX41" s="214"/>
      <c r="ERY41" s="214"/>
      <c r="ERZ41" s="214"/>
      <c r="ESA41" s="214"/>
      <c r="ESB41" s="214"/>
      <c r="ESC41" s="214"/>
      <c r="ESD41" s="214"/>
      <c r="ESE41" s="214"/>
      <c r="ESF41" s="214"/>
      <c r="ESG41" s="214"/>
      <c r="ESH41" s="214"/>
      <c r="ESI41" s="214"/>
      <c r="ESJ41" s="214"/>
      <c r="ESK41" s="214"/>
      <c r="ESL41" s="214"/>
      <c r="ESM41" s="214"/>
      <c r="ESN41" s="214"/>
      <c r="ESO41" s="214"/>
      <c r="ESP41" s="214"/>
      <c r="ESQ41" s="214"/>
      <c r="ESR41" s="214"/>
      <c r="ESS41" s="214"/>
      <c r="EST41" s="214"/>
      <c r="ESU41" s="214"/>
      <c r="ESV41" s="214"/>
      <c r="ESW41" s="214"/>
      <c r="ESX41" s="214"/>
      <c r="ESY41" s="214"/>
      <c r="ESZ41" s="214"/>
      <c r="ETA41" s="214"/>
      <c r="ETB41" s="214"/>
      <c r="ETC41" s="214"/>
      <c r="ETD41" s="214"/>
      <c r="ETE41" s="214"/>
      <c r="ETF41" s="214"/>
      <c r="ETG41" s="214"/>
      <c r="ETH41" s="214"/>
      <c r="ETI41" s="214"/>
      <c r="ETJ41" s="214"/>
      <c r="ETK41" s="214"/>
      <c r="ETL41" s="214"/>
      <c r="ETM41" s="214"/>
      <c r="ETN41" s="214"/>
      <c r="ETO41" s="214"/>
      <c r="ETP41" s="214"/>
      <c r="ETQ41" s="214"/>
      <c r="ETR41" s="214"/>
      <c r="ETS41" s="214"/>
      <c r="ETT41" s="214"/>
      <c r="ETU41" s="214"/>
      <c r="ETV41" s="214"/>
      <c r="ETW41" s="214"/>
      <c r="ETX41" s="214"/>
      <c r="ETY41" s="214"/>
      <c r="ETZ41" s="214"/>
      <c r="EUA41" s="214"/>
      <c r="EUB41" s="214"/>
      <c r="EUC41" s="214"/>
      <c r="EUD41" s="214"/>
      <c r="EUE41" s="214"/>
      <c r="EUF41" s="214"/>
      <c r="EUG41" s="214"/>
      <c r="EUH41" s="214"/>
      <c r="EUI41" s="214"/>
      <c r="EUJ41" s="214"/>
      <c r="EUK41" s="214"/>
      <c r="EUL41" s="214"/>
      <c r="EUM41" s="214"/>
      <c r="EUN41" s="214"/>
      <c r="EUO41" s="214"/>
      <c r="EUP41" s="214"/>
      <c r="EUQ41" s="214"/>
      <c r="EUR41" s="214"/>
      <c r="EUS41" s="214"/>
      <c r="EUT41" s="214"/>
      <c r="EUU41" s="214"/>
      <c r="EUV41" s="214"/>
      <c r="EUW41" s="214"/>
      <c r="EUX41" s="214"/>
      <c r="EUY41" s="214"/>
      <c r="EUZ41" s="214"/>
      <c r="EVA41" s="214"/>
      <c r="EVB41" s="214"/>
      <c r="EVC41" s="214"/>
      <c r="EVD41" s="214"/>
      <c r="EVE41" s="214"/>
      <c r="EVF41" s="214"/>
      <c r="EVG41" s="214"/>
      <c r="EVH41" s="214"/>
      <c r="EVI41" s="214"/>
      <c r="EVJ41" s="214"/>
      <c r="EVK41" s="214"/>
      <c r="EVL41" s="214"/>
      <c r="EVM41" s="214"/>
      <c r="EVN41" s="214"/>
      <c r="EVO41" s="214"/>
      <c r="EVP41" s="214"/>
      <c r="EVQ41" s="214"/>
      <c r="EVR41" s="214"/>
      <c r="EVS41" s="214"/>
      <c r="EVT41" s="214"/>
      <c r="EVU41" s="214"/>
      <c r="EVV41" s="214"/>
      <c r="EVW41" s="214"/>
      <c r="EVX41" s="214"/>
      <c r="EVY41" s="214"/>
      <c r="EVZ41" s="214"/>
      <c r="EWA41" s="214"/>
      <c r="EWB41" s="214"/>
      <c r="EWC41" s="214"/>
      <c r="EWD41" s="214"/>
      <c r="EWE41" s="214"/>
      <c r="EWF41" s="214"/>
      <c r="EWG41" s="214"/>
      <c r="EWH41" s="214"/>
      <c r="EWI41" s="214"/>
      <c r="EWJ41" s="214"/>
      <c r="EWK41" s="214"/>
      <c r="EWL41" s="214"/>
      <c r="EWM41" s="214"/>
      <c r="EWN41" s="214"/>
      <c r="EWO41" s="214"/>
      <c r="EWP41" s="214"/>
      <c r="EWQ41" s="214"/>
      <c r="EWR41" s="214"/>
      <c r="EWS41" s="214"/>
      <c r="EWT41" s="214"/>
      <c r="EWU41" s="214"/>
      <c r="EWV41" s="214"/>
      <c r="EWW41" s="214"/>
      <c r="EWX41" s="214"/>
      <c r="EWY41" s="214"/>
      <c r="EWZ41" s="214"/>
      <c r="EXA41" s="214"/>
      <c r="EXB41" s="214"/>
      <c r="EXC41" s="214"/>
      <c r="EXD41" s="214"/>
      <c r="EXE41" s="214"/>
      <c r="EXF41" s="214"/>
      <c r="EXG41" s="214"/>
      <c r="EXH41" s="214"/>
      <c r="EXI41" s="214"/>
      <c r="EXJ41" s="214"/>
      <c r="EXK41" s="214"/>
      <c r="EXL41" s="214"/>
      <c r="EXM41" s="214"/>
      <c r="EXN41" s="214"/>
      <c r="EXO41" s="214"/>
      <c r="EXP41" s="214"/>
      <c r="EXQ41" s="214"/>
      <c r="EXR41" s="214"/>
      <c r="EXS41" s="214"/>
      <c r="EXT41" s="214"/>
      <c r="EXU41" s="214"/>
      <c r="EXV41" s="214"/>
      <c r="EXW41" s="214"/>
      <c r="EXX41" s="214"/>
      <c r="EXY41" s="214"/>
      <c r="EXZ41" s="214"/>
      <c r="EYA41" s="214"/>
      <c r="EYB41" s="214"/>
      <c r="EYC41" s="214"/>
      <c r="EYD41" s="214"/>
      <c r="EYE41" s="214"/>
      <c r="EYF41" s="214"/>
      <c r="EYG41" s="214"/>
      <c r="EYH41" s="214"/>
      <c r="EYI41" s="214"/>
      <c r="EYJ41" s="214"/>
      <c r="EYK41" s="214"/>
      <c r="EYL41" s="214"/>
      <c r="EYM41" s="214"/>
      <c r="EYN41" s="214"/>
      <c r="EYO41" s="214"/>
      <c r="EYP41" s="214"/>
      <c r="EYQ41" s="214"/>
      <c r="EYR41" s="214"/>
      <c r="EYS41" s="214"/>
      <c r="EYT41" s="214"/>
      <c r="EYU41" s="214"/>
      <c r="EYV41" s="214"/>
      <c r="EYW41" s="214"/>
      <c r="EYX41" s="214"/>
      <c r="EYY41" s="214"/>
      <c r="EYZ41" s="214"/>
      <c r="EZA41" s="214"/>
      <c r="EZB41" s="214"/>
      <c r="EZC41" s="214"/>
      <c r="EZD41" s="214"/>
      <c r="EZE41" s="214"/>
      <c r="EZF41" s="214"/>
      <c r="EZG41" s="214"/>
      <c r="EZH41" s="214"/>
      <c r="EZI41" s="214"/>
      <c r="EZJ41" s="214"/>
      <c r="EZK41" s="214"/>
      <c r="EZL41" s="214"/>
      <c r="EZM41" s="214"/>
      <c r="EZN41" s="214"/>
      <c r="EZO41" s="214"/>
      <c r="EZP41" s="214"/>
      <c r="EZQ41" s="214"/>
      <c r="EZR41" s="214"/>
      <c r="EZS41" s="214"/>
      <c r="EZT41" s="214"/>
      <c r="EZU41" s="214"/>
      <c r="EZV41" s="214"/>
      <c r="EZW41" s="214"/>
      <c r="EZX41" s="214"/>
      <c r="EZY41" s="214"/>
      <c r="EZZ41" s="214"/>
      <c r="FAA41" s="214"/>
      <c r="FAB41" s="214"/>
      <c r="FAC41" s="214"/>
      <c r="FAD41" s="214"/>
      <c r="FAE41" s="214"/>
      <c r="FAF41" s="214"/>
      <c r="FAG41" s="214"/>
      <c r="FAH41" s="214"/>
      <c r="FAI41" s="214"/>
      <c r="FAJ41" s="214"/>
      <c r="FAK41" s="214"/>
      <c r="FAL41" s="214"/>
      <c r="FAM41" s="214"/>
      <c r="FAN41" s="214"/>
      <c r="FAO41" s="214"/>
      <c r="FAP41" s="214"/>
      <c r="FAQ41" s="214"/>
      <c r="FAR41" s="214"/>
      <c r="FAS41" s="214"/>
      <c r="FAT41" s="214"/>
      <c r="FAU41" s="214"/>
      <c r="FAV41" s="214"/>
      <c r="FAW41" s="214"/>
      <c r="FAX41" s="214"/>
      <c r="FAY41" s="214"/>
      <c r="FAZ41" s="214"/>
      <c r="FBA41" s="214"/>
      <c r="FBB41" s="214"/>
      <c r="FBC41" s="214"/>
      <c r="FBD41" s="214"/>
      <c r="FBE41" s="214"/>
      <c r="FBF41" s="214"/>
      <c r="FBG41" s="214"/>
      <c r="FBH41" s="214"/>
      <c r="FBI41" s="214"/>
      <c r="FBJ41" s="214"/>
      <c r="FBK41" s="214"/>
      <c r="FBL41" s="214"/>
      <c r="FBM41" s="214"/>
      <c r="FBN41" s="214"/>
      <c r="FBO41" s="214"/>
      <c r="FBP41" s="214"/>
      <c r="FBQ41" s="214"/>
      <c r="FBR41" s="214"/>
      <c r="FBS41" s="214"/>
      <c r="FBT41" s="214"/>
      <c r="FBU41" s="214"/>
      <c r="FBV41" s="214"/>
      <c r="FBW41" s="214"/>
      <c r="FBX41" s="214"/>
      <c r="FBY41" s="214"/>
      <c r="FBZ41" s="214"/>
      <c r="FCA41" s="214"/>
      <c r="FCB41" s="214"/>
      <c r="FCC41" s="214"/>
      <c r="FCD41" s="214"/>
      <c r="FCE41" s="214"/>
      <c r="FCF41" s="214"/>
      <c r="FCG41" s="214"/>
      <c r="FCH41" s="214"/>
      <c r="FCI41" s="214"/>
      <c r="FCJ41" s="214"/>
      <c r="FCK41" s="214"/>
      <c r="FCL41" s="214"/>
      <c r="FCM41" s="214"/>
      <c r="FCN41" s="214"/>
      <c r="FCO41" s="214"/>
      <c r="FCP41" s="214"/>
      <c r="FCQ41" s="214"/>
      <c r="FCR41" s="214"/>
      <c r="FCS41" s="214"/>
      <c r="FCT41" s="214"/>
      <c r="FCU41" s="214"/>
      <c r="FCV41" s="214"/>
      <c r="FCW41" s="214"/>
      <c r="FCX41" s="214"/>
      <c r="FCY41" s="214"/>
      <c r="FCZ41" s="214"/>
      <c r="FDA41" s="214"/>
      <c r="FDB41" s="214"/>
      <c r="FDC41" s="214"/>
      <c r="FDD41" s="214"/>
      <c r="FDE41" s="214"/>
      <c r="FDF41" s="214"/>
      <c r="FDG41" s="214"/>
      <c r="FDH41" s="214"/>
      <c r="FDI41" s="214"/>
      <c r="FDJ41" s="214"/>
      <c r="FDK41" s="214"/>
      <c r="FDL41" s="214"/>
      <c r="FDM41" s="214"/>
      <c r="FDN41" s="214"/>
      <c r="FDO41" s="214"/>
      <c r="FDP41" s="214"/>
      <c r="FDQ41" s="214"/>
      <c r="FDR41" s="214"/>
      <c r="FDS41" s="214"/>
      <c r="FDT41" s="214"/>
      <c r="FDU41" s="214"/>
      <c r="FDV41" s="214"/>
      <c r="FDW41" s="214"/>
      <c r="FDX41" s="214"/>
      <c r="FDY41" s="214"/>
      <c r="FDZ41" s="214"/>
      <c r="FEA41" s="214"/>
      <c r="FEB41" s="214"/>
      <c r="FEC41" s="214"/>
      <c r="FED41" s="214"/>
      <c r="FEE41" s="214"/>
      <c r="FEF41" s="214"/>
      <c r="FEG41" s="214"/>
      <c r="FEH41" s="214"/>
      <c r="FEI41" s="214"/>
      <c r="FEJ41" s="214"/>
      <c r="FEK41" s="214"/>
      <c r="FEL41" s="214"/>
      <c r="FEM41" s="214"/>
      <c r="FEN41" s="214"/>
      <c r="FEO41" s="214"/>
      <c r="FEP41" s="214"/>
      <c r="FEQ41" s="214"/>
      <c r="FER41" s="214"/>
      <c r="FES41" s="214"/>
      <c r="FET41" s="214"/>
      <c r="FEU41" s="214"/>
      <c r="FEV41" s="214"/>
      <c r="FEW41" s="214"/>
      <c r="FEX41" s="214"/>
      <c r="FEY41" s="214"/>
      <c r="FEZ41" s="214"/>
      <c r="FFA41" s="214"/>
      <c r="FFB41" s="214"/>
      <c r="FFC41" s="214"/>
      <c r="FFD41" s="214"/>
      <c r="FFE41" s="214"/>
      <c r="FFF41" s="214"/>
      <c r="FFG41" s="214"/>
      <c r="FFH41" s="214"/>
      <c r="FFI41" s="214"/>
      <c r="FFJ41" s="214"/>
      <c r="FFK41" s="214"/>
      <c r="FFL41" s="214"/>
      <c r="FFM41" s="214"/>
      <c r="FFN41" s="214"/>
      <c r="FFO41" s="214"/>
      <c r="FFP41" s="214"/>
      <c r="FFQ41" s="214"/>
      <c r="FFR41" s="214"/>
      <c r="FFS41" s="214"/>
      <c r="FFT41" s="214"/>
      <c r="FFU41" s="214"/>
      <c r="FFV41" s="214"/>
      <c r="FFW41" s="214"/>
      <c r="FFX41" s="214"/>
      <c r="FFY41" s="214"/>
      <c r="FFZ41" s="214"/>
      <c r="FGA41" s="214"/>
      <c r="FGB41" s="214"/>
      <c r="FGC41" s="214"/>
      <c r="FGD41" s="214"/>
      <c r="FGE41" s="214"/>
      <c r="FGF41" s="214"/>
      <c r="FGG41" s="214"/>
      <c r="FGH41" s="214"/>
      <c r="FGI41" s="214"/>
      <c r="FGJ41" s="214"/>
      <c r="FGK41" s="214"/>
      <c r="FGL41" s="214"/>
      <c r="FGM41" s="214"/>
      <c r="FGN41" s="214"/>
      <c r="FGO41" s="214"/>
      <c r="FGP41" s="214"/>
      <c r="FGQ41" s="214"/>
      <c r="FGR41" s="214"/>
      <c r="FGS41" s="214"/>
      <c r="FGT41" s="214"/>
      <c r="FGU41" s="214"/>
      <c r="FGV41" s="214"/>
      <c r="FGW41" s="214"/>
      <c r="FGX41" s="214"/>
      <c r="FGY41" s="214"/>
      <c r="FGZ41" s="214"/>
      <c r="FHA41" s="214"/>
      <c r="FHB41" s="214"/>
      <c r="FHC41" s="214"/>
      <c r="FHD41" s="214"/>
      <c r="FHE41" s="214"/>
      <c r="FHF41" s="214"/>
      <c r="FHG41" s="214"/>
      <c r="FHH41" s="214"/>
      <c r="FHI41" s="214"/>
      <c r="FHJ41" s="214"/>
      <c r="FHK41" s="214"/>
      <c r="FHL41" s="214"/>
      <c r="FHM41" s="214"/>
      <c r="FHN41" s="214"/>
      <c r="FHO41" s="214"/>
      <c r="FHP41" s="214"/>
      <c r="FHQ41" s="214"/>
      <c r="FHR41" s="214"/>
      <c r="FHS41" s="214"/>
      <c r="FHT41" s="214"/>
      <c r="FHU41" s="214"/>
      <c r="FHV41" s="214"/>
      <c r="FHW41" s="214"/>
      <c r="FHX41" s="214"/>
      <c r="FHY41" s="214"/>
      <c r="FHZ41" s="214"/>
      <c r="FIA41" s="214"/>
      <c r="FIB41" s="214"/>
      <c r="FIC41" s="214"/>
      <c r="FID41" s="214"/>
      <c r="FIE41" s="214"/>
      <c r="FIF41" s="214"/>
      <c r="FIG41" s="214"/>
      <c r="FIH41" s="214"/>
      <c r="FII41" s="214"/>
      <c r="FIJ41" s="214"/>
      <c r="FIK41" s="214"/>
      <c r="FIL41" s="214"/>
      <c r="FIM41" s="214"/>
      <c r="FIN41" s="214"/>
      <c r="FIO41" s="214"/>
      <c r="FIP41" s="214"/>
      <c r="FIQ41" s="214"/>
      <c r="FIR41" s="214"/>
      <c r="FIS41" s="214"/>
      <c r="FIT41" s="214"/>
      <c r="FIU41" s="214"/>
      <c r="FIV41" s="214"/>
      <c r="FIW41" s="214"/>
      <c r="FIX41" s="214"/>
      <c r="FIY41" s="214"/>
      <c r="FIZ41" s="214"/>
      <c r="FJA41" s="214"/>
      <c r="FJB41" s="214"/>
      <c r="FJC41" s="214"/>
      <c r="FJD41" s="214"/>
      <c r="FJE41" s="214"/>
      <c r="FJF41" s="214"/>
      <c r="FJG41" s="214"/>
      <c r="FJH41" s="214"/>
      <c r="FJI41" s="214"/>
      <c r="FJJ41" s="214"/>
      <c r="FJK41" s="214"/>
      <c r="FJL41" s="214"/>
      <c r="FJM41" s="214"/>
      <c r="FJN41" s="214"/>
      <c r="FJO41" s="214"/>
      <c r="FJP41" s="214"/>
      <c r="FJQ41" s="214"/>
      <c r="FJR41" s="214"/>
      <c r="FJS41" s="214"/>
      <c r="FJT41" s="214"/>
      <c r="FJU41" s="214"/>
      <c r="FJV41" s="214"/>
      <c r="FJW41" s="214"/>
      <c r="FJX41" s="214"/>
      <c r="FJY41" s="214"/>
      <c r="FJZ41" s="214"/>
      <c r="FKA41" s="214"/>
      <c r="FKB41" s="214"/>
      <c r="FKC41" s="214"/>
      <c r="FKD41" s="214"/>
      <c r="FKE41" s="214"/>
      <c r="FKF41" s="214"/>
      <c r="FKG41" s="214"/>
      <c r="FKH41" s="214"/>
      <c r="FKI41" s="214"/>
      <c r="FKJ41" s="214"/>
      <c r="FKK41" s="214"/>
      <c r="FKL41" s="214"/>
      <c r="FKM41" s="214"/>
      <c r="FKN41" s="214"/>
      <c r="FKO41" s="214"/>
      <c r="FKP41" s="214"/>
      <c r="FKQ41" s="214"/>
      <c r="FKR41" s="214"/>
      <c r="FKS41" s="214"/>
      <c r="FKT41" s="214"/>
      <c r="FKU41" s="214"/>
      <c r="FKV41" s="214"/>
      <c r="FKW41" s="214"/>
      <c r="FKX41" s="214"/>
      <c r="FKY41" s="214"/>
      <c r="FKZ41" s="214"/>
      <c r="FLA41" s="214"/>
      <c r="FLB41" s="214"/>
      <c r="FLC41" s="214"/>
      <c r="FLD41" s="214"/>
      <c r="FLE41" s="214"/>
      <c r="FLF41" s="214"/>
      <c r="FLG41" s="214"/>
      <c r="FLH41" s="214"/>
      <c r="FLI41" s="214"/>
      <c r="FLJ41" s="214"/>
      <c r="FLK41" s="214"/>
      <c r="FLL41" s="214"/>
      <c r="FLM41" s="214"/>
      <c r="FLN41" s="214"/>
      <c r="FLO41" s="214"/>
      <c r="FLP41" s="214"/>
      <c r="FLQ41" s="214"/>
      <c r="FLR41" s="214"/>
      <c r="FLS41" s="214"/>
      <c r="FLT41" s="214"/>
      <c r="FLU41" s="214"/>
      <c r="FLV41" s="214"/>
      <c r="FLW41" s="214"/>
      <c r="FLX41" s="214"/>
      <c r="FLY41" s="214"/>
      <c r="FLZ41" s="214"/>
      <c r="FMA41" s="214"/>
      <c r="FMB41" s="214"/>
      <c r="FMC41" s="214"/>
      <c r="FMD41" s="214"/>
      <c r="FME41" s="214"/>
      <c r="FMF41" s="214"/>
      <c r="FMG41" s="214"/>
      <c r="FMH41" s="214"/>
      <c r="FMI41" s="214"/>
      <c r="FMJ41" s="214"/>
      <c r="FMK41" s="214"/>
      <c r="FML41" s="214"/>
      <c r="FMM41" s="214"/>
      <c r="FMN41" s="214"/>
      <c r="FMO41" s="214"/>
      <c r="FMP41" s="214"/>
      <c r="FMQ41" s="214"/>
      <c r="FMR41" s="214"/>
      <c r="FMS41" s="214"/>
      <c r="FMT41" s="214"/>
      <c r="FMU41" s="214"/>
      <c r="FMV41" s="214"/>
      <c r="FMW41" s="214"/>
      <c r="FMX41" s="214"/>
      <c r="FMY41" s="214"/>
      <c r="FMZ41" s="214"/>
      <c r="FNA41" s="214"/>
      <c r="FNB41" s="214"/>
      <c r="FNC41" s="214"/>
      <c r="FND41" s="214"/>
      <c r="FNE41" s="214"/>
      <c r="FNF41" s="214"/>
      <c r="FNG41" s="214"/>
      <c r="FNH41" s="214"/>
      <c r="FNI41" s="214"/>
      <c r="FNJ41" s="214"/>
      <c r="FNK41" s="214"/>
      <c r="FNL41" s="214"/>
      <c r="FNM41" s="214"/>
      <c r="FNN41" s="214"/>
      <c r="FNO41" s="214"/>
      <c r="FNP41" s="214"/>
      <c r="FNQ41" s="214"/>
      <c r="FNR41" s="214"/>
      <c r="FNS41" s="214"/>
      <c r="FNT41" s="214"/>
      <c r="FNU41" s="214"/>
      <c r="FNV41" s="214"/>
      <c r="FNW41" s="214"/>
      <c r="FNX41" s="214"/>
      <c r="FNY41" s="214"/>
      <c r="FNZ41" s="214"/>
      <c r="FOA41" s="214"/>
      <c r="FOB41" s="214"/>
      <c r="FOC41" s="214"/>
      <c r="FOD41" s="214"/>
      <c r="FOE41" s="214"/>
      <c r="FOF41" s="214"/>
      <c r="FOG41" s="214"/>
      <c r="FOH41" s="214"/>
      <c r="FOI41" s="214"/>
      <c r="FOJ41" s="214"/>
      <c r="FOK41" s="214"/>
      <c r="FOL41" s="214"/>
      <c r="FOM41" s="214"/>
      <c r="FON41" s="214"/>
      <c r="FOO41" s="214"/>
      <c r="FOP41" s="214"/>
      <c r="FOQ41" s="214"/>
      <c r="FOR41" s="214"/>
      <c r="FOS41" s="214"/>
      <c r="FOT41" s="214"/>
      <c r="FOU41" s="214"/>
      <c r="FOV41" s="214"/>
      <c r="FOW41" s="214"/>
      <c r="FOX41" s="214"/>
      <c r="FOY41" s="214"/>
      <c r="FOZ41" s="214"/>
      <c r="FPA41" s="214"/>
      <c r="FPB41" s="214"/>
      <c r="FPC41" s="214"/>
      <c r="FPD41" s="214"/>
      <c r="FPE41" s="214"/>
      <c r="FPF41" s="214"/>
      <c r="FPG41" s="214"/>
      <c r="FPH41" s="214"/>
      <c r="FPI41" s="214"/>
      <c r="FPJ41" s="214"/>
      <c r="FPK41" s="214"/>
      <c r="FPL41" s="214"/>
      <c r="FPM41" s="214"/>
      <c r="FPN41" s="214"/>
      <c r="FPO41" s="214"/>
      <c r="FPP41" s="214"/>
      <c r="FPQ41" s="214"/>
      <c r="FPR41" s="214"/>
      <c r="FPS41" s="214"/>
      <c r="FPT41" s="214"/>
      <c r="FPU41" s="214"/>
      <c r="FPV41" s="214"/>
      <c r="FPW41" s="214"/>
      <c r="FPX41" s="214"/>
      <c r="FPY41" s="214"/>
      <c r="FPZ41" s="214"/>
      <c r="FQA41" s="214"/>
      <c r="FQB41" s="214"/>
      <c r="FQC41" s="214"/>
      <c r="FQD41" s="214"/>
      <c r="FQE41" s="214"/>
      <c r="FQF41" s="214"/>
      <c r="FQG41" s="214"/>
      <c r="FQH41" s="214"/>
      <c r="FQI41" s="214"/>
      <c r="FQJ41" s="214"/>
      <c r="FQK41" s="214"/>
      <c r="FQL41" s="214"/>
      <c r="FQM41" s="214"/>
      <c r="FQN41" s="214"/>
      <c r="FQO41" s="214"/>
      <c r="FQP41" s="214"/>
      <c r="FQQ41" s="214"/>
      <c r="FQR41" s="214"/>
      <c r="FQS41" s="214"/>
      <c r="FQT41" s="214"/>
      <c r="FQU41" s="214"/>
      <c r="FQV41" s="214"/>
      <c r="FQW41" s="214"/>
      <c r="FQX41" s="214"/>
      <c r="FQY41" s="214"/>
      <c r="FQZ41" s="214"/>
      <c r="FRA41" s="214"/>
      <c r="FRB41" s="214"/>
      <c r="FRC41" s="214"/>
      <c r="FRD41" s="214"/>
      <c r="FRE41" s="214"/>
      <c r="FRF41" s="214"/>
      <c r="FRG41" s="214"/>
      <c r="FRH41" s="214"/>
      <c r="FRI41" s="214"/>
      <c r="FRJ41" s="214"/>
      <c r="FRK41" s="214"/>
      <c r="FRL41" s="214"/>
      <c r="FRM41" s="214"/>
      <c r="FRN41" s="214"/>
      <c r="FRO41" s="214"/>
      <c r="FRP41" s="214"/>
      <c r="FRQ41" s="214"/>
      <c r="FRR41" s="214"/>
      <c r="FRS41" s="214"/>
      <c r="FRT41" s="214"/>
      <c r="FRU41" s="214"/>
      <c r="FRV41" s="214"/>
      <c r="FRW41" s="214"/>
      <c r="FRX41" s="214"/>
      <c r="FRY41" s="214"/>
      <c r="FRZ41" s="214"/>
      <c r="FSA41" s="214"/>
      <c r="FSB41" s="214"/>
      <c r="FSC41" s="214"/>
      <c r="FSD41" s="214"/>
      <c r="FSE41" s="214"/>
      <c r="FSF41" s="214"/>
      <c r="FSG41" s="214"/>
      <c r="FSH41" s="214"/>
      <c r="FSI41" s="214"/>
      <c r="FSJ41" s="214"/>
      <c r="FSK41" s="214"/>
      <c r="FSL41" s="214"/>
      <c r="FSM41" s="214"/>
      <c r="FSN41" s="214"/>
      <c r="FSO41" s="214"/>
      <c r="FSP41" s="214"/>
      <c r="FSQ41" s="214"/>
      <c r="FSR41" s="214"/>
      <c r="FSS41" s="214"/>
      <c r="FST41" s="214"/>
      <c r="FSU41" s="214"/>
      <c r="FSV41" s="214"/>
      <c r="FSW41" s="214"/>
      <c r="FSX41" s="214"/>
      <c r="FSY41" s="214"/>
      <c r="FSZ41" s="214"/>
      <c r="FTA41" s="214"/>
      <c r="FTB41" s="214"/>
      <c r="FTC41" s="214"/>
      <c r="FTD41" s="214"/>
      <c r="FTE41" s="214"/>
      <c r="FTF41" s="214"/>
      <c r="FTG41" s="214"/>
      <c r="FTH41" s="214"/>
      <c r="FTI41" s="214"/>
      <c r="FTJ41" s="214"/>
      <c r="FTK41" s="214"/>
      <c r="FTL41" s="214"/>
      <c r="FTM41" s="214"/>
      <c r="FTN41" s="214"/>
      <c r="FTO41" s="214"/>
      <c r="FTP41" s="214"/>
      <c r="FTQ41" s="214"/>
      <c r="FTR41" s="214"/>
      <c r="FTS41" s="214"/>
      <c r="FTT41" s="214"/>
      <c r="FTU41" s="214"/>
      <c r="FTV41" s="214"/>
      <c r="FTW41" s="214"/>
      <c r="FTX41" s="214"/>
      <c r="FTY41" s="214"/>
      <c r="FTZ41" s="214"/>
      <c r="FUA41" s="214"/>
      <c r="FUB41" s="214"/>
      <c r="FUC41" s="214"/>
      <c r="FUD41" s="214"/>
      <c r="FUE41" s="214"/>
      <c r="FUF41" s="214"/>
      <c r="FUG41" s="214"/>
      <c r="FUH41" s="214"/>
      <c r="FUI41" s="214"/>
      <c r="FUJ41" s="214"/>
      <c r="FUK41" s="214"/>
      <c r="FUL41" s="214"/>
      <c r="FUM41" s="214"/>
      <c r="FUN41" s="214"/>
      <c r="FUO41" s="214"/>
      <c r="FUP41" s="214"/>
      <c r="FUQ41" s="214"/>
      <c r="FUR41" s="214"/>
      <c r="FUS41" s="214"/>
      <c r="FUT41" s="214"/>
      <c r="FUU41" s="214"/>
      <c r="FUV41" s="214"/>
      <c r="FUW41" s="214"/>
      <c r="FUX41" s="214"/>
      <c r="FUY41" s="214"/>
      <c r="FUZ41" s="214"/>
      <c r="FVA41" s="214"/>
      <c r="FVB41" s="214"/>
      <c r="FVC41" s="214"/>
      <c r="FVD41" s="214"/>
      <c r="FVE41" s="214"/>
      <c r="FVF41" s="214"/>
      <c r="FVG41" s="214"/>
      <c r="FVH41" s="214"/>
      <c r="FVI41" s="214"/>
      <c r="FVJ41" s="214"/>
      <c r="FVK41" s="214"/>
      <c r="FVL41" s="214"/>
      <c r="FVM41" s="214"/>
      <c r="FVN41" s="214"/>
      <c r="FVO41" s="214"/>
      <c r="FVP41" s="214"/>
      <c r="FVQ41" s="214"/>
      <c r="FVR41" s="214"/>
      <c r="FVS41" s="214"/>
      <c r="FVT41" s="214"/>
      <c r="FVU41" s="214"/>
      <c r="FVV41" s="214"/>
      <c r="FVW41" s="214"/>
      <c r="FVX41" s="214"/>
      <c r="FVY41" s="214"/>
      <c r="FVZ41" s="214"/>
      <c r="FWA41" s="214"/>
      <c r="FWB41" s="214"/>
      <c r="FWC41" s="214"/>
      <c r="FWD41" s="214"/>
      <c r="FWE41" s="214"/>
      <c r="FWF41" s="214"/>
      <c r="FWG41" s="214"/>
      <c r="FWH41" s="214"/>
      <c r="FWI41" s="214"/>
      <c r="FWJ41" s="214"/>
      <c r="FWK41" s="214"/>
      <c r="FWL41" s="214"/>
      <c r="FWM41" s="214"/>
      <c r="FWN41" s="214"/>
      <c r="FWO41" s="214"/>
      <c r="FWP41" s="214"/>
      <c r="FWQ41" s="214"/>
      <c r="FWR41" s="214"/>
      <c r="FWS41" s="214"/>
      <c r="FWT41" s="214"/>
      <c r="FWU41" s="214"/>
      <c r="FWV41" s="214"/>
      <c r="FWW41" s="214"/>
      <c r="FWX41" s="214"/>
      <c r="FWY41" s="214"/>
      <c r="FWZ41" s="214"/>
      <c r="FXA41" s="214"/>
      <c r="FXB41" s="214"/>
      <c r="FXC41" s="214"/>
      <c r="FXD41" s="214"/>
      <c r="FXE41" s="214"/>
      <c r="FXF41" s="214"/>
      <c r="FXG41" s="214"/>
      <c r="FXH41" s="214"/>
      <c r="FXI41" s="214"/>
      <c r="FXJ41" s="214"/>
      <c r="FXK41" s="214"/>
      <c r="FXL41" s="214"/>
      <c r="FXM41" s="214"/>
      <c r="FXN41" s="214"/>
      <c r="FXO41" s="214"/>
      <c r="FXP41" s="214"/>
      <c r="FXQ41" s="214"/>
      <c r="FXR41" s="214"/>
      <c r="FXS41" s="214"/>
      <c r="FXT41" s="214"/>
      <c r="FXU41" s="214"/>
      <c r="FXV41" s="214"/>
      <c r="FXW41" s="214"/>
      <c r="FXX41" s="214"/>
      <c r="FXY41" s="214"/>
      <c r="FXZ41" s="214"/>
      <c r="FYA41" s="214"/>
      <c r="FYB41" s="214"/>
      <c r="FYC41" s="214"/>
      <c r="FYD41" s="214"/>
      <c r="FYE41" s="214"/>
      <c r="FYF41" s="214"/>
      <c r="FYG41" s="214"/>
      <c r="FYH41" s="214"/>
      <c r="FYI41" s="214"/>
      <c r="FYJ41" s="214"/>
      <c r="FYK41" s="214"/>
      <c r="FYL41" s="214"/>
      <c r="FYM41" s="214"/>
      <c r="FYN41" s="214"/>
      <c r="FYO41" s="214"/>
      <c r="FYP41" s="214"/>
      <c r="FYQ41" s="214"/>
      <c r="FYR41" s="214"/>
      <c r="FYS41" s="214"/>
      <c r="FYT41" s="214"/>
      <c r="FYU41" s="214"/>
      <c r="FYV41" s="214"/>
      <c r="FYW41" s="214"/>
      <c r="FYX41" s="214"/>
      <c r="FYY41" s="214"/>
      <c r="FYZ41" s="214"/>
      <c r="FZA41" s="214"/>
      <c r="FZB41" s="214"/>
      <c r="FZC41" s="214"/>
      <c r="FZD41" s="214"/>
      <c r="FZE41" s="214"/>
      <c r="FZF41" s="214"/>
      <c r="FZG41" s="214"/>
      <c r="FZH41" s="214"/>
      <c r="FZI41" s="214"/>
      <c r="FZJ41" s="214"/>
      <c r="FZK41" s="214"/>
      <c r="FZL41" s="214"/>
      <c r="FZM41" s="214"/>
      <c r="FZN41" s="214"/>
      <c r="FZO41" s="214"/>
      <c r="FZP41" s="214"/>
      <c r="FZQ41" s="214"/>
      <c r="FZR41" s="214"/>
      <c r="FZS41" s="214"/>
      <c r="FZT41" s="214"/>
      <c r="FZU41" s="214"/>
      <c r="FZV41" s="214"/>
      <c r="FZW41" s="214"/>
      <c r="FZX41" s="214"/>
      <c r="FZY41" s="214"/>
      <c r="FZZ41" s="214"/>
      <c r="GAA41" s="214"/>
      <c r="GAB41" s="214"/>
      <c r="GAC41" s="214"/>
      <c r="GAD41" s="214"/>
      <c r="GAE41" s="214"/>
      <c r="GAF41" s="214"/>
      <c r="GAG41" s="214"/>
      <c r="GAH41" s="214"/>
      <c r="GAI41" s="214"/>
      <c r="GAJ41" s="214"/>
      <c r="GAK41" s="214"/>
      <c r="GAL41" s="214"/>
      <c r="GAM41" s="214"/>
      <c r="GAN41" s="214"/>
      <c r="GAO41" s="214"/>
      <c r="GAP41" s="214"/>
      <c r="GAQ41" s="214"/>
      <c r="GAR41" s="214"/>
      <c r="GAS41" s="214"/>
      <c r="GAT41" s="214"/>
      <c r="GAU41" s="214"/>
      <c r="GAV41" s="214"/>
      <c r="GAW41" s="214"/>
      <c r="GAX41" s="214"/>
      <c r="GAY41" s="214"/>
      <c r="GAZ41" s="214"/>
      <c r="GBA41" s="214"/>
      <c r="GBB41" s="214"/>
      <c r="GBC41" s="214"/>
      <c r="GBD41" s="214"/>
      <c r="GBE41" s="214"/>
      <c r="GBF41" s="214"/>
      <c r="GBG41" s="214"/>
      <c r="GBH41" s="214"/>
      <c r="GBI41" s="214"/>
      <c r="GBJ41" s="214"/>
      <c r="GBK41" s="214"/>
      <c r="GBL41" s="214"/>
      <c r="GBM41" s="214"/>
      <c r="GBN41" s="214"/>
      <c r="GBO41" s="214"/>
      <c r="GBP41" s="214"/>
      <c r="GBQ41" s="214"/>
      <c r="GBR41" s="214"/>
      <c r="GBS41" s="214"/>
      <c r="GBT41" s="214"/>
      <c r="GBU41" s="214"/>
      <c r="GBV41" s="214"/>
      <c r="GBW41" s="214"/>
      <c r="GBX41" s="214"/>
      <c r="GBY41" s="214"/>
      <c r="GBZ41" s="214"/>
      <c r="GCA41" s="214"/>
      <c r="GCB41" s="214"/>
      <c r="GCC41" s="214"/>
      <c r="GCD41" s="214"/>
      <c r="GCE41" s="214"/>
      <c r="GCF41" s="214"/>
      <c r="GCG41" s="214"/>
      <c r="GCH41" s="214"/>
      <c r="GCI41" s="214"/>
      <c r="GCJ41" s="214"/>
      <c r="GCK41" s="214"/>
      <c r="GCL41" s="214"/>
      <c r="GCM41" s="214"/>
      <c r="GCN41" s="214"/>
      <c r="GCO41" s="214"/>
      <c r="GCP41" s="214"/>
      <c r="GCQ41" s="214"/>
      <c r="GCR41" s="214"/>
      <c r="GCS41" s="214"/>
      <c r="GCT41" s="214"/>
      <c r="GCU41" s="214"/>
      <c r="GCV41" s="214"/>
      <c r="GCW41" s="214"/>
      <c r="GCX41" s="214"/>
      <c r="GCY41" s="214"/>
      <c r="GCZ41" s="214"/>
      <c r="GDA41" s="214"/>
      <c r="GDB41" s="214"/>
      <c r="GDC41" s="214"/>
      <c r="GDD41" s="214"/>
      <c r="GDE41" s="214"/>
      <c r="GDF41" s="214"/>
      <c r="GDG41" s="214"/>
      <c r="GDH41" s="214"/>
      <c r="GDI41" s="214"/>
      <c r="GDJ41" s="214"/>
      <c r="GDK41" s="214"/>
      <c r="GDL41" s="214"/>
      <c r="GDM41" s="214"/>
      <c r="GDN41" s="214"/>
      <c r="GDO41" s="214"/>
      <c r="GDP41" s="214"/>
      <c r="GDQ41" s="214"/>
      <c r="GDR41" s="214"/>
      <c r="GDS41" s="214"/>
      <c r="GDT41" s="214"/>
      <c r="GDU41" s="214"/>
      <c r="GDV41" s="214"/>
      <c r="GDW41" s="214"/>
      <c r="GDX41" s="214"/>
      <c r="GDY41" s="214"/>
      <c r="GDZ41" s="214"/>
      <c r="GEA41" s="214"/>
      <c r="GEB41" s="214"/>
      <c r="GEC41" s="214"/>
      <c r="GED41" s="214"/>
      <c r="GEE41" s="214"/>
      <c r="GEF41" s="214"/>
      <c r="GEG41" s="214"/>
      <c r="GEH41" s="214"/>
      <c r="GEI41" s="214"/>
      <c r="GEJ41" s="214"/>
      <c r="GEK41" s="214"/>
      <c r="GEL41" s="214"/>
      <c r="GEM41" s="214"/>
      <c r="GEN41" s="214"/>
      <c r="GEO41" s="214"/>
      <c r="GEP41" s="214"/>
      <c r="GEQ41" s="214"/>
      <c r="GER41" s="214"/>
      <c r="GES41" s="214"/>
      <c r="GET41" s="214"/>
      <c r="GEU41" s="214"/>
      <c r="GEV41" s="214"/>
      <c r="GEW41" s="214"/>
      <c r="GEX41" s="214"/>
      <c r="GEY41" s="214"/>
      <c r="GEZ41" s="214"/>
      <c r="GFA41" s="214"/>
      <c r="GFB41" s="214"/>
      <c r="GFC41" s="214"/>
      <c r="GFD41" s="214"/>
      <c r="GFE41" s="214"/>
      <c r="GFF41" s="214"/>
      <c r="GFG41" s="214"/>
      <c r="GFH41" s="214"/>
      <c r="GFI41" s="214"/>
      <c r="GFJ41" s="214"/>
      <c r="GFK41" s="214"/>
      <c r="GFL41" s="214"/>
      <c r="GFM41" s="214"/>
      <c r="GFN41" s="214"/>
      <c r="GFO41" s="214"/>
      <c r="GFP41" s="214"/>
      <c r="GFQ41" s="214"/>
      <c r="GFR41" s="214"/>
      <c r="GFS41" s="214"/>
      <c r="GFT41" s="214"/>
      <c r="GFU41" s="214"/>
      <c r="GFV41" s="214"/>
      <c r="GFW41" s="214"/>
      <c r="GFX41" s="214"/>
      <c r="GFY41" s="214"/>
      <c r="GFZ41" s="214"/>
      <c r="GGA41" s="214"/>
      <c r="GGB41" s="214"/>
      <c r="GGC41" s="214"/>
      <c r="GGD41" s="214"/>
      <c r="GGE41" s="214"/>
      <c r="GGF41" s="214"/>
      <c r="GGG41" s="214"/>
      <c r="GGH41" s="214"/>
      <c r="GGI41" s="214"/>
      <c r="GGJ41" s="214"/>
      <c r="GGK41" s="214"/>
      <c r="GGL41" s="214"/>
      <c r="GGM41" s="214"/>
      <c r="GGN41" s="214"/>
      <c r="GGO41" s="214"/>
      <c r="GGP41" s="214"/>
      <c r="GGQ41" s="214"/>
      <c r="GGR41" s="214"/>
      <c r="GGS41" s="214"/>
      <c r="GGT41" s="214"/>
      <c r="GGU41" s="214"/>
      <c r="GGV41" s="214"/>
      <c r="GGW41" s="214"/>
      <c r="GGX41" s="214"/>
      <c r="GGY41" s="214"/>
      <c r="GGZ41" s="214"/>
      <c r="GHA41" s="214"/>
      <c r="GHB41" s="214"/>
      <c r="GHC41" s="214"/>
      <c r="GHD41" s="214"/>
      <c r="GHE41" s="214"/>
      <c r="GHF41" s="214"/>
      <c r="GHG41" s="214"/>
      <c r="GHH41" s="214"/>
      <c r="GHI41" s="214"/>
      <c r="GHJ41" s="214"/>
      <c r="GHK41" s="214"/>
      <c r="GHL41" s="214"/>
      <c r="GHM41" s="214"/>
      <c r="GHN41" s="214"/>
      <c r="GHO41" s="214"/>
      <c r="GHP41" s="214"/>
      <c r="GHQ41" s="214"/>
      <c r="GHR41" s="214"/>
      <c r="GHS41" s="214"/>
      <c r="GHT41" s="214"/>
      <c r="GHU41" s="214"/>
      <c r="GHV41" s="214"/>
      <c r="GHW41" s="214"/>
      <c r="GHX41" s="214"/>
      <c r="GHY41" s="214"/>
      <c r="GHZ41" s="214"/>
      <c r="GIA41" s="214"/>
      <c r="GIB41" s="214"/>
      <c r="GIC41" s="214"/>
      <c r="GID41" s="214"/>
      <c r="GIE41" s="214"/>
      <c r="GIF41" s="214"/>
      <c r="GIG41" s="214"/>
      <c r="GIH41" s="214"/>
      <c r="GII41" s="214"/>
      <c r="GIJ41" s="214"/>
      <c r="GIK41" s="214"/>
      <c r="GIL41" s="214"/>
      <c r="GIM41" s="214"/>
      <c r="GIN41" s="214"/>
      <c r="GIO41" s="214"/>
      <c r="GIP41" s="214"/>
      <c r="GIQ41" s="214"/>
      <c r="GIR41" s="214"/>
      <c r="GIS41" s="214"/>
      <c r="GIT41" s="214"/>
      <c r="GIU41" s="214"/>
      <c r="GIV41" s="214"/>
      <c r="GIW41" s="214"/>
      <c r="GIX41" s="214"/>
      <c r="GIY41" s="214"/>
      <c r="GIZ41" s="214"/>
      <c r="GJA41" s="214"/>
      <c r="GJB41" s="214"/>
      <c r="GJC41" s="214"/>
      <c r="GJD41" s="214"/>
      <c r="GJE41" s="214"/>
      <c r="GJF41" s="214"/>
      <c r="GJG41" s="214"/>
      <c r="GJH41" s="214"/>
      <c r="GJI41" s="214"/>
      <c r="GJJ41" s="214"/>
      <c r="GJK41" s="214"/>
      <c r="GJL41" s="214"/>
      <c r="GJM41" s="214"/>
      <c r="GJN41" s="214"/>
      <c r="GJO41" s="214"/>
      <c r="GJP41" s="214"/>
      <c r="GJQ41" s="214"/>
      <c r="GJR41" s="214"/>
      <c r="GJS41" s="214"/>
      <c r="GJT41" s="214"/>
      <c r="GJU41" s="214"/>
      <c r="GJV41" s="214"/>
      <c r="GJW41" s="214"/>
      <c r="GJX41" s="214"/>
      <c r="GJY41" s="214"/>
      <c r="GJZ41" s="214"/>
      <c r="GKA41" s="214"/>
      <c r="GKB41" s="214"/>
      <c r="GKC41" s="214"/>
      <c r="GKD41" s="214"/>
      <c r="GKE41" s="214"/>
      <c r="GKF41" s="214"/>
      <c r="GKG41" s="214"/>
      <c r="GKH41" s="214"/>
      <c r="GKI41" s="214"/>
      <c r="GKJ41" s="214"/>
      <c r="GKK41" s="214"/>
      <c r="GKL41" s="214"/>
      <c r="GKM41" s="214"/>
      <c r="GKN41" s="214"/>
      <c r="GKO41" s="214"/>
      <c r="GKP41" s="214"/>
      <c r="GKQ41" s="214"/>
      <c r="GKR41" s="214"/>
      <c r="GKS41" s="214"/>
      <c r="GKT41" s="214"/>
      <c r="GKU41" s="214"/>
      <c r="GKV41" s="214"/>
      <c r="GKW41" s="214"/>
      <c r="GKX41" s="214"/>
      <c r="GKY41" s="214"/>
      <c r="GKZ41" s="214"/>
      <c r="GLA41" s="214"/>
      <c r="GLB41" s="214"/>
      <c r="GLC41" s="214"/>
      <c r="GLD41" s="214"/>
      <c r="GLE41" s="214"/>
      <c r="GLF41" s="214"/>
      <c r="GLG41" s="214"/>
      <c r="GLH41" s="214"/>
      <c r="GLI41" s="214"/>
      <c r="GLJ41" s="214"/>
      <c r="GLK41" s="214"/>
      <c r="GLL41" s="214"/>
      <c r="GLM41" s="214"/>
      <c r="GLN41" s="214"/>
      <c r="GLO41" s="214"/>
      <c r="GLP41" s="214"/>
      <c r="GLQ41" s="214"/>
      <c r="GLR41" s="214"/>
      <c r="GLS41" s="214"/>
      <c r="GLT41" s="214"/>
      <c r="GLU41" s="214"/>
      <c r="GLV41" s="214"/>
      <c r="GLW41" s="214"/>
      <c r="GLX41" s="214"/>
      <c r="GLY41" s="214"/>
      <c r="GLZ41" s="214"/>
      <c r="GMA41" s="214"/>
      <c r="GMB41" s="214"/>
      <c r="GMC41" s="214"/>
      <c r="GMD41" s="214"/>
      <c r="GME41" s="214"/>
      <c r="GMF41" s="214"/>
      <c r="GMG41" s="214"/>
      <c r="GMH41" s="214"/>
      <c r="GMI41" s="214"/>
      <c r="GMJ41" s="214"/>
      <c r="GMK41" s="214"/>
      <c r="GML41" s="214"/>
      <c r="GMM41" s="214"/>
      <c r="GMN41" s="214"/>
      <c r="GMO41" s="214"/>
      <c r="GMP41" s="214"/>
      <c r="GMQ41" s="214"/>
      <c r="GMR41" s="214"/>
      <c r="GMS41" s="214"/>
      <c r="GMT41" s="214"/>
      <c r="GMU41" s="214"/>
      <c r="GMV41" s="214"/>
      <c r="GMW41" s="214"/>
      <c r="GMX41" s="214"/>
      <c r="GMY41" s="214"/>
      <c r="GMZ41" s="214"/>
      <c r="GNA41" s="214"/>
      <c r="GNB41" s="214"/>
      <c r="GNC41" s="214"/>
      <c r="GND41" s="214"/>
      <c r="GNE41" s="214"/>
      <c r="GNF41" s="214"/>
      <c r="GNG41" s="214"/>
      <c r="GNH41" s="214"/>
      <c r="GNI41" s="214"/>
      <c r="GNJ41" s="214"/>
      <c r="GNK41" s="214"/>
      <c r="GNL41" s="214"/>
      <c r="GNM41" s="214"/>
      <c r="GNN41" s="214"/>
      <c r="GNO41" s="214"/>
      <c r="GNP41" s="214"/>
      <c r="GNQ41" s="214"/>
      <c r="GNR41" s="214"/>
      <c r="GNS41" s="214"/>
      <c r="GNT41" s="214"/>
      <c r="GNU41" s="214"/>
      <c r="GNV41" s="214"/>
      <c r="GNW41" s="214"/>
      <c r="GNX41" s="214"/>
      <c r="GNY41" s="214"/>
      <c r="GNZ41" s="214"/>
      <c r="GOA41" s="214"/>
      <c r="GOB41" s="214"/>
      <c r="GOC41" s="214"/>
      <c r="GOD41" s="214"/>
      <c r="GOE41" s="214"/>
      <c r="GOF41" s="214"/>
      <c r="GOG41" s="214"/>
      <c r="GOH41" s="214"/>
      <c r="GOI41" s="214"/>
      <c r="GOJ41" s="214"/>
      <c r="GOK41" s="214"/>
      <c r="GOL41" s="214"/>
      <c r="GOM41" s="214"/>
      <c r="GON41" s="214"/>
      <c r="GOO41" s="214"/>
      <c r="GOP41" s="214"/>
      <c r="GOQ41" s="214"/>
      <c r="GOR41" s="214"/>
      <c r="GOS41" s="214"/>
      <c r="GOT41" s="214"/>
      <c r="GOU41" s="214"/>
      <c r="GOV41" s="214"/>
      <c r="GOW41" s="214"/>
      <c r="GOX41" s="214"/>
      <c r="GOY41" s="214"/>
      <c r="GOZ41" s="214"/>
      <c r="GPA41" s="214"/>
      <c r="GPB41" s="214"/>
      <c r="GPC41" s="214"/>
      <c r="GPD41" s="214"/>
      <c r="GPE41" s="214"/>
      <c r="GPF41" s="214"/>
      <c r="GPG41" s="214"/>
      <c r="GPH41" s="214"/>
      <c r="GPI41" s="214"/>
      <c r="GPJ41" s="214"/>
      <c r="GPK41" s="214"/>
      <c r="GPL41" s="214"/>
      <c r="GPM41" s="214"/>
      <c r="GPN41" s="214"/>
      <c r="GPO41" s="214"/>
      <c r="GPP41" s="214"/>
      <c r="GPQ41" s="214"/>
      <c r="GPR41" s="214"/>
      <c r="GPS41" s="214"/>
      <c r="GPT41" s="214"/>
      <c r="GPU41" s="214"/>
      <c r="GPV41" s="214"/>
      <c r="GPW41" s="214"/>
      <c r="GPX41" s="214"/>
      <c r="GPY41" s="214"/>
      <c r="GPZ41" s="214"/>
      <c r="GQA41" s="214"/>
      <c r="GQB41" s="214"/>
      <c r="GQC41" s="214"/>
      <c r="GQD41" s="214"/>
      <c r="GQE41" s="214"/>
      <c r="GQF41" s="214"/>
      <c r="GQG41" s="214"/>
      <c r="GQH41" s="214"/>
      <c r="GQI41" s="214"/>
      <c r="GQJ41" s="214"/>
      <c r="GQK41" s="214"/>
      <c r="GQL41" s="214"/>
      <c r="GQM41" s="214"/>
      <c r="GQN41" s="214"/>
      <c r="GQO41" s="214"/>
      <c r="GQP41" s="214"/>
      <c r="GQQ41" s="214"/>
      <c r="GQR41" s="214"/>
      <c r="GQS41" s="214"/>
      <c r="GQT41" s="214"/>
      <c r="GQU41" s="214"/>
      <c r="GQV41" s="214"/>
      <c r="GQW41" s="214"/>
      <c r="GQX41" s="214"/>
      <c r="GQY41" s="214"/>
      <c r="GQZ41" s="214"/>
      <c r="GRA41" s="214"/>
      <c r="GRB41" s="214"/>
      <c r="GRC41" s="214"/>
      <c r="GRD41" s="214"/>
      <c r="GRE41" s="214"/>
      <c r="GRF41" s="214"/>
      <c r="GRG41" s="214"/>
      <c r="GRH41" s="214"/>
      <c r="GRI41" s="214"/>
      <c r="GRJ41" s="214"/>
      <c r="GRK41" s="214"/>
      <c r="GRL41" s="214"/>
      <c r="GRM41" s="214"/>
      <c r="GRN41" s="214"/>
      <c r="GRO41" s="214"/>
      <c r="GRP41" s="214"/>
      <c r="GRQ41" s="214"/>
      <c r="GRR41" s="214"/>
      <c r="GRS41" s="214"/>
      <c r="GRT41" s="214"/>
      <c r="GRU41" s="214"/>
      <c r="GRV41" s="214"/>
      <c r="GRW41" s="214"/>
      <c r="GRX41" s="214"/>
      <c r="GRY41" s="214"/>
      <c r="GRZ41" s="214"/>
      <c r="GSA41" s="214"/>
      <c r="GSB41" s="214"/>
      <c r="GSC41" s="214"/>
      <c r="GSD41" s="214"/>
      <c r="GSE41" s="214"/>
      <c r="GSF41" s="214"/>
      <c r="GSG41" s="214"/>
      <c r="GSH41" s="214"/>
      <c r="GSI41" s="214"/>
      <c r="GSJ41" s="214"/>
      <c r="GSK41" s="214"/>
      <c r="GSL41" s="214"/>
      <c r="GSM41" s="214"/>
      <c r="GSN41" s="214"/>
      <c r="GSO41" s="214"/>
      <c r="GSP41" s="214"/>
      <c r="GSQ41" s="214"/>
      <c r="GSR41" s="214"/>
      <c r="GSS41" s="214"/>
      <c r="GST41" s="214"/>
      <c r="GSU41" s="214"/>
      <c r="GSV41" s="214"/>
      <c r="GSW41" s="214"/>
      <c r="GSX41" s="214"/>
      <c r="GSY41" s="214"/>
      <c r="GSZ41" s="214"/>
      <c r="GTA41" s="214"/>
      <c r="GTB41" s="214"/>
      <c r="GTC41" s="214"/>
      <c r="GTD41" s="214"/>
      <c r="GTE41" s="214"/>
      <c r="GTF41" s="214"/>
      <c r="GTG41" s="214"/>
      <c r="GTH41" s="214"/>
      <c r="GTI41" s="214"/>
      <c r="GTJ41" s="214"/>
      <c r="GTK41" s="214"/>
      <c r="GTL41" s="214"/>
      <c r="GTM41" s="214"/>
      <c r="GTN41" s="214"/>
      <c r="GTO41" s="214"/>
      <c r="GTP41" s="214"/>
      <c r="GTQ41" s="214"/>
      <c r="GTR41" s="214"/>
      <c r="GTS41" s="214"/>
      <c r="GTT41" s="214"/>
      <c r="GTU41" s="214"/>
      <c r="GTV41" s="214"/>
      <c r="GTW41" s="214"/>
      <c r="GTX41" s="214"/>
      <c r="GTY41" s="214"/>
      <c r="GTZ41" s="214"/>
      <c r="GUA41" s="214"/>
      <c r="GUB41" s="214"/>
      <c r="GUC41" s="214"/>
      <c r="GUD41" s="214"/>
      <c r="GUE41" s="214"/>
      <c r="GUF41" s="214"/>
      <c r="GUG41" s="214"/>
      <c r="GUH41" s="214"/>
      <c r="GUI41" s="214"/>
      <c r="GUJ41" s="214"/>
      <c r="GUK41" s="214"/>
      <c r="GUL41" s="214"/>
      <c r="GUM41" s="214"/>
      <c r="GUN41" s="214"/>
      <c r="GUO41" s="214"/>
      <c r="GUP41" s="214"/>
      <c r="GUQ41" s="214"/>
      <c r="GUR41" s="214"/>
      <c r="GUS41" s="214"/>
      <c r="GUT41" s="214"/>
      <c r="GUU41" s="214"/>
      <c r="GUV41" s="214"/>
      <c r="GUW41" s="214"/>
      <c r="GUX41" s="214"/>
      <c r="GUY41" s="214"/>
      <c r="GUZ41" s="214"/>
      <c r="GVA41" s="214"/>
      <c r="GVB41" s="214"/>
      <c r="GVC41" s="214"/>
      <c r="GVD41" s="214"/>
      <c r="GVE41" s="214"/>
      <c r="GVF41" s="214"/>
      <c r="GVG41" s="214"/>
      <c r="GVH41" s="214"/>
      <c r="GVI41" s="214"/>
      <c r="GVJ41" s="214"/>
      <c r="GVK41" s="214"/>
      <c r="GVL41" s="214"/>
      <c r="GVM41" s="214"/>
      <c r="GVN41" s="214"/>
      <c r="GVO41" s="214"/>
      <c r="GVP41" s="214"/>
      <c r="GVQ41" s="214"/>
      <c r="GVR41" s="214"/>
      <c r="GVS41" s="214"/>
      <c r="GVT41" s="214"/>
      <c r="GVU41" s="214"/>
      <c r="GVV41" s="214"/>
      <c r="GVW41" s="214"/>
      <c r="GVX41" s="214"/>
      <c r="GVY41" s="214"/>
      <c r="GVZ41" s="214"/>
      <c r="GWA41" s="214"/>
      <c r="GWB41" s="214"/>
      <c r="GWC41" s="214"/>
      <c r="GWD41" s="214"/>
      <c r="GWE41" s="214"/>
      <c r="GWF41" s="214"/>
      <c r="GWG41" s="214"/>
      <c r="GWH41" s="214"/>
      <c r="GWI41" s="214"/>
      <c r="GWJ41" s="214"/>
      <c r="GWK41" s="214"/>
      <c r="GWL41" s="214"/>
      <c r="GWM41" s="214"/>
      <c r="GWN41" s="214"/>
      <c r="GWO41" s="214"/>
      <c r="GWP41" s="214"/>
      <c r="GWQ41" s="214"/>
      <c r="GWR41" s="214"/>
      <c r="GWS41" s="214"/>
      <c r="GWT41" s="214"/>
      <c r="GWU41" s="214"/>
      <c r="GWV41" s="214"/>
      <c r="GWW41" s="214"/>
      <c r="GWX41" s="214"/>
      <c r="GWY41" s="214"/>
      <c r="GWZ41" s="214"/>
      <c r="GXA41" s="214"/>
      <c r="GXB41" s="214"/>
      <c r="GXC41" s="214"/>
      <c r="GXD41" s="214"/>
      <c r="GXE41" s="214"/>
      <c r="GXF41" s="214"/>
      <c r="GXG41" s="214"/>
      <c r="GXH41" s="214"/>
      <c r="GXI41" s="214"/>
      <c r="GXJ41" s="214"/>
      <c r="GXK41" s="214"/>
      <c r="GXL41" s="214"/>
      <c r="GXM41" s="214"/>
      <c r="GXN41" s="214"/>
      <c r="GXO41" s="214"/>
      <c r="GXP41" s="214"/>
      <c r="GXQ41" s="214"/>
      <c r="GXR41" s="214"/>
      <c r="GXS41" s="214"/>
      <c r="GXT41" s="214"/>
      <c r="GXU41" s="214"/>
      <c r="GXV41" s="214"/>
      <c r="GXW41" s="214"/>
      <c r="GXX41" s="214"/>
      <c r="GXY41" s="214"/>
      <c r="GXZ41" s="214"/>
      <c r="GYA41" s="214"/>
      <c r="GYB41" s="214"/>
      <c r="GYC41" s="214"/>
      <c r="GYD41" s="214"/>
      <c r="GYE41" s="214"/>
      <c r="GYF41" s="214"/>
      <c r="GYG41" s="214"/>
      <c r="GYH41" s="214"/>
      <c r="GYI41" s="214"/>
      <c r="GYJ41" s="214"/>
      <c r="GYK41" s="214"/>
      <c r="GYL41" s="214"/>
      <c r="GYM41" s="214"/>
      <c r="GYN41" s="214"/>
      <c r="GYO41" s="214"/>
      <c r="GYP41" s="214"/>
      <c r="GYQ41" s="214"/>
      <c r="GYR41" s="214"/>
      <c r="GYS41" s="214"/>
      <c r="GYT41" s="214"/>
      <c r="GYU41" s="214"/>
      <c r="GYV41" s="214"/>
      <c r="GYW41" s="214"/>
      <c r="GYX41" s="214"/>
      <c r="GYY41" s="214"/>
      <c r="GYZ41" s="214"/>
      <c r="GZA41" s="214"/>
      <c r="GZB41" s="214"/>
      <c r="GZC41" s="214"/>
      <c r="GZD41" s="214"/>
      <c r="GZE41" s="214"/>
      <c r="GZF41" s="214"/>
      <c r="GZG41" s="214"/>
      <c r="GZH41" s="214"/>
      <c r="GZI41" s="214"/>
      <c r="GZJ41" s="214"/>
      <c r="GZK41" s="214"/>
      <c r="GZL41" s="214"/>
      <c r="GZM41" s="214"/>
      <c r="GZN41" s="214"/>
      <c r="GZO41" s="214"/>
      <c r="GZP41" s="214"/>
      <c r="GZQ41" s="214"/>
      <c r="GZR41" s="214"/>
      <c r="GZS41" s="214"/>
      <c r="GZT41" s="214"/>
      <c r="GZU41" s="214"/>
      <c r="GZV41" s="214"/>
      <c r="GZW41" s="214"/>
      <c r="GZX41" s="214"/>
      <c r="GZY41" s="214"/>
      <c r="GZZ41" s="214"/>
      <c r="HAA41" s="214"/>
      <c r="HAB41" s="214"/>
      <c r="HAC41" s="214"/>
      <c r="HAD41" s="214"/>
      <c r="HAE41" s="214"/>
      <c r="HAF41" s="214"/>
      <c r="HAG41" s="214"/>
      <c r="HAH41" s="214"/>
      <c r="HAI41" s="214"/>
      <c r="HAJ41" s="214"/>
      <c r="HAK41" s="214"/>
      <c r="HAL41" s="214"/>
      <c r="HAM41" s="214"/>
      <c r="HAN41" s="214"/>
      <c r="HAO41" s="214"/>
      <c r="HAP41" s="214"/>
      <c r="HAQ41" s="214"/>
      <c r="HAR41" s="214"/>
      <c r="HAS41" s="214"/>
      <c r="HAT41" s="214"/>
      <c r="HAU41" s="214"/>
      <c r="HAV41" s="214"/>
      <c r="HAW41" s="214"/>
      <c r="HAX41" s="214"/>
      <c r="HAY41" s="214"/>
      <c r="HAZ41" s="214"/>
      <c r="HBA41" s="214"/>
      <c r="HBB41" s="214"/>
      <c r="HBC41" s="214"/>
      <c r="HBD41" s="214"/>
      <c r="HBE41" s="214"/>
      <c r="HBF41" s="214"/>
      <c r="HBG41" s="214"/>
      <c r="HBH41" s="214"/>
      <c r="HBI41" s="214"/>
      <c r="HBJ41" s="214"/>
      <c r="HBK41" s="214"/>
      <c r="HBL41" s="214"/>
      <c r="HBM41" s="214"/>
      <c r="HBN41" s="214"/>
      <c r="HBO41" s="214"/>
      <c r="HBP41" s="214"/>
      <c r="HBQ41" s="214"/>
      <c r="HBR41" s="214"/>
      <c r="HBS41" s="214"/>
      <c r="HBT41" s="214"/>
      <c r="HBU41" s="214"/>
      <c r="HBV41" s="214"/>
      <c r="HBW41" s="214"/>
      <c r="HBX41" s="214"/>
      <c r="HBY41" s="214"/>
      <c r="HBZ41" s="214"/>
      <c r="HCA41" s="214"/>
      <c r="HCB41" s="214"/>
      <c r="HCC41" s="214"/>
      <c r="HCD41" s="214"/>
      <c r="HCE41" s="214"/>
      <c r="HCF41" s="214"/>
      <c r="HCG41" s="214"/>
      <c r="HCH41" s="214"/>
      <c r="HCI41" s="214"/>
      <c r="HCJ41" s="214"/>
      <c r="HCK41" s="214"/>
      <c r="HCL41" s="214"/>
      <c r="HCM41" s="214"/>
      <c r="HCN41" s="214"/>
      <c r="HCO41" s="214"/>
      <c r="HCP41" s="214"/>
      <c r="HCQ41" s="214"/>
      <c r="HCR41" s="214"/>
      <c r="HCS41" s="214"/>
      <c r="HCT41" s="214"/>
      <c r="HCU41" s="214"/>
      <c r="HCV41" s="214"/>
      <c r="HCW41" s="214"/>
      <c r="HCX41" s="214"/>
      <c r="HCY41" s="214"/>
      <c r="HCZ41" s="214"/>
      <c r="HDA41" s="214"/>
      <c r="HDB41" s="214"/>
      <c r="HDC41" s="214"/>
      <c r="HDD41" s="214"/>
      <c r="HDE41" s="214"/>
      <c r="HDF41" s="214"/>
      <c r="HDG41" s="214"/>
      <c r="HDH41" s="214"/>
      <c r="HDI41" s="214"/>
      <c r="HDJ41" s="214"/>
      <c r="HDK41" s="214"/>
      <c r="HDL41" s="214"/>
      <c r="HDM41" s="214"/>
      <c r="HDN41" s="214"/>
      <c r="HDO41" s="214"/>
      <c r="HDP41" s="214"/>
      <c r="HDQ41" s="214"/>
      <c r="HDR41" s="214"/>
      <c r="HDS41" s="214"/>
      <c r="HDT41" s="214"/>
      <c r="HDU41" s="214"/>
      <c r="HDV41" s="214"/>
      <c r="HDW41" s="214"/>
      <c r="HDX41" s="214"/>
      <c r="HDY41" s="214"/>
      <c r="HDZ41" s="214"/>
      <c r="HEA41" s="214"/>
      <c r="HEB41" s="214"/>
      <c r="HEC41" s="214"/>
      <c r="HED41" s="214"/>
      <c r="HEE41" s="214"/>
      <c r="HEF41" s="214"/>
      <c r="HEG41" s="214"/>
      <c r="HEH41" s="214"/>
      <c r="HEI41" s="214"/>
      <c r="HEJ41" s="214"/>
      <c r="HEK41" s="214"/>
      <c r="HEL41" s="214"/>
      <c r="HEM41" s="214"/>
      <c r="HEN41" s="214"/>
      <c r="HEO41" s="214"/>
      <c r="HEP41" s="214"/>
      <c r="HEQ41" s="214"/>
      <c r="HER41" s="214"/>
      <c r="HES41" s="214"/>
      <c r="HET41" s="214"/>
      <c r="HEU41" s="214"/>
      <c r="HEV41" s="214"/>
      <c r="HEW41" s="214"/>
      <c r="HEX41" s="214"/>
      <c r="HEY41" s="214"/>
      <c r="HEZ41" s="214"/>
      <c r="HFA41" s="214"/>
      <c r="HFB41" s="214"/>
      <c r="HFC41" s="214"/>
      <c r="HFD41" s="214"/>
      <c r="HFE41" s="214"/>
      <c r="HFF41" s="214"/>
      <c r="HFG41" s="214"/>
      <c r="HFH41" s="214"/>
      <c r="HFI41" s="214"/>
      <c r="HFJ41" s="214"/>
      <c r="HFK41" s="214"/>
      <c r="HFL41" s="214"/>
      <c r="HFM41" s="214"/>
      <c r="HFN41" s="214"/>
      <c r="HFO41" s="214"/>
      <c r="HFP41" s="214"/>
      <c r="HFQ41" s="214"/>
      <c r="HFR41" s="214"/>
      <c r="HFS41" s="214"/>
      <c r="HFT41" s="214"/>
      <c r="HFU41" s="214"/>
      <c r="HFV41" s="214"/>
      <c r="HFW41" s="214"/>
      <c r="HFX41" s="214"/>
      <c r="HFY41" s="214"/>
      <c r="HFZ41" s="214"/>
      <c r="HGA41" s="214"/>
      <c r="HGB41" s="214"/>
      <c r="HGC41" s="214"/>
      <c r="HGD41" s="214"/>
      <c r="HGE41" s="214"/>
      <c r="HGF41" s="214"/>
      <c r="HGG41" s="214"/>
      <c r="HGH41" s="214"/>
      <c r="HGI41" s="214"/>
      <c r="HGJ41" s="214"/>
      <c r="HGK41" s="214"/>
      <c r="HGL41" s="214"/>
      <c r="HGM41" s="214"/>
      <c r="HGN41" s="214"/>
      <c r="HGO41" s="214"/>
      <c r="HGP41" s="214"/>
      <c r="HGQ41" s="214"/>
      <c r="HGR41" s="214"/>
      <c r="HGS41" s="214"/>
      <c r="HGT41" s="214"/>
      <c r="HGU41" s="214"/>
      <c r="HGV41" s="214"/>
      <c r="HGW41" s="214"/>
      <c r="HGX41" s="214"/>
      <c r="HGY41" s="214"/>
      <c r="HGZ41" s="214"/>
      <c r="HHA41" s="214"/>
      <c r="HHB41" s="214"/>
      <c r="HHC41" s="214"/>
      <c r="HHD41" s="214"/>
      <c r="HHE41" s="214"/>
      <c r="HHF41" s="214"/>
      <c r="HHG41" s="214"/>
      <c r="HHH41" s="214"/>
      <c r="HHI41" s="214"/>
      <c r="HHJ41" s="214"/>
      <c r="HHK41" s="214"/>
      <c r="HHL41" s="214"/>
      <c r="HHM41" s="214"/>
      <c r="HHN41" s="214"/>
      <c r="HHO41" s="214"/>
      <c r="HHP41" s="214"/>
      <c r="HHQ41" s="214"/>
      <c r="HHR41" s="214"/>
      <c r="HHS41" s="214"/>
      <c r="HHT41" s="214"/>
      <c r="HHU41" s="214"/>
      <c r="HHV41" s="214"/>
      <c r="HHW41" s="214"/>
      <c r="HHX41" s="214"/>
      <c r="HHY41" s="214"/>
      <c r="HHZ41" s="214"/>
      <c r="HIA41" s="214"/>
      <c r="HIB41" s="214"/>
      <c r="HIC41" s="214"/>
      <c r="HID41" s="214"/>
      <c r="HIE41" s="214"/>
      <c r="HIF41" s="214"/>
      <c r="HIG41" s="214"/>
      <c r="HIH41" s="214"/>
      <c r="HII41" s="214"/>
      <c r="HIJ41" s="214"/>
      <c r="HIK41" s="214"/>
      <c r="HIL41" s="214"/>
      <c r="HIM41" s="214"/>
      <c r="HIN41" s="214"/>
      <c r="HIO41" s="214"/>
      <c r="HIP41" s="214"/>
      <c r="HIQ41" s="214"/>
      <c r="HIR41" s="214"/>
      <c r="HIS41" s="214"/>
      <c r="HIT41" s="214"/>
      <c r="HIU41" s="214"/>
      <c r="HIV41" s="214"/>
      <c r="HIW41" s="214"/>
      <c r="HIX41" s="214"/>
      <c r="HIY41" s="214"/>
      <c r="HIZ41" s="214"/>
      <c r="HJA41" s="214"/>
      <c r="HJB41" s="214"/>
      <c r="HJC41" s="214"/>
      <c r="HJD41" s="214"/>
      <c r="HJE41" s="214"/>
      <c r="HJF41" s="214"/>
      <c r="HJG41" s="214"/>
      <c r="HJH41" s="214"/>
      <c r="HJI41" s="214"/>
      <c r="HJJ41" s="214"/>
      <c r="HJK41" s="214"/>
      <c r="HJL41" s="214"/>
      <c r="HJM41" s="214"/>
      <c r="HJN41" s="214"/>
      <c r="HJO41" s="214"/>
      <c r="HJP41" s="214"/>
      <c r="HJQ41" s="214"/>
      <c r="HJR41" s="214"/>
      <c r="HJS41" s="214"/>
      <c r="HJT41" s="214"/>
      <c r="HJU41" s="214"/>
      <c r="HJV41" s="214"/>
      <c r="HJW41" s="214"/>
      <c r="HJX41" s="214"/>
      <c r="HJY41" s="214"/>
      <c r="HJZ41" s="214"/>
      <c r="HKA41" s="214"/>
      <c r="HKB41" s="214"/>
      <c r="HKC41" s="214"/>
      <c r="HKD41" s="214"/>
      <c r="HKE41" s="214"/>
      <c r="HKF41" s="214"/>
      <c r="HKG41" s="214"/>
      <c r="HKH41" s="214"/>
      <c r="HKI41" s="214"/>
      <c r="HKJ41" s="214"/>
      <c r="HKK41" s="214"/>
      <c r="HKL41" s="214"/>
      <c r="HKM41" s="214"/>
      <c r="HKN41" s="214"/>
      <c r="HKO41" s="214"/>
      <c r="HKP41" s="214"/>
      <c r="HKQ41" s="214"/>
      <c r="HKR41" s="214"/>
      <c r="HKS41" s="214"/>
      <c r="HKT41" s="214"/>
      <c r="HKU41" s="214"/>
      <c r="HKV41" s="214"/>
      <c r="HKW41" s="214"/>
      <c r="HKX41" s="214"/>
      <c r="HKY41" s="214"/>
      <c r="HKZ41" s="214"/>
      <c r="HLA41" s="214"/>
      <c r="HLB41" s="214"/>
      <c r="HLC41" s="214"/>
      <c r="HLD41" s="214"/>
      <c r="HLE41" s="214"/>
      <c r="HLF41" s="214"/>
      <c r="HLG41" s="214"/>
      <c r="HLH41" s="214"/>
      <c r="HLI41" s="214"/>
      <c r="HLJ41" s="214"/>
      <c r="HLK41" s="214"/>
      <c r="HLL41" s="214"/>
      <c r="HLM41" s="214"/>
      <c r="HLN41" s="214"/>
      <c r="HLO41" s="214"/>
      <c r="HLP41" s="214"/>
      <c r="HLQ41" s="214"/>
      <c r="HLR41" s="214"/>
      <c r="HLS41" s="214"/>
      <c r="HLT41" s="214"/>
      <c r="HLU41" s="214"/>
      <c r="HLV41" s="214"/>
      <c r="HLW41" s="214"/>
      <c r="HLX41" s="214"/>
      <c r="HLY41" s="214"/>
      <c r="HLZ41" s="214"/>
      <c r="HMA41" s="214"/>
      <c r="HMB41" s="214"/>
      <c r="HMC41" s="214"/>
      <c r="HMD41" s="214"/>
      <c r="HME41" s="214"/>
      <c r="HMF41" s="214"/>
      <c r="HMG41" s="214"/>
      <c r="HMH41" s="214"/>
      <c r="HMI41" s="214"/>
      <c r="HMJ41" s="214"/>
      <c r="HMK41" s="214"/>
      <c r="HML41" s="214"/>
      <c r="HMM41" s="214"/>
      <c r="HMN41" s="214"/>
      <c r="HMO41" s="214"/>
      <c r="HMP41" s="214"/>
      <c r="HMQ41" s="214"/>
      <c r="HMR41" s="214"/>
      <c r="HMS41" s="214"/>
      <c r="HMT41" s="214"/>
      <c r="HMU41" s="214"/>
      <c r="HMV41" s="214"/>
      <c r="HMW41" s="214"/>
      <c r="HMX41" s="214"/>
      <c r="HMY41" s="214"/>
      <c r="HMZ41" s="214"/>
      <c r="HNA41" s="214"/>
      <c r="HNB41" s="214"/>
      <c r="HNC41" s="214"/>
      <c r="HND41" s="214"/>
      <c r="HNE41" s="214"/>
      <c r="HNF41" s="214"/>
      <c r="HNG41" s="214"/>
      <c r="HNH41" s="214"/>
      <c r="HNI41" s="214"/>
      <c r="HNJ41" s="214"/>
      <c r="HNK41" s="214"/>
      <c r="HNL41" s="214"/>
      <c r="HNM41" s="214"/>
      <c r="HNN41" s="214"/>
      <c r="HNO41" s="214"/>
      <c r="HNP41" s="214"/>
      <c r="HNQ41" s="214"/>
      <c r="HNR41" s="214"/>
      <c r="HNS41" s="214"/>
      <c r="HNT41" s="214"/>
      <c r="HNU41" s="214"/>
      <c r="HNV41" s="214"/>
      <c r="HNW41" s="214"/>
      <c r="HNX41" s="214"/>
      <c r="HNY41" s="214"/>
      <c r="HNZ41" s="214"/>
      <c r="HOA41" s="214"/>
      <c r="HOB41" s="214"/>
      <c r="HOC41" s="214"/>
      <c r="HOD41" s="214"/>
      <c r="HOE41" s="214"/>
      <c r="HOF41" s="214"/>
      <c r="HOG41" s="214"/>
      <c r="HOH41" s="214"/>
      <c r="HOI41" s="214"/>
      <c r="HOJ41" s="214"/>
      <c r="HOK41" s="214"/>
      <c r="HOL41" s="214"/>
      <c r="HOM41" s="214"/>
      <c r="HON41" s="214"/>
      <c r="HOO41" s="214"/>
      <c r="HOP41" s="214"/>
      <c r="HOQ41" s="214"/>
      <c r="HOR41" s="214"/>
      <c r="HOS41" s="214"/>
      <c r="HOT41" s="214"/>
      <c r="HOU41" s="214"/>
      <c r="HOV41" s="214"/>
      <c r="HOW41" s="214"/>
      <c r="HOX41" s="214"/>
      <c r="HOY41" s="214"/>
      <c r="HOZ41" s="214"/>
      <c r="HPA41" s="214"/>
      <c r="HPB41" s="214"/>
      <c r="HPC41" s="214"/>
      <c r="HPD41" s="214"/>
      <c r="HPE41" s="214"/>
      <c r="HPF41" s="214"/>
      <c r="HPG41" s="214"/>
      <c r="HPH41" s="214"/>
      <c r="HPI41" s="214"/>
      <c r="HPJ41" s="214"/>
      <c r="HPK41" s="214"/>
      <c r="HPL41" s="214"/>
      <c r="HPM41" s="214"/>
      <c r="HPN41" s="214"/>
      <c r="HPO41" s="214"/>
      <c r="HPP41" s="214"/>
      <c r="HPQ41" s="214"/>
      <c r="HPR41" s="214"/>
      <c r="HPS41" s="214"/>
      <c r="HPT41" s="214"/>
      <c r="HPU41" s="214"/>
      <c r="HPV41" s="214"/>
      <c r="HPW41" s="214"/>
      <c r="HPX41" s="214"/>
      <c r="HPY41" s="214"/>
      <c r="HPZ41" s="214"/>
      <c r="HQA41" s="214"/>
      <c r="HQB41" s="214"/>
      <c r="HQC41" s="214"/>
      <c r="HQD41" s="214"/>
      <c r="HQE41" s="214"/>
      <c r="HQF41" s="214"/>
      <c r="HQG41" s="214"/>
      <c r="HQH41" s="214"/>
      <c r="HQI41" s="214"/>
      <c r="HQJ41" s="214"/>
      <c r="HQK41" s="214"/>
      <c r="HQL41" s="214"/>
      <c r="HQM41" s="214"/>
      <c r="HQN41" s="214"/>
      <c r="HQO41" s="214"/>
      <c r="HQP41" s="214"/>
      <c r="HQQ41" s="214"/>
      <c r="HQR41" s="214"/>
      <c r="HQS41" s="214"/>
      <c r="HQT41" s="214"/>
      <c r="HQU41" s="214"/>
      <c r="HQV41" s="214"/>
      <c r="HQW41" s="214"/>
      <c r="HQX41" s="214"/>
      <c r="HQY41" s="214"/>
      <c r="HQZ41" s="214"/>
      <c r="HRA41" s="214"/>
      <c r="HRB41" s="214"/>
      <c r="HRC41" s="214"/>
      <c r="HRD41" s="214"/>
      <c r="HRE41" s="214"/>
      <c r="HRF41" s="214"/>
      <c r="HRG41" s="214"/>
      <c r="HRH41" s="214"/>
      <c r="HRI41" s="214"/>
      <c r="HRJ41" s="214"/>
      <c r="HRK41" s="214"/>
      <c r="HRL41" s="214"/>
      <c r="HRM41" s="214"/>
      <c r="HRN41" s="214"/>
      <c r="HRO41" s="214"/>
      <c r="HRP41" s="214"/>
      <c r="HRQ41" s="214"/>
      <c r="HRR41" s="214"/>
      <c r="HRS41" s="214"/>
      <c r="HRT41" s="214"/>
      <c r="HRU41" s="214"/>
      <c r="HRV41" s="214"/>
      <c r="HRW41" s="214"/>
      <c r="HRX41" s="214"/>
      <c r="HRY41" s="214"/>
      <c r="HRZ41" s="214"/>
      <c r="HSA41" s="214"/>
      <c r="HSB41" s="214"/>
      <c r="HSC41" s="214"/>
      <c r="HSD41" s="214"/>
      <c r="HSE41" s="214"/>
      <c r="HSF41" s="214"/>
      <c r="HSG41" s="214"/>
      <c r="HSH41" s="214"/>
      <c r="HSI41" s="214"/>
      <c r="HSJ41" s="214"/>
      <c r="HSK41" s="214"/>
      <c r="HSL41" s="214"/>
      <c r="HSM41" s="214"/>
      <c r="HSN41" s="214"/>
      <c r="HSO41" s="214"/>
      <c r="HSP41" s="214"/>
      <c r="HSQ41" s="214"/>
      <c r="HSR41" s="214"/>
      <c r="HSS41" s="214"/>
      <c r="HST41" s="214"/>
      <c r="HSU41" s="214"/>
      <c r="HSV41" s="214"/>
      <c r="HSW41" s="214"/>
      <c r="HSX41" s="214"/>
      <c r="HSY41" s="214"/>
      <c r="HSZ41" s="214"/>
      <c r="HTA41" s="214"/>
      <c r="HTB41" s="214"/>
      <c r="HTC41" s="214"/>
      <c r="HTD41" s="214"/>
      <c r="HTE41" s="214"/>
      <c r="HTF41" s="214"/>
      <c r="HTG41" s="214"/>
      <c r="HTH41" s="214"/>
      <c r="HTI41" s="214"/>
      <c r="HTJ41" s="214"/>
      <c r="HTK41" s="214"/>
      <c r="HTL41" s="214"/>
      <c r="HTM41" s="214"/>
      <c r="HTN41" s="214"/>
      <c r="HTO41" s="214"/>
      <c r="HTP41" s="214"/>
      <c r="HTQ41" s="214"/>
      <c r="HTR41" s="214"/>
      <c r="HTS41" s="214"/>
      <c r="HTT41" s="214"/>
      <c r="HTU41" s="214"/>
      <c r="HTV41" s="214"/>
      <c r="HTW41" s="214"/>
      <c r="HTX41" s="214"/>
      <c r="HTY41" s="214"/>
      <c r="HTZ41" s="214"/>
      <c r="HUA41" s="214"/>
      <c r="HUB41" s="214"/>
      <c r="HUC41" s="214"/>
      <c r="HUD41" s="214"/>
      <c r="HUE41" s="214"/>
      <c r="HUF41" s="214"/>
      <c r="HUG41" s="214"/>
      <c r="HUH41" s="214"/>
      <c r="HUI41" s="214"/>
      <c r="HUJ41" s="214"/>
      <c r="HUK41" s="214"/>
      <c r="HUL41" s="214"/>
      <c r="HUM41" s="214"/>
      <c r="HUN41" s="214"/>
      <c r="HUO41" s="214"/>
      <c r="HUP41" s="214"/>
      <c r="HUQ41" s="214"/>
      <c r="HUR41" s="214"/>
      <c r="HUS41" s="214"/>
      <c r="HUT41" s="214"/>
      <c r="HUU41" s="214"/>
      <c r="HUV41" s="214"/>
      <c r="HUW41" s="214"/>
      <c r="HUX41" s="214"/>
      <c r="HUY41" s="214"/>
      <c r="HUZ41" s="214"/>
      <c r="HVA41" s="214"/>
      <c r="HVB41" s="214"/>
      <c r="HVC41" s="214"/>
      <c r="HVD41" s="214"/>
      <c r="HVE41" s="214"/>
      <c r="HVF41" s="214"/>
      <c r="HVG41" s="214"/>
      <c r="HVH41" s="214"/>
      <c r="HVI41" s="214"/>
      <c r="HVJ41" s="214"/>
      <c r="HVK41" s="214"/>
      <c r="HVL41" s="214"/>
      <c r="HVM41" s="214"/>
      <c r="HVN41" s="214"/>
      <c r="HVO41" s="214"/>
      <c r="HVP41" s="214"/>
      <c r="HVQ41" s="214"/>
      <c r="HVR41" s="214"/>
      <c r="HVS41" s="214"/>
      <c r="HVT41" s="214"/>
      <c r="HVU41" s="214"/>
      <c r="HVV41" s="214"/>
      <c r="HVW41" s="214"/>
      <c r="HVX41" s="214"/>
      <c r="HVY41" s="214"/>
      <c r="HVZ41" s="214"/>
      <c r="HWA41" s="214"/>
      <c r="HWB41" s="214"/>
      <c r="HWC41" s="214"/>
      <c r="HWD41" s="214"/>
      <c r="HWE41" s="214"/>
      <c r="HWF41" s="214"/>
      <c r="HWG41" s="214"/>
      <c r="HWH41" s="214"/>
      <c r="HWI41" s="214"/>
      <c r="HWJ41" s="214"/>
      <c r="HWK41" s="214"/>
      <c r="HWL41" s="214"/>
      <c r="HWM41" s="214"/>
      <c r="HWN41" s="214"/>
      <c r="HWO41" s="214"/>
      <c r="HWP41" s="214"/>
      <c r="HWQ41" s="214"/>
      <c r="HWR41" s="214"/>
      <c r="HWS41" s="214"/>
      <c r="HWT41" s="214"/>
      <c r="HWU41" s="214"/>
      <c r="HWV41" s="214"/>
      <c r="HWW41" s="214"/>
      <c r="HWX41" s="214"/>
      <c r="HWY41" s="214"/>
      <c r="HWZ41" s="214"/>
      <c r="HXA41" s="214"/>
      <c r="HXB41" s="214"/>
      <c r="HXC41" s="214"/>
      <c r="HXD41" s="214"/>
      <c r="HXE41" s="214"/>
      <c r="HXF41" s="214"/>
      <c r="HXG41" s="214"/>
      <c r="HXH41" s="214"/>
      <c r="HXI41" s="214"/>
      <c r="HXJ41" s="214"/>
      <c r="HXK41" s="214"/>
      <c r="HXL41" s="214"/>
      <c r="HXM41" s="214"/>
      <c r="HXN41" s="214"/>
      <c r="HXO41" s="214"/>
      <c r="HXP41" s="214"/>
      <c r="HXQ41" s="214"/>
      <c r="HXR41" s="214"/>
      <c r="HXS41" s="214"/>
      <c r="HXT41" s="214"/>
      <c r="HXU41" s="214"/>
      <c r="HXV41" s="214"/>
      <c r="HXW41" s="214"/>
      <c r="HXX41" s="214"/>
      <c r="HXY41" s="214"/>
      <c r="HXZ41" s="214"/>
      <c r="HYA41" s="214"/>
      <c r="HYB41" s="214"/>
      <c r="HYC41" s="214"/>
      <c r="HYD41" s="214"/>
      <c r="HYE41" s="214"/>
      <c r="HYF41" s="214"/>
      <c r="HYG41" s="214"/>
      <c r="HYH41" s="214"/>
      <c r="HYI41" s="214"/>
      <c r="HYJ41" s="214"/>
      <c r="HYK41" s="214"/>
      <c r="HYL41" s="214"/>
      <c r="HYM41" s="214"/>
      <c r="HYN41" s="214"/>
      <c r="HYO41" s="214"/>
      <c r="HYP41" s="214"/>
      <c r="HYQ41" s="214"/>
      <c r="HYR41" s="214"/>
      <c r="HYS41" s="214"/>
      <c r="HYT41" s="214"/>
      <c r="HYU41" s="214"/>
      <c r="HYV41" s="214"/>
      <c r="HYW41" s="214"/>
      <c r="HYX41" s="214"/>
      <c r="HYY41" s="214"/>
      <c r="HYZ41" s="214"/>
      <c r="HZA41" s="214"/>
      <c r="HZB41" s="214"/>
      <c r="HZC41" s="214"/>
      <c r="HZD41" s="214"/>
      <c r="HZE41" s="214"/>
      <c r="HZF41" s="214"/>
      <c r="HZG41" s="214"/>
      <c r="HZH41" s="214"/>
      <c r="HZI41" s="214"/>
      <c r="HZJ41" s="214"/>
      <c r="HZK41" s="214"/>
      <c r="HZL41" s="214"/>
      <c r="HZM41" s="214"/>
      <c r="HZN41" s="214"/>
      <c r="HZO41" s="214"/>
      <c r="HZP41" s="214"/>
      <c r="HZQ41" s="214"/>
      <c r="HZR41" s="214"/>
      <c r="HZS41" s="214"/>
      <c r="HZT41" s="214"/>
      <c r="HZU41" s="214"/>
      <c r="HZV41" s="214"/>
      <c r="HZW41" s="214"/>
      <c r="HZX41" s="214"/>
      <c r="HZY41" s="214"/>
      <c r="HZZ41" s="214"/>
      <c r="IAA41" s="214"/>
      <c r="IAB41" s="214"/>
      <c r="IAC41" s="214"/>
      <c r="IAD41" s="214"/>
      <c r="IAE41" s="214"/>
      <c r="IAF41" s="214"/>
      <c r="IAG41" s="214"/>
      <c r="IAH41" s="214"/>
      <c r="IAI41" s="214"/>
      <c r="IAJ41" s="214"/>
      <c r="IAK41" s="214"/>
      <c r="IAL41" s="214"/>
      <c r="IAM41" s="214"/>
      <c r="IAN41" s="214"/>
      <c r="IAO41" s="214"/>
      <c r="IAP41" s="214"/>
      <c r="IAQ41" s="214"/>
      <c r="IAR41" s="214"/>
      <c r="IAS41" s="214"/>
      <c r="IAT41" s="214"/>
      <c r="IAU41" s="214"/>
      <c r="IAV41" s="214"/>
      <c r="IAW41" s="214"/>
      <c r="IAX41" s="214"/>
      <c r="IAY41" s="214"/>
      <c r="IAZ41" s="214"/>
      <c r="IBA41" s="214"/>
      <c r="IBB41" s="214"/>
      <c r="IBC41" s="214"/>
      <c r="IBD41" s="214"/>
      <c r="IBE41" s="214"/>
      <c r="IBF41" s="214"/>
      <c r="IBG41" s="214"/>
      <c r="IBH41" s="214"/>
      <c r="IBI41" s="214"/>
      <c r="IBJ41" s="214"/>
      <c r="IBK41" s="214"/>
      <c r="IBL41" s="214"/>
      <c r="IBM41" s="214"/>
      <c r="IBN41" s="214"/>
      <c r="IBO41" s="214"/>
      <c r="IBP41" s="214"/>
      <c r="IBQ41" s="214"/>
      <c r="IBR41" s="214"/>
      <c r="IBS41" s="214"/>
      <c r="IBT41" s="214"/>
      <c r="IBU41" s="214"/>
      <c r="IBV41" s="214"/>
      <c r="IBW41" s="214"/>
      <c r="IBX41" s="214"/>
      <c r="IBY41" s="214"/>
      <c r="IBZ41" s="214"/>
      <c r="ICA41" s="214"/>
      <c r="ICB41" s="214"/>
      <c r="ICC41" s="214"/>
      <c r="ICD41" s="214"/>
      <c r="ICE41" s="214"/>
      <c r="ICF41" s="214"/>
      <c r="ICG41" s="214"/>
      <c r="ICH41" s="214"/>
      <c r="ICI41" s="214"/>
      <c r="ICJ41" s="214"/>
      <c r="ICK41" s="214"/>
      <c r="ICL41" s="214"/>
      <c r="ICM41" s="214"/>
      <c r="ICN41" s="214"/>
      <c r="ICO41" s="214"/>
      <c r="ICP41" s="214"/>
      <c r="ICQ41" s="214"/>
      <c r="ICR41" s="214"/>
      <c r="ICS41" s="214"/>
      <c r="ICT41" s="214"/>
      <c r="ICU41" s="214"/>
      <c r="ICV41" s="214"/>
      <c r="ICW41" s="214"/>
      <c r="ICX41" s="214"/>
      <c r="ICY41" s="214"/>
      <c r="ICZ41" s="214"/>
      <c r="IDA41" s="214"/>
      <c r="IDB41" s="214"/>
      <c r="IDC41" s="214"/>
      <c r="IDD41" s="214"/>
      <c r="IDE41" s="214"/>
      <c r="IDF41" s="214"/>
      <c r="IDG41" s="214"/>
      <c r="IDH41" s="214"/>
      <c r="IDI41" s="214"/>
      <c r="IDJ41" s="214"/>
      <c r="IDK41" s="214"/>
      <c r="IDL41" s="214"/>
      <c r="IDM41" s="214"/>
      <c r="IDN41" s="214"/>
      <c r="IDO41" s="214"/>
      <c r="IDP41" s="214"/>
      <c r="IDQ41" s="214"/>
      <c r="IDR41" s="214"/>
      <c r="IDS41" s="214"/>
      <c r="IDT41" s="214"/>
      <c r="IDU41" s="214"/>
      <c r="IDV41" s="214"/>
      <c r="IDW41" s="214"/>
      <c r="IDX41" s="214"/>
      <c r="IDY41" s="214"/>
      <c r="IDZ41" s="214"/>
      <c r="IEA41" s="214"/>
      <c r="IEB41" s="214"/>
      <c r="IEC41" s="214"/>
      <c r="IED41" s="214"/>
      <c r="IEE41" s="214"/>
      <c r="IEF41" s="214"/>
      <c r="IEG41" s="214"/>
      <c r="IEH41" s="214"/>
      <c r="IEI41" s="214"/>
      <c r="IEJ41" s="214"/>
      <c r="IEK41" s="214"/>
      <c r="IEL41" s="214"/>
      <c r="IEM41" s="214"/>
      <c r="IEN41" s="214"/>
      <c r="IEO41" s="214"/>
      <c r="IEP41" s="214"/>
      <c r="IEQ41" s="214"/>
      <c r="IER41" s="214"/>
      <c r="IES41" s="214"/>
      <c r="IET41" s="214"/>
      <c r="IEU41" s="214"/>
      <c r="IEV41" s="214"/>
      <c r="IEW41" s="214"/>
      <c r="IEX41" s="214"/>
      <c r="IEY41" s="214"/>
      <c r="IEZ41" s="214"/>
      <c r="IFA41" s="214"/>
      <c r="IFB41" s="214"/>
      <c r="IFC41" s="214"/>
      <c r="IFD41" s="214"/>
      <c r="IFE41" s="214"/>
      <c r="IFF41" s="214"/>
      <c r="IFG41" s="214"/>
      <c r="IFH41" s="214"/>
      <c r="IFI41" s="214"/>
      <c r="IFJ41" s="214"/>
      <c r="IFK41" s="214"/>
      <c r="IFL41" s="214"/>
      <c r="IFM41" s="214"/>
      <c r="IFN41" s="214"/>
      <c r="IFO41" s="214"/>
      <c r="IFP41" s="214"/>
      <c r="IFQ41" s="214"/>
      <c r="IFR41" s="214"/>
      <c r="IFS41" s="214"/>
      <c r="IFT41" s="214"/>
      <c r="IFU41" s="214"/>
      <c r="IFV41" s="214"/>
      <c r="IFW41" s="214"/>
      <c r="IFX41" s="214"/>
      <c r="IFY41" s="214"/>
      <c r="IFZ41" s="214"/>
      <c r="IGA41" s="214"/>
      <c r="IGB41" s="214"/>
      <c r="IGC41" s="214"/>
      <c r="IGD41" s="214"/>
      <c r="IGE41" s="214"/>
      <c r="IGF41" s="214"/>
      <c r="IGG41" s="214"/>
      <c r="IGH41" s="214"/>
      <c r="IGI41" s="214"/>
      <c r="IGJ41" s="214"/>
      <c r="IGK41" s="214"/>
      <c r="IGL41" s="214"/>
      <c r="IGM41" s="214"/>
      <c r="IGN41" s="214"/>
      <c r="IGO41" s="214"/>
      <c r="IGP41" s="214"/>
      <c r="IGQ41" s="214"/>
      <c r="IGR41" s="214"/>
      <c r="IGS41" s="214"/>
      <c r="IGT41" s="214"/>
      <c r="IGU41" s="214"/>
      <c r="IGV41" s="214"/>
      <c r="IGW41" s="214"/>
      <c r="IGX41" s="214"/>
      <c r="IGY41" s="214"/>
      <c r="IGZ41" s="214"/>
      <c r="IHA41" s="214"/>
      <c r="IHB41" s="214"/>
      <c r="IHC41" s="214"/>
      <c r="IHD41" s="214"/>
      <c r="IHE41" s="214"/>
      <c r="IHF41" s="214"/>
      <c r="IHG41" s="214"/>
      <c r="IHH41" s="214"/>
      <c r="IHI41" s="214"/>
      <c r="IHJ41" s="214"/>
      <c r="IHK41" s="214"/>
      <c r="IHL41" s="214"/>
      <c r="IHM41" s="214"/>
      <c r="IHN41" s="214"/>
      <c r="IHO41" s="214"/>
      <c r="IHP41" s="214"/>
      <c r="IHQ41" s="214"/>
      <c r="IHR41" s="214"/>
      <c r="IHS41" s="214"/>
      <c r="IHT41" s="214"/>
      <c r="IHU41" s="214"/>
      <c r="IHV41" s="214"/>
      <c r="IHW41" s="214"/>
      <c r="IHX41" s="214"/>
      <c r="IHY41" s="214"/>
      <c r="IHZ41" s="214"/>
      <c r="IIA41" s="214"/>
      <c r="IIB41" s="214"/>
      <c r="IIC41" s="214"/>
      <c r="IID41" s="214"/>
      <c r="IIE41" s="214"/>
      <c r="IIF41" s="214"/>
      <c r="IIG41" s="214"/>
      <c r="IIH41" s="214"/>
      <c r="III41" s="214"/>
      <c r="IIJ41" s="214"/>
      <c r="IIK41" s="214"/>
      <c r="IIL41" s="214"/>
      <c r="IIM41" s="214"/>
      <c r="IIN41" s="214"/>
      <c r="IIO41" s="214"/>
      <c r="IIP41" s="214"/>
      <c r="IIQ41" s="214"/>
      <c r="IIR41" s="214"/>
      <c r="IIS41" s="214"/>
      <c r="IIT41" s="214"/>
      <c r="IIU41" s="214"/>
      <c r="IIV41" s="214"/>
      <c r="IIW41" s="214"/>
      <c r="IIX41" s="214"/>
      <c r="IIY41" s="214"/>
      <c r="IIZ41" s="214"/>
      <c r="IJA41" s="214"/>
      <c r="IJB41" s="214"/>
      <c r="IJC41" s="214"/>
      <c r="IJD41" s="214"/>
      <c r="IJE41" s="214"/>
      <c r="IJF41" s="214"/>
      <c r="IJG41" s="214"/>
      <c r="IJH41" s="214"/>
      <c r="IJI41" s="214"/>
      <c r="IJJ41" s="214"/>
      <c r="IJK41" s="214"/>
      <c r="IJL41" s="214"/>
      <c r="IJM41" s="214"/>
      <c r="IJN41" s="214"/>
      <c r="IJO41" s="214"/>
      <c r="IJP41" s="214"/>
      <c r="IJQ41" s="214"/>
      <c r="IJR41" s="214"/>
      <c r="IJS41" s="214"/>
      <c r="IJT41" s="214"/>
      <c r="IJU41" s="214"/>
      <c r="IJV41" s="214"/>
      <c r="IJW41" s="214"/>
      <c r="IJX41" s="214"/>
      <c r="IJY41" s="214"/>
      <c r="IJZ41" s="214"/>
      <c r="IKA41" s="214"/>
      <c r="IKB41" s="214"/>
      <c r="IKC41" s="214"/>
      <c r="IKD41" s="214"/>
      <c r="IKE41" s="214"/>
      <c r="IKF41" s="214"/>
      <c r="IKG41" s="214"/>
      <c r="IKH41" s="214"/>
      <c r="IKI41" s="214"/>
      <c r="IKJ41" s="214"/>
      <c r="IKK41" s="214"/>
      <c r="IKL41" s="214"/>
      <c r="IKM41" s="214"/>
      <c r="IKN41" s="214"/>
      <c r="IKO41" s="214"/>
      <c r="IKP41" s="214"/>
      <c r="IKQ41" s="214"/>
      <c r="IKR41" s="214"/>
      <c r="IKS41" s="214"/>
      <c r="IKT41" s="214"/>
      <c r="IKU41" s="214"/>
      <c r="IKV41" s="214"/>
      <c r="IKW41" s="214"/>
      <c r="IKX41" s="214"/>
      <c r="IKY41" s="214"/>
      <c r="IKZ41" s="214"/>
      <c r="ILA41" s="214"/>
      <c r="ILB41" s="214"/>
      <c r="ILC41" s="214"/>
      <c r="ILD41" s="214"/>
      <c r="ILE41" s="214"/>
      <c r="ILF41" s="214"/>
      <c r="ILG41" s="214"/>
      <c r="ILH41" s="214"/>
      <c r="ILI41" s="214"/>
      <c r="ILJ41" s="214"/>
      <c r="ILK41" s="214"/>
      <c r="ILL41" s="214"/>
      <c r="ILM41" s="214"/>
      <c r="ILN41" s="214"/>
      <c r="ILO41" s="214"/>
      <c r="ILP41" s="214"/>
      <c r="ILQ41" s="214"/>
      <c r="ILR41" s="214"/>
      <c r="ILS41" s="214"/>
      <c r="ILT41" s="214"/>
      <c r="ILU41" s="214"/>
      <c r="ILV41" s="214"/>
      <c r="ILW41" s="214"/>
      <c r="ILX41" s="214"/>
      <c r="ILY41" s="214"/>
      <c r="ILZ41" s="214"/>
      <c r="IMA41" s="214"/>
      <c r="IMB41" s="214"/>
      <c r="IMC41" s="214"/>
      <c r="IMD41" s="214"/>
      <c r="IME41" s="214"/>
      <c r="IMF41" s="214"/>
      <c r="IMG41" s="214"/>
      <c r="IMH41" s="214"/>
      <c r="IMI41" s="214"/>
      <c r="IMJ41" s="214"/>
      <c r="IMK41" s="214"/>
      <c r="IML41" s="214"/>
      <c r="IMM41" s="214"/>
      <c r="IMN41" s="214"/>
      <c r="IMO41" s="214"/>
      <c r="IMP41" s="214"/>
      <c r="IMQ41" s="214"/>
      <c r="IMR41" s="214"/>
      <c r="IMS41" s="214"/>
      <c r="IMT41" s="214"/>
      <c r="IMU41" s="214"/>
      <c r="IMV41" s="214"/>
      <c r="IMW41" s="214"/>
      <c r="IMX41" s="214"/>
      <c r="IMY41" s="214"/>
      <c r="IMZ41" s="214"/>
      <c r="INA41" s="214"/>
      <c r="INB41" s="214"/>
      <c r="INC41" s="214"/>
      <c r="IND41" s="214"/>
      <c r="INE41" s="214"/>
      <c r="INF41" s="214"/>
      <c r="ING41" s="214"/>
      <c r="INH41" s="214"/>
      <c r="INI41" s="214"/>
      <c r="INJ41" s="214"/>
      <c r="INK41" s="214"/>
      <c r="INL41" s="214"/>
      <c r="INM41" s="214"/>
      <c r="INN41" s="214"/>
      <c r="INO41" s="214"/>
      <c r="INP41" s="214"/>
      <c r="INQ41" s="214"/>
      <c r="INR41" s="214"/>
      <c r="INS41" s="214"/>
      <c r="INT41" s="214"/>
      <c r="INU41" s="214"/>
      <c r="INV41" s="214"/>
      <c r="INW41" s="214"/>
      <c r="INX41" s="214"/>
      <c r="INY41" s="214"/>
      <c r="INZ41" s="214"/>
      <c r="IOA41" s="214"/>
      <c r="IOB41" s="214"/>
      <c r="IOC41" s="214"/>
      <c r="IOD41" s="214"/>
      <c r="IOE41" s="214"/>
      <c r="IOF41" s="214"/>
      <c r="IOG41" s="214"/>
      <c r="IOH41" s="214"/>
      <c r="IOI41" s="214"/>
      <c r="IOJ41" s="214"/>
      <c r="IOK41" s="214"/>
      <c r="IOL41" s="214"/>
      <c r="IOM41" s="214"/>
      <c r="ION41" s="214"/>
      <c r="IOO41" s="214"/>
      <c r="IOP41" s="214"/>
      <c r="IOQ41" s="214"/>
      <c r="IOR41" s="214"/>
      <c r="IOS41" s="214"/>
      <c r="IOT41" s="214"/>
      <c r="IOU41" s="214"/>
      <c r="IOV41" s="214"/>
      <c r="IOW41" s="214"/>
      <c r="IOX41" s="214"/>
      <c r="IOY41" s="214"/>
      <c r="IOZ41" s="214"/>
      <c r="IPA41" s="214"/>
      <c r="IPB41" s="214"/>
      <c r="IPC41" s="214"/>
      <c r="IPD41" s="214"/>
      <c r="IPE41" s="214"/>
      <c r="IPF41" s="214"/>
      <c r="IPG41" s="214"/>
      <c r="IPH41" s="214"/>
      <c r="IPI41" s="214"/>
      <c r="IPJ41" s="214"/>
      <c r="IPK41" s="214"/>
      <c r="IPL41" s="214"/>
      <c r="IPM41" s="214"/>
      <c r="IPN41" s="214"/>
      <c r="IPO41" s="214"/>
      <c r="IPP41" s="214"/>
      <c r="IPQ41" s="214"/>
      <c r="IPR41" s="214"/>
      <c r="IPS41" s="214"/>
      <c r="IPT41" s="214"/>
      <c r="IPU41" s="214"/>
      <c r="IPV41" s="214"/>
      <c r="IPW41" s="214"/>
      <c r="IPX41" s="214"/>
      <c r="IPY41" s="214"/>
      <c r="IPZ41" s="214"/>
      <c r="IQA41" s="214"/>
      <c r="IQB41" s="214"/>
      <c r="IQC41" s="214"/>
      <c r="IQD41" s="214"/>
      <c r="IQE41" s="214"/>
      <c r="IQF41" s="214"/>
      <c r="IQG41" s="214"/>
      <c r="IQH41" s="214"/>
      <c r="IQI41" s="214"/>
      <c r="IQJ41" s="214"/>
      <c r="IQK41" s="214"/>
      <c r="IQL41" s="214"/>
      <c r="IQM41" s="214"/>
      <c r="IQN41" s="214"/>
      <c r="IQO41" s="214"/>
      <c r="IQP41" s="214"/>
      <c r="IQQ41" s="214"/>
      <c r="IQR41" s="214"/>
      <c r="IQS41" s="214"/>
      <c r="IQT41" s="214"/>
      <c r="IQU41" s="214"/>
      <c r="IQV41" s="214"/>
      <c r="IQW41" s="214"/>
      <c r="IQX41" s="214"/>
      <c r="IQY41" s="214"/>
      <c r="IQZ41" s="214"/>
      <c r="IRA41" s="214"/>
      <c r="IRB41" s="214"/>
      <c r="IRC41" s="214"/>
      <c r="IRD41" s="214"/>
      <c r="IRE41" s="214"/>
      <c r="IRF41" s="214"/>
      <c r="IRG41" s="214"/>
      <c r="IRH41" s="214"/>
      <c r="IRI41" s="214"/>
      <c r="IRJ41" s="214"/>
      <c r="IRK41" s="214"/>
      <c r="IRL41" s="214"/>
      <c r="IRM41" s="214"/>
      <c r="IRN41" s="214"/>
      <c r="IRO41" s="214"/>
      <c r="IRP41" s="214"/>
      <c r="IRQ41" s="214"/>
      <c r="IRR41" s="214"/>
      <c r="IRS41" s="214"/>
      <c r="IRT41" s="214"/>
      <c r="IRU41" s="214"/>
      <c r="IRV41" s="214"/>
      <c r="IRW41" s="214"/>
      <c r="IRX41" s="214"/>
      <c r="IRY41" s="214"/>
      <c r="IRZ41" s="214"/>
      <c r="ISA41" s="214"/>
      <c r="ISB41" s="214"/>
      <c r="ISC41" s="214"/>
      <c r="ISD41" s="214"/>
      <c r="ISE41" s="214"/>
      <c r="ISF41" s="214"/>
      <c r="ISG41" s="214"/>
      <c r="ISH41" s="214"/>
      <c r="ISI41" s="214"/>
      <c r="ISJ41" s="214"/>
      <c r="ISK41" s="214"/>
      <c r="ISL41" s="214"/>
      <c r="ISM41" s="214"/>
      <c r="ISN41" s="214"/>
      <c r="ISO41" s="214"/>
      <c r="ISP41" s="214"/>
      <c r="ISQ41" s="214"/>
      <c r="ISR41" s="214"/>
      <c r="ISS41" s="214"/>
      <c r="IST41" s="214"/>
      <c r="ISU41" s="214"/>
      <c r="ISV41" s="214"/>
      <c r="ISW41" s="214"/>
      <c r="ISX41" s="214"/>
      <c r="ISY41" s="214"/>
      <c r="ISZ41" s="214"/>
      <c r="ITA41" s="214"/>
      <c r="ITB41" s="214"/>
      <c r="ITC41" s="214"/>
      <c r="ITD41" s="214"/>
      <c r="ITE41" s="214"/>
      <c r="ITF41" s="214"/>
      <c r="ITG41" s="214"/>
      <c r="ITH41" s="214"/>
      <c r="ITI41" s="214"/>
      <c r="ITJ41" s="214"/>
      <c r="ITK41" s="214"/>
      <c r="ITL41" s="214"/>
      <c r="ITM41" s="214"/>
      <c r="ITN41" s="214"/>
      <c r="ITO41" s="214"/>
      <c r="ITP41" s="214"/>
      <c r="ITQ41" s="214"/>
      <c r="ITR41" s="214"/>
      <c r="ITS41" s="214"/>
      <c r="ITT41" s="214"/>
      <c r="ITU41" s="214"/>
      <c r="ITV41" s="214"/>
      <c r="ITW41" s="214"/>
      <c r="ITX41" s="214"/>
      <c r="ITY41" s="214"/>
      <c r="ITZ41" s="214"/>
      <c r="IUA41" s="214"/>
      <c r="IUB41" s="214"/>
      <c r="IUC41" s="214"/>
      <c r="IUD41" s="214"/>
      <c r="IUE41" s="214"/>
      <c r="IUF41" s="214"/>
      <c r="IUG41" s="214"/>
      <c r="IUH41" s="214"/>
      <c r="IUI41" s="214"/>
      <c r="IUJ41" s="214"/>
      <c r="IUK41" s="214"/>
      <c r="IUL41" s="214"/>
      <c r="IUM41" s="214"/>
      <c r="IUN41" s="214"/>
      <c r="IUO41" s="214"/>
      <c r="IUP41" s="214"/>
      <c r="IUQ41" s="214"/>
      <c r="IUR41" s="214"/>
      <c r="IUS41" s="214"/>
      <c r="IUT41" s="214"/>
      <c r="IUU41" s="214"/>
      <c r="IUV41" s="214"/>
      <c r="IUW41" s="214"/>
      <c r="IUX41" s="214"/>
      <c r="IUY41" s="214"/>
      <c r="IUZ41" s="214"/>
      <c r="IVA41" s="214"/>
      <c r="IVB41" s="214"/>
      <c r="IVC41" s="214"/>
      <c r="IVD41" s="214"/>
      <c r="IVE41" s="214"/>
      <c r="IVF41" s="214"/>
      <c r="IVG41" s="214"/>
      <c r="IVH41" s="214"/>
      <c r="IVI41" s="214"/>
      <c r="IVJ41" s="214"/>
      <c r="IVK41" s="214"/>
      <c r="IVL41" s="214"/>
      <c r="IVM41" s="214"/>
      <c r="IVN41" s="214"/>
      <c r="IVO41" s="214"/>
      <c r="IVP41" s="214"/>
      <c r="IVQ41" s="214"/>
      <c r="IVR41" s="214"/>
      <c r="IVS41" s="214"/>
      <c r="IVT41" s="214"/>
      <c r="IVU41" s="214"/>
      <c r="IVV41" s="214"/>
      <c r="IVW41" s="214"/>
      <c r="IVX41" s="214"/>
      <c r="IVY41" s="214"/>
      <c r="IVZ41" s="214"/>
      <c r="IWA41" s="214"/>
      <c r="IWB41" s="214"/>
      <c r="IWC41" s="214"/>
      <c r="IWD41" s="214"/>
      <c r="IWE41" s="214"/>
      <c r="IWF41" s="214"/>
      <c r="IWG41" s="214"/>
      <c r="IWH41" s="214"/>
      <c r="IWI41" s="214"/>
      <c r="IWJ41" s="214"/>
      <c r="IWK41" s="214"/>
      <c r="IWL41" s="214"/>
      <c r="IWM41" s="214"/>
      <c r="IWN41" s="214"/>
      <c r="IWO41" s="214"/>
      <c r="IWP41" s="214"/>
      <c r="IWQ41" s="214"/>
      <c r="IWR41" s="214"/>
      <c r="IWS41" s="214"/>
      <c r="IWT41" s="214"/>
      <c r="IWU41" s="214"/>
      <c r="IWV41" s="214"/>
      <c r="IWW41" s="214"/>
      <c r="IWX41" s="214"/>
      <c r="IWY41" s="214"/>
      <c r="IWZ41" s="214"/>
      <c r="IXA41" s="214"/>
      <c r="IXB41" s="214"/>
      <c r="IXC41" s="214"/>
      <c r="IXD41" s="214"/>
      <c r="IXE41" s="214"/>
      <c r="IXF41" s="214"/>
      <c r="IXG41" s="214"/>
      <c r="IXH41" s="214"/>
      <c r="IXI41" s="214"/>
      <c r="IXJ41" s="214"/>
      <c r="IXK41" s="214"/>
      <c r="IXL41" s="214"/>
      <c r="IXM41" s="214"/>
      <c r="IXN41" s="214"/>
      <c r="IXO41" s="214"/>
      <c r="IXP41" s="214"/>
      <c r="IXQ41" s="214"/>
      <c r="IXR41" s="214"/>
      <c r="IXS41" s="214"/>
      <c r="IXT41" s="214"/>
      <c r="IXU41" s="214"/>
      <c r="IXV41" s="214"/>
      <c r="IXW41" s="214"/>
      <c r="IXX41" s="214"/>
      <c r="IXY41" s="214"/>
      <c r="IXZ41" s="214"/>
      <c r="IYA41" s="214"/>
      <c r="IYB41" s="214"/>
      <c r="IYC41" s="214"/>
      <c r="IYD41" s="214"/>
      <c r="IYE41" s="214"/>
      <c r="IYF41" s="214"/>
      <c r="IYG41" s="214"/>
      <c r="IYH41" s="214"/>
      <c r="IYI41" s="214"/>
      <c r="IYJ41" s="214"/>
      <c r="IYK41" s="214"/>
      <c r="IYL41" s="214"/>
      <c r="IYM41" s="214"/>
      <c r="IYN41" s="214"/>
      <c r="IYO41" s="214"/>
      <c r="IYP41" s="214"/>
      <c r="IYQ41" s="214"/>
      <c r="IYR41" s="214"/>
      <c r="IYS41" s="214"/>
      <c r="IYT41" s="214"/>
      <c r="IYU41" s="214"/>
      <c r="IYV41" s="214"/>
      <c r="IYW41" s="214"/>
      <c r="IYX41" s="214"/>
      <c r="IYY41" s="214"/>
      <c r="IYZ41" s="214"/>
      <c r="IZA41" s="214"/>
      <c r="IZB41" s="214"/>
      <c r="IZC41" s="214"/>
      <c r="IZD41" s="214"/>
      <c r="IZE41" s="214"/>
      <c r="IZF41" s="214"/>
      <c r="IZG41" s="214"/>
      <c r="IZH41" s="214"/>
      <c r="IZI41" s="214"/>
      <c r="IZJ41" s="214"/>
      <c r="IZK41" s="214"/>
      <c r="IZL41" s="214"/>
      <c r="IZM41" s="214"/>
      <c r="IZN41" s="214"/>
      <c r="IZO41" s="214"/>
      <c r="IZP41" s="214"/>
      <c r="IZQ41" s="214"/>
      <c r="IZR41" s="214"/>
      <c r="IZS41" s="214"/>
      <c r="IZT41" s="214"/>
      <c r="IZU41" s="214"/>
      <c r="IZV41" s="214"/>
      <c r="IZW41" s="214"/>
      <c r="IZX41" s="214"/>
      <c r="IZY41" s="214"/>
      <c r="IZZ41" s="214"/>
      <c r="JAA41" s="214"/>
      <c r="JAB41" s="214"/>
      <c r="JAC41" s="214"/>
      <c r="JAD41" s="214"/>
      <c r="JAE41" s="214"/>
      <c r="JAF41" s="214"/>
      <c r="JAG41" s="214"/>
      <c r="JAH41" s="214"/>
      <c r="JAI41" s="214"/>
      <c r="JAJ41" s="214"/>
      <c r="JAK41" s="214"/>
      <c r="JAL41" s="214"/>
      <c r="JAM41" s="214"/>
      <c r="JAN41" s="214"/>
      <c r="JAO41" s="214"/>
      <c r="JAP41" s="214"/>
      <c r="JAQ41" s="214"/>
      <c r="JAR41" s="214"/>
      <c r="JAS41" s="214"/>
      <c r="JAT41" s="214"/>
      <c r="JAU41" s="214"/>
      <c r="JAV41" s="214"/>
      <c r="JAW41" s="214"/>
      <c r="JAX41" s="214"/>
      <c r="JAY41" s="214"/>
      <c r="JAZ41" s="214"/>
      <c r="JBA41" s="214"/>
      <c r="JBB41" s="214"/>
      <c r="JBC41" s="214"/>
      <c r="JBD41" s="214"/>
      <c r="JBE41" s="214"/>
      <c r="JBF41" s="214"/>
      <c r="JBG41" s="214"/>
      <c r="JBH41" s="214"/>
      <c r="JBI41" s="214"/>
      <c r="JBJ41" s="214"/>
      <c r="JBK41" s="214"/>
      <c r="JBL41" s="214"/>
      <c r="JBM41" s="214"/>
      <c r="JBN41" s="214"/>
      <c r="JBO41" s="214"/>
      <c r="JBP41" s="214"/>
      <c r="JBQ41" s="214"/>
      <c r="JBR41" s="214"/>
      <c r="JBS41" s="214"/>
      <c r="JBT41" s="214"/>
      <c r="JBU41" s="214"/>
      <c r="JBV41" s="214"/>
      <c r="JBW41" s="214"/>
      <c r="JBX41" s="214"/>
      <c r="JBY41" s="214"/>
      <c r="JBZ41" s="214"/>
      <c r="JCA41" s="214"/>
      <c r="JCB41" s="214"/>
      <c r="JCC41" s="214"/>
      <c r="JCD41" s="214"/>
      <c r="JCE41" s="214"/>
      <c r="JCF41" s="214"/>
      <c r="JCG41" s="214"/>
      <c r="JCH41" s="214"/>
      <c r="JCI41" s="214"/>
      <c r="JCJ41" s="214"/>
      <c r="JCK41" s="214"/>
      <c r="JCL41" s="214"/>
      <c r="JCM41" s="214"/>
      <c r="JCN41" s="214"/>
      <c r="JCO41" s="214"/>
      <c r="JCP41" s="214"/>
      <c r="JCQ41" s="214"/>
      <c r="JCR41" s="214"/>
      <c r="JCS41" s="214"/>
      <c r="JCT41" s="214"/>
      <c r="JCU41" s="214"/>
      <c r="JCV41" s="214"/>
      <c r="JCW41" s="214"/>
      <c r="JCX41" s="214"/>
      <c r="JCY41" s="214"/>
      <c r="JCZ41" s="214"/>
      <c r="JDA41" s="214"/>
      <c r="JDB41" s="214"/>
      <c r="JDC41" s="214"/>
      <c r="JDD41" s="214"/>
      <c r="JDE41" s="214"/>
      <c r="JDF41" s="214"/>
      <c r="JDG41" s="214"/>
      <c r="JDH41" s="214"/>
      <c r="JDI41" s="214"/>
      <c r="JDJ41" s="214"/>
      <c r="JDK41" s="214"/>
      <c r="JDL41" s="214"/>
      <c r="JDM41" s="214"/>
      <c r="JDN41" s="214"/>
      <c r="JDO41" s="214"/>
      <c r="JDP41" s="214"/>
      <c r="JDQ41" s="214"/>
      <c r="JDR41" s="214"/>
      <c r="JDS41" s="214"/>
      <c r="JDT41" s="214"/>
      <c r="JDU41" s="214"/>
      <c r="JDV41" s="214"/>
      <c r="JDW41" s="214"/>
      <c r="JDX41" s="214"/>
      <c r="JDY41" s="214"/>
      <c r="JDZ41" s="214"/>
      <c r="JEA41" s="214"/>
      <c r="JEB41" s="214"/>
      <c r="JEC41" s="214"/>
      <c r="JED41" s="214"/>
      <c r="JEE41" s="214"/>
      <c r="JEF41" s="214"/>
      <c r="JEG41" s="214"/>
      <c r="JEH41" s="214"/>
      <c r="JEI41" s="214"/>
      <c r="JEJ41" s="214"/>
      <c r="JEK41" s="214"/>
      <c r="JEL41" s="214"/>
      <c r="JEM41" s="214"/>
      <c r="JEN41" s="214"/>
      <c r="JEO41" s="214"/>
      <c r="JEP41" s="214"/>
      <c r="JEQ41" s="214"/>
      <c r="JER41" s="214"/>
      <c r="JES41" s="214"/>
      <c r="JET41" s="214"/>
      <c r="JEU41" s="214"/>
      <c r="JEV41" s="214"/>
      <c r="JEW41" s="214"/>
      <c r="JEX41" s="214"/>
      <c r="JEY41" s="214"/>
      <c r="JEZ41" s="214"/>
      <c r="JFA41" s="214"/>
      <c r="JFB41" s="214"/>
      <c r="JFC41" s="214"/>
      <c r="JFD41" s="214"/>
      <c r="JFE41" s="214"/>
      <c r="JFF41" s="214"/>
      <c r="JFG41" s="214"/>
      <c r="JFH41" s="214"/>
      <c r="JFI41" s="214"/>
      <c r="JFJ41" s="214"/>
      <c r="JFK41" s="214"/>
      <c r="JFL41" s="214"/>
      <c r="JFM41" s="214"/>
      <c r="JFN41" s="214"/>
      <c r="JFO41" s="214"/>
      <c r="JFP41" s="214"/>
      <c r="JFQ41" s="214"/>
      <c r="JFR41" s="214"/>
      <c r="JFS41" s="214"/>
      <c r="JFT41" s="214"/>
      <c r="JFU41" s="214"/>
      <c r="JFV41" s="214"/>
      <c r="JFW41" s="214"/>
      <c r="JFX41" s="214"/>
      <c r="JFY41" s="214"/>
      <c r="JFZ41" s="214"/>
      <c r="JGA41" s="214"/>
      <c r="JGB41" s="214"/>
      <c r="JGC41" s="214"/>
      <c r="JGD41" s="214"/>
      <c r="JGE41" s="214"/>
      <c r="JGF41" s="214"/>
      <c r="JGG41" s="214"/>
      <c r="JGH41" s="214"/>
      <c r="JGI41" s="214"/>
      <c r="JGJ41" s="214"/>
      <c r="JGK41" s="214"/>
      <c r="JGL41" s="214"/>
      <c r="JGM41" s="214"/>
      <c r="JGN41" s="214"/>
      <c r="JGO41" s="214"/>
      <c r="JGP41" s="214"/>
      <c r="JGQ41" s="214"/>
      <c r="JGR41" s="214"/>
      <c r="JGS41" s="214"/>
      <c r="JGT41" s="214"/>
      <c r="JGU41" s="214"/>
      <c r="JGV41" s="214"/>
      <c r="JGW41" s="214"/>
      <c r="JGX41" s="214"/>
      <c r="JGY41" s="214"/>
      <c r="JGZ41" s="214"/>
      <c r="JHA41" s="214"/>
      <c r="JHB41" s="214"/>
      <c r="JHC41" s="214"/>
      <c r="JHD41" s="214"/>
      <c r="JHE41" s="214"/>
      <c r="JHF41" s="214"/>
      <c r="JHG41" s="214"/>
      <c r="JHH41" s="214"/>
      <c r="JHI41" s="214"/>
      <c r="JHJ41" s="214"/>
      <c r="JHK41" s="214"/>
      <c r="JHL41" s="214"/>
      <c r="JHM41" s="214"/>
      <c r="JHN41" s="214"/>
      <c r="JHO41" s="214"/>
      <c r="JHP41" s="214"/>
      <c r="JHQ41" s="214"/>
      <c r="JHR41" s="214"/>
      <c r="JHS41" s="214"/>
      <c r="JHT41" s="214"/>
      <c r="JHU41" s="214"/>
      <c r="JHV41" s="214"/>
      <c r="JHW41" s="214"/>
      <c r="JHX41" s="214"/>
      <c r="JHY41" s="214"/>
      <c r="JHZ41" s="214"/>
      <c r="JIA41" s="214"/>
      <c r="JIB41" s="214"/>
      <c r="JIC41" s="214"/>
      <c r="JID41" s="214"/>
      <c r="JIE41" s="214"/>
      <c r="JIF41" s="214"/>
      <c r="JIG41" s="214"/>
      <c r="JIH41" s="214"/>
      <c r="JII41" s="214"/>
      <c r="JIJ41" s="214"/>
      <c r="JIK41" s="214"/>
      <c r="JIL41" s="214"/>
      <c r="JIM41" s="214"/>
      <c r="JIN41" s="214"/>
      <c r="JIO41" s="214"/>
      <c r="JIP41" s="214"/>
      <c r="JIQ41" s="214"/>
      <c r="JIR41" s="214"/>
      <c r="JIS41" s="214"/>
      <c r="JIT41" s="214"/>
      <c r="JIU41" s="214"/>
      <c r="JIV41" s="214"/>
      <c r="JIW41" s="214"/>
      <c r="JIX41" s="214"/>
      <c r="JIY41" s="214"/>
      <c r="JIZ41" s="214"/>
      <c r="JJA41" s="214"/>
      <c r="JJB41" s="214"/>
      <c r="JJC41" s="214"/>
      <c r="JJD41" s="214"/>
      <c r="JJE41" s="214"/>
      <c r="JJF41" s="214"/>
      <c r="JJG41" s="214"/>
      <c r="JJH41" s="214"/>
      <c r="JJI41" s="214"/>
      <c r="JJJ41" s="214"/>
      <c r="JJK41" s="214"/>
      <c r="JJL41" s="214"/>
      <c r="JJM41" s="214"/>
      <c r="JJN41" s="214"/>
      <c r="JJO41" s="214"/>
      <c r="JJP41" s="214"/>
      <c r="JJQ41" s="214"/>
      <c r="JJR41" s="214"/>
      <c r="JJS41" s="214"/>
      <c r="JJT41" s="214"/>
      <c r="JJU41" s="214"/>
      <c r="JJV41" s="214"/>
      <c r="JJW41" s="214"/>
      <c r="JJX41" s="214"/>
      <c r="JJY41" s="214"/>
      <c r="JJZ41" s="214"/>
      <c r="JKA41" s="214"/>
      <c r="JKB41" s="214"/>
      <c r="JKC41" s="214"/>
      <c r="JKD41" s="214"/>
      <c r="JKE41" s="214"/>
      <c r="JKF41" s="214"/>
      <c r="JKG41" s="214"/>
      <c r="JKH41" s="214"/>
      <c r="JKI41" s="214"/>
      <c r="JKJ41" s="214"/>
      <c r="JKK41" s="214"/>
      <c r="JKL41" s="214"/>
      <c r="JKM41" s="214"/>
      <c r="JKN41" s="214"/>
      <c r="JKO41" s="214"/>
      <c r="JKP41" s="214"/>
      <c r="JKQ41" s="214"/>
      <c r="JKR41" s="214"/>
      <c r="JKS41" s="214"/>
      <c r="JKT41" s="214"/>
      <c r="JKU41" s="214"/>
      <c r="JKV41" s="214"/>
      <c r="JKW41" s="214"/>
      <c r="JKX41" s="214"/>
      <c r="JKY41" s="214"/>
      <c r="JKZ41" s="214"/>
      <c r="JLA41" s="214"/>
      <c r="JLB41" s="214"/>
      <c r="JLC41" s="214"/>
      <c r="JLD41" s="214"/>
      <c r="JLE41" s="214"/>
      <c r="JLF41" s="214"/>
      <c r="JLG41" s="214"/>
      <c r="JLH41" s="214"/>
      <c r="JLI41" s="214"/>
      <c r="JLJ41" s="214"/>
      <c r="JLK41" s="214"/>
      <c r="JLL41" s="214"/>
      <c r="JLM41" s="214"/>
      <c r="JLN41" s="214"/>
      <c r="JLO41" s="214"/>
      <c r="JLP41" s="214"/>
      <c r="JLQ41" s="214"/>
      <c r="JLR41" s="214"/>
      <c r="JLS41" s="214"/>
      <c r="JLT41" s="214"/>
      <c r="JLU41" s="214"/>
      <c r="JLV41" s="214"/>
      <c r="JLW41" s="214"/>
      <c r="JLX41" s="214"/>
      <c r="JLY41" s="214"/>
      <c r="JLZ41" s="214"/>
      <c r="JMA41" s="214"/>
      <c r="JMB41" s="214"/>
      <c r="JMC41" s="214"/>
      <c r="JMD41" s="214"/>
      <c r="JME41" s="214"/>
      <c r="JMF41" s="214"/>
      <c r="JMG41" s="214"/>
      <c r="JMH41" s="214"/>
      <c r="JMI41" s="214"/>
      <c r="JMJ41" s="214"/>
      <c r="JMK41" s="214"/>
      <c r="JML41" s="214"/>
      <c r="JMM41" s="214"/>
      <c r="JMN41" s="214"/>
      <c r="JMO41" s="214"/>
      <c r="JMP41" s="214"/>
      <c r="JMQ41" s="214"/>
      <c r="JMR41" s="214"/>
      <c r="JMS41" s="214"/>
      <c r="JMT41" s="214"/>
      <c r="JMU41" s="214"/>
      <c r="JMV41" s="214"/>
      <c r="JMW41" s="214"/>
      <c r="JMX41" s="214"/>
      <c r="JMY41" s="214"/>
      <c r="JMZ41" s="214"/>
      <c r="JNA41" s="214"/>
      <c r="JNB41" s="214"/>
      <c r="JNC41" s="214"/>
      <c r="JND41" s="214"/>
      <c r="JNE41" s="214"/>
      <c r="JNF41" s="214"/>
      <c r="JNG41" s="214"/>
      <c r="JNH41" s="214"/>
      <c r="JNI41" s="214"/>
      <c r="JNJ41" s="214"/>
      <c r="JNK41" s="214"/>
      <c r="JNL41" s="214"/>
      <c r="JNM41" s="214"/>
      <c r="JNN41" s="214"/>
      <c r="JNO41" s="214"/>
      <c r="JNP41" s="214"/>
      <c r="JNQ41" s="214"/>
      <c r="JNR41" s="214"/>
      <c r="JNS41" s="214"/>
      <c r="JNT41" s="214"/>
      <c r="JNU41" s="214"/>
      <c r="JNV41" s="214"/>
      <c r="JNW41" s="214"/>
      <c r="JNX41" s="214"/>
      <c r="JNY41" s="214"/>
      <c r="JNZ41" s="214"/>
      <c r="JOA41" s="214"/>
      <c r="JOB41" s="214"/>
      <c r="JOC41" s="214"/>
      <c r="JOD41" s="214"/>
      <c r="JOE41" s="214"/>
      <c r="JOF41" s="214"/>
      <c r="JOG41" s="214"/>
      <c r="JOH41" s="214"/>
      <c r="JOI41" s="214"/>
      <c r="JOJ41" s="214"/>
      <c r="JOK41" s="214"/>
      <c r="JOL41" s="214"/>
      <c r="JOM41" s="214"/>
      <c r="JON41" s="214"/>
      <c r="JOO41" s="214"/>
      <c r="JOP41" s="214"/>
      <c r="JOQ41" s="214"/>
      <c r="JOR41" s="214"/>
      <c r="JOS41" s="214"/>
      <c r="JOT41" s="214"/>
      <c r="JOU41" s="214"/>
      <c r="JOV41" s="214"/>
      <c r="JOW41" s="214"/>
      <c r="JOX41" s="214"/>
      <c r="JOY41" s="214"/>
      <c r="JOZ41" s="214"/>
      <c r="JPA41" s="214"/>
      <c r="JPB41" s="214"/>
      <c r="JPC41" s="214"/>
      <c r="JPD41" s="214"/>
      <c r="JPE41" s="214"/>
      <c r="JPF41" s="214"/>
      <c r="JPG41" s="214"/>
      <c r="JPH41" s="214"/>
      <c r="JPI41" s="214"/>
      <c r="JPJ41" s="214"/>
      <c r="JPK41" s="214"/>
      <c r="JPL41" s="214"/>
      <c r="JPM41" s="214"/>
      <c r="JPN41" s="214"/>
      <c r="JPO41" s="214"/>
      <c r="JPP41" s="214"/>
      <c r="JPQ41" s="214"/>
      <c r="JPR41" s="214"/>
      <c r="JPS41" s="214"/>
      <c r="JPT41" s="214"/>
      <c r="JPU41" s="214"/>
      <c r="JPV41" s="214"/>
      <c r="JPW41" s="214"/>
      <c r="JPX41" s="214"/>
      <c r="JPY41" s="214"/>
      <c r="JPZ41" s="214"/>
      <c r="JQA41" s="214"/>
      <c r="JQB41" s="214"/>
      <c r="JQC41" s="214"/>
      <c r="JQD41" s="214"/>
      <c r="JQE41" s="214"/>
      <c r="JQF41" s="214"/>
      <c r="JQG41" s="214"/>
      <c r="JQH41" s="214"/>
      <c r="JQI41" s="214"/>
      <c r="JQJ41" s="214"/>
      <c r="JQK41" s="214"/>
      <c r="JQL41" s="214"/>
      <c r="JQM41" s="214"/>
      <c r="JQN41" s="214"/>
      <c r="JQO41" s="214"/>
      <c r="JQP41" s="214"/>
      <c r="JQQ41" s="214"/>
      <c r="JQR41" s="214"/>
      <c r="JQS41" s="214"/>
      <c r="JQT41" s="214"/>
      <c r="JQU41" s="214"/>
      <c r="JQV41" s="214"/>
      <c r="JQW41" s="214"/>
      <c r="JQX41" s="214"/>
      <c r="JQY41" s="214"/>
      <c r="JQZ41" s="214"/>
      <c r="JRA41" s="214"/>
      <c r="JRB41" s="214"/>
      <c r="JRC41" s="214"/>
      <c r="JRD41" s="214"/>
      <c r="JRE41" s="214"/>
      <c r="JRF41" s="214"/>
      <c r="JRG41" s="214"/>
      <c r="JRH41" s="214"/>
      <c r="JRI41" s="214"/>
      <c r="JRJ41" s="214"/>
      <c r="JRK41" s="214"/>
      <c r="JRL41" s="214"/>
      <c r="JRM41" s="214"/>
      <c r="JRN41" s="214"/>
      <c r="JRO41" s="214"/>
      <c r="JRP41" s="214"/>
      <c r="JRQ41" s="214"/>
      <c r="JRR41" s="214"/>
      <c r="JRS41" s="214"/>
      <c r="JRT41" s="214"/>
      <c r="JRU41" s="214"/>
      <c r="JRV41" s="214"/>
      <c r="JRW41" s="214"/>
      <c r="JRX41" s="214"/>
      <c r="JRY41" s="214"/>
      <c r="JRZ41" s="214"/>
      <c r="JSA41" s="214"/>
      <c r="JSB41" s="214"/>
      <c r="JSC41" s="214"/>
      <c r="JSD41" s="214"/>
      <c r="JSE41" s="214"/>
      <c r="JSF41" s="214"/>
      <c r="JSG41" s="214"/>
      <c r="JSH41" s="214"/>
      <c r="JSI41" s="214"/>
      <c r="JSJ41" s="214"/>
      <c r="JSK41" s="214"/>
      <c r="JSL41" s="214"/>
      <c r="JSM41" s="214"/>
      <c r="JSN41" s="214"/>
      <c r="JSO41" s="214"/>
      <c r="JSP41" s="214"/>
      <c r="JSQ41" s="214"/>
      <c r="JSR41" s="214"/>
      <c r="JSS41" s="214"/>
      <c r="JST41" s="214"/>
      <c r="JSU41" s="214"/>
      <c r="JSV41" s="214"/>
      <c r="JSW41" s="214"/>
      <c r="JSX41" s="214"/>
      <c r="JSY41" s="214"/>
      <c r="JSZ41" s="214"/>
      <c r="JTA41" s="214"/>
      <c r="JTB41" s="214"/>
      <c r="JTC41" s="214"/>
      <c r="JTD41" s="214"/>
      <c r="JTE41" s="214"/>
      <c r="JTF41" s="214"/>
      <c r="JTG41" s="214"/>
      <c r="JTH41" s="214"/>
      <c r="JTI41" s="214"/>
      <c r="JTJ41" s="214"/>
      <c r="JTK41" s="214"/>
      <c r="JTL41" s="214"/>
      <c r="JTM41" s="214"/>
      <c r="JTN41" s="214"/>
      <c r="JTO41" s="214"/>
      <c r="JTP41" s="214"/>
      <c r="JTQ41" s="214"/>
      <c r="JTR41" s="214"/>
      <c r="JTS41" s="214"/>
      <c r="JTT41" s="214"/>
      <c r="JTU41" s="214"/>
      <c r="JTV41" s="214"/>
      <c r="JTW41" s="214"/>
      <c r="JTX41" s="214"/>
      <c r="JTY41" s="214"/>
      <c r="JTZ41" s="214"/>
      <c r="JUA41" s="214"/>
      <c r="JUB41" s="214"/>
      <c r="JUC41" s="214"/>
      <c r="JUD41" s="214"/>
      <c r="JUE41" s="214"/>
      <c r="JUF41" s="214"/>
      <c r="JUG41" s="214"/>
      <c r="JUH41" s="214"/>
      <c r="JUI41" s="214"/>
      <c r="JUJ41" s="214"/>
      <c r="JUK41" s="214"/>
      <c r="JUL41" s="214"/>
      <c r="JUM41" s="214"/>
      <c r="JUN41" s="214"/>
      <c r="JUO41" s="214"/>
      <c r="JUP41" s="214"/>
      <c r="JUQ41" s="214"/>
      <c r="JUR41" s="214"/>
      <c r="JUS41" s="214"/>
      <c r="JUT41" s="214"/>
      <c r="JUU41" s="214"/>
      <c r="JUV41" s="214"/>
      <c r="JUW41" s="214"/>
      <c r="JUX41" s="214"/>
      <c r="JUY41" s="214"/>
      <c r="JUZ41" s="214"/>
      <c r="JVA41" s="214"/>
      <c r="JVB41" s="214"/>
      <c r="JVC41" s="214"/>
      <c r="JVD41" s="214"/>
      <c r="JVE41" s="214"/>
      <c r="JVF41" s="214"/>
      <c r="JVG41" s="214"/>
      <c r="JVH41" s="214"/>
      <c r="JVI41" s="214"/>
      <c r="JVJ41" s="214"/>
      <c r="JVK41" s="214"/>
      <c r="JVL41" s="214"/>
      <c r="JVM41" s="214"/>
      <c r="JVN41" s="214"/>
      <c r="JVO41" s="214"/>
      <c r="JVP41" s="214"/>
      <c r="JVQ41" s="214"/>
      <c r="JVR41" s="214"/>
      <c r="JVS41" s="214"/>
      <c r="JVT41" s="214"/>
      <c r="JVU41" s="214"/>
      <c r="JVV41" s="214"/>
      <c r="JVW41" s="214"/>
      <c r="JVX41" s="214"/>
      <c r="JVY41" s="214"/>
      <c r="JVZ41" s="214"/>
      <c r="JWA41" s="214"/>
      <c r="JWB41" s="214"/>
      <c r="JWC41" s="214"/>
      <c r="JWD41" s="214"/>
      <c r="JWE41" s="214"/>
      <c r="JWF41" s="214"/>
      <c r="JWG41" s="214"/>
      <c r="JWH41" s="214"/>
      <c r="JWI41" s="214"/>
      <c r="JWJ41" s="214"/>
      <c r="JWK41" s="214"/>
      <c r="JWL41" s="214"/>
      <c r="JWM41" s="214"/>
      <c r="JWN41" s="214"/>
      <c r="JWO41" s="214"/>
      <c r="JWP41" s="214"/>
      <c r="JWQ41" s="214"/>
      <c r="JWR41" s="214"/>
      <c r="JWS41" s="214"/>
      <c r="JWT41" s="214"/>
      <c r="JWU41" s="214"/>
      <c r="JWV41" s="214"/>
      <c r="JWW41" s="214"/>
      <c r="JWX41" s="214"/>
      <c r="JWY41" s="214"/>
      <c r="JWZ41" s="214"/>
      <c r="JXA41" s="214"/>
      <c r="JXB41" s="214"/>
      <c r="JXC41" s="214"/>
      <c r="JXD41" s="214"/>
      <c r="JXE41" s="214"/>
      <c r="JXF41" s="214"/>
      <c r="JXG41" s="214"/>
      <c r="JXH41" s="214"/>
      <c r="JXI41" s="214"/>
      <c r="JXJ41" s="214"/>
      <c r="JXK41" s="214"/>
      <c r="JXL41" s="214"/>
      <c r="JXM41" s="214"/>
      <c r="JXN41" s="214"/>
      <c r="JXO41" s="214"/>
      <c r="JXP41" s="214"/>
      <c r="JXQ41" s="214"/>
      <c r="JXR41" s="214"/>
      <c r="JXS41" s="214"/>
      <c r="JXT41" s="214"/>
      <c r="JXU41" s="214"/>
      <c r="JXV41" s="214"/>
      <c r="JXW41" s="214"/>
      <c r="JXX41" s="214"/>
      <c r="JXY41" s="214"/>
      <c r="JXZ41" s="214"/>
      <c r="JYA41" s="214"/>
      <c r="JYB41" s="214"/>
      <c r="JYC41" s="214"/>
      <c r="JYD41" s="214"/>
      <c r="JYE41" s="214"/>
      <c r="JYF41" s="214"/>
      <c r="JYG41" s="214"/>
      <c r="JYH41" s="214"/>
      <c r="JYI41" s="214"/>
      <c r="JYJ41" s="214"/>
      <c r="JYK41" s="214"/>
      <c r="JYL41" s="214"/>
      <c r="JYM41" s="214"/>
      <c r="JYN41" s="214"/>
      <c r="JYO41" s="214"/>
      <c r="JYP41" s="214"/>
      <c r="JYQ41" s="214"/>
      <c r="JYR41" s="214"/>
      <c r="JYS41" s="214"/>
      <c r="JYT41" s="214"/>
      <c r="JYU41" s="214"/>
      <c r="JYV41" s="214"/>
      <c r="JYW41" s="214"/>
      <c r="JYX41" s="214"/>
      <c r="JYY41" s="214"/>
      <c r="JYZ41" s="214"/>
      <c r="JZA41" s="214"/>
      <c r="JZB41" s="214"/>
      <c r="JZC41" s="214"/>
      <c r="JZD41" s="214"/>
      <c r="JZE41" s="214"/>
      <c r="JZF41" s="214"/>
      <c r="JZG41" s="214"/>
      <c r="JZH41" s="214"/>
      <c r="JZI41" s="214"/>
      <c r="JZJ41" s="214"/>
      <c r="JZK41" s="214"/>
      <c r="JZL41" s="214"/>
      <c r="JZM41" s="214"/>
      <c r="JZN41" s="214"/>
      <c r="JZO41" s="214"/>
      <c r="JZP41" s="214"/>
      <c r="JZQ41" s="214"/>
      <c r="JZR41" s="214"/>
      <c r="JZS41" s="214"/>
      <c r="JZT41" s="214"/>
      <c r="JZU41" s="214"/>
      <c r="JZV41" s="214"/>
      <c r="JZW41" s="214"/>
      <c r="JZX41" s="214"/>
      <c r="JZY41" s="214"/>
      <c r="JZZ41" s="214"/>
      <c r="KAA41" s="214"/>
      <c r="KAB41" s="214"/>
      <c r="KAC41" s="214"/>
      <c r="KAD41" s="214"/>
      <c r="KAE41" s="214"/>
      <c r="KAF41" s="214"/>
      <c r="KAG41" s="214"/>
      <c r="KAH41" s="214"/>
      <c r="KAI41" s="214"/>
      <c r="KAJ41" s="214"/>
      <c r="KAK41" s="214"/>
      <c r="KAL41" s="214"/>
      <c r="KAM41" s="214"/>
      <c r="KAN41" s="214"/>
      <c r="KAO41" s="214"/>
      <c r="KAP41" s="214"/>
      <c r="KAQ41" s="214"/>
      <c r="KAR41" s="214"/>
      <c r="KAS41" s="214"/>
      <c r="KAT41" s="214"/>
      <c r="KAU41" s="214"/>
      <c r="KAV41" s="214"/>
      <c r="KAW41" s="214"/>
      <c r="KAX41" s="214"/>
      <c r="KAY41" s="214"/>
      <c r="KAZ41" s="214"/>
      <c r="KBA41" s="214"/>
      <c r="KBB41" s="214"/>
      <c r="KBC41" s="214"/>
      <c r="KBD41" s="214"/>
      <c r="KBE41" s="214"/>
      <c r="KBF41" s="214"/>
      <c r="KBG41" s="214"/>
      <c r="KBH41" s="214"/>
      <c r="KBI41" s="214"/>
      <c r="KBJ41" s="214"/>
      <c r="KBK41" s="214"/>
      <c r="KBL41" s="214"/>
      <c r="KBM41" s="214"/>
      <c r="KBN41" s="214"/>
      <c r="KBO41" s="214"/>
      <c r="KBP41" s="214"/>
      <c r="KBQ41" s="214"/>
      <c r="KBR41" s="214"/>
      <c r="KBS41" s="214"/>
      <c r="KBT41" s="214"/>
      <c r="KBU41" s="214"/>
      <c r="KBV41" s="214"/>
      <c r="KBW41" s="214"/>
      <c r="KBX41" s="214"/>
      <c r="KBY41" s="214"/>
      <c r="KBZ41" s="214"/>
      <c r="KCA41" s="214"/>
      <c r="KCB41" s="214"/>
      <c r="KCC41" s="214"/>
      <c r="KCD41" s="214"/>
      <c r="KCE41" s="214"/>
      <c r="KCF41" s="214"/>
      <c r="KCG41" s="214"/>
      <c r="KCH41" s="214"/>
      <c r="KCI41" s="214"/>
      <c r="KCJ41" s="214"/>
      <c r="KCK41" s="214"/>
      <c r="KCL41" s="214"/>
      <c r="KCM41" s="214"/>
      <c r="KCN41" s="214"/>
      <c r="KCO41" s="214"/>
      <c r="KCP41" s="214"/>
      <c r="KCQ41" s="214"/>
      <c r="KCR41" s="214"/>
      <c r="KCS41" s="214"/>
      <c r="KCT41" s="214"/>
      <c r="KCU41" s="214"/>
      <c r="KCV41" s="214"/>
      <c r="KCW41" s="214"/>
      <c r="KCX41" s="214"/>
      <c r="KCY41" s="214"/>
      <c r="KCZ41" s="214"/>
      <c r="KDA41" s="214"/>
      <c r="KDB41" s="214"/>
      <c r="KDC41" s="214"/>
      <c r="KDD41" s="214"/>
      <c r="KDE41" s="214"/>
      <c r="KDF41" s="214"/>
      <c r="KDG41" s="214"/>
      <c r="KDH41" s="214"/>
      <c r="KDI41" s="214"/>
      <c r="KDJ41" s="214"/>
      <c r="KDK41" s="214"/>
      <c r="KDL41" s="214"/>
      <c r="KDM41" s="214"/>
      <c r="KDN41" s="214"/>
      <c r="KDO41" s="214"/>
      <c r="KDP41" s="214"/>
      <c r="KDQ41" s="214"/>
      <c r="KDR41" s="214"/>
      <c r="KDS41" s="214"/>
      <c r="KDT41" s="214"/>
      <c r="KDU41" s="214"/>
      <c r="KDV41" s="214"/>
      <c r="KDW41" s="214"/>
      <c r="KDX41" s="214"/>
      <c r="KDY41" s="214"/>
      <c r="KDZ41" s="214"/>
      <c r="KEA41" s="214"/>
      <c r="KEB41" s="214"/>
      <c r="KEC41" s="214"/>
      <c r="KED41" s="214"/>
      <c r="KEE41" s="214"/>
      <c r="KEF41" s="214"/>
      <c r="KEG41" s="214"/>
      <c r="KEH41" s="214"/>
      <c r="KEI41" s="214"/>
      <c r="KEJ41" s="214"/>
      <c r="KEK41" s="214"/>
      <c r="KEL41" s="214"/>
      <c r="KEM41" s="214"/>
      <c r="KEN41" s="214"/>
      <c r="KEO41" s="214"/>
      <c r="KEP41" s="214"/>
      <c r="KEQ41" s="214"/>
      <c r="KER41" s="214"/>
      <c r="KES41" s="214"/>
      <c r="KET41" s="214"/>
      <c r="KEU41" s="214"/>
      <c r="KEV41" s="214"/>
      <c r="KEW41" s="214"/>
      <c r="KEX41" s="214"/>
      <c r="KEY41" s="214"/>
      <c r="KEZ41" s="214"/>
      <c r="KFA41" s="214"/>
      <c r="KFB41" s="214"/>
      <c r="KFC41" s="214"/>
      <c r="KFD41" s="214"/>
      <c r="KFE41" s="214"/>
      <c r="KFF41" s="214"/>
      <c r="KFG41" s="214"/>
      <c r="KFH41" s="214"/>
      <c r="KFI41" s="214"/>
      <c r="KFJ41" s="214"/>
      <c r="KFK41" s="214"/>
      <c r="KFL41" s="214"/>
      <c r="KFM41" s="214"/>
      <c r="KFN41" s="214"/>
      <c r="KFO41" s="214"/>
      <c r="KFP41" s="214"/>
      <c r="KFQ41" s="214"/>
      <c r="KFR41" s="214"/>
      <c r="KFS41" s="214"/>
      <c r="KFT41" s="214"/>
      <c r="KFU41" s="214"/>
      <c r="KFV41" s="214"/>
      <c r="KFW41" s="214"/>
      <c r="KFX41" s="214"/>
      <c r="KFY41" s="214"/>
      <c r="KFZ41" s="214"/>
      <c r="KGA41" s="214"/>
      <c r="KGB41" s="214"/>
      <c r="KGC41" s="214"/>
      <c r="KGD41" s="214"/>
      <c r="KGE41" s="214"/>
      <c r="KGF41" s="214"/>
      <c r="KGG41" s="214"/>
      <c r="KGH41" s="214"/>
      <c r="KGI41" s="214"/>
      <c r="KGJ41" s="214"/>
      <c r="KGK41" s="214"/>
      <c r="KGL41" s="214"/>
      <c r="KGM41" s="214"/>
      <c r="KGN41" s="214"/>
      <c r="KGO41" s="214"/>
      <c r="KGP41" s="214"/>
      <c r="KGQ41" s="214"/>
      <c r="KGR41" s="214"/>
      <c r="KGS41" s="214"/>
      <c r="KGT41" s="214"/>
      <c r="KGU41" s="214"/>
      <c r="KGV41" s="214"/>
      <c r="KGW41" s="214"/>
      <c r="KGX41" s="214"/>
      <c r="KGY41" s="214"/>
      <c r="KGZ41" s="214"/>
      <c r="KHA41" s="214"/>
      <c r="KHB41" s="214"/>
      <c r="KHC41" s="214"/>
      <c r="KHD41" s="214"/>
      <c r="KHE41" s="214"/>
      <c r="KHF41" s="214"/>
      <c r="KHG41" s="214"/>
      <c r="KHH41" s="214"/>
      <c r="KHI41" s="214"/>
      <c r="KHJ41" s="214"/>
      <c r="KHK41" s="214"/>
      <c r="KHL41" s="214"/>
      <c r="KHM41" s="214"/>
      <c r="KHN41" s="214"/>
      <c r="KHO41" s="214"/>
      <c r="KHP41" s="214"/>
      <c r="KHQ41" s="214"/>
      <c r="KHR41" s="214"/>
      <c r="KHS41" s="214"/>
      <c r="KHT41" s="214"/>
      <c r="KHU41" s="214"/>
      <c r="KHV41" s="214"/>
      <c r="KHW41" s="214"/>
      <c r="KHX41" s="214"/>
      <c r="KHY41" s="214"/>
      <c r="KHZ41" s="214"/>
      <c r="KIA41" s="214"/>
      <c r="KIB41" s="214"/>
      <c r="KIC41" s="214"/>
      <c r="KID41" s="214"/>
      <c r="KIE41" s="214"/>
      <c r="KIF41" s="214"/>
      <c r="KIG41" s="214"/>
      <c r="KIH41" s="214"/>
      <c r="KII41" s="214"/>
      <c r="KIJ41" s="214"/>
      <c r="KIK41" s="214"/>
      <c r="KIL41" s="214"/>
      <c r="KIM41" s="214"/>
      <c r="KIN41" s="214"/>
      <c r="KIO41" s="214"/>
      <c r="KIP41" s="214"/>
      <c r="KIQ41" s="214"/>
      <c r="KIR41" s="214"/>
      <c r="KIS41" s="214"/>
      <c r="KIT41" s="214"/>
      <c r="KIU41" s="214"/>
      <c r="KIV41" s="214"/>
      <c r="KIW41" s="214"/>
      <c r="KIX41" s="214"/>
      <c r="KIY41" s="214"/>
      <c r="KIZ41" s="214"/>
      <c r="KJA41" s="214"/>
      <c r="KJB41" s="214"/>
      <c r="KJC41" s="214"/>
      <c r="KJD41" s="214"/>
      <c r="KJE41" s="214"/>
      <c r="KJF41" s="214"/>
      <c r="KJG41" s="214"/>
      <c r="KJH41" s="214"/>
      <c r="KJI41" s="214"/>
      <c r="KJJ41" s="214"/>
      <c r="KJK41" s="214"/>
      <c r="KJL41" s="214"/>
      <c r="KJM41" s="214"/>
      <c r="KJN41" s="214"/>
      <c r="KJO41" s="214"/>
      <c r="KJP41" s="214"/>
      <c r="KJQ41" s="214"/>
      <c r="KJR41" s="214"/>
      <c r="KJS41" s="214"/>
      <c r="KJT41" s="214"/>
      <c r="KJU41" s="214"/>
      <c r="KJV41" s="214"/>
      <c r="KJW41" s="214"/>
      <c r="KJX41" s="214"/>
      <c r="KJY41" s="214"/>
      <c r="KJZ41" s="214"/>
      <c r="KKA41" s="214"/>
      <c r="KKB41" s="214"/>
      <c r="KKC41" s="214"/>
      <c r="KKD41" s="214"/>
      <c r="KKE41" s="214"/>
      <c r="KKF41" s="214"/>
      <c r="KKG41" s="214"/>
      <c r="KKH41" s="214"/>
      <c r="KKI41" s="214"/>
      <c r="KKJ41" s="214"/>
      <c r="KKK41" s="214"/>
      <c r="KKL41" s="214"/>
      <c r="KKM41" s="214"/>
      <c r="KKN41" s="214"/>
      <c r="KKO41" s="214"/>
      <c r="KKP41" s="214"/>
      <c r="KKQ41" s="214"/>
      <c r="KKR41" s="214"/>
      <c r="KKS41" s="214"/>
      <c r="KKT41" s="214"/>
      <c r="KKU41" s="214"/>
      <c r="KKV41" s="214"/>
      <c r="KKW41" s="214"/>
      <c r="KKX41" s="214"/>
      <c r="KKY41" s="214"/>
      <c r="KKZ41" s="214"/>
      <c r="KLA41" s="214"/>
      <c r="KLB41" s="214"/>
      <c r="KLC41" s="214"/>
      <c r="KLD41" s="214"/>
      <c r="KLE41" s="214"/>
      <c r="KLF41" s="214"/>
      <c r="KLG41" s="214"/>
      <c r="KLH41" s="214"/>
      <c r="KLI41" s="214"/>
      <c r="KLJ41" s="214"/>
      <c r="KLK41" s="214"/>
      <c r="KLL41" s="214"/>
      <c r="KLM41" s="214"/>
      <c r="KLN41" s="214"/>
      <c r="KLO41" s="214"/>
      <c r="KLP41" s="214"/>
      <c r="KLQ41" s="214"/>
      <c r="KLR41" s="214"/>
      <c r="KLS41" s="214"/>
      <c r="KLT41" s="214"/>
      <c r="KLU41" s="214"/>
      <c r="KLV41" s="214"/>
      <c r="KLW41" s="214"/>
      <c r="KLX41" s="214"/>
      <c r="KLY41" s="214"/>
      <c r="KLZ41" s="214"/>
      <c r="KMA41" s="214"/>
      <c r="KMB41" s="214"/>
      <c r="KMC41" s="214"/>
      <c r="KMD41" s="214"/>
      <c r="KME41" s="214"/>
      <c r="KMF41" s="214"/>
      <c r="KMG41" s="214"/>
      <c r="KMH41" s="214"/>
      <c r="KMI41" s="214"/>
      <c r="KMJ41" s="214"/>
      <c r="KMK41" s="214"/>
      <c r="KML41" s="214"/>
      <c r="KMM41" s="214"/>
      <c r="KMN41" s="214"/>
      <c r="KMO41" s="214"/>
      <c r="KMP41" s="214"/>
      <c r="KMQ41" s="214"/>
      <c r="KMR41" s="214"/>
      <c r="KMS41" s="214"/>
      <c r="KMT41" s="214"/>
      <c r="KMU41" s="214"/>
      <c r="KMV41" s="214"/>
      <c r="KMW41" s="214"/>
      <c r="KMX41" s="214"/>
      <c r="KMY41" s="214"/>
      <c r="KMZ41" s="214"/>
      <c r="KNA41" s="214"/>
      <c r="KNB41" s="214"/>
      <c r="KNC41" s="214"/>
      <c r="KND41" s="214"/>
      <c r="KNE41" s="214"/>
      <c r="KNF41" s="214"/>
      <c r="KNG41" s="214"/>
      <c r="KNH41" s="214"/>
      <c r="KNI41" s="214"/>
      <c r="KNJ41" s="214"/>
      <c r="KNK41" s="214"/>
      <c r="KNL41" s="214"/>
      <c r="KNM41" s="214"/>
      <c r="KNN41" s="214"/>
      <c r="KNO41" s="214"/>
      <c r="KNP41" s="214"/>
      <c r="KNQ41" s="214"/>
      <c r="KNR41" s="214"/>
      <c r="KNS41" s="214"/>
      <c r="KNT41" s="214"/>
      <c r="KNU41" s="214"/>
      <c r="KNV41" s="214"/>
      <c r="KNW41" s="214"/>
      <c r="KNX41" s="214"/>
      <c r="KNY41" s="214"/>
      <c r="KNZ41" s="214"/>
      <c r="KOA41" s="214"/>
      <c r="KOB41" s="214"/>
      <c r="KOC41" s="214"/>
      <c r="KOD41" s="214"/>
      <c r="KOE41" s="214"/>
      <c r="KOF41" s="214"/>
      <c r="KOG41" s="214"/>
      <c r="KOH41" s="214"/>
      <c r="KOI41" s="214"/>
      <c r="KOJ41" s="214"/>
      <c r="KOK41" s="214"/>
      <c r="KOL41" s="214"/>
      <c r="KOM41" s="214"/>
      <c r="KON41" s="214"/>
      <c r="KOO41" s="214"/>
      <c r="KOP41" s="214"/>
      <c r="KOQ41" s="214"/>
      <c r="KOR41" s="214"/>
      <c r="KOS41" s="214"/>
      <c r="KOT41" s="214"/>
      <c r="KOU41" s="214"/>
      <c r="KOV41" s="214"/>
      <c r="KOW41" s="214"/>
      <c r="KOX41" s="214"/>
      <c r="KOY41" s="214"/>
      <c r="KOZ41" s="214"/>
      <c r="KPA41" s="214"/>
      <c r="KPB41" s="214"/>
      <c r="KPC41" s="214"/>
      <c r="KPD41" s="214"/>
      <c r="KPE41" s="214"/>
      <c r="KPF41" s="214"/>
      <c r="KPG41" s="214"/>
      <c r="KPH41" s="214"/>
      <c r="KPI41" s="214"/>
      <c r="KPJ41" s="214"/>
      <c r="KPK41" s="214"/>
      <c r="KPL41" s="214"/>
      <c r="KPM41" s="214"/>
      <c r="KPN41" s="214"/>
      <c r="KPO41" s="214"/>
      <c r="KPP41" s="214"/>
      <c r="KPQ41" s="214"/>
      <c r="KPR41" s="214"/>
      <c r="KPS41" s="214"/>
      <c r="KPT41" s="214"/>
      <c r="KPU41" s="214"/>
      <c r="KPV41" s="214"/>
      <c r="KPW41" s="214"/>
      <c r="KPX41" s="214"/>
      <c r="KPY41" s="214"/>
      <c r="KPZ41" s="214"/>
      <c r="KQA41" s="214"/>
      <c r="KQB41" s="214"/>
      <c r="KQC41" s="214"/>
      <c r="KQD41" s="214"/>
      <c r="KQE41" s="214"/>
      <c r="KQF41" s="214"/>
      <c r="KQG41" s="214"/>
      <c r="KQH41" s="214"/>
      <c r="KQI41" s="214"/>
      <c r="KQJ41" s="214"/>
      <c r="KQK41" s="214"/>
      <c r="KQL41" s="214"/>
      <c r="KQM41" s="214"/>
      <c r="KQN41" s="214"/>
      <c r="KQO41" s="214"/>
      <c r="KQP41" s="214"/>
      <c r="KQQ41" s="214"/>
      <c r="KQR41" s="214"/>
      <c r="KQS41" s="214"/>
      <c r="KQT41" s="214"/>
      <c r="KQU41" s="214"/>
      <c r="KQV41" s="214"/>
      <c r="KQW41" s="214"/>
      <c r="KQX41" s="214"/>
      <c r="KQY41" s="214"/>
      <c r="KQZ41" s="214"/>
      <c r="KRA41" s="214"/>
      <c r="KRB41" s="214"/>
      <c r="KRC41" s="214"/>
      <c r="KRD41" s="214"/>
      <c r="KRE41" s="214"/>
      <c r="KRF41" s="214"/>
      <c r="KRG41" s="214"/>
      <c r="KRH41" s="214"/>
      <c r="KRI41" s="214"/>
      <c r="KRJ41" s="214"/>
      <c r="KRK41" s="214"/>
      <c r="KRL41" s="214"/>
      <c r="KRM41" s="214"/>
      <c r="KRN41" s="214"/>
      <c r="KRO41" s="214"/>
      <c r="KRP41" s="214"/>
      <c r="KRQ41" s="214"/>
      <c r="KRR41" s="214"/>
      <c r="KRS41" s="214"/>
      <c r="KRT41" s="214"/>
      <c r="KRU41" s="214"/>
      <c r="KRV41" s="214"/>
      <c r="KRW41" s="214"/>
      <c r="KRX41" s="214"/>
      <c r="KRY41" s="214"/>
      <c r="KRZ41" s="214"/>
      <c r="KSA41" s="214"/>
      <c r="KSB41" s="214"/>
      <c r="KSC41" s="214"/>
      <c r="KSD41" s="214"/>
      <c r="KSE41" s="214"/>
      <c r="KSF41" s="214"/>
      <c r="KSG41" s="214"/>
      <c r="KSH41" s="214"/>
      <c r="KSI41" s="214"/>
      <c r="KSJ41" s="214"/>
      <c r="KSK41" s="214"/>
      <c r="KSL41" s="214"/>
      <c r="KSM41" s="214"/>
      <c r="KSN41" s="214"/>
      <c r="KSO41" s="214"/>
      <c r="KSP41" s="214"/>
      <c r="KSQ41" s="214"/>
      <c r="KSR41" s="214"/>
      <c r="KSS41" s="214"/>
      <c r="KST41" s="214"/>
      <c r="KSU41" s="214"/>
      <c r="KSV41" s="214"/>
      <c r="KSW41" s="214"/>
      <c r="KSX41" s="214"/>
      <c r="KSY41" s="214"/>
      <c r="KSZ41" s="214"/>
      <c r="KTA41" s="214"/>
      <c r="KTB41" s="214"/>
      <c r="KTC41" s="214"/>
      <c r="KTD41" s="214"/>
      <c r="KTE41" s="214"/>
      <c r="KTF41" s="214"/>
      <c r="KTG41" s="214"/>
      <c r="KTH41" s="214"/>
      <c r="KTI41" s="214"/>
      <c r="KTJ41" s="214"/>
      <c r="KTK41" s="214"/>
      <c r="KTL41" s="214"/>
      <c r="KTM41" s="214"/>
      <c r="KTN41" s="214"/>
      <c r="KTO41" s="214"/>
      <c r="KTP41" s="214"/>
      <c r="KTQ41" s="214"/>
      <c r="KTR41" s="214"/>
      <c r="KTS41" s="214"/>
      <c r="KTT41" s="214"/>
      <c r="KTU41" s="214"/>
      <c r="KTV41" s="214"/>
      <c r="KTW41" s="214"/>
      <c r="KTX41" s="214"/>
      <c r="KTY41" s="214"/>
      <c r="KTZ41" s="214"/>
      <c r="KUA41" s="214"/>
      <c r="KUB41" s="214"/>
      <c r="KUC41" s="214"/>
      <c r="KUD41" s="214"/>
      <c r="KUE41" s="214"/>
      <c r="KUF41" s="214"/>
      <c r="KUG41" s="214"/>
      <c r="KUH41" s="214"/>
      <c r="KUI41" s="214"/>
      <c r="KUJ41" s="214"/>
      <c r="KUK41" s="214"/>
      <c r="KUL41" s="214"/>
      <c r="KUM41" s="214"/>
      <c r="KUN41" s="214"/>
      <c r="KUO41" s="214"/>
      <c r="KUP41" s="214"/>
      <c r="KUQ41" s="214"/>
      <c r="KUR41" s="214"/>
      <c r="KUS41" s="214"/>
      <c r="KUT41" s="214"/>
      <c r="KUU41" s="214"/>
      <c r="KUV41" s="214"/>
      <c r="KUW41" s="214"/>
      <c r="KUX41" s="214"/>
      <c r="KUY41" s="214"/>
      <c r="KUZ41" s="214"/>
      <c r="KVA41" s="214"/>
      <c r="KVB41" s="214"/>
      <c r="KVC41" s="214"/>
      <c r="KVD41" s="214"/>
      <c r="KVE41" s="214"/>
      <c r="KVF41" s="214"/>
      <c r="KVG41" s="214"/>
      <c r="KVH41" s="214"/>
      <c r="KVI41" s="214"/>
      <c r="KVJ41" s="214"/>
      <c r="KVK41" s="214"/>
      <c r="KVL41" s="214"/>
      <c r="KVM41" s="214"/>
      <c r="KVN41" s="214"/>
      <c r="KVO41" s="214"/>
      <c r="KVP41" s="214"/>
      <c r="KVQ41" s="214"/>
      <c r="KVR41" s="214"/>
      <c r="KVS41" s="214"/>
      <c r="KVT41" s="214"/>
      <c r="KVU41" s="214"/>
      <c r="KVV41" s="214"/>
      <c r="KVW41" s="214"/>
      <c r="KVX41" s="214"/>
      <c r="KVY41" s="214"/>
      <c r="KVZ41" s="214"/>
      <c r="KWA41" s="214"/>
      <c r="KWB41" s="214"/>
      <c r="KWC41" s="214"/>
      <c r="KWD41" s="214"/>
      <c r="KWE41" s="214"/>
      <c r="KWF41" s="214"/>
      <c r="KWG41" s="214"/>
      <c r="KWH41" s="214"/>
      <c r="KWI41" s="214"/>
      <c r="KWJ41" s="214"/>
      <c r="KWK41" s="214"/>
      <c r="KWL41" s="214"/>
      <c r="KWM41" s="214"/>
      <c r="KWN41" s="214"/>
      <c r="KWO41" s="214"/>
      <c r="KWP41" s="214"/>
      <c r="KWQ41" s="214"/>
      <c r="KWR41" s="214"/>
      <c r="KWS41" s="214"/>
      <c r="KWT41" s="214"/>
      <c r="KWU41" s="214"/>
      <c r="KWV41" s="214"/>
      <c r="KWW41" s="214"/>
      <c r="KWX41" s="214"/>
      <c r="KWY41" s="214"/>
      <c r="KWZ41" s="214"/>
      <c r="KXA41" s="214"/>
      <c r="KXB41" s="214"/>
      <c r="KXC41" s="214"/>
      <c r="KXD41" s="214"/>
      <c r="KXE41" s="214"/>
      <c r="KXF41" s="214"/>
      <c r="KXG41" s="214"/>
      <c r="KXH41" s="214"/>
      <c r="KXI41" s="214"/>
      <c r="KXJ41" s="214"/>
      <c r="KXK41" s="214"/>
      <c r="KXL41" s="214"/>
      <c r="KXM41" s="214"/>
      <c r="KXN41" s="214"/>
      <c r="KXO41" s="214"/>
      <c r="KXP41" s="214"/>
      <c r="KXQ41" s="214"/>
      <c r="KXR41" s="214"/>
      <c r="KXS41" s="214"/>
      <c r="KXT41" s="214"/>
      <c r="KXU41" s="214"/>
      <c r="KXV41" s="214"/>
      <c r="KXW41" s="214"/>
      <c r="KXX41" s="214"/>
      <c r="KXY41" s="214"/>
      <c r="KXZ41" s="214"/>
      <c r="KYA41" s="214"/>
      <c r="KYB41" s="214"/>
      <c r="KYC41" s="214"/>
      <c r="KYD41" s="214"/>
      <c r="KYE41" s="214"/>
      <c r="KYF41" s="214"/>
      <c r="KYG41" s="214"/>
      <c r="KYH41" s="214"/>
      <c r="KYI41" s="214"/>
      <c r="KYJ41" s="214"/>
      <c r="KYK41" s="214"/>
      <c r="KYL41" s="214"/>
      <c r="KYM41" s="214"/>
      <c r="KYN41" s="214"/>
      <c r="KYO41" s="214"/>
      <c r="KYP41" s="214"/>
      <c r="KYQ41" s="214"/>
      <c r="KYR41" s="214"/>
      <c r="KYS41" s="214"/>
      <c r="KYT41" s="214"/>
      <c r="KYU41" s="214"/>
      <c r="KYV41" s="214"/>
      <c r="KYW41" s="214"/>
      <c r="KYX41" s="214"/>
      <c r="KYY41" s="214"/>
      <c r="KYZ41" s="214"/>
      <c r="KZA41" s="214"/>
      <c r="KZB41" s="214"/>
      <c r="KZC41" s="214"/>
      <c r="KZD41" s="214"/>
      <c r="KZE41" s="214"/>
      <c r="KZF41" s="214"/>
      <c r="KZG41" s="214"/>
      <c r="KZH41" s="214"/>
      <c r="KZI41" s="214"/>
      <c r="KZJ41" s="214"/>
      <c r="KZK41" s="214"/>
      <c r="KZL41" s="214"/>
      <c r="KZM41" s="214"/>
      <c r="KZN41" s="214"/>
      <c r="KZO41" s="214"/>
      <c r="KZP41" s="214"/>
      <c r="KZQ41" s="214"/>
      <c r="KZR41" s="214"/>
      <c r="KZS41" s="214"/>
      <c r="KZT41" s="214"/>
      <c r="KZU41" s="214"/>
      <c r="KZV41" s="214"/>
      <c r="KZW41" s="214"/>
      <c r="KZX41" s="214"/>
      <c r="KZY41" s="214"/>
      <c r="KZZ41" s="214"/>
      <c r="LAA41" s="214"/>
      <c r="LAB41" s="214"/>
      <c r="LAC41" s="214"/>
      <c r="LAD41" s="214"/>
      <c r="LAE41" s="214"/>
      <c r="LAF41" s="214"/>
      <c r="LAG41" s="214"/>
      <c r="LAH41" s="214"/>
      <c r="LAI41" s="214"/>
      <c r="LAJ41" s="214"/>
      <c r="LAK41" s="214"/>
      <c r="LAL41" s="214"/>
      <c r="LAM41" s="214"/>
      <c r="LAN41" s="214"/>
      <c r="LAO41" s="214"/>
      <c r="LAP41" s="214"/>
      <c r="LAQ41" s="214"/>
      <c r="LAR41" s="214"/>
      <c r="LAS41" s="214"/>
      <c r="LAT41" s="214"/>
      <c r="LAU41" s="214"/>
      <c r="LAV41" s="214"/>
      <c r="LAW41" s="214"/>
      <c r="LAX41" s="214"/>
      <c r="LAY41" s="214"/>
      <c r="LAZ41" s="214"/>
      <c r="LBA41" s="214"/>
      <c r="LBB41" s="214"/>
      <c r="LBC41" s="214"/>
      <c r="LBD41" s="214"/>
      <c r="LBE41" s="214"/>
      <c r="LBF41" s="214"/>
      <c r="LBG41" s="214"/>
      <c r="LBH41" s="214"/>
      <c r="LBI41" s="214"/>
      <c r="LBJ41" s="214"/>
      <c r="LBK41" s="214"/>
      <c r="LBL41" s="214"/>
      <c r="LBM41" s="214"/>
      <c r="LBN41" s="214"/>
      <c r="LBO41" s="214"/>
      <c r="LBP41" s="214"/>
      <c r="LBQ41" s="214"/>
      <c r="LBR41" s="214"/>
      <c r="LBS41" s="214"/>
      <c r="LBT41" s="214"/>
      <c r="LBU41" s="214"/>
      <c r="LBV41" s="214"/>
      <c r="LBW41" s="214"/>
      <c r="LBX41" s="214"/>
      <c r="LBY41" s="214"/>
      <c r="LBZ41" s="214"/>
      <c r="LCA41" s="214"/>
      <c r="LCB41" s="214"/>
      <c r="LCC41" s="214"/>
      <c r="LCD41" s="214"/>
      <c r="LCE41" s="214"/>
      <c r="LCF41" s="214"/>
      <c r="LCG41" s="214"/>
      <c r="LCH41" s="214"/>
      <c r="LCI41" s="214"/>
      <c r="LCJ41" s="214"/>
      <c r="LCK41" s="214"/>
      <c r="LCL41" s="214"/>
      <c r="LCM41" s="214"/>
      <c r="LCN41" s="214"/>
      <c r="LCO41" s="214"/>
      <c r="LCP41" s="214"/>
      <c r="LCQ41" s="214"/>
      <c r="LCR41" s="214"/>
      <c r="LCS41" s="214"/>
      <c r="LCT41" s="214"/>
      <c r="LCU41" s="214"/>
      <c r="LCV41" s="214"/>
      <c r="LCW41" s="214"/>
      <c r="LCX41" s="214"/>
      <c r="LCY41" s="214"/>
      <c r="LCZ41" s="214"/>
      <c r="LDA41" s="214"/>
      <c r="LDB41" s="214"/>
      <c r="LDC41" s="214"/>
      <c r="LDD41" s="214"/>
      <c r="LDE41" s="214"/>
      <c r="LDF41" s="214"/>
      <c r="LDG41" s="214"/>
      <c r="LDH41" s="214"/>
      <c r="LDI41" s="214"/>
      <c r="LDJ41" s="214"/>
      <c r="LDK41" s="214"/>
      <c r="LDL41" s="214"/>
      <c r="LDM41" s="214"/>
      <c r="LDN41" s="214"/>
      <c r="LDO41" s="214"/>
      <c r="LDP41" s="214"/>
      <c r="LDQ41" s="214"/>
      <c r="LDR41" s="214"/>
      <c r="LDS41" s="214"/>
      <c r="LDT41" s="214"/>
      <c r="LDU41" s="214"/>
      <c r="LDV41" s="214"/>
      <c r="LDW41" s="214"/>
      <c r="LDX41" s="214"/>
      <c r="LDY41" s="214"/>
      <c r="LDZ41" s="214"/>
      <c r="LEA41" s="214"/>
      <c r="LEB41" s="214"/>
      <c r="LEC41" s="214"/>
      <c r="LED41" s="214"/>
      <c r="LEE41" s="214"/>
      <c r="LEF41" s="214"/>
      <c r="LEG41" s="214"/>
      <c r="LEH41" s="214"/>
      <c r="LEI41" s="214"/>
      <c r="LEJ41" s="214"/>
      <c r="LEK41" s="214"/>
      <c r="LEL41" s="214"/>
      <c r="LEM41" s="214"/>
      <c r="LEN41" s="214"/>
      <c r="LEO41" s="214"/>
      <c r="LEP41" s="214"/>
      <c r="LEQ41" s="214"/>
      <c r="LER41" s="214"/>
      <c r="LES41" s="214"/>
      <c r="LET41" s="214"/>
      <c r="LEU41" s="214"/>
      <c r="LEV41" s="214"/>
      <c r="LEW41" s="214"/>
      <c r="LEX41" s="214"/>
      <c r="LEY41" s="214"/>
      <c r="LEZ41" s="214"/>
      <c r="LFA41" s="214"/>
      <c r="LFB41" s="214"/>
      <c r="LFC41" s="214"/>
      <c r="LFD41" s="214"/>
      <c r="LFE41" s="214"/>
      <c r="LFF41" s="214"/>
      <c r="LFG41" s="214"/>
      <c r="LFH41" s="214"/>
      <c r="LFI41" s="214"/>
      <c r="LFJ41" s="214"/>
      <c r="LFK41" s="214"/>
      <c r="LFL41" s="214"/>
      <c r="LFM41" s="214"/>
      <c r="LFN41" s="214"/>
      <c r="LFO41" s="214"/>
      <c r="LFP41" s="214"/>
      <c r="LFQ41" s="214"/>
      <c r="LFR41" s="214"/>
      <c r="LFS41" s="214"/>
      <c r="LFT41" s="214"/>
      <c r="LFU41" s="214"/>
      <c r="LFV41" s="214"/>
      <c r="LFW41" s="214"/>
      <c r="LFX41" s="214"/>
      <c r="LFY41" s="214"/>
      <c r="LFZ41" s="214"/>
      <c r="LGA41" s="214"/>
      <c r="LGB41" s="214"/>
      <c r="LGC41" s="214"/>
      <c r="LGD41" s="214"/>
      <c r="LGE41" s="214"/>
      <c r="LGF41" s="214"/>
      <c r="LGG41" s="214"/>
      <c r="LGH41" s="214"/>
      <c r="LGI41" s="214"/>
      <c r="LGJ41" s="214"/>
      <c r="LGK41" s="214"/>
      <c r="LGL41" s="214"/>
      <c r="LGM41" s="214"/>
      <c r="LGN41" s="214"/>
      <c r="LGO41" s="214"/>
      <c r="LGP41" s="214"/>
      <c r="LGQ41" s="214"/>
      <c r="LGR41" s="214"/>
      <c r="LGS41" s="214"/>
      <c r="LGT41" s="214"/>
      <c r="LGU41" s="214"/>
      <c r="LGV41" s="214"/>
      <c r="LGW41" s="214"/>
      <c r="LGX41" s="214"/>
      <c r="LGY41" s="214"/>
      <c r="LGZ41" s="214"/>
      <c r="LHA41" s="214"/>
      <c r="LHB41" s="214"/>
      <c r="LHC41" s="214"/>
      <c r="LHD41" s="214"/>
      <c r="LHE41" s="214"/>
      <c r="LHF41" s="214"/>
      <c r="LHG41" s="214"/>
      <c r="LHH41" s="214"/>
      <c r="LHI41" s="214"/>
      <c r="LHJ41" s="214"/>
      <c r="LHK41" s="214"/>
      <c r="LHL41" s="214"/>
      <c r="LHM41" s="214"/>
      <c r="LHN41" s="214"/>
      <c r="LHO41" s="214"/>
      <c r="LHP41" s="214"/>
      <c r="LHQ41" s="214"/>
      <c r="LHR41" s="214"/>
      <c r="LHS41" s="214"/>
      <c r="LHT41" s="214"/>
      <c r="LHU41" s="214"/>
      <c r="LHV41" s="214"/>
      <c r="LHW41" s="214"/>
      <c r="LHX41" s="214"/>
      <c r="LHY41" s="214"/>
      <c r="LHZ41" s="214"/>
      <c r="LIA41" s="214"/>
      <c r="LIB41" s="214"/>
      <c r="LIC41" s="214"/>
      <c r="LID41" s="214"/>
      <c r="LIE41" s="214"/>
      <c r="LIF41" s="214"/>
      <c r="LIG41" s="214"/>
      <c r="LIH41" s="214"/>
      <c r="LII41" s="214"/>
      <c r="LIJ41" s="214"/>
      <c r="LIK41" s="214"/>
      <c r="LIL41" s="214"/>
      <c r="LIM41" s="214"/>
      <c r="LIN41" s="214"/>
      <c r="LIO41" s="214"/>
      <c r="LIP41" s="214"/>
      <c r="LIQ41" s="214"/>
      <c r="LIR41" s="214"/>
      <c r="LIS41" s="214"/>
      <c r="LIT41" s="214"/>
      <c r="LIU41" s="214"/>
      <c r="LIV41" s="214"/>
      <c r="LIW41" s="214"/>
      <c r="LIX41" s="214"/>
      <c r="LIY41" s="214"/>
      <c r="LIZ41" s="214"/>
      <c r="LJA41" s="214"/>
      <c r="LJB41" s="214"/>
      <c r="LJC41" s="214"/>
      <c r="LJD41" s="214"/>
      <c r="LJE41" s="214"/>
      <c r="LJF41" s="214"/>
      <c r="LJG41" s="214"/>
      <c r="LJH41" s="214"/>
      <c r="LJI41" s="214"/>
      <c r="LJJ41" s="214"/>
      <c r="LJK41" s="214"/>
      <c r="LJL41" s="214"/>
      <c r="LJM41" s="214"/>
      <c r="LJN41" s="214"/>
      <c r="LJO41" s="214"/>
      <c r="LJP41" s="214"/>
      <c r="LJQ41" s="214"/>
      <c r="LJR41" s="214"/>
      <c r="LJS41" s="214"/>
      <c r="LJT41" s="214"/>
      <c r="LJU41" s="214"/>
      <c r="LJV41" s="214"/>
      <c r="LJW41" s="214"/>
      <c r="LJX41" s="214"/>
      <c r="LJY41" s="214"/>
      <c r="LJZ41" s="214"/>
      <c r="LKA41" s="214"/>
      <c r="LKB41" s="214"/>
      <c r="LKC41" s="214"/>
      <c r="LKD41" s="214"/>
      <c r="LKE41" s="214"/>
      <c r="LKF41" s="214"/>
      <c r="LKG41" s="214"/>
      <c r="LKH41" s="214"/>
      <c r="LKI41" s="214"/>
      <c r="LKJ41" s="214"/>
      <c r="LKK41" s="214"/>
      <c r="LKL41" s="214"/>
      <c r="LKM41" s="214"/>
      <c r="LKN41" s="214"/>
      <c r="LKO41" s="214"/>
      <c r="LKP41" s="214"/>
      <c r="LKQ41" s="214"/>
      <c r="LKR41" s="214"/>
      <c r="LKS41" s="214"/>
      <c r="LKT41" s="214"/>
      <c r="LKU41" s="214"/>
      <c r="LKV41" s="214"/>
      <c r="LKW41" s="214"/>
      <c r="LKX41" s="214"/>
      <c r="LKY41" s="214"/>
      <c r="LKZ41" s="214"/>
      <c r="LLA41" s="214"/>
      <c r="LLB41" s="214"/>
      <c r="LLC41" s="214"/>
      <c r="LLD41" s="214"/>
      <c r="LLE41" s="214"/>
      <c r="LLF41" s="214"/>
      <c r="LLG41" s="214"/>
      <c r="LLH41" s="214"/>
      <c r="LLI41" s="214"/>
      <c r="LLJ41" s="214"/>
      <c r="LLK41" s="214"/>
      <c r="LLL41" s="214"/>
      <c r="LLM41" s="214"/>
      <c r="LLN41" s="214"/>
      <c r="LLO41" s="214"/>
      <c r="LLP41" s="214"/>
      <c r="LLQ41" s="214"/>
      <c r="LLR41" s="214"/>
      <c r="LLS41" s="214"/>
      <c r="LLT41" s="214"/>
      <c r="LLU41" s="214"/>
      <c r="LLV41" s="214"/>
      <c r="LLW41" s="214"/>
      <c r="LLX41" s="214"/>
      <c r="LLY41" s="214"/>
      <c r="LLZ41" s="214"/>
      <c r="LMA41" s="214"/>
      <c r="LMB41" s="214"/>
      <c r="LMC41" s="214"/>
      <c r="LMD41" s="214"/>
      <c r="LME41" s="214"/>
      <c r="LMF41" s="214"/>
      <c r="LMG41" s="214"/>
      <c r="LMH41" s="214"/>
      <c r="LMI41" s="214"/>
      <c r="LMJ41" s="214"/>
      <c r="LMK41" s="214"/>
      <c r="LML41" s="214"/>
      <c r="LMM41" s="214"/>
      <c r="LMN41" s="214"/>
      <c r="LMO41" s="214"/>
      <c r="LMP41" s="214"/>
      <c r="LMQ41" s="214"/>
      <c r="LMR41" s="214"/>
      <c r="LMS41" s="214"/>
      <c r="LMT41" s="214"/>
      <c r="LMU41" s="214"/>
      <c r="LMV41" s="214"/>
      <c r="LMW41" s="214"/>
      <c r="LMX41" s="214"/>
      <c r="LMY41" s="214"/>
      <c r="LMZ41" s="214"/>
      <c r="LNA41" s="214"/>
      <c r="LNB41" s="214"/>
      <c r="LNC41" s="214"/>
      <c r="LND41" s="214"/>
      <c r="LNE41" s="214"/>
      <c r="LNF41" s="214"/>
      <c r="LNG41" s="214"/>
      <c r="LNH41" s="214"/>
      <c r="LNI41" s="214"/>
      <c r="LNJ41" s="214"/>
      <c r="LNK41" s="214"/>
      <c r="LNL41" s="214"/>
      <c r="LNM41" s="214"/>
      <c r="LNN41" s="214"/>
      <c r="LNO41" s="214"/>
      <c r="LNP41" s="214"/>
      <c r="LNQ41" s="214"/>
      <c r="LNR41" s="214"/>
      <c r="LNS41" s="214"/>
      <c r="LNT41" s="214"/>
      <c r="LNU41" s="214"/>
      <c r="LNV41" s="214"/>
      <c r="LNW41" s="214"/>
      <c r="LNX41" s="214"/>
      <c r="LNY41" s="214"/>
      <c r="LNZ41" s="214"/>
      <c r="LOA41" s="214"/>
      <c r="LOB41" s="214"/>
      <c r="LOC41" s="214"/>
      <c r="LOD41" s="214"/>
      <c r="LOE41" s="214"/>
      <c r="LOF41" s="214"/>
      <c r="LOG41" s="214"/>
      <c r="LOH41" s="214"/>
      <c r="LOI41" s="214"/>
      <c r="LOJ41" s="214"/>
      <c r="LOK41" s="214"/>
      <c r="LOL41" s="214"/>
      <c r="LOM41" s="214"/>
      <c r="LON41" s="214"/>
      <c r="LOO41" s="214"/>
      <c r="LOP41" s="214"/>
      <c r="LOQ41" s="214"/>
      <c r="LOR41" s="214"/>
      <c r="LOS41" s="214"/>
      <c r="LOT41" s="214"/>
      <c r="LOU41" s="214"/>
      <c r="LOV41" s="214"/>
      <c r="LOW41" s="214"/>
      <c r="LOX41" s="214"/>
      <c r="LOY41" s="214"/>
      <c r="LOZ41" s="214"/>
      <c r="LPA41" s="214"/>
      <c r="LPB41" s="214"/>
      <c r="LPC41" s="214"/>
      <c r="LPD41" s="214"/>
      <c r="LPE41" s="214"/>
      <c r="LPF41" s="214"/>
      <c r="LPG41" s="214"/>
      <c r="LPH41" s="214"/>
      <c r="LPI41" s="214"/>
      <c r="LPJ41" s="214"/>
      <c r="LPK41" s="214"/>
      <c r="LPL41" s="214"/>
      <c r="LPM41" s="214"/>
      <c r="LPN41" s="214"/>
      <c r="LPO41" s="214"/>
      <c r="LPP41" s="214"/>
      <c r="LPQ41" s="214"/>
      <c r="LPR41" s="214"/>
      <c r="LPS41" s="214"/>
      <c r="LPT41" s="214"/>
      <c r="LPU41" s="214"/>
      <c r="LPV41" s="214"/>
      <c r="LPW41" s="214"/>
      <c r="LPX41" s="214"/>
      <c r="LPY41" s="214"/>
      <c r="LPZ41" s="214"/>
      <c r="LQA41" s="214"/>
      <c r="LQB41" s="214"/>
      <c r="LQC41" s="214"/>
      <c r="LQD41" s="214"/>
      <c r="LQE41" s="214"/>
      <c r="LQF41" s="214"/>
      <c r="LQG41" s="214"/>
      <c r="LQH41" s="214"/>
      <c r="LQI41" s="214"/>
      <c r="LQJ41" s="214"/>
      <c r="LQK41" s="214"/>
      <c r="LQL41" s="214"/>
      <c r="LQM41" s="214"/>
      <c r="LQN41" s="214"/>
      <c r="LQO41" s="214"/>
      <c r="LQP41" s="214"/>
      <c r="LQQ41" s="214"/>
      <c r="LQR41" s="214"/>
      <c r="LQS41" s="214"/>
      <c r="LQT41" s="214"/>
      <c r="LQU41" s="214"/>
      <c r="LQV41" s="214"/>
      <c r="LQW41" s="214"/>
      <c r="LQX41" s="214"/>
      <c r="LQY41" s="214"/>
      <c r="LQZ41" s="214"/>
      <c r="LRA41" s="214"/>
      <c r="LRB41" s="214"/>
      <c r="LRC41" s="214"/>
      <c r="LRD41" s="214"/>
      <c r="LRE41" s="214"/>
      <c r="LRF41" s="214"/>
      <c r="LRG41" s="214"/>
      <c r="LRH41" s="214"/>
      <c r="LRI41" s="214"/>
      <c r="LRJ41" s="214"/>
      <c r="LRK41" s="214"/>
      <c r="LRL41" s="214"/>
      <c r="LRM41" s="214"/>
      <c r="LRN41" s="214"/>
      <c r="LRO41" s="214"/>
      <c r="LRP41" s="214"/>
      <c r="LRQ41" s="214"/>
      <c r="LRR41" s="214"/>
      <c r="LRS41" s="214"/>
      <c r="LRT41" s="214"/>
      <c r="LRU41" s="214"/>
      <c r="LRV41" s="214"/>
      <c r="LRW41" s="214"/>
      <c r="LRX41" s="214"/>
      <c r="LRY41" s="214"/>
      <c r="LRZ41" s="214"/>
      <c r="LSA41" s="214"/>
      <c r="LSB41" s="214"/>
      <c r="LSC41" s="214"/>
      <c r="LSD41" s="214"/>
      <c r="LSE41" s="214"/>
      <c r="LSF41" s="214"/>
      <c r="LSG41" s="214"/>
      <c r="LSH41" s="214"/>
      <c r="LSI41" s="214"/>
      <c r="LSJ41" s="214"/>
      <c r="LSK41" s="214"/>
      <c r="LSL41" s="214"/>
      <c r="LSM41" s="214"/>
      <c r="LSN41" s="214"/>
      <c r="LSO41" s="214"/>
      <c r="LSP41" s="214"/>
      <c r="LSQ41" s="214"/>
      <c r="LSR41" s="214"/>
      <c r="LSS41" s="214"/>
      <c r="LST41" s="214"/>
      <c r="LSU41" s="214"/>
      <c r="LSV41" s="214"/>
      <c r="LSW41" s="214"/>
      <c r="LSX41" s="214"/>
      <c r="LSY41" s="214"/>
      <c r="LSZ41" s="214"/>
      <c r="LTA41" s="214"/>
      <c r="LTB41" s="214"/>
      <c r="LTC41" s="214"/>
      <c r="LTD41" s="214"/>
      <c r="LTE41" s="214"/>
      <c r="LTF41" s="214"/>
      <c r="LTG41" s="214"/>
      <c r="LTH41" s="214"/>
      <c r="LTI41" s="214"/>
      <c r="LTJ41" s="214"/>
      <c r="LTK41" s="214"/>
      <c r="LTL41" s="214"/>
      <c r="LTM41" s="214"/>
      <c r="LTN41" s="214"/>
      <c r="LTO41" s="214"/>
      <c r="LTP41" s="214"/>
      <c r="LTQ41" s="214"/>
      <c r="LTR41" s="214"/>
      <c r="LTS41" s="214"/>
      <c r="LTT41" s="214"/>
      <c r="LTU41" s="214"/>
      <c r="LTV41" s="214"/>
      <c r="LTW41" s="214"/>
      <c r="LTX41" s="214"/>
      <c r="LTY41" s="214"/>
      <c r="LTZ41" s="214"/>
      <c r="LUA41" s="214"/>
      <c r="LUB41" s="214"/>
      <c r="LUC41" s="214"/>
      <c r="LUD41" s="214"/>
      <c r="LUE41" s="214"/>
      <c r="LUF41" s="214"/>
      <c r="LUG41" s="214"/>
      <c r="LUH41" s="214"/>
      <c r="LUI41" s="214"/>
      <c r="LUJ41" s="214"/>
      <c r="LUK41" s="214"/>
      <c r="LUL41" s="214"/>
      <c r="LUM41" s="214"/>
      <c r="LUN41" s="214"/>
      <c r="LUO41" s="214"/>
      <c r="LUP41" s="214"/>
      <c r="LUQ41" s="214"/>
      <c r="LUR41" s="214"/>
      <c r="LUS41" s="214"/>
      <c r="LUT41" s="214"/>
      <c r="LUU41" s="214"/>
      <c r="LUV41" s="214"/>
      <c r="LUW41" s="214"/>
      <c r="LUX41" s="214"/>
      <c r="LUY41" s="214"/>
      <c r="LUZ41" s="214"/>
      <c r="LVA41" s="214"/>
      <c r="LVB41" s="214"/>
      <c r="LVC41" s="214"/>
      <c r="LVD41" s="214"/>
      <c r="LVE41" s="214"/>
      <c r="LVF41" s="214"/>
      <c r="LVG41" s="214"/>
      <c r="LVH41" s="214"/>
      <c r="LVI41" s="214"/>
      <c r="LVJ41" s="214"/>
      <c r="LVK41" s="214"/>
      <c r="LVL41" s="214"/>
      <c r="LVM41" s="214"/>
      <c r="LVN41" s="214"/>
      <c r="LVO41" s="214"/>
      <c r="LVP41" s="214"/>
      <c r="LVQ41" s="214"/>
      <c r="LVR41" s="214"/>
      <c r="LVS41" s="214"/>
      <c r="LVT41" s="214"/>
      <c r="LVU41" s="214"/>
      <c r="LVV41" s="214"/>
      <c r="LVW41" s="214"/>
      <c r="LVX41" s="214"/>
      <c r="LVY41" s="214"/>
      <c r="LVZ41" s="214"/>
      <c r="LWA41" s="214"/>
      <c r="LWB41" s="214"/>
      <c r="LWC41" s="214"/>
      <c r="LWD41" s="214"/>
      <c r="LWE41" s="214"/>
      <c r="LWF41" s="214"/>
      <c r="LWG41" s="214"/>
      <c r="LWH41" s="214"/>
      <c r="LWI41" s="214"/>
      <c r="LWJ41" s="214"/>
      <c r="LWK41" s="214"/>
      <c r="LWL41" s="214"/>
      <c r="LWM41" s="214"/>
      <c r="LWN41" s="214"/>
      <c r="LWO41" s="214"/>
      <c r="LWP41" s="214"/>
      <c r="LWQ41" s="214"/>
      <c r="LWR41" s="214"/>
      <c r="LWS41" s="214"/>
      <c r="LWT41" s="214"/>
      <c r="LWU41" s="214"/>
      <c r="LWV41" s="214"/>
      <c r="LWW41" s="214"/>
      <c r="LWX41" s="214"/>
      <c r="LWY41" s="214"/>
      <c r="LWZ41" s="214"/>
      <c r="LXA41" s="214"/>
      <c r="LXB41" s="214"/>
      <c r="LXC41" s="214"/>
      <c r="LXD41" s="214"/>
      <c r="LXE41" s="214"/>
      <c r="LXF41" s="214"/>
      <c r="LXG41" s="214"/>
      <c r="LXH41" s="214"/>
      <c r="LXI41" s="214"/>
      <c r="LXJ41" s="214"/>
      <c r="LXK41" s="214"/>
      <c r="LXL41" s="214"/>
      <c r="LXM41" s="214"/>
      <c r="LXN41" s="214"/>
      <c r="LXO41" s="214"/>
      <c r="LXP41" s="214"/>
      <c r="LXQ41" s="214"/>
      <c r="LXR41" s="214"/>
      <c r="LXS41" s="214"/>
      <c r="LXT41" s="214"/>
      <c r="LXU41" s="214"/>
      <c r="LXV41" s="214"/>
      <c r="LXW41" s="214"/>
      <c r="LXX41" s="214"/>
      <c r="LXY41" s="214"/>
      <c r="LXZ41" s="214"/>
      <c r="LYA41" s="214"/>
      <c r="LYB41" s="214"/>
      <c r="LYC41" s="214"/>
      <c r="LYD41" s="214"/>
      <c r="LYE41" s="214"/>
      <c r="LYF41" s="214"/>
      <c r="LYG41" s="214"/>
      <c r="LYH41" s="214"/>
      <c r="LYI41" s="214"/>
      <c r="LYJ41" s="214"/>
      <c r="LYK41" s="214"/>
      <c r="LYL41" s="214"/>
      <c r="LYM41" s="214"/>
      <c r="LYN41" s="214"/>
      <c r="LYO41" s="214"/>
      <c r="LYP41" s="214"/>
      <c r="LYQ41" s="214"/>
      <c r="LYR41" s="214"/>
      <c r="LYS41" s="214"/>
      <c r="LYT41" s="214"/>
      <c r="LYU41" s="214"/>
      <c r="LYV41" s="214"/>
      <c r="LYW41" s="214"/>
      <c r="LYX41" s="214"/>
      <c r="LYY41" s="214"/>
      <c r="LYZ41" s="214"/>
      <c r="LZA41" s="214"/>
      <c r="LZB41" s="214"/>
      <c r="LZC41" s="214"/>
      <c r="LZD41" s="214"/>
      <c r="LZE41" s="214"/>
      <c r="LZF41" s="214"/>
      <c r="LZG41" s="214"/>
      <c r="LZH41" s="214"/>
      <c r="LZI41" s="214"/>
      <c r="LZJ41" s="214"/>
      <c r="LZK41" s="214"/>
      <c r="LZL41" s="214"/>
      <c r="LZM41" s="214"/>
      <c r="LZN41" s="214"/>
      <c r="LZO41" s="214"/>
      <c r="LZP41" s="214"/>
      <c r="LZQ41" s="214"/>
      <c r="LZR41" s="214"/>
      <c r="LZS41" s="214"/>
      <c r="LZT41" s="214"/>
      <c r="LZU41" s="214"/>
      <c r="LZV41" s="214"/>
      <c r="LZW41" s="214"/>
      <c r="LZX41" s="214"/>
      <c r="LZY41" s="214"/>
      <c r="LZZ41" s="214"/>
      <c r="MAA41" s="214"/>
      <c r="MAB41" s="214"/>
      <c r="MAC41" s="214"/>
      <c r="MAD41" s="214"/>
      <c r="MAE41" s="214"/>
      <c r="MAF41" s="214"/>
      <c r="MAG41" s="214"/>
      <c r="MAH41" s="214"/>
      <c r="MAI41" s="214"/>
      <c r="MAJ41" s="214"/>
      <c r="MAK41" s="214"/>
      <c r="MAL41" s="214"/>
      <c r="MAM41" s="214"/>
      <c r="MAN41" s="214"/>
      <c r="MAO41" s="214"/>
      <c r="MAP41" s="214"/>
      <c r="MAQ41" s="214"/>
      <c r="MAR41" s="214"/>
      <c r="MAS41" s="214"/>
      <c r="MAT41" s="214"/>
      <c r="MAU41" s="214"/>
      <c r="MAV41" s="214"/>
      <c r="MAW41" s="214"/>
      <c r="MAX41" s="214"/>
      <c r="MAY41" s="214"/>
      <c r="MAZ41" s="214"/>
      <c r="MBA41" s="214"/>
      <c r="MBB41" s="214"/>
      <c r="MBC41" s="214"/>
      <c r="MBD41" s="214"/>
      <c r="MBE41" s="214"/>
      <c r="MBF41" s="214"/>
      <c r="MBG41" s="214"/>
      <c r="MBH41" s="214"/>
      <c r="MBI41" s="214"/>
      <c r="MBJ41" s="214"/>
      <c r="MBK41" s="214"/>
      <c r="MBL41" s="214"/>
      <c r="MBM41" s="214"/>
      <c r="MBN41" s="214"/>
      <c r="MBO41" s="214"/>
      <c r="MBP41" s="214"/>
      <c r="MBQ41" s="214"/>
      <c r="MBR41" s="214"/>
      <c r="MBS41" s="214"/>
      <c r="MBT41" s="214"/>
      <c r="MBU41" s="214"/>
      <c r="MBV41" s="214"/>
      <c r="MBW41" s="214"/>
      <c r="MBX41" s="214"/>
      <c r="MBY41" s="214"/>
      <c r="MBZ41" s="214"/>
      <c r="MCA41" s="214"/>
      <c r="MCB41" s="214"/>
      <c r="MCC41" s="214"/>
      <c r="MCD41" s="214"/>
      <c r="MCE41" s="214"/>
      <c r="MCF41" s="214"/>
      <c r="MCG41" s="214"/>
      <c r="MCH41" s="214"/>
      <c r="MCI41" s="214"/>
      <c r="MCJ41" s="214"/>
      <c r="MCK41" s="214"/>
      <c r="MCL41" s="214"/>
      <c r="MCM41" s="214"/>
      <c r="MCN41" s="214"/>
      <c r="MCO41" s="214"/>
      <c r="MCP41" s="214"/>
      <c r="MCQ41" s="214"/>
      <c r="MCR41" s="214"/>
      <c r="MCS41" s="214"/>
      <c r="MCT41" s="214"/>
      <c r="MCU41" s="214"/>
      <c r="MCV41" s="214"/>
      <c r="MCW41" s="214"/>
      <c r="MCX41" s="214"/>
      <c r="MCY41" s="214"/>
      <c r="MCZ41" s="214"/>
      <c r="MDA41" s="214"/>
      <c r="MDB41" s="214"/>
      <c r="MDC41" s="214"/>
      <c r="MDD41" s="214"/>
      <c r="MDE41" s="214"/>
      <c r="MDF41" s="214"/>
      <c r="MDG41" s="214"/>
      <c r="MDH41" s="214"/>
      <c r="MDI41" s="214"/>
      <c r="MDJ41" s="214"/>
      <c r="MDK41" s="214"/>
      <c r="MDL41" s="214"/>
      <c r="MDM41" s="214"/>
      <c r="MDN41" s="214"/>
      <c r="MDO41" s="214"/>
      <c r="MDP41" s="214"/>
      <c r="MDQ41" s="214"/>
      <c r="MDR41" s="214"/>
      <c r="MDS41" s="214"/>
      <c r="MDT41" s="214"/>
      <c r="MDU41" s="214"/>
      <c r="MDV41" s="214"/>
      <c r="MDW41" s="214"/>
      <c r="MDX41" s="214"/>
      <c r="MDY41" s="214"/>
      <c r="MDZ41" s="214"/>
      <c r="MEA41" s="214"/>
      <c r="MEB41" s="214"/>
      <c r="MEC41" s="214"/>
      <c r="MED41" s="214"/>
      <c r="MEE41" s="214"/>
      <c r="MEF41" s="214"/>
      <c r="MEG41" s="214"/>
      <c r="MEH41" s="214"/>
      <c r="MEI41" s="214"/>
      <c r="MEJ41" s="214"/>
      <c r="MEK41" s="214"/>
      <c r="MEL41" s="214"/>
      <c r="MEM41" s="214"/>
      <c r="MEN41" s="214"/>
      <c r="MEO41" s="214"/>
      <c r="MEP41" s="214"/>
      <c r="MEQ41" s="214"/>
      <c r="MER41" s="214"/>
      <c r="MES41" s="214"/>
      <c r="MET41" s="214"/>
      <c r="MEU41" s="214"/>
      <c r="MEV41" s="214"/>
      <c r="MEW41" s="214"/>
      <c r="MEX41" s="214"/>
      <c r="MEY41" s="214"/>
      <c r="MEZ41" s="214"/>
      <c r="MFA41" s="214"/>
      <c r="MFB41" s="214"/>
      <c r="MFC41" s="214"/>
      <c r="MFD41" s="214"/>
      <c r="MFE41" s="214"/>
      <c r="MFF41" s="214"/>
      <c r="MFG41" s="214"/>
      <c r="MFH41" s="214"/>
      <c r="MFI41" s="214"/>
      <c r="MFJ41" s="214"/>
      <c r="MFK41" s="214"/>
      <c r="MFL41" s="214"/>
      <c r="MFM41" s="214"/>
      <c r="MFN41" s="214"/>
      <c r="MFO41" s="214"/>
      <c r="MFP41" s="214"/>
      <c r="MFQ41" s="214"/>
      <c r="MFR41" s="214"/>
      <c r="MFS41" s="214"/>
      <c r="MFT41" s="214"/>
      <c r="MFU41" s="214"/>
      <c r="MFV41" s="214"/>
      <c r="MFW41" s="214"/>
      <c r="MFX41" s="214"/>
      <c r="MFY41" s="214"/>
      <c r="MFZ41" s="214"/>
      <c r="MGA41" s="214"/>
      <c r="MGB41" s="214"/>
      <c r="MGC41" s="214"/>
      <c r="MGD41" s="214"/>
      <c r="MGE41" s="214"/>
      <c r="MGF41" s="214"/>
      <c r="MGG41" s="214"/>
      <c r="MGH41" s="214"/>
      <c r="MGI41" s="214"/>
      <c r="MGJ41" s="214"/>
      <c r="MGK41" s="214"/>
      <c r="MGL41" s="214"/>
      <c r="MGM41" s="214"/>
      <c r="MGN41" s="214"/>
      <c r="MGO41" s="214"/>
      <c r="MGP41" s="214"/>
      <c r="MGQ41" s="214"/>
      <c r="MGR41" s="214"/>
      <c r="MGS41" s="214"/>
      <c r="MGT41" s="214"/>
      <c r="MGU41" s="214"/>
      <c r="MGV41" s="214"/>
      <c r="MGW41" s="214"/>
      <c r="MGX41" s="214"/>
      <c r="MGY41" s="214"/>
      <c r="MGZ41" s="214"/>
      <c r="MHA41" s="214"/>
      <c r="MHB41" s="214"/>
      <c r="MHC41" s="214"/>
      <c r="MHD41" s="214"/>
      <c r="MHE41" s="214"/>
      <c r="MHF41" s="214"/>
      <c r="MHG41" s="214"/>
      <c r="MHH41" s="214"/>
      <c r="MHI41" s="214"/>
      <c r="MHJ41" s="214"/>
      <c r="MHK41" s="214"/>
      <c r="MHL41" s="214"/>
      <c r="MHM41" s="214"/>
      <c r="MHN41" s="214"/>
      <c r="MHO41" s="214"/>
      <c r="MHP41" s="214"/>
      <c r="MHQ41" s="214"/>
      <c r="MHR41" s="214"/>
      <c r="MHS41" s="214"/>
      <c r="MHT41" s="214"/>
      <c r="MHU41" s="214"/>
      <c r="MHV41" s="214"/>
      <c r="MHW41" s="214"/>
      <c r="MHX41" s="214"/>
      <c r="MHY41" s="214"/>
      <c r="MHZ41" s="214"/>
      <c r="MIA41" s="214"/>
      <c r="MIB41" s="214"/>
      <c r="MIC41" s="214"/>
      <c r="MID41" s="214"/>
      <c r="MIE41" s="214"/>
      <c r="MIF41" s="214"/>
      <c r="MIG41" s="214"/>
      <c r="MIH41" s="214"/>
      <c r="MII41" s="214"/>
      <c r="MIJ41" s="214"/>
      <c r="MIK41" s="214"/>
      <c r="MIL41" s="214"/>
      <c r="MIM41" s="214"/>
      <c r="MIN41" s="214"/>
      <c r="MIO41" s="214"/>
      <c r="MIP41" s="214"/>
      <c r="MIQ41" s="214"/>
      <c r="MIR41" s="214"/>
      <c r="MIS41" s="214"/>
      <c r="MIT41" s="214"/>
      <c r="MIU41" s="214"/>
      <c r="MIV41" s="214"/>
      <c r="MIW41" s="214"/>
      <c r="MIX41" s="214"/>
      <c r="MIY41" s="214"/>
      <c r="MIZ41" s="214"/>
      <c r="MJA41" s="214"/>
      <c r="MJB41" s="214"/>
      <c r="MJC41" s="214"/>
      <c r="MJD41" s="214"/>
      <c r="MJE41" s="214"/>
      <c r="MJF41" s="214"/>
      <c r="MJG41" s="214"/>
      <c r="MJH41" s="214"/>
      <c r="MJI41" s="214"/>
      <c r="MJJ41" s="214"/>
      <c r="MJK41" s="214"/>
      <c r="MJL41" s="214"/>
      <c r="MJM41" s="214"/>
      <c r="MJN41" s="214"/>
      <c r="MJO41" s="214"/>
      <c r="MJP41" s="214"/>
      <c r="MJQ41" s="214"/>
      <c r="MJR41" s="214"/>
      <c r="MJS41" s="214"/>
      <c r="MJT41" s="214"/>
      <c r="MJU41" s="214"/>
      <c r="MJV41" s="214"/>
      <c r="MJW41" s="214"/>
      <c r="MJX41" s="214"/>
      <c r="MJY41" s="214"/>
      <c r="MJZ41" s="214"/>
      <c r="MKA41" s="214"/>
      <c r="MKB41" s="214"/>
      <c r="MKC41" s="214"/>
      <c r="MKD41" s="214"/>
      <c r="MKE41" s="214"/>
      <c r="MKF41" s="214"/>
      <c r="MKG41" s="214"/>
      <c r="MKH41" s="214"/>
      <c r="MKI41" s="214"/>
      <c r="MKJ41" s="214"/>
      <c r="MKK41" s="214"/>
      <c r="MKL41" s="214"/>
      <c r="MKM41" s="214"/>
      <c r="MKN41" s="214"/>
      <c r="MKO41" s="214"/>
      <c r="MKP41" s="214"/>
      <c r="MKQ41" s="214"/>
      <c r="MKR41" s="214"/>
      <c r="MKS41" s="214"/>
      <c r="MKT41" s="214"/>
      <c r="MKU41" s="214"/>
      <c r="MKV41" s="214"/>
      <c r="MKW41" s="214"/>
      <c r="MKX41" s="214"/>
      <c r="MKY41" s="214"/>
      <c r="MKZ41" s="214"/>
      <c r="MLA41" s="214"/>
      <c r="MLB41" s="214"/>
      <c r="MLC41" s="214"/>
      <c r="MLD41" s="214"/>
      <c r="MLE41" s="214"/>
      <c r="MLF41" s="214"/>
      <c r="MLG41" s="214"/>
      <c r="MLH41" s="214"/>
      <c r="MLI41" s="214"/>
      <c r="MLJ41" s="214"/>
      <c r="MLK41" s="214"/>
      <c r="MLL41" s="214"/>
      <c r="MLM41" s="214"/>
      <c r="MLN41" s="214"/>
      <c r="MLO41" s="214"/>
      <c r="MLP41" s="214"/>
      <c r="MLQ41" s="214"/>
      <c r="MLR41" s="214"/>
      <c r="MLS41" s="214"/>
      <c r="MLT41" s="214"/>
      <c r="MLU41" s="214"/>
      <c r="MLV41" s="214"/>
      <c r="MLW41" s="214"/>
      <c r="MLX41" s="214"/>
      <c r="MLY41" s="214"/>
      <c r="MLZ41" s="214"/>
      <c r="MMA41" s="214"/>
      <c r="MMB41" s="214"/>
      <c r="MMC41" s="214"/>
      <c r="MMD41" s="214"/>
      <c r="MME41" s="214"/>
      <c r="MMF41" s="214"/>
      <c r="MMG41" s="214"/>
      <c r="MMH41" s="214"/>
      <c r="MMI41" s="214"/>
      <c r="MMJ41" s="214"/>
      <c r="MMK41" s="214"/>
      <c r="MML41" s="214"/>
      <c r="MMM41" s="214"/>
      <c r="MMN41" s="214"/>
      <c r="MMO41" s="214"/>
      <c r="MMP41" s="214"/>
      <c r="MMQ41" s="214"/>
      <c r="MMR41" s="214"/>
      <c r="MMS41" s="214"/>
      <c r="MMT41" s="214"/>
      <c r="MMU41" s="214"/>
      <c r="MMV41" s="214"/>
      <c r="MMW41" s="214"/>
      <c r="MMX41" s="214"/>
      <c r="MMY41" s="214"/>
      <c r="MMZ41" s="214"/>
      <c r="MNA41" s="214"/>
      <c r="MNB41" s="214"/>
      <c r="MNC41" s="214"/>
      <c r="MND41" s="214"/>
      <c r="MNE41" s="214"/>
      <c r="MNF41" s="214"/>
      <c r="MNG41" s="214"/>
      <c r="MNH41" s="214"/>
      <c r="MNI41" s="214"/>
      <c r="MNJ41" s="214"/>
      <c r="MNK41" s="214"/>
      <c r="MNL41" s="214"/>
      <c r="MNM41" s="214"/>
      <c r="MNN41" s="214"/>
      <c r="MNO41" s="214"/>
      <c r="MNP41" s="214"/>
      <c r="MNQ41" s="214"/>
      <c r="MNR41" s="214"/>
      <c r="MNS41" s="214"/>
      <c r="MNT41" s="214"/>
      <c r="MNU41" s="214"/>
      <c r="MNV41" s="214"/>
      <c r="MNW41" s="214"/>
      <c r="MNX41" s="214"/>
      <c r="MNY41" s="214"/>
      <c r="MNZ41" s="214"/>
      <c r="MOA41" s="214"/>
      <c r="MOB41" s="214"/>
      <c r="MOC41" s="214"/>
      <c r="MOD41" s="214"/>
      <c r="MOE41" s="214"/>
      <c r="MOF41" s="214"/>
      <c r="MOG41" s="214"/>
      <c r="MOH41" s="214"/>
      <c r="MOI41" s="214"/>
      <c r="MOJ41" s="214"/>
      <c r="MOK41" s="214"/>
      <c r="MOL41" s="214"/>
      <c r="MOM41" s="214"/>
      <c r="MON41" s="214"/>
      <c r="MOO41" s="214"/>
      <c r="MOP41" s="214"/>
      <c r="MOQ41" s="214"/>
      <c r="MOR41" s="214"/>
      <c r="MOS41" s="214"/>
      <c r="MOT41" s="214"/>
      <c r="MOU41" s="214"/>
      <c r="MOV41" s="214"/>
      <c r="MOW41" s="214"/>
      <c r="MOX41" s="214"/>
      <c r="MOY41" s="214"/>
      <c r="MOZ41" s="214"/>
      <c r="MPA41" s="214"/>
      <c r="MPB41" s="214"/>
      <c r="MPC41" s="214"/>
      <c r="MPD41" s="214"/>
      <c r="MPE41" s="214"/>
      <c r="MPF41" s="214"/>
      <c r="MPG41" s="214"/>
      <c r="MPH41" s="214"/>
      <c r="MPI41" s="214"/>
      <c r="MPJ41" s="214"/>
      <c r="MPK41" s="214"/>
      <c r="MPL41" s="214"/>
      <c r="MPM41" s="214"/>
      <c r="MPN41" s="214"/>
      <c r="MPO41" s="214"/>
      <c r="MPP41" s="214"/>
      <c r="MPQ41" s="214"/>
      <c r="MPR41" s="214"/>
      <c r="MPS41" s="214"/>
      <c r="MPT41" s="214"/>
      <c r="MPU41" s="214"/>
      <c r="MPV41" s="214"/>
      <c r="MPW41" s="214"/>
      <c r="MPX41" s="214"/>
      <c r="MPY41" s="214"/>
      <c r="MPZ41" s="214"/>
      <c r="MQA41" s="214"/>
      <c r="MQB41" s="214"/>
      <c r="MQC41" s="214"/>
      <c r="MQD41" s="214"/>
      <c r="MQE41" s="214"/>
      <c r="MQF41" s="214"/>
      <c r="MQG41" s="214"/>
      <c r="MQH41" s="214"/>
      <c r="MQI41" s="214"/>
      <c r="MQJ41" s="214"/>
      <c r="MQK41" s="214"/>
      <c r="MQL41" s="214"/>
      <c r="MQM41" s="214"/>
      <c r="MQN41" s="214"/>
      <c r="MQO41" s="214"/>
      <c r="MQP41" s="214"/>
      <c r="MQQ41" s="214"/>
      <c r="MQR41" s="214"/>
      <c r="MQS41" s="214"/>
      <c r="MQT41" s="214"/>
      <c r="MQU41" s="214"/>
      <c r="MQV41" s="214"/>
      <c r="MQW41" s="214"/>
      <c r="MQX41" s="214"/>
      <c r="MQY41" s="214"/>
      <c r="MQZ41" s="214"/>
      <c r="MRA41" s="214"/>
      <c r="MRB41" s="214"/>
      <c r="MRC41" s="214"/>
      <c r="MRD41" s="214"/>
      <c r="MRE41" s="214"/>
      <c r="MRF41" s="214"/>
      <c r="MRG41" s="214"/>
      <c r="MRH41" s="214"/>
      <c r="MRI41" s="214"/>
      <c r="MRJ41" s="214"/>
      <c r="MRK41" s="214"/>
      <c r="MRL41" s="214"/>
      <c r="MRM41" s="214"/>
      <c r="MRN41" s="214"/>
      <c r="MRO41" s="214"/>
      <c r="MRP41" s="214"/>
      <c r="MRQ41" s="214"/>
      <c r="MRR41" s="214"/>
      <c r="MRS41" s="214"/>
      <c r="MRT41" s="214"/>
      <c r="MRU41" s="214"/>
      <c r="MRV41" s="214"/>
      <c r="MRW41" s="214"/>
      <c r="MRX41" s="214"/>
      <c r="MRY41" s="214"/>
      <c r="MRZ41" s="214"/>
      <c r="MSA41" s="214"/>
      <c r="MSB41" s="214"/>
      <c r="MSC41" s="214"/>
      <c r="MSD41" s="214"/>
      <c r="MSE41" s="214"/>
      <c r="MSF41" s="214"/>
      <c r="MSG41" s="214"/>
      <c r="MSH41" s="214"/>
      <c r="MSI41" s="214"/>
      <c r="MSJ41" s="214"/>
      <c r="MSK41" s="214"/>
      <c r="MSL41" s="214"/>
      <c r="MSM41" s="214"/>
      <c r="MSN41" s="214"/>
      <c r="MSO41" s="214"/>
      <c r="MSP41" s="214"/>
      <c r="MSQ41" s="214"/>
      <c r="MSR41" s="214"/>
      <c r="MSS41" s="214"/>
      <c r="MST41" s="214"/>
      <c r="MSU41" s="214"/>
      <c r="MSV41" s="214"/>
      <c r="MSW41" s="214"/>
      <c r="MSX41" s="214"/>
      <c r="MSY41" s="214"/>
      <c r="MSZ41" s="214"/>
      <c r="MTA41" s="214"/>
      <c r="MTB41" s="214"/>
      <c r="MTC41" s="214"/>
      <c r="MTD41" s="214"/>
      <c r="MTE41" s="214"/>
      <c r="MTF41" s="214"/>
      <c r="MTG41" s="214"/>
      <c r="MTH41" s="214"/>
      <c r="MTI41" s="214"/>
      <c r="MTJ41" s="214"/>
      <c r="MTK41" s="214"/>
      <c r="MTL41" s="214"/>
      <c r="MTM41" s="214"/>
      <c r="MTN41" s="214"/>
      <c r="MTO41" s="214"/>
      <c r="MTP41" s="214"/>
      <c r="MTQ41" s="214"/>
      <c r="MTR41" s="214"/>
      <c r="MTS41" s="214"/>
      <c r="MTT41" s="214"/>
      <c r="MTU41" s="214"/>
      <c r="MTV41" s="214"/>
      <c r="MTW41" s="214"/>
      <c r="MTX41" s="214"/>
      <c r="MTY41" s="214"/>
      <c r="MTZ41" s="214"/>
      <c r="MUA41" s="214"/>
      <c r="MUB41" s="214"/>
      <c r="MUC41" s="214"/>
      <c r="MUD41" s="214"/>
      <c r="MUE41" s="214"/>
      <c r="MUF41" s="214"/>
      <c r="MUG41" s="214"/>
      <c r="MUH41" s="214"/>
      <c r="MUI41" s="214"/>
      <c r="MUJ41" s="214"/>
      <c r="MUK41" s="214"/>
      <c r="MUL41" s="214"/>
      <c r="MUM41" s="214"/>
      <c r="MUN41" s="214"/>
      <c r="MUO41" s="214"/>
      <c r="MUP41" s="214"/>
      <c r="MUQ41" s="214"/>
      <c r="MUR41" s="214"/>
      <c r="MUS41" s="214"/>
      <c r="MUT41" s="214"/>
      <c r="MUU41" s="214"/>
      <c r="MUV41" s="214"/>
      <c r="MUW41" s="214"/>
      <c r="MUX41" s="214"/>
      <c r="MUY41" s="214"/>
      <c r="MUZ41" s="214"/>
      <c r="MVA41" s="214"/>
      <c r="MVB41" s="214"/>
      <c r="MVC41" s="214"/>
      <c r="MVD41" s="214"/>
      <c r="MVE41" s="214"/>
      <c r="MVF41" s="214"/>
      <c r="MVG41" s="214"/>
      <c r="MVH41" s="214"/>
      <c r="MVI41" s="214"/>
      <c r="MVJ41" s="214"/>
      <c r="MVK41" s="214"/>
      <c r="MVL41" s="214"/>
      <c r="MVM41" s="214"/>
      <c r="MVN41" s="214"/>
      <c r="MVO41" s="214"/>
      <c r="MVP41" s="214"/>
      <c r="MVQ41" s="214"/>
      <c r="MVR41" s="214"/>
      <c r="MVS41" s="214"/>
      <c r="MVT41" s="214"/>
      <c r="MVU41" s="214"/>
      <c r="MVV41" s="214"/>
      <c r="MVW41" s="214"/>
      <c r="MVX41" s="214"/>
      <c r="MVY41" s="214"/>
      <c r="MVZ41" s="214"/>
      <c r="MWA41" s="214"/>
      <c r="MWB41" s="214"/>
      <c r="MWC41" s="214"/>
      <c r="MWD41" s="214"/>
      <c r="MWE41" s="214"/>
      <c r="MWF41" s="214"/>
      <c r="MWG41" s="214"/>
      <c r="MWH41" s="214"/>
      <c r="MWI41" s="214"/>
      <c r="MWJ41" s="214"/>
      <c r="MWK41" s="214"/>
      <c r="MWL41" s="214"/>
      <c r="MWM41" s="214"/>
      <c r="MWN41" s="214"/>
      <c r="MWO41" s="214"/>
      <c r="MWP41" s="214"/>
      <c r="MWQ41" s="214"/>
      <c r="MWR41" s="214"/>
      <c r="MWS41" s="214"/>
      <c r="MWT41" s="214"/>
      <c r="MWU41" s="214"/>
      <c r="MWV41" s="214"/>
      <c r="MWW41" s="214"/>
      <c r="MWX41" s="214"/>
      <c r="MWY41" s="214"/>
      <c r="MWZ41" s="214"/>
      <c r="MXA41" s="214"/>
      <c r="MXB41" s="214"/>
      <c r="MXC41" s="214"/>
      <c r="MXD41" s="214"/>
      <c r="MXE41" s="214"/>
      <c r="MXF41" s="214"/>
      <c r="MXG41" s="214"/>
      <c r="MXH41" s="214"/>
      <c r="MXI41" s="214"/>
      <c r="MXJ41" s="214"/>
      <c r="MXK41" s="214"/>
      <c r="MXL41" s="214"/>
      <c r="MXM41" s="214"/>
      <c r="MXN41" s="214"/>
      <c r="MXO41" s="214"/>
      <c r="MXP41" s="214"/>
      <c r="MXQ41" s="214"/>
      <c r="MXR41" s="214"/>
      <c r="MXS41" s="214"/>
      <c r="MXT41" s="214"/>
      <c r="MXU41" s="214"/>
      <c r="MXV41" s="214"/>
      <c r="MXW41" s="214"/>
      <c r="MXX41" s="214"/>
      <c r="MXY41" s="214"/>
      <c r="MXZ41" s="214"/>
      <c r="MYA41" s="214"/>
      <c r="MYB41" s="214"/>
      <c r="MYC41" s="214"/>
      <c r="MYD41" s="214"/>
      <c r="MYE41" s="214"/>
      <c r="MYF41" s="214"/>
      <c r="MYG41" s="214"/>
      <c r="MYH41" s="214"/>
      <c r="MYI41" s="214"/>
      <c r="MYJ41" s="214"/>
      <c r="MYK41" s="214"/>
      <c r="MYL41" s="214"/>
      <c r="MYM41" s="214"/>
      <c r="MYN41" s="214"/>
      <c r="MYO41" s="214"/>
      <c r="MYP41" s="214"/>
      <c r="MYQ41" s="214"/>
      <c r="MYR41" s="214"/>
      <c r="MYS41" s="214"/>
      <c r="MYT41" s="214"/>
      <c r="MYU41" s="214"/>
      <c r="MYV41" s="214"/>
      <c r="MYW41" s="214"/>
      <c r="MYX41" s="214"/>
      <c r="MYY41" s="214"/>
      <c r="MYZ41" s="214"/>
      <c r="MZA41" s="214"/>
      <c r="MZB41" s="214"/>
      <c r="MZC41" s="214"/>
      <c r="MZD41" s="214"/>
      <c r="MZE41" s="214"/>
      <c r="MZF41" s="214"/>
      <c r="MZG41" s="214"/>
      <c r="MZH41" s="214"/>
      <c r="MZI41" s="214"/>
      <c r="MZJ41" s="214"/>
      <c r="MZK41" s="214"/>
      <c r="MZL41" s="214"/>
      <c r="MZM41" s="214"/>
      <c r="MZN41" s="214"/>
      <c r="MZO41" s="214"/>
      <c r="MZP41" s="214"/>
      <c r="MZQ41" s="214"/>
      <c r="MZR41" s="214"/>
      <c r="MZS41" s="214"/>
      <c r="MZT41" s="214"/>
      <c r="MZU41" s="214"/>
      <c r="MZV41" s="214"/>
      <c r="MZW41" s="214"/>
      <c r="MZX41" s="214"/>
      <c r="MZY41" s="214"/>
      <c r="MZZ41" s="214"/>
      <c r="NAA41" s="214"/>
      <c r="NAB41" s="214"/>
      <c r="NAC41" s="214"/>
      <c r="NAD41" s="214"/>
      <c r="NAE41" s="214"/>
      <c r="NAF41" s="214"/>
      <c r="NAG41" s="214"/>
      <c r="NAH41" s="214"/>
      <c r="NAI41" s="214"/>
      <c r="NAJ41" s="214"/>
      <c r="NAK41" s="214"/>
      <c r="NAL41" s="214"/>
      <c r="NAM41" s="214"/>
      <c r="NAN41" s="214"/>
      <c r="NAO41" s="214"/>
      <c r="NAP41" s="214"/>
      <c r="NAQ41" s="214"/>
      <c r="NAR41" s="214"/>
      <c r="NAS41" s="214"/>
      <c r="NAT41" s="214"/>
      <c r="NAU41" s="214"/>
      <c r="NAV41" s="214"/>
      <c r="NAW41" s="214"/>
      <c r="NAX41" s="214"/>
      <c r="NAY41" s="214"/>
      <c r="NAZ41" s="214"/>
      <c r="NBA41" s="214"/>
      <c r="NBB41" s="214"/>
      <c r="NBC41" s="214"/>
      <c r="NBD41" s="214"/>
      <c r="NBE41" s="214"/>
      <c r="NBF41" s="214"/>
      <c r="NBG41" s="214"/>
      <c r="NBH41" s="214"/>
      <c r="NBI41" s="214"/>
      <c r="NBJ41" s="214"/>
      <c r="NBK41" s="214"/>
      <c r="NBL41" s="214"/>
      <c r="NBM41" s="214"/>
      <c r="NBN41" s="214"/>
      <c r="NBO41" s="214"/>
      <c r="NBP41" s="214"/>
      <c r="NBQ41" s="214"/>
      <c r="NBR41" s="214"/>
      <c r="NBS41" s="214"/>
      <c r="NBT41" s="214"/>
      <c r="NBU41" s="214"/>
      <c r="NBV41" s="214"/>
      <c r="NBW41" s="214"/>
      <c r="NBX41" s="214"/>
      <c r="NBY41" s="214"/>
      <c r="NBZ41" s="214"/>
      <c r="NCA41" s="214"/>
      <c r="NCB41" s="214"/>
      <c r="NCC41" s="214"/>
      <c r="NCD41" s="214"/>
      <c r="NCE41" s="214"/>
      <c r="NCF41" s="214"/>
      <c r="NCG41" s="214"/>
      <c r="NCH41" s="214"/>
      <c r="NCI41" s="214"/>
      <c r="NCJ41" s="214"/>
      <c r="NCK41" s="214"/>
      <c r="NCL41" s="214"/>
      <c r="NCM41" s="214"/>
      <c r="NCN41" s="214"/>
      <c r="NCO41" s="214"/>
      <c r="NCP41" s="214"/>
      <c r="NCQ41" s="214"/>
      <c r="NCR41" s="214"/>
      <c r="NCS41" s="214"/>
      <c r="NCT41" s="214"/>
      <c r="NCU41" s="214"/>
      <c r="NCV41" s="214"/>
      <c r="NCW41" s="214"/>
      <c r="NCX41" s="214"/>
      <c r="NCY41" s="214"/>
      <c r="NCZ41" s="214"/>
      <c r="NDA41" s="214"/>
      <c r="NDB41" s="214"/>
      <c r="NDC41" s="214"/>
      <c r="NDD41" s="214"/>
      <c r="NDE41" s="214"/>
      <c r="NDF41" s="214"/>
      <c r="NDG41" s="214"/>
      <c r="NDH41" s="214"/>
      <c r="NDI41" s="214"/>
      <c r="NDJ41" s="214"/>
      <c r="NDK41" s="214"/>
      <c r="NDL41" s="214"/>
      <c r="NDM41" s="214"/>
      <c r="NDN41" s="214"/>
      <c r="NDO41" s="214"/>
      <c r="NDP41" s="214"/>
      <c r="NDQ41" s="214"/>
      <c r="NDR41" s="214"/>
      <c r="NDS41" s="214"/>
      <c r="NDT41" s="214"/>
      <c r="NDU41" s="214"/>
      <c r="NDV41" s="214"/>
      <c r="NDW41" s="214"/>
      <c r="NDX41" s="214"/>
      <c r="NDY41" s="214"/>
      <c r="NDZ41" s="214"/>
      <c r="NEA41" s="214"/>
      <c r="NEB41" s="214"/>
      <c r="NEC41" s="214"/>
      <c r="NED41" s="214"/>
      <c r="NEE41" s="214"/>
      <c r="NEF41" s="214"/>
      <c r="NEG41" s="214"/>
      <c r="NEH41" s="214"/>
      <c r="NEI41" s="214"/>
      <c r="NEJ41" s="214"/>
      <c r="NEK41" s="214"/>
      <c r="NEL41" s="214"/>
      <c r="NEM41" s="214"/>
      <c r="NEN41" s="214"/>
      <c r="NEO41" s="214"/>
      <c r="NEP41" s="214"/>
      <c r="NEQ41" s="214"/>
      <c r="NER41" s="214"/>
      <c r="NES41" s="214"/>
      <c r="NET41" s="214"/>
      <c r="NEU41" s="214"/>
      <c r="NEV41" s="214"/>
      <c r="NEW41" s="214"/>
      <c r="NEX41" s="214"/>
      <c r="NEY41" s="214"/>
      <c r="NEZ41" s="214"/>
      <c r="NFA41" s="214"/>
      <c r="NFB41" s="214"/>
      <c r="NFC41" s="214"/>
      <c r="NFD41" s="214"/>
      <c r="NFE41" s="214"/>
      <c r="NFF41" s="214"/>
      <c r="NFG41" s="214"/>
      <c r="NFH41" s="214"/>
      <c r="NFI41" s="214"/>
      <c r="NFJ41" s="214"/>
      <c r="NFK41" s="214"/>
      <c r="NFL41" s="214"/>
      <c r="NFM41" s="214"/>
      <c r="NFN41" s="214"/>
      <c r="NFO41" s="214"/>
      <c r="NFP41" s="214"/>
      <c r="NFQ41" s="214"/>
      <c r="NFR41" s="214"/>
      <c r="NFS41" s="214"/>
      <c r="NFT41" s="214"/>
      <c r="NFU41" s="214"/>
      <c r="NFV41" s="214"/>
      <c r="NFW41" s="214"/>
      <c r="NFX41" s="214"/>
      <c r="NFY41" s="214"/>
      <c r="NFZ41" s="214"/>
      <c r="NGA41" s="214"/>
      <c r="NGB41" s="214"/>
      <c r="NGC41" s="214"/>
      <c r="NGD41" s="214"/>
      <c r="NGE41" s="214"/>
      <c r="NGF41" s="214"/>
      <c r="NGG41" s="214"/>
      <c r="NGH41" s="214"/>
      <c r="NGI41" s="214"/>
      <c r="NGJ41" s="214"/>
      <c r="NGK41" s="214"/>
      <c r="NGL41" s="214"/>
      <c r="NGM41" s="214"/>
      <c r="NGN41" s="214"/>
      <c r="NGO41" s="214"/>
      <c r="NGP41" s="214"/>
      <c r="NGQ41" s="214"/>
      <c r="NGR41" s="214"/>
      <c r="NGS41" s="214"/>
      <c r="NGT41" s="214"/>
      <c r="NGU41" s="214"/>
      <c r="NGV41" s="214"/>
      <c r="NGW41" s="214"/>
      <c r="NGX41" s="214"/>
      <c r="NGY41" s="214"/>
      <c r="NGZ41" s="214"/>
      <c r="NHA41" s="214"/>
      <c r="NHB41" s="214"/>
      <c r="NHC41" s="214"/>
      <c r="NHD41" s="214"/>
      <c r="NHE41" s="214"/>
      <c r="NHF41" s="214"/>
      <c r="NHG41" s="214"/>
      <c r="NHH41" s="214"/>
      <c r="NHI41" s="214"/>
      <c r="NHJ41" s="214"/>
      <c r="NHK41" s="214"/>
      <c r="NHL41" s="214"/>
      <c r="NHM41" s="214"/>
      <c r="NHN41" s="214"/>
      <c r="NHO41" s="214"/>
      <c r="NHP41" s="214"/>
      <c r="NHQ41" s="214"/>
      <c r="NHR41" s="214"/>
      <c r="NHS41" s="214"/>
      <c r="NHT41" s="214"/>
      <c r="NHU41" s="214"/>
      <c r="NHV41" s="214"/>
      <c r="NHW41" s="214"/>
      <c r="NHX41" s="214"/>
      <c r="NHY41" s="214"/>
      <c r="NHZ41" s="214"/>
      <c r="NIA41" s="214"/>
      <c r="NIB41" s="214"/>
      <c r="NIC41" s="214"/>
      <c r="NID41" s="214"/>
      <c r="NIE41" s="214"/>
      <c r="NIF41" s="214"/>
      <c r="NIG41" s="214"/>
      <c r="NIH41" s="214"/>
      <c r="NII41" s="214"/>
      <c r="NIJ41" s="214"/>
      <c r="NIK41" s="214"/>
      <c r="NIL41" s="214"/>
      <c r="NIM41" s="214"/>
      <c r="NIN41" s="214"/>
      <c r="NIO41" s="214"/>
      <c r="NIP41" s="214"/>
      <c r="NIQ41" s="214"/>
      <c r="NIR41" s="214"/>
      <c r="NIS41" s="214"/>
      <c r="NIT41" s="214"/>
      <c r="NIU41" s="214"/>
      <c r="NIV41" s="214"/>
      <c r="NIW41" s="214"/>
      <c r="NIX41" s="214"/>
      <c r="NIY41" s="214"/>
      <c r="NIZ41" s="214"/>
      <c r="NJA41" s="214"/>
      <c r="NJB41" s="214"/>
      <c r="NJC41" s="214"/>
      <c r="NJD41" s="214"/>
      <c r="NJE41" s="214"/>
      <c r="NJF41" s="214"/>
      <c r="NJG41" s="214"/>
      <c r="NJH41" s="214"/>
      <c r="NJI41" s="214"/>
      <c r="NJJ41" s="214"/>
      <c r="NJK41" s="214"/>
      <c r="NJL41" s="214"/>
      <c r="NJM41" s="214"/>
      <c r="NJN41" s="214"/>
      <c r="NJO41" s="214"/>
      <c r="NJP41" s="214"/>
      <c r="NJQ41" s="214"/>
      <c r="NJR41" s="214"/>
      <c r="NJS41" s="214"/>
      <c r="NJT41" s="214"/>
      <c r="NJU41" s="214"/>
      <c r="NJV41" s="214"/>
      <c r="NJW41" s="214"/>
      <c r="NJX41" s="214"/>
      <c r="NJY41" s="214"/>
      <c r="NJZ41" s="214"/>
      <c r="NKA41" s="214"/>
      <c r="NKB41" s="214"/>
      <c r="NKC41" s="214"/>
      <c r="NKD41" s="214"/>
      <c r="NKE41" s="214"/>
      <c r="NKF41" s="214"/>
      <c r="NKG41" s="214"/>
      <c r="NKH41" s="214"/>
      <c r="NKI41" s="214"/>
      <c r="NKJ41" s="214"/>
      <c r="NKK41" s="214"/>
      <c r="NKL41" s="214"/>
      <c r="NKM41" s="214"/>
      <c r="NKN41" s="214"/>
      <c r="NKO41" s="214"/>
      <c r="NKP41" s="214"/>
      <c r="NKQ41" s="214"/>
      <c r="NKR41" s="214"/>
      <c r="NKS41" s="214"/>
      <c r="NKT41" s="214"/>
      <c r="NKU41" s="214"/>
      <c r="NKV41" s="214"/>
      <c r="NKW41" s="214"/>
      <c r="NKX41" s="214"/>
      <c r="NKY41" s="214"/>
      <c r="NKZ41" s="214"/>
      <c r="NLA41" s="214"/>
      <c r="NLB41" s="214"/>
      <c r="NLC41" s="214"/>
      <c r="NLD41" s="214"/>
      <c r="NLE41" s="214"/>
      <c r="NLF41" s="214"/>
      <c r="NLG41" s="214"/>
      <c r="NLH41" s="214"/>
      <c r="NLI41" s="214"/>
      <c r="NLJ41" s="214"/>
      <c r="NLK41" s="214"/>
      <c r="NLL41" s="214"/>
      <c r="NLM41" s="214"/>
      <c r="NLN41" s="214"/>
      <c r="NLO41" s="214"/>
      <c r="NLP41" s="214"/>
      <c r="NLQ41" s="214"/>
      <c r="NLR41" s="214"/>
      <c r="NLS41" s="214"/>
      <c r="NLT41" s="214"/>
      <c r="NLU41" s="214"/>
      <c r="NLV41" s="214"/>
      <c r="NLW41" s="214"/>
      <c r="NLX41" s="214"/>
      <c r="NLY41" s="214"/>
      <c r="NLZ41" s="214"/>
      <c r="NMA41" s="214"/>
      <c r="NMB41" s="214"/>
      <c r="NMC41" s="214"/>
      <c r="NMD41" s="214"/>
      <c r="NME41" s="214"/>
      <c r="NMF41" s="214"/>
      <c r="NMG41" s="214"/>
      <c r="NMH41" s="214"/>
      <c r="NMI41" s="214"/>
      <c r="NMJ41" s="214"/>
      <c r="NMK41" s="214"/>
      <c r="NML41" s="214"/>
      <c r="NMM41" s="214"/>
      <c r="NMN41" s="214"/>
      <c r="NMO41" s="214"/>
      <c r="NMP41" s="214"/>
      <c r="NMQ41" s="214"/>
      <c r="NMR41" s="214"/>
      <c r="NMS41" s="214"/>
      <c r="NMT41" s="214"/>
      <c r="NMU41" s="214"/>
      <c r="NMV41" s="214"/>
      <c r="NMW41" s="214"/>
      <c r="NMX41" s="214"/>
      <c r="NMY41" s="214"/>
      <c r="NMZ41" s="214"/>
      <c r="NNA41" s="214"/>
      <c r="NNB41" s="214"/>
      <c r="NNC41" s="214"/>
      <c r="NND41" s="214"/>
      <c r="NNE41" s="214"/>
      <c r="NNF41" s="214"/>
      <c r="NNG41" s="214"/>
      <c r="NNH41" s="214"/>
      <c r="NNI41" s="214"/>
      <c r="NNJ41" s="214"/>
      <c r="NNK41" s="214"/>
      <c r="NNL41" s="214"/>
      <c r="NNM41" s="214"/>
      <c r="NNN41" s="214"/>
      <c r="NNO41" s="214"/>
      <c r="NNP41" s="214"/>
      <c r="NNQ41" s="214"/>
      <c r="NNR41" s="214"/>
      <c r="NNS41" s="214"/>
      <c r="NNT41" s="214"/>
      <c r="NNU41" s="214"/>
      <c r="NNV41" s="214"/>
      <c r="NNW41" s="214"/>
      <c r="NNX41" s="214"/>
      <c r="NNY41" s="214"/>
      <c r="NNZ41" s="214"/>
      <c r="NOA41" s="214"/>
      <c r="NOB41" s="214"/>
      <c r="NOC41" s="214"/>
      <c r="NOD41" s="214"/>
      <c r="NOE41" s="214"/>
      <c r="NOF41" s="214"/>
      <c r="NOG41" s="214"/>
      <c r="NOH41" s="214"/>
      <c r="NOI41" s="214"/>
      <c r="NOJ41" s="214"/>
      <c r="NOK41" s="214"/>
      <c r="NOL41" s="214"/>
      <c r="NOM41" s="214"/>
      <c r="NON41" s="214"/>
      <c r="NOO41" s="214"/>
      <c r="NOP41" s="214"/>
      <c r="NOQ41" s="214"/>
      <c r="NOR41" s="214"/>
      <c r="NOS41" s="214"/>
      <c r="NOT41" s="214"/>
      <c r="NOU41" s="214"/>
      <c r="NOV41" s="214"/>
      <c r="NOW41" s="214"/>
      <c r="NOX41" s="214"/>
      <c r="NOY41" s="214"/>
      <c r="NOZ41" s="214"/>
      <c r="NPA41" s="214"/>
      <c r="NPB41" s="214"/>
      <c r="NPC41" s="214"/>
      <c r="NPD41" s="214"/>
      <c r="NPE41" s="214"/>
      <c r="NPF41" s="214"/>
      <c r="NPG41" s="214"/>
      <c r="NPH41" s="214"/>
      <c r="NPI41" s="214"/>
      <c r="NPJ41" s="214"/>
      <c r="NPK41" s="214"/>
      <c r="NPL41" s="214"/>
      <c r="NPM41" s="214"/>
      <c r="NPN41" s="214"/>
      <c r="NPO41" s="214"/>
      <c r="NPP41" s="214"/>
      <c r="NPQ41" s="214"/>
      <c r="NPR41" s="214"/>
      <c r="NPS41" s="214"/>
      <c r="NPT41" s="214"/>
      <c r="NPU41" s="214"/>
      <c r="NPV41" s="214"/>
      <c r="NPW41" s="214"/>
      <c r="NPX41" s="214"/>
      <c r="NPY41" s="214"/>
      <c r="NPZ41" s="214"/>
      <c r="NQA41" s="214"/>
      <c r="NQB41" s="214"/>
      <c r="NQC41" s="214"/>
      <c r="NQD41" s="214"/>
      <c r="NQE41" s="214"/>
      <c r="NQF41" s="214"/>
      <c r="NQG41" s="214"/>
      <c r="NQH41" s="214"/>
      <c r="NQI41" s="214"/>
      <c r="NQJ41" s="214"/>
      <c r="NQK41" s="214"/>
      <c r="NQL41" s="214"/>
      <c r="NQM41" s="214"/>
      <c r="NQN41" s="214"/>
      <c r="NQO41" s="214"/>
      <c r="NQP41" s="214"/>
      <c r="NQQ41" s="214"/>
      <c r="NQR41" s="214"/>
      <c r="NQS41" s="214"/>
      <c r="NQT41" s="214"/>
      <c r="NQU41" s="214"/>
      <c r="NQV41" s="214"/>
      <c r="NQW41" s="214"/>
      <c r="NQX41" s="214"/>
      <c r="NQY41" s="214"/>
      <c r="NQZ41" s="214"/>
      <c r="NRA41" s="214"/>
      <c r="NRB41" s="214"/>
      <c r="NRC41" s="214"/>
      <c r="NRD41" s="214"/>
      <c r="NRE41" s="214"/>
      <c r="NRF41" s="214"/>
      <c r="NRG41" s="214"/>
      <c r="NRH41" s="214"/>
      <c r="NRI41" s="214"/>
      <c r="NRJ41" s="214"/>
      <c r="NRK41" s="214"/>
      <c r="NRL41" s="214"/>
      <c r="NRM41" s="214"/>
      <c r="NRN41" s="214"/>
      <c r="NRO41" s="214"/>
      <c r="NRP41" s="214"/>
      <c r="NRQ41" s="214"/>
      <c r="NRR41" s="214"/>
      <c r="NRS41" s="214"/>
      <c r="NRT41" s="214"/>
      <c r="NRU41" s="214"/>
      <c r="NRV41" s="214"/>
      <c r="NRW41" s="214"/>
      <c r="NRX41" s="214"/>
      <c r="NRY41" s="214"/>
      <c r="NRZ41" s="214"/>
      <c r="NSA41" s="214"/>
      <c r="NSB41" s="214"/>
      <c r="NSC41" s="214"/>
      <c r="NSD41" s="214"/>
      <c r="NSE41" s="214"/>
      <c r="NSF41" s="214"/>
      <c r="NSG41" s="214"/>
      <c r="NSH41" s="214"/>
      <c r="NSI41" s="214"/>
      <c r="NSJ41" s="214"/>
      <c r="NSK41" s="214"/>
      <c r="NSL41" s="214"/>
      <c r="NSM41" s="214"/>
      <c r="NSN41" s="214"/>
      <c r="NSO41" s="214"/>
      <c r="NSP41" s="214"/>
      <c r="NSQ41" s="214"/>
      <c r="NSR41" s="214"/>
      <c r="NSS41" s="214"/>
      <c r="NST41" s="214"/>
      <c r="NSU41" s="214"/>
      <c r="NSV41" s="214"/>
      <c r="NSW41" s="214"/>
      <c r="NSX41" s="214"/>
      <c r="NSY41" s="214"/>
      <c r="NSZ41" s="214"/>
      <c r="NTA41" s="214"/>
      <c r="NTB41" s="214"/>
      <c r="NTC41" s="214"/>
      <c r="NTD41" s="214"/>
      <c r="NTE41" s="214"/>
      <c r="NTF41" s="214"/>
      <c r="NTG41" s="214"/>
      <c r="NTH41" s="214"/>
      <c r="NTI41" s="214"/>
      <c r="NTJ41" s="214"/>
      <c r="NTK41" s="214"/>
      <c r="NTL41" s="214"/>
      <c r="NTM41" s="214"/>
      <c r="NTN41" s="214"/>
      <c r="NTO41" s="214"/>
      <c r="NTP41" s="214"/>
      <c r="NTQ41" s="214"/>
      <c r="NTR41" s="214"/>
      <c r="NTS41" s="214"/>
      <c r="NTT41" s="214"/>
      <c r="NTU41" s="214"/>
      <c r="NTV41" s="214"/>
      <c r="NTW41" s="214"/>
      <c r="NTX41" s="214"/>
      <c r="NTY41" s="214"/>
      <c r="NTZ41" s="214"/>
      <c r="NUA41" s="214"/>
      <c r="NUB41" s="214"/>
      <c r="NUC41" s="214"/>
      <c r="NUD41" s="214"/>
      <c r="NUE41" s="214"/>
      <c r="NUF41" s="214"/>
      <c r="NUG41" s="214"/>
      <c r="NUH41" s="214"/>
      <c r="NUI41" s="214"/>
      <c r="NUJ41" s="214"/>
      <c r="NUK41" s="214"/>
      <c r="NUL41" s="214"/>
      <c r="NUM41" s="214"/>
      <c r="NUN41" s="214"/>
      <c r="NUO41" s="214"/>
      <c r="NUP41" s="214"/>
      <c r="NUQ41" s="214"/>
      <c r="NUR41" s="214"/>
      <c r="NUS41" s="214"/>
      <c r="NUT41" s="214"/>
      <c r="NUU41" s="214"/>
      <c r="NUV41" s="214"/>
      <c r="NUW41" s="214"/>
      <c r="NUX41" s="214"/>
      <c r="NUY41" s="214"/>
      <c r="NUZ41" s="214"/>
      <c r="NVA41" s="214"/>
      <c r="NVB41" s="214"/>
      <c r="NVC41" s="214"/>
      <c r="NVD41" s="214"/>
      <c r="NVE41" s="214"/>
      <c r="NVF41" s="214"/>
      <c r="NVG41" s="214"/>
      <c r="NVH41" s="214"/>
      <c r="NVI41" s="214"/>
      <c r="NVJ41" s="214"/>
      <c r="NVK41" s="214"/>
      <c r="NVL41" s="214"/>
      <c r="NVM41" s="214"/>
      <c r="NVN41" s="214"/>
      <c r="NVO41" s="214"/>
      <c r="NVP41" s="214"/>
      <c r="NVQ41" s="214"/>
      <c r="NVR41" s="214"/>
      <c r="NVS41" s="214"/>
      <c r="NVT41" s="214"/>
      <c r="NVU41" s="214"/>
      <c r="NVV41" s="214"/>
      <c r="NVW41" s="214"/>
      <c r="NVX41" s="214"/>
      <c r="NVY41" s="214"/>
      <c r="NVZ41" s="214"/>
      <c r="NWA41" s="214"/>
      <c r="NWB41" s="214"/>
      <c r="NWC41" s="214"/>
      <c r="NWD41" s="214"/>
      <c r="NWE41" s="214"/>
      <c r="NWF41" s="214"/>
      <c r="NWG41" s="214"/>
      <c r="NWH41" s="214"/>
      <c r="NWI41" s="214"/>
      <c r="NWJ41" s="214"/>
      <c r="NWK41" s="214"/>
      <c r="NWL41" s="214"/>
      <c r="NWM41" s="214"/>
      <c r="NWN41" s="214"/>
      <c r="NWO41" s="214"/>
      <c r="NWP41" s="214"/>
      <c r="NWQ41" s="214"/>
      <c r="NWR41" s="214"/>
      <c r="NWS41" s="214"/>
      <c r="NWT41" s="214"/>
      <c r="NWU41" s="214"/>
      <c r="NWV41" s="214"/>
      <c r="NWW41" s="214"/>
      <c r="NWX41" s="214"/>
      <c r="NWY41" s="214"/>
      <c r="NWZ41" s="214"/>
      <c r="NXA41" s="214"/>
      <c r="NXB41" s="214"/>
      <c r="NXC41" s="214"/>
      <c r="NXD41" s="214"/>
      <c r="NXE41" s="214"/>
      <c r="NXF41" s="214"/>
      <c r="NXG41" s="214"/>
      <c r="NXH41" s="214"/>
      <c r="NXI41" s="214"/>
      <c r="NXJ41" s="214"/>
      <c r="NXK41" s="214"/>
      <c r="NXL41" s="214"/>
      <c r="NXM41" s="214"/>
      <c r="NXN41" s="214"/>
      <c r="NXO41" s="214"/>
      <c r="NXP41" s="214"/>
      <c r="NXQ41" s="214"/>
      <c r="NXR41" s="214"/>
      <c r="NXS41" s="214"/>
      <c r="NXT41" s="214"/>
      <c r="NXU41" s="214"/>
      <c r="NXV41" s="214"/>
      <c r="NXW41" s="214"/>
      <c r="NXX41" s="214"/>
      <c r="NXY41" s="214"/>
      <c r="NXZ41" s="214"/>
      <c r="NYA41" s="214"/>
      <c r="NYB41" s="214"/>
      <c r="NYC41" s="214"/>
      <c r="NYD41" s="214"/>
      <c r="NYE41" s="214"/>
      <c r="NYF41" s="214"/>
      <c r="NYG41" s="214"/>
      <c r="NYH41" s="214"/>
      <c r="NYI41" s="214"/>
      <c r="NYJ41" s="214"/>
      <c r="NYK41" s="214"/>
      <c r="NYL41" s="214"/>
      <c r="NYM41" s="214"/>
      <c r="NYN41" s="214"/>
      <c r="NYO41" s="214"/>
      <c r="NYP41" s="214"/>
      <c r="NYQ41" s="214"/>
      <c r="NYR41" s="214"/>
      <c r="NYS41" s="214"/>
      <c r="NYT41" s="214"/>
      <c r="NYU41" s="214"/>
      <c r="NYV41" s="214"/>
      <c r="NYW41" s="214"/>
      <c r="NYX41" s="214"/>
      <c r="NYY41" s="214"/>
      <c r="NYZ41" s="214"/>
      <c r="NZA41" s="214"/>
      <c r="NZB41" s="214"/>
      <c r="NZC41" s="214"/>
      <c r="NZD41" s="214"/>
      <c r="NZE41" s="214"/>
      <c r="NZF41" s="214"/>
      <c r="NZG41" s="214"/>
      <c r="NZH41" s="214"/>
      <c r="NZI41" s="214"/>
      <c r="NZJ41" s="214"/>
      <c r="NZK41" s="214"/>
      <c r="NZL41" s="214"/>
      <c r="NZM41" s="214"/>
      <c r="NZN41" s="214"/>
      <c r="NZO41" s="214"/>
      <c r="NZP41" s="214"/>
      <c r="NZQ41" s="214"/>
      <c r="NZR41" s="214"/>
      <c r="NZS41" s="214"/>
      <c r="NZT41" s="214"/>
      <c r="NZU41" s="214"/>
      <c r="NZV41" s="214"/>
      <c r="NZW41" s="214"/>
      <c r="NZX41" s="214"/>
      <c r="NZY41" s="214"/>
      <c r="NZZ41" s="214"/>
      <c r="OAA41" s="214"/>
      <c r="OAB41" s="214"/>
      <c r="OAC41" s="214"/>
      <c r="OAD41" s="214"/>
      <c r="OAE41" s="214"/>
      <c r="OAF41" s="214"/>
      <c r="OAG41" s="214"/>
      <c r="OAH41" s="214"/>
      <c r="OAI41" s="214"/>
      <c r="OAJ41" s="214"/>
      <c r="OAK41" s="214"/>
      <c r="OAL41" s="214"/>
      <c r="OAM41" s="214"/>
      <c r="OAN41" s="214"/>
      <c r="OAO41" s="214"/>
      <c r="OAP41" s="214"/>
      <c r="OAQ41" s="214"/>
      <c r="OAR41" s="214"/>
      <c r="OAS41" s="214"/>
      <c r="OAT41" s="214"/>
      <c r="OAU41" s="214"/>
      <c r="OAV41" s="214"/>
      <c r="OAW41" s="214"/>
      <c r="OAX41" s="214"/>
      <c r="OAY41" s="214"/>
      <c r="OAZ41" s="214"/>
      <c r="OBA41" s="214"/>
      <c r="OBB41" s="214"/>
      <c r="OBC41" s="214"/>
      <c r="OBD41" s="214"/>
      <c r="OBE41" s="214"/>
      <c r="OBF41" s="214"/>
      <c r="OBG41" s="214"/>
      <c r="OBH41" s="214"/>
      <c r="OBI41" s="214"/>
      <c r="OBJ41" s="214"/>
      <c r="OBK41" s="214"/>
      <c r="OBL41" s="214"/>
      <c r="OBM41" s="214"/>
      <c r="OBN41" s="214"/>
      <c r="OBO41" s="214"/>
      <c r="OBP41" s="214"/>
      <c r="OBQ41" s="214"/>
      <c r="OBR41" s="214"/>
      <c r="OBS41" s="214"/>
      <c r="OBT41" s="214"/>
      <c r="OBU41" s="214"/>
      <c r="OBV41" s="214"/>
      <c r="OBW41" s="214"/>
      <c r="OBX41" s="214"/>
      <c r="OBY41" s="214"/>
      <c r="OBZ41" s="214"/>
      <c r="OCA41" s="214"/>
      <c r="OCB41" s="214"/>
      <c r="OCC41" s="214"/>
      <c r="OCD41" s="214"/>
      <c r="OCE41" s="214"/>
      <c r="OCF41" s="214"/>
      <c r="OCG41" s="214"/>
      <c r="OCH41" s="214"/>
      <c r="OCI41" s="214"/>
      <c r="OCJ41" s="214"/>
      <c r="OCK41" s="214"/>
      <c r="OCL41" s="214"/>
      <c r="OCM41" s="214"/>
      <c r="OCN41" s="214"/>
      <c r="OCO41" s="214"/>
      <c r="OCP41" s="214"/>
      <c r="OCQ41" s="214"/>
      <c r="OCR41" s="214"/>
      <c r="OCS41" s="214"/>
      <c r="OCT41" s="214"/>
      <c r="OCU41" s="214"/>
      <c r="OCV41" s="214"/>
      <c r="OCW41" s="214"/>
      <c r="OCX41" s="214"/>
      <c r="OCY41" s="214"/>
      <c r="OCZ41" s="214"/>
      <c r="ODA41" s="214"/>
      <c r="ODB41" s="214"/>
      <c r="ODC41" s="214"/>
      <c r="ODD41" s="214"/>
      <c r="ODE41" s="214"/>
      <c r="ODF41" s="214"/>
      <c r="ODG41" s="214"/>
      <c r="ODH41" s="214"/>
      <c r="ODI41" s="214"/>
      <c r="ODJ41" s="214"/>
      <c r="ODK41" s="214"/>
      <c r="ODL41" s="214"/>
      <c r="ODM41" s="214"/>
      <c r="ODN41" s="214"/>
      <c r="ODO41" s="214"/>
      <c r="ODP41" s="214"/>
      <c r="ODQ41" s="214"/>
      <c r="ODR41" s="214"/>
      <c r="ODS41" s="214"/>
      <c r="ODT41" s="214"/>
      <c r="ODU41" s="214"/>
      <c r="ODV41" s="214"/>
      <c r="ODW41" s="214"/>
      <c r="ODX41" s="214"/>
      <c r="ODY41" s="214"/>
      <c r="ODZ41" s="214"/>
      <c r="OEA41" s="214"/>
      <c r="OEB41" s="214"/>
      <c r="OEC41" s="214"/>
      <c r="OED41" s="214"/>
      <c r="OEE41" s="214"/>
      <c r="OEF41" s="214"/>
      <c r="OEG41" s="214"/>
      <c r="OEH41" s="214"/>
      <c r="OEI41" s="214"/>
      <c r="OEJ41" s="214"/>
      <c r="OEK41" s="214"/>
      <c r="OEL41" s="214"/>
      <c r="OEM41" s="214"/>
      <c r="OEN41" s="214"/>
      <c r="OEO41" s="214"/>
      <c r="OEP41" s="214"/>
      <c r="OEQ41" s="214"/>
      <c r="OER41" s="214"/>
      <c r="OES41" s="214"/>
      <c r="OET41" s="214"/>
      <c r="OEU41" s="214"/>
      <c r="OEV41" s="214"/>
      <c r="OEW41" s="214"/>
      <c r="OEX41" s="214"/>
      <c r="OEY41" s="214"/>
      <c r="OEZ41" s="214"/>
      <c r="OFA41" s="214"/>
      <c r="OFB41" s="214"/>
      <c r="OFC41" s="214"/>
      <c r="OFD41" s="214"/>
      <c r="OFE41" s="214"/>
      <c r="OFF41" s="214"/>
      <c r="OFG41" s="214"/>
      <c r="OFH41" s="214"/>
      <c r="OFI41" s="214"/>
      <c r="OFJ41" s="214"/>
      <c r="OFK41" s="214"/>
      <c r="OFL41" s="214"/>
      <c r="OFM41" s="214"/>
      <c r="OFN41" s="214"/>
      <c r="OFO41" s="214"/>
      <c r="OFP41" s="214"/>
      <c r="OFQ41" s="214"/>
      <c r="OFR41" s="214"/>
      <c r="OFS41" s="214"/>
      <c r="OFT41" s="214"/>
      <c r="OFU41" s="214"/>
      <c r="OFV41" s="214"/>
      <c r="OFW41" s="214"/>
      <c r="OFX41" s="214"/>
      <c r="OFY41" s="214"/>
      <c r="OFZ41" s="214"/>
      <c r="OGA41" s="214"/>
      <c r="OGB41" s="214"/>
      <c r="OGC41" s="214"/>
      <c r="OGD41" s="214"/>
      <c r="OGE41" s="214"/>
      <c r="OGF41" s="214"/>
      <c r="OGG41" s="214"/>
      <c r="OGH41" s="214"/>
      <c r="OGI41" s="214"/>
      <c r="OGJ41" s="214"/>
      <c r="OGK41" s="214"/>
      <c r="OGL41" s="214"/>
      <c r="OGM41" s="214"/>
      <c r="OGN41" s="214"/>
      <c r="OGO41" s="214"/>
      <c r="OGP41" s="214"/>
      <c r="OGQ41" s="214"/>
      <c r="OGR41" s="214"/>
      <c r="OGS41" s="214"/>
      <c r="OGT41" s="214"/>
      <c r="OGU41" s="214"/>
      <c r="OGV41" s="214"/>
      <c r="OGW41" s="214"/>
      <c r="OGX41" s="214"/>
      <c r="OGY41" s="214"/>
      <c r="OGZ41" s="214"/>
      <c r="OHA41" s="214"/>
      <c r="OHB41" s="214"/>
      <c r="OHC41" s="214"/>
      <c r="OHD41" s="214"/>
      <c r="OHE41" s="214"/>
      <c r="OHF41" s="214"/>
      <c r="OHG41" s="214"/>
      <c r="OHH41" s="214"/>
      <c r="OHI41" s="214"/>
      <c r="OHJ41" s="214"/>
      <c r="OHK41" s="214"/>
      <c r="OHL41" s="214"/>
      <c r="OHM41" s="214"/>
      <c r="OHN41" s="214"/>
      <c r="OHO41" s="214"/>
      <c r="OHP41" s="214"/>
      <c r="OHQ41" s="214"/>
      <c r="OHR41" s="214"/>
      <c r="OHS41" s="214"/>
      <c r="OHT41" s="214"/>
      <c r="OHU41" s="214"/>
      <c r="OHV41" s="214"/>
      <c r="OHW41" s="214"/>
      <c r="OHX41" s="214"/>
      <c r="OHY41" s="214"/>
      <c r="OHZ41" s="214"/>
      <c r="OIA41" s="214"/>
      <c r="OIB41" s="214"/>
      <c r="OIC41" s="214"/>
      <c r="OID41" s="214"/>
      <c r="OIE41" s="214"/>
      <c r="OIF41" s="214"/>
      <c r="OIG41" s="214"/>
      <c r="OIH41" s="214"/>
      <c r="OII41" s="214"/>
      <c r="OIJ41" s="214"/>
      <c r="OIK41" s="214"/>
      <c r="OIL41" s="214"/>
      <c r="OIM41" s="214"/>
      <c r="OIN41" s="214"/>
      <c r="OIO41" s="214"/>
      <c r="OIP41" s="214"/>
      <c r="OIQ41" s="214"/>
      <c r="OIR41" s="214"/>
      <c r="OIS41" s="214"/>
      <c r="OIT41" s="214"/>
      <c r="OIU41" s="214"/>
      <c r="OIV41" s="214"/>
      <c r="OIW41" s="214"/>
      <c r="OIX41" s="214"/>
      <c r="OIY41" s="214"/>
      <c r="OIZ41" s="214"/>
      <c r="OJA41" s="214"/>
      <c r="OJB41" s="214"/>
      <c r="OJC41" s="214"/>
      <c r="OJD41" s="214"/>
      <c r="OJE41" s="214"/>
      <c r="OJF41" s="214"/>
      <c r="OJG41" s="214"/>
      <c r="OJH41" s="214"/>
      <c r="OJI41" s="214"/>
      <c r="OJJ41" s="214"/>
      <c r="OJK41" s="214"/>
      <c r="OJL41" s="214"/>
      <c r="OJM41" s="214"/>
      <c r="OJN41" s="214"/>
      <c r="OJO41" s="214"/>
      <c r="OJP41" s="214"/>
      <c r="OJQ41" s="214"/>
      <c r="OJR41" s="214"/>
      <c r="OJS41" s="214"/>
      <c r="OJT41" s="214"/>
      <c r="OJU41" s="214"/>
      <c r="OJV41" s="214"/>
      <c r="OJW41" s="214"/>
      <c r="OJX41" s="214"/>
      <c r="OJY41" s="214"/>
      <c r="OJZ41" s="214"/>
      <c r="OKA41" s="214"/>
      <c r="OKB41" s="214"/>
      <c r="OKC41" s="214"/>
      <c r="OKD41" s="214"/>
      <c r="OKE41" s="214"/>
      <c r="OKF41" s="214"/>
      <c r="OKG41" s="214"/>
      <c r="OKH41" s="214"/>
      <c r="OKI41" s="214"/>
      <c r="OKJ41" s="214"/>
      <c r="OKK41" s="214"/>
      <c r="OKL41" s="214"/>
      <c r="OKM41" s="214"/>
      <c r="OKN41" s="214"/>
      <c r="OKO41" s="214"/>
      <c r="OKP41" s="214"/>
      <c r="OKQ41" s="214"/>
      <c r="OKR41" s="214"/>
      <c r="OKS41" s="214"/>
      <c r="OKT41" s="214"/>
      <c r="OKU41" s="214"/>
      <c r="OKV41" s="214"/>
      <c r="OKW41" s="214"/>
      <c r="OKX41" s="214"/>
      <c r="OKY41" s="214"/>
      <c r="OKZ41" s="214"/>
      <c r="OLA41" s="214"/>
      <c r="OLB41" s="214"/>
      <c r="OLC41" s="214"/>
      <c r="OLD41" s="214"/>
      <c r="OLE41" s="214"/>
      <c r="OLF41" s="214"/>
      <c r="OLG41" s="214"/>
      <c r="OLH41" s="214"/>
      <c r="OLI41" s="214"/>
      <c r="OLJ41" s="214"/>
      <c r="OLK41" s="214"/>
      <c r="OLL41" s="214"/>
      <c r="OLM41" s="214"/>
      <c r="OLN41" s="214"/>
      <c r="OLO41" s="214"/>
      <c r="OLP41" s="214"/>
      <c r="OLQ41" s="214"/>
      <c r="OLR41" s="214"/>
      <c r="OLS41" s="214"/>
      <c r="OLT41" s="214"/>
      <c r="OLU41" s="214"/>
      <c r="OLV41" s="214"/>
      <c r="OLW41" s="214"/>
      <c r="OLX41" s="214"/>
      <c r="OLY41" s="214"/>
      <c r="OLZ41" s="214"/>
      <c r="OMA41" s="214"/>
      <c r="OMB41" s="214"/>
      <c r="OMC41" s="214"/>
      <c r="OMD41" s="214"/>
      <c r="OME41" s="214"/>
      <c r="OMF41" s="214"/>
      <c r="OMG41" s="214"/>
      <c r="OMH41" s="214"/>
      <c r="OMI41" s="214"/>
      <c r="OMJ41" s="214"/>
      <c r="OMK41" s="214"/>
      <c r="OML41" s="214"/>
      <c r="OMM41" s="214"/>
      <c r="OMN41" s="214"/>
      <c r="OMO41" s="214"/>
      <c r="OMP41" s="214"/>
      <c r="OMQ41" s="214"/>
      <c r="OMR41" s="214"/>
      <c r="OMS41" s="214"/>
      <c r="OMT41" s="214"/>
      <c r="OMU41" s="214"/>
      <c r="OMV41" s="214"/>
      <c r="OMW41" s="214"/>
      <c r="OMX41" s="214"/>
      <c r="OMY41" s="214"/>
      <c r="OMZ41" s="214"/>
      <c r="ONA41" s="214"/>
      <c r="ONB41" s="214"/>
      <c r="ONC41" s="214"/>
      <c r="OND41" s="214"/>
      <c r="ONE41" s="214"/>
      <c r="ONF41" s="214"/>
      <c r="ONG41" s="214"/>
      <c r="ONH41" s="214"/>
      <c r="ONI41" s="214"/>
      <c r="ONJ41" s="214"/>
      <c r="ONK41" s="214"/>
      <c r="ONL41" s="214"/>
      <c r="ONM41" s="214"/>
      <c r="ONN41" s="214"/>
      <c r="ONO41" s="214"/>
      <c r="ONP41" s="214"/>
      <c r="ONQ41" s="214"/>
      <c r="ONR41" s="214"/>
      <c r="ONS41" s="214"/>
      <c r="ONT41" s="214"/>
      <c r="ONU41" s="214"/>
      <c r="ONV41" s="214"/>
      <c r="ONW41" s="214"/>
      <c r="ONX41" s="214"/>
      <c r="ONY41" s="214"/>
      <c r="ONZ41" s="214"/>
      <c r="OOA41" s="214"/>
      <c r="OOB41" s="214"/>
      <c r="OOC41" s="214"/>
      <c r="OOD41" s="214"/>
      <c r="OOE41" s="214"/>
      <c r="OOF41" s="214"/>
      <c r="OOG41" s="214"/>
      <c r="OOH41" s="214"/>
      <c r="OOI41" s="214"/>
      <c r="OOJ41" s="214"/>
      <c r="OOK41" s="214"/>
      <c r="OOL41" s="214"/>
      <c r="OOM41" s="214"/>
      <c r="OON41" s="214"/>
      <c r="OOO41" s="214"/>
      <c r="OOP41" s="214"/>
      <c r="OOQ41" s="214"/>
      <c r="OOR41" s="214"/>
      <c r="OOS41" s="214"/>
      <c r="OOT41" s="214"/>
      <c r="OOU41" s="214"/>
      <c r="OOV41" s="214"/>
      <c r="OOW41" s="214"/>
      <c r="OOX41" s="214"/>
      <c r="OOY41" s="214"/>
      <c r="OOZ41" s="214"/>
      <c r="OPA41" s="214"/>
      <c r="OPB41" s="214"/>
      <c r="OPC41" s="214"/>
      <c r="OPD41" s="214"/>
      <c r="OPE41" s="214"/>
      <c r="OPF41" s="214"/>
      <c r="OPG41" s="214"/>
      <c r="OPH41" s="214"/>
      <c r="OPI41" s="214"/>
      <c r="OPJ41" s="214"/>
      <c r="OPK41" s="214"/>
      <c r="OPL41" s="214"/>
      <c r="OPM41" s="214"/>
      <c r="OPN41" s="214"/>
      <c r="OPO41" s="214"/>
      <c r="OPP41" s="214"/>
      <c r="OPQ41" s="214"/>
      <c r="OPR41" s="214"/>
      <c r="OPS41" s="214"/>
      <c r="OPT41" s="214"/>
      <c r="OPU41" s="214"/>
      <c r="OPV41" s="214"/>
      <c r="OPW41" s="214"/>
      <c r="OPX41" s="214"/>
      <c r="OPY41" s="214"/>
      <c r="OPZ41" s="214"/>
      <c r="OQA41" s="214"/>
      <c r="OQB41" s="214"/>
      <c r="OQC41" s="214"/>
      <c r="OQD41" s="214"/>
      <c r="OQE41" s="214"/>
      <c r="OQF41" s="214"/>
      <c r="OQG41" s="214"/>
      <c r="OQH41" s="214"/>
      <c r="OQI41" s="214"/>
      <c r="OQJ41" s="214"/>
      <c r="OQK41" s="214"/>
      <c r="OQL41" s="214"/>
      <c r="OQM41" s="214"/>
      <c r="OQN41" s="214"/>
      <c r="OQO41" s="214"/>
      <c r="OQP41" s="214"/>
      <c r="OQQ41" s="214"/>
      <c r="OQR41" s="214"/>
      <c r="OQS41" s="214"/>
      <c r="OQT41" s="214"/>
      <c r="OQU41" s="214"/>
      <c r="OQV41" s="214"/>
      <c r="OQW41" s="214"/>
      <c r="OQX41" s="214"/>
      <c r="OQY41" s="214"/>
      <c r="OQZ41" s="214"/>
      <c r="ORA41" s="214"/>
      <c r="ORB41" s="214"/>
      <c r="ORC41" s="214"/>
      <c r="ORD41" s="214"/>
      <c r="ORE41" s="214"/>
      <c r="ORF41" s="214"/>
      <c r="ORG41" s="214"/>
      <c r="ORH41" s="214"/>
      <c r="ORI41" s="214"/>
      <c r="ORJ41" s="214"/>
      <c r="ORK41" s="214"/>
      <c r="ORL41" s="214"/>
      <c r="ORM41" s="214"/>
      <c r="ORN41" s="214"/>
      <c r="ORO41" s="214"/>
      <c r="ORP41" s="214"/>
      <c r="ORQ41" s="214"/>
      <c r="ORR41" s="214"/>
      <c r="ORS41" s="214"/>
      <c r="ORT41" s="214"/>
      <c r="ORU41" s="214"/>
      <c r="ORV41" s="214"/>
      <c r="ORW41" s="214"/>
      <c r="ORX41" s="214"/>
      <c r="ORY41" s="214"/>
      <c r="ORZ41" s="214"/>
      <c r="OSA41" s="214"/>
      <c r="OSB41" s="214"/>
      <c r="OSC41" s="214"/>
      <c r="OSD41" s="214"/>
      <c r="OSE41" s="214"/>
      <c r="OSF41" s="214"/>
      <c r="OSG41" s="214"/>
      <c r="OSH41" s="214"/>
      <c r="OSI41" s="214"/>
      <c r="OSJ41" s="214"/>
      <c r="OSK41" s="214"/>
      <c r="OSL41" s="214"/>
      <c r="OSM41" s="214"/>
      <c r="OSN41" s="214"/>
      <c r="OSO41" s="214"/>
      <c r="OSP41" s="214"/>
      <c r="OSQ41" s="214"/>
      <c r="OSR41" s="214"/>
      <c r="OSS41" s="214"/>
      <c r="OST41" s="214"/>
      <c r="OSU41" s="214"/>
      <c r="OSV41" s="214"/>
      <c r="OSW41" s="214"/>
      <c r="OSX41" s="214"/>
      <c r="OSY41" s="214"/>
      <c r="OSZ41" s="214"/>
      <c r="OTA41" s="214"/>
      <c r="OTB41" s="214"/>
      <c r="OTC41" s="214"/>
      <c r="OTD41" s="214"/>
      <c r="OTE41" s="214"/>
      <c r="OTF41" s="214"/>
      <c r="OTG41" s="214"/>
      <c r="OTH41" s="214"/>
      <c r="OTI41" s="214"/>
      <c r="OTJ41" s="214"/>
      <c r="OTK41" s="214"/>
      <c r="OTL41" s="214"/>
      <c r="OTM41" s="214"/>
      <c r="OTN41" s="214"/>
      <c r="OTO41" s="214"/>
      <c r="OTP41" s="214"/>
      <c r="OTQ41" s="214"/>
      <c r="OTR41" s="214"/>
      <c r="OTS41" s="214"/>
      <c r="OTT41" s="214"/>
      <c r="OTU41" s="214"/>
      <c r="OTV41" s="214"/>
      <c r="OTW41" s="214"/>
      <c r="OTX41" s="214"/>
      <c r="OTY41" s="214"/>
      <c r="OTZ41" s="214"/>
      <c r="OUA41" s="214"/>
      <c r="OUB41" s="214"/>
      <c r="OUC41" s="214"/>
      <c r="OUD41" s="214"/>
      <c r="OUE41" s="214"/>
      <c r="OUF41" s="214"/>
      <c r="OUG41" s="214"/>
      <c r="OUH41" s="214"/>
      <c r="OUI41" s="214"/>
      <c r="OUJ41" s="214"/>
      <c r="OUK41" s="214"/>
      <c r="OUL41" s="214"/>
      <c r="OUM41" s="214"/>
      <c r="OUN41" s="214"/>
      <c r="OUO41" s="214"/>
      <c r="OUP41" s="214"/>
      <c r="OUQ41" s="214"/>
      <c r="OUR41" s="214"/>
      <c r="OUS41" s="214"/>
      <c r="OUT41" s="214"/>
      <c r="OUU41" s="214"/>
      <c r="OUV41" s="214"/>
      <c r="OUW41" s="214"/>
      <c r="OUX41" s="214"/>
      <c r="OUY41" s="214"/>
      <c r="OUZ41" s="214"/>
      <c r="OVA41" s="214"/>
      <c r="OVB41" s="214"/>
      <c r="OVC41" s="214"/>
      <c r="OVD41" s="214"/>
      <c r="OVE41" s="214"/>
      <c r="OVF41" s="214"/>
      <c r="OVG41" s="214"/>
      <c r="OVH41" s="214"/>
      <c r="OVI41" s="214"/>
      <c r="OVJ41" s="214"/>
      <c r="OVK41" s="214"/>
      <c r="OVL41" s="214"/>
      <c r="OVM41" s="214"/>
      <c r="OVN41" s="214"/>
      <c r="OVO41" s="214"/>
      <c r="OVP41" s="214"/>
      <c r="OVQ41" s="214"/>
      <c r="OVR41" s="214"/>
      <c r="OVS41" s="214"/>
      <c r="OVT41" s="214"/>
      <c r="OVU41" s="214"/>
      <c r="OVV41" s="214"/>
      <c r="OVW41" s="214"/>
      <c r="OVX41" s="214"/>
      <c r="OVY41" s="214"/>
      <c r="OVZ41" s="214"/>
      <c r="OWA41" s="214"/>
      <c r="OWB41" s="214"/>
      <c r="OWC41" s="214"/>
      <c r="OWD41" s="214"/>
      <c r="OWE41" s="214"/>
      <c r="OWF41" s="214"/>
      <c r="OWG41" s="214"/>
      <c r="OWH41" s="214"/>
      <c r="OWI41" s="214"/>
      <c r="OWJ41" s="214"/>
      <c r="OWK41" s="214"/>
      <c r="OWL41" s="214"/>
      <c r="OWM41" s="214"/>
      <c r="OWN41" s="214"/>
      <c r="OWO41" s="214"/>
      <c r="OWP41" s="214"/>
      <c r="OWQ41" s="214"/>
      <c r="OWR41" s="214"/>
      <c r="OWS41" s="214"/>
      <c r="OWT41" s="214"/>
      <c r="OWU41" s="214"/>
      <c r="OWV41" s="214"/>
      <c r="OWW41" s="214"/>
      <c r="OWX41" s="214"/>
      <c r="OWY41" s="214"/>
      <c r="OWZ41" s="214"/>
      <c r="OXA41" s="214"/>
      <c r="OXB41" s="214"/>
      <c r="OXC41" s="214"/>
      <c r="OXD41" s="214"/>
      <c r="OXE41" s="214"/>
      <c r="OXF41" s="214"/>
      <c r="OXG41" s="214"/>
      <c r="OXH41" s="214"/>
      <c r="OXI41" s="214"/>
      <c r="OXJ41" s="214"/>
      <c r="OXK41" s="214"/>
      <c r="OXL41" s="214"/>
      <c r="OXM41" s="214"/>
      <c r="OXN41" s="214"/>
      <c r="OXO41" s="214"/>
      <c r="OXP41" s="214"/>
      <c r="OXQ41" s="214"/>
      <c r="OXR41" s="214"/>
      <c r="OXS41" s="214"/>
      <c r="OXT41" s="214"/>
      <c r="OXU41" s="214"/>
      <c r="OXV41" s="214"/>
      <c r="OXW41" s="214"/>
      <c r="OXX41" s="214"/>
      <c r="OXY41" s="214"/>
      <c r="OXZ41" s="214"/>
      <c r="OYA41" s="214"/>
      <c r="OYB41" s="214"/>
      <c r="OYC41" s="214"/>
      <c r="OYD41" s="214"/>
      <c r="OYE41" s="214"/>
      <c r="OYF41" s="214"/>
      <c r="OYG41" s="214"/>
      <c r="OYH41" s="214"/>
      <c r="OYI41" s="214"/>
      <c r="OYJ41" s="214"/>
      <c r="OYK41" s="214"/>
      <c r="OYL41" s="214"/>
      <c r="OYM41" s="214"/>
      <c r="OYN41" s="214"/>
      <c r="OYO41" s="214"/>
      <c r="OYP41" s="214"/>
      <c r="OYQ41" s="214"/>
      <c r="OYR41" s="214"/>
      <c r="OYS41" s="214"/>
      <c r="OYT41" s="214"/>
      <c r="OYU41" s="214"/>
      <c r="OYV41" s="214"/>
      <c r="OYW41" s="214"/>
      <c r="OYX41" s="214"/>
      <c r="OYY41" s="214"/>
      <c r="OYZ41" s="214"/>
      <c r="OZA41" s="214"/>
      <c r="OZB41" s="214"/>
      <c r="OZC41" s="214"/>
      <c r="OZD41" s="214"/>
      <c r="OZE41" s="214"/>
      <c r="OZF41" s="214"/>
      <c r="OZG41" s="214"/>
      <c r="OZH41" s="214"/>
      <c r="OZI41" s="214"/>
      <c r="OZJ41" s="214"/>
      <c r="OZK41" s="214"/>
      <c r="OZL41" s="214"/>
      <c r="OZM41" s="214"/>
      <c r="OZN41" s="214"/>
      <c r="OZO41" s="214"/>
      <c r="OZP41" s="214"/>
      <c r="OZQ41" s="214"/>
      <c r="OZR41" s="214"/>
      <c r="OZS41" s="214"/>
      <c r="OZT41" s="214"/>
      <c r="OZU41" s="214"/>
      <c r="OZV41" s="214"/>
      <c r="OZW41" s="214"/>
      <c r="OZX41" s="214"/>
      <c r="OZY41" s="214"/>
      <c r="OZZ41" s="214"/>
      <c r="PAA41" s="214"/>
      <c r="PAB41" s="214"/>
      <c r="PAC41" s="214"/>
      <c r="PAD41" s="214"/>
      <c r="PAE41" s="214"/>
      <c r="PAF41" s="214"/>
      <c r="PAG41" s="214"/>
      <c r="PAH41" s="214"/>
      <c r="PAI41" s="214"/>
      <c r="PAJ41" s="214"/>
      <c r="PAK41" s="214"/>
      <c r="PAL41" s="214"/>
      <c r="PAM41" s="214"/>
      <c r="PAN41" s="214"/>
      <c r="PAO41" s="214"/>
      <c r="PAP41" s="214"/>
      <c r="PAQ41" s="214"/>
      <c r="PAR41" s="214"/>
      <c r="PAS41" s="214"/>
      <c r="PAT41" s="214"/>
      <c r="PAU41" s="214"/>
      <c r="PAV41" s="214"/>
      <c r="PAW41" s="214"/>
      <c r="PAX41" s="214"/>
      <c r="PAY41" s="214"/>
      <c r="PAZ41" s="214"/>
      <c r="PBA41" s="214"/>
      <c r="PBB41" s="214"/>
      <c r="PBC41" s="214"/>
      <c r="PBD41" s="214"/>
      <c r="PBE41" s="214"/>
      <c r="PBF41" s="214"/>
      <c r="PBG41" s="214"/>
      <c r="PBH41" s="214"/>
      <c r="PBI41" s="214"/>
      <c r="PBJ41" s="214"/>
      <c r="PBK41" s="214"/>
      <c r="PBL41" s="214"/>
      <c r="PBM41" s="214"/>
      <c r="PBN41" s="214"/>
      <c r="PBO41" s="214"/>
      <c r="PBP41" s="214"/>
      <c r="PBQ41" s="214"/>
      <c r="PBR41" s="214"/>
      <c r="PBS41" s="214"/>
      <c r="PBT41" s="214"/>
      <c r="PBU41" s="214"/>
      <c r="PBV41" s="214"/>
      <c r="PBW41" s="214"/>
      <c r="PBX41" s="214"/>
      <c r="PBY41" s="214"/>
      <c r="PBZ41" s="214"/>
      <c r="PCA41" s="214"/>
      <c r="PCB41" s="214"/>
      <c r="PCC41" s="214"/>
      <c r="PCD41" s="214"/>
      <c r="PCE41" s="214"/>
      <c r="PCF41" s="214"/>
      <c r="PCG41" s="214"/>
      <c r="PCH41" s="214"/>
      <c r="PCI41" s="214"/>
      <c r="PCJ41" s="214"/>
      <c r="PCK41" s="214"/>
      <c r="PCL41" s="214"/>
      <c r="PCM41" s="214"/>
      <c r="PCN41" s="214"/>
      <c r="PCO41" s="214"/>
      <c r="PCP41" s="214"/>
      <c r="PCQ41" s="214"/>
      <c r="PCR41" s="214"/>
      <c r="PCS41" s="214"/>
      <c r="PCT41" s="214"/>
      <c r="PCU41" s="214"/>
      <c r="PCV41" s="214"/>
      <c r="PCW41" s="214"/>
      <c r="PCX41" s="214"/>
      <c r="PCY41" s="214"/>
      <c r="PCZ41" s="214"/>
      <c r="PDA41" s="214"/>
      <c r="PDB41" s="214"/>
      <c r="PDC41" s="214"/>
      <c r="PDD41" s="214"/>
      <c r="PDE41" s="214"/>
      <c r="PDF41" s="214"/>
      <c r="PDG41" s="214"/>
      <c r="PDH41" s="214"/>
      <c r="PDI41" s="214"/>
      <c r="PDJ41" s="214"/>
      <c r="PDK41" s="214"/>
      <c r="PDL41" s="214"/>
      <c r="PDM41" s="214"/>
      <c r="PDN41" s="214"/>
      <c r="PDO41" s="214"/>
      <c r="PDP41" s="214"/>
      <c r="PDQ41" s="214"/>
      <c r="PDR41" s="214"/>
      <c r="PDS41" s="214"/>
      <c r="PDT41" s="214"/>
      <c r="PDU41" s="214"/>
      <c r="PDV41" s="214"/>
      <c r="PDW41" s="214"/>
      <c r="PDX41" s="214"/>
      <c r="PDY41" s="214"/>
      <c r="PDZ41" s="214"/>
      <c r="PEA41" s="214"/>
      <c r="PEB41" s="214"/>
      <c r="PEC41" s="214"/>
      <c r="PED41" s="214"/>
      <c r="PEE41" s="214"/>
      <c r="PEF41" s="214"/>
      <c r="PEG41" s="214"/>
      <c r="PEH41" s="214"/>
      <c r="PEI41" s="214"/>
      <c r="PEJ41" s="214"/>
      <c r="PEK41" s="214"/>
      <c r="PEL41" s="214"/>
      <c r="PEM41" s="214"/>
      <c r="PEN41" s="214"/>
      <c r="PEO41" s="214"/>
      <c r="PEP41" s="214"/>
      <c r="PEQ41" s="214"/>
      <c r="PER41" s="214"/>
      <c r="PES41" s="214"/>
      <c r="PET41" s="214"/>
      <c r="PEU41" s="214"/>
      <c r="PEV41" s="214"/>
      <c r="PEW41" s="214"/>
      <c r="PEX41" s="214"/>
      <c r="PEY41" s="214"/>
      <c r="PEZ41" s="214"/>
      <c r="PFA41" s="214"/>
      <c r="PFB41" s="214"/>
      <c r="PFC41" s="214"/>
      <c r="PFD41" s="214"/>
      <c r="PFE41" s="214"/>
      <c r="PFF41" s="214"/>
      <c r="PFG41" s="214"/>
      <c r="PFH41" s="214"/>
      <c r="PFI41" s="214"/>
      <c r="PFJ41" s="214"/>
      <c r="PFK41" s="214"/>
      <c r="PFL41" s="214"/>
      <c r="PFM41" s="214"/>
      <c r="PFN41" s="214"/>
      <c r="PFO41" s="214"/>
      <c r="PFP41" s="214"/>
      <c r="PFQ41" s="214"/>
      <c r="PFR41" s="214"/>
      <c r="PFS41" s="214"/>
      <c r="PFT41" s="214"/>
      <c r="PFU41" s="214"/>
      <c r="PFV41" s="214"/>
      <c r="PFW41" s="214"/>
      <c r="PFX41" s="214"/>
      <c r="PFY41" s="214"/>
      <c r="PFZ41" s="214"/>
      <c r="PGA41" s="214"/>
      <c r="PGB41" s="214"/>
      <c r="PGC41" s="214"/>
      <c r="PGD41" s="214"/>
      <c r="PGE41" s="214"/>
      <c r="PGF41" s="214"/>
      <c r="PGG41" s="214"/>
      <c r="PGH41" s="214"/>
      <c r="PGI41" s="214"/>
      <c r="PGJ41" s="214"/>
      <c r="PGK41" s="214"/>
      <c r="PGL41" s="214"/>
      <c r="PGM41" s="214"/>
      <c r="PGN41" s="214"/>
      <c r="PGO41" s="214"/>
      <c r="PGP41" s="214"/>
      <c r="PGQ41" s="214"/>
      <c r="PGR41" s="214"/>
      <c r="PGS41" s="214"/>
      <c r="PGT41" s="214"/>
      <c r="PGU41" s="214"/>
      <c r="PGV41" s="214"/>
      <c r="PGW41" s="214"/>
      <c r="PGX41" s="214"/>
      <c r="PGY41" s="214"/>
      <c r="PGZ41" s="214"/>
      <c r="PHA41" s="214"/>
      <c r="PHB41" s="214"/>
      <c r="PHC41" s="214"/>
      <c r="PHD41" s="214"/>
      <c r="PHE41" s="214"/>
      <c r="PHF41" s="214"/>
      <c r="PHG41" s="214"/>
      <c r="PHH41" s="214"/>
      <c r="PHI41" s="214"/>
      <c r="PHJ41" s="214"/>
      <c r="PHK41" s="214"/>
      <c r="PHL41" s="214"/>
      <c r="PHM41" s="214"/>
      <c r="PHN41" s="214"/>
      <c r="PHO41" s="214"/>
      <c r="PHP41" s="214"/>
      <c r="PHQ41" s="214"/>
      <c r="PHR41" s="214"/>
      <c r="PHS41" s="214"/>
      <c r="PHT41" s="214"/>
      <c r="PHU41" s="214"/>
      <c r="PHV41" s="214"/>
      <c r="PHW41" s="214"/>
      <c r="PHX41" s="214"/>
      <c r="PHY41" s="214"/>
      <c r="PHZ41" s="214"/>
      <c r="PIA41" s="214"/>
      <c r="PIB41" s="214"/>
      <c r="PIC41" s="214"/>
      <c r="PID41" s="214"/>
      <c r="PIE41" s="214"/>
      <c r="PIF41" s="214"/>
      <c r="PIG41" s="214"/>
      <c r="PIH41" s="214"/>
      <c r="PII41" s="214"/>
      <c r="PIJ41" s="214"/>
      <c r="PIK41" s="214"/>
      <c r="PIL41" s="214"/>
      <c r="PIM41" s="214"/>
      <c r="PIN41" s="214"/>
      <c r="PIO41" s="214"/>
      <c r="PIP41" s="214"/>
      <c r="PIQ41" s="214"/>
      <c r="PIR41" s="214"/>
      <c r="PIS41" s="214"/>
      <c r="PIT41" s="214"/>
      <c r="PIU41" s="214"/>
      <c r="PIV41" s="214"/>
      <c r="PIW41" s="214"/>
      <c r="PIX41" s="214"/>
      <c r="PIY41" s="214"/>
      <c r="PIZ41" s="214"/>
      <c r="PJA41" s="214"/>
      <c r="PJB41" s="214"/>
      <c r="PJC41" s="214"/>
      <c r="PJD41" s="214"/>
      <c r="PJE41" s="214"/>
      <c r="PJF41" s="214"/>
      <c r="PJG41" s="214"/>
      <c r="PJH41" s="214"/>
      <c r="PJI41" s="214"/>
      <c r="PJJ41" s="214"/>
      <c r="PJK41" s="214"/>
      <c r="PJL41" s="214"/>
      <c r="PJM41" s="214"/>
      <c r="PJN41" s="214"/>
      <c r="PJO41" s="214"/>
      <c r="PJP41" s="214"/>
      <c r="PJQ41" s="214"/>
      <c r="PJR41" s="214"/>
      <c r="PJS41" s="214"/>
      <c r="PJT41" s="214"/>
      <c r="PJU41" s="214"/>
      <c r="PJV41" s="214"/>
      <c r="PJW41" s="214"/>
      <c r="PJX41" s="214"/>
      <c r="PJY41" s="214"/>
      <c r="PJZ41" s="214"/>
      <c r="PKA41" s="214"/>
      <c r="PKB41" s="214"/>
      <c r="PKC41" s="214"/>
      <c r="PKD41" s="214"/>
      <c r="PKE41" s="214"/>
      <c r="PKF41" s="214"/>
      <c r="PKG41" s="214"/>
      <c r="PKH41" s="214"/>
      <c r="PKI41" s="214"/>
      <c r="PKJ41" s="214"/>
      <c r="PKK41" s="214"/>
      <c r="PKL41" s="214"/>
      <c r="PKM41" s="214"/>
      <c r="PKN41" s="214"/>
      <c r="PKO41" s="214"/>
      <c r="PKP41" s="214"/>
      <c r="PKQ41" s="214"/>
      <c r="PKR41" s="214"/>
      <c r="PKS41" s="214"/>
      <c r="PKT41" s="214"/>
      <c r="PKU41" s="214"/>
      <c r="PKV41" s="214"/>
      <c r="PKW41" s="214"/>
      <c r="PKX41" s="214"/>
      <c r="PKY41" s="214"/>
      <c r="PKZ41" s="214"/>
      <c r="PLA41" s="214"/>
      <c r="PLB41" s="214"/>
      <c r="PLC41" s="214"/>
      <c r="PLD41" s="214"/>
      <c r="PLE41" s="214"/>
      <c r="PLF41" s="214"/>
      <c r="PLG41" s="214"/>
      <c r="PLH41" s="214"/>
      <c r="PLI41" s="214"/>
      <c r="PLJ41" s="214"/>
      <c r="PLK41" s="214"/>
      <c r="PLL41" s="214"/>
      <c r="PLM41" s="214"/>
      <c r="PLN41" s="214"/>
      <c r="PLO41" s="214"/>
      <c r="PLP41" s="214"/>
      <c r="PLQ41" s="214"/>
      <c r="PLR41" s="214"/>
      <c r="PLS41" s="214"/>
      <c r="PLT41" s="214"/>
      <c r="PLU41" s="214"/>
      <c r="PLV41" s="214"/>
      <c r="PLW41" s="214"/>
      <c r="PLX41" s="214"/>
      <c r="PLY41" s="214"/>
      <c r="PLZ41" s="214"/>
      <c r="PMA41" s="214"/>
      <c r="PMB41" s="214"/>
      <c r="PMC41" s="214"/>
      <c r="PMD41" s="214"/>
      <c r="PME41" s="214"/>
      <c r="PMF41" s="214"/>
      <c r="PMG41" s="214"/>
      <c r="PMH41" s="214"/>
      <c r="PMI41" s="214"/>
      <c r="PMJ41" s="214"/>
      <c r="PMK41" s="214"/>
      <c r="PML41" s="214"/>
      <c r="PMM41" s="214"/>
      <c r="PMN41" s="214"/>
      <c r="PMO41" s="214"/>
      <c r="PMP41" s="214"/>
      <c r="PMQ41" s="214"/>
      <c r="PMR41" s="214"/>
      <c r="PMS41" s="214"/>
      <c r="PMT41" s="214"/>
      <c r="PMU41" s="214"/>
      <c r="PMV41" s="214"/>
      <c r="PMW41" s="214"/>
      <c r="PMX41" s="214"/>
      <c r="PMY41" s="214"/>
      <c r="PMZ41" s="214"/>
      <c r="PNA41" s="214"/>
      <c r="PNB41" s="214"/>
      <c r="PNC41" s="214"/>
      <c r="PND41" s="214"/>
      <c r="PNE41" s="214"/>
      <c r="PNF41" s="214"/>
      <c r="PNG41" s="214"/>
      <c r="PNH41" s="214"/>
      <c r="PNI41" s="214"/>
      <c r="PNJ41" s="214"/>
      <c r="PNK41" s="214"/>
      <c r="PNL41" s="214"/>
      <c r="PNM41" s="214"/>
      <c r="PNN41" s="214"/>
      <c r="PNO41" s="214"/>
      <c r="PNP41" s="214"/>
      <c r="PNQ41" s="214"/>
      <c r="PNR41" s="214"/>
      <c r="PNS41" s="214"/>
      <c r="PNT41" s="214"/>
      <c r="PNU41" s="214"/>
      <c r="PNV41" s="214"/>
      <c r="PNW41" s="214"/>
      <c r="PNX41" s="214"/>
      <c r="PNY41" s="214"/>
      <c r="PNZ41" s="214"/>
      <c r="POA41" s="214"/>
      <c r="POB41" s="214"/>
      <c r="POC41" s="214"/>
      <c r="POD41" s="214"/>
      <c r="POE41" s="214"/>
      <c r="POF41" s="214"/>
      <c r="POG41" s="214"/>
      <c r="POH41" s="214"/>
      <c r="POI41" s="214"/>
      <c r="POJ41" s="214"/>
      <c r="POK41" s="214"/>
      <c r="POL41" s="214"/>
      <c r="POM41" s="214"/>
      <c r="PON41" s="214"/>
      <c r="POO41" s="214"/>
      <c r="POP41" s="214"/>
      <c r="POQ41" s="214"/>
      <c r="POR41" s="214"/>
      <c r="POS41" s="214"/>
      <c r="POT41" s="214"/>
      <c r="POU41" s="214"/>
      <c r="POV41" s="214"/>
      <c r="POW41" s="214"/>
      <c r="POX41" s="214"/>
      <c r="POY41" s="214"/>
      <c r="POZ41" s="214"/>
      <c r="PPA41" s="214"/>
      <c r="PPB41" s="214"/>
      <c r="PPC41" s="214"/>
      <c r="PPD41" s="214"/>
      <c r="PPE41" s="214"/>
      <c r="PPF41" s="214"/>
      <c r="PPG41" s="214"/>
      <c r="PPH41" s="214"/>
      <c r="PPI41" s="214"/>
      <c r="PPJ41" s="214"/>
      <c r="PPK41" s="214"/>
      <c r="PPL41" s="214"/>
      <c r="PPM41" s="214"/>
      <c r="PPN41" s="214"/>
      <c r="PPO41" s="214"/>
      <c r="PPP41" s="214"/>
      <c r="PPQ41" s="214"/>
      <c r="PPR41" s="214"/>
      <c r="PPS41" s="214"/>
      <c r="PPT41" s="214"/>
      <c r="PPU41" s="214"/>
      <c r="PPV41" s="214"/>
      <c r="PPW41" s="214"/>
      <c r="PPX41" s="214"/>
      <c r="PPY41" s="214"/>
      <c r="PPZ41" s="214"/>
      <c r="PQA41" s="214"/>
      <c r="PQB41" s="214"/>
      <c r="PQC41" s="214"/>
      <c r="PQD41" s="214"/>
      <c r="PQE41" s="214"/>
      <c r="PQF41" s="214"/>
      <c r="PQG41" s="214"/>
      <c r="PQH41" s="214"/>
      <c r="PQI41" s="214"/>
      <c r="PQJ41" s="214"/>
      <c r="PQK41" s="214"/>
      <c r="PQL41" s="214"/>
      <c r="PQM41" s="214"/>
      <c r="PQN41" s="214"/>
      <c r="PQO41" s="214"/>
      <c r="PQP41" s="214"/>
      <c r="PQQ41" s="214"/>
      <c r="PQR41" s="214"/>
      <c r="PQS41" s="214"/>
      <c r="PQT41" s="214"/>
      <c r="PQU41" s="214"/>
      <c r="PQV41" s="214"/>
      <c r="PQW41" s="214"/>
      <c r="PQX41" s="214"/>
      <c r="PQY41" s="214"/>
      <c r="PQZ41" s="214"/>
      <c r="PRA41" s="214"/>
      <c r="PRB41" s="214"/>
      <c r="PRC41" s="214"/>
      <c r="PRD41" s="214"/>
      <c r="PRE41" s="214"/>
      <c r="PRF41" s="214"/>
      <c r="PRG41" s="214"/>
      <c r="PRH41" s="214"/>
      <c r="PRI41" s="214"/>
      <c r="PRJ41" s="214"/>
      <c r="PRK41" s="214"/>
      <c r="PRL41" s="214"/>
      <c r="PRM41" s="214"/>
      <c r="PRN41" s="214"/>
      <c r="PRO41" s="214"/>
      <c r="PRP41" s="214"/>
      <c r="PRQ41" s="214"/>
      <c r="PRR41" s="214"/>
      <c r="PRS41" s="214"/>
      <c r="PRT41" s="214"/>
      <c r="PRU41" s="214"/>
      <c r="PRV41" s="214"/>
      <c r="PRW41" s="214"/>
      <c r="PRX41" s="214"/>
      <c r="PRY41" s="214"/>
      <c r="PRZ41" s="214"/>
      <c r="PSA41" s="214"/>
      <c r="PSB41" s="214"/>
      <c r="PSC41" s="214"/>
      <c r="PSD41" s="214"/>
      <c r="PSE41" s="214"/>
      <c r="PSF41" s="214"/>
      <c r="PSG41" s="214"/>
      <c r="PSH41" s="214"/>
      <c r="PSI41" s="214"/>
      <c r="PSJ41" s="214"/>
      <c r="PSK41" s="214"/>
      <c r="PSL41" s="214"/>
      <c r="PSM41" s="214"/>
      <c r="PSN41" s="214"/>
      <c r="PSO41" s="214"/>
      <c r="PSP41" s="214"/>
      <c r="PSQ41" s="214"/>
      <c r="PSR41" s="214"/>
      <c r="PSS41" s="214"/>
      <c r="PST41" s="214"/>
      <c r="PSU41" s="214"/>
      <c r="PSV41" s="214"/>
      <c r="PSW41" s="214"/>
      <c r="PSX41" s="214"/>
      <c r="PSY41" s="214"/>
      <c r="PSZ41" s="214"/>
      <c r="PTA41" s="214"/>
      <c r="PTB41" s="214"/>
      <c r="PTC41" s="214"/>
      <c r="PTD41" s="214"/>
      <c r="PTE41" s="214"/>
      <c r="PTF41" s="214"/>
      <c r="PTG41" s="214"/>
      <c r="PTH41" s="214"/>
      <c r="PTI41" s="214"/>
      <c r="PTJ41" s="214"/>
      <c r="PTK41" s="214"/>
      <c r="PTL41" s="214"/>
      <c r="PTM41" s="214"/>
      <c r="PTN41" s="214"/>
      <c r="PTO41" s="214"/>
      <c r="PTP41" s="214"/>
      <c r="PTQ41" s="214"/>
      <c r="PTR41" s="214"/>
      <c r="PTS41" s="214"/>
      <c r="PTT41" s="214"/>
      <c r="PTU41" s="214"/>
      <c r="PTV41" s="214"/>
      <c r="PTW41" s="214"/>
      <c r="PTX41" s="214"/>
      <c r="PTY41" s="214"/>
      <c r="PTZ41" s="214"/>
      <c r="PUA41" s="214"/>
      <c r="PUB41" s="214"/>
      <c r="PUC41" s="214"/>
      <c r="PUD41" s="214"/>
      <c r="PUE41" s="214"/>
      <c r="PUF41" s="214"/>
      <c r="PUG41" s="214"/>
      <c r="PUH41" s="214"/>
      <c r="PUI41" s="214"/>
      <c r="PUJ41" s="214"/>
      <c r="PUK41" s="214"/>
      <c r="PUL41" s="214"/>
      <c r="PUM41" s="214"/>
      <c r="PUN41" s="214"/>
      <c r="PUO41" s="214"/>
      <c r="PUP41" s="214"/>
      <c r="PUQ41" s="214"/>
      <c r="PUR41" s="214"/>
      <c r="PUS41" s="214"/>
      <c r="PUT41" s="214"/>
      <c r="PUU41" s="214"/>
      <c r="PUV41" s="214"/>
      <c r="PUW41" s="214"/>
      <c r="PUX41" s="214"/>
      <c r="PUY41" s="214"/>
      <c r="PUZ41" s="214"/>
      <c r="PVA41" s="214"/>
      <c r="PVB41" s="214"/>
      <c r="PVC41" s="214"/>
      <c r="PVD41" s="214"/>
      <c r="PVE41" s="214"/>
      <c r="PVF41" s="214"/>
      <c r="PVG41" s="214"/>
      <c r="PVH41" s="214"/>
      <c r="PVI41" s="214"/>
      <c r="PVJ41" s="214"/>
      <c r="PVK41" s="214"/>
      <c r="PVL41" s="214"/>
      <c r="PVM41" s="214"/>
      <c r="PVN41" s="214"/>
      <c r="PVO41" s="214"/>
      <c r="PVP41" s="214"/>
      <c r="PVQ41" s="214"/>
      <c r="PVR41" s="214"/>
      <c r="PVS41" s="214"/>
      <c r="PVT41" s="214"/>
      <c r="PVU41" s="214"/>
      <c r="PVV41" s="214"/>
      <c r="PVW41" s="214"/>
      <c r="PVX41" s="214"/>
      <c r="PVY41" s="214"/>
      <c r="PVZ41" s="214"/>
      <c r="PWA41" s="214"/>
      <c r="PWB41" s="214"/>
      <c r="PWC41" s="214"/>
      <c r="PWD41" s="214"/>
      <c r="PWE41" s="214"/>
      <c r="PWF41" s="214"/>
      <c r="PWG41" s="214"/>
      <c r="PWH41" s="214"/>
      <c r="PWI41" s="214"/>
      <c r="PWJ41" s="214"/>
      <c r="PWK41" s="214"/>
      <c r="PWL41" s="214"/>
      <c r="PWM41" s="214"/>
      <c r="PWN41" s="214"/>
      <c r="PWO41" s="214"/>
      <c r="PWP41" s="214"/>
      <c r="PWQ41" s="214"/>
      <c r="PWR41" s="214"/>
      <c r="PWS41" s="214"/>
      <c r="PWT41" s="214"/>
      <c r="PWU41" s="214"/>
      <c r="PWV41" s="214"/>
      <c r="PWW41" s="214"/>
      <c r="PWX41" s="214"/>
      <c r="PWY41" s="214"/>
      <c r="PWZ41" s="214"/>
      <c r="PXA41" s="214"/>
      <c r="PXB41" s="214"/>
      <c r="PXC41" s="214"/>
      <c r="PXD41" s="214"/>
      <c r="PXE41" s="214"/>
      <c r="PXF41" s="214"/>
      <c r="PXG41" s="214"/>
      <c r="PXH41" s="214"/>
      <c r="PXI41" s="214"/>
      <c r="PXJ41" s="214"/>
      <c r="PXK41" s="214"/>
      <c r="PXL41" s="214"/>
      <c r="PXM41" s="214"/>
      <c r="PXN41" s="214"/>
      <c r="PXO41" s="214"/>
      <c r="PXP41" s="214"/>
      <c r="PXQ41" s="214"/>
      <c r="PXR41" s="214"/>
      <c r="PXS41" s="214"/>
      <c r="PXT41" s="214"/>
      <c r="PXU41" s="214"/>
      <c r="PXV41" s="214"/>
      <c r="PXW41" s="214"/>
      <c r="PXX41" s="214"/>
      <c r="PXY41" s="214"/>
      <c r="PXZ41" s="214"/>
      <c r="PYA41" s="214"/>
      <c r="PYB41" s="214"/>
      <c r="PYC41" s="214"/>
      <c r="PYD41" s="214"/>
      <c r="PYE41" s="214"/>
      <c r="PYF41" s="214"/>
      <c r="PYG41" s="214"/>
      <c r="PYH41" s="214"/>
      <c r="PYI41" s="214"/>
      <c r="PYJ41" s="214"/>
      <c r="PYK41" s="214"/>
      <c r="PYL41" s="214"/>
      <c r="PYM41" s="214"/>
      <c r="PYN41" s="214"/>
      <c r="PYO41" s="214"/>
      <c r="PYP41" s="214"/>
      <c r="PYQ41" s="214"/>
      <c r="PYR41" s="214"/>
      <c r="PYS41" s="214"/>
      <c r="PYT41" s="214"/>
      <c r="PYU41" s="214"/>
      <c r="PYV41" s="214"/>
      <c r="PYW41" s="214"/>
      <c r="PYX41" s="214"/>
      <c r="PYY41" s="214"/>
      <c r="PYZ41" s="214"/>
      <c r="PZA41" s="214"/>
      <c r="PZB41" s="214"/>
      <c r="PZC41" s="214"/>
      <c r="PZD41" s="214"/>
      <c r="PZE41" s="214"/>
      <c r="PZF41" s="214"/>
      <c r="PZG41" s="214"/>
      <c r="PZH41" s="214"/>
      <c r="PZI41" s="214"/>
      <c r="PZJ41" s="214"/>
      <c r="PZK41" s="214"/>
      <c r="PZL41" s="214"/>
      <c r="PZM41" s="214"/>
      <c r="PZN41" s="214"/>
      <c r="PZO41" s="214"/>
      <c r="PZP41" s="214"/>
      <c r="PZQ41" s="214"/>
      <c r="PZR41" s="214"/>
      <c r="PZS41" s="214"/>
      <c r="PZT41" s="214"/>
      <c r="PZU41" s="214"/>
      <c r="PZV41" s="214"/>
      <c r="PZW41" s="214"/>
      <c r="PZX41" s="214"/>
      <c r="PZY41" s="214"/>
      <c r="PZZ41" s="214"/>
      <c r="QAA41" s="214"/>
      <c r="QAB41" s="214"/>
      <c r="QAC41" s="214"/>
      <c r="QAD41" s="214"/>
      <c r="QAE41" s="214"/>
      <c r="QAF41" s="214"/>
      <c r="QAG41" s="214"/>
      <c r="QAH41" s="214"/>
      <c r="QAI41" s="214"/>
      <c r="QAJ41" s="214"/>
      <c r="QAK41" s="214"/>
      <c r="QAL41" s="214"/>
      <c r="QAM41" s="214"/>
      <c r="QAN41" s="214"/>
      <c r="QAO41" s="214"/>
      <c r="QAP41" s="214"/>
      <c r="QAQ41" s="214"/>
      <c r="QAR41" s="214"/>
      <c r="QAS41" s="214"/>
      <c r="QAT41" s="214"/>
      <c r="QAU41" s="214"/>
      <c r="QAV41" s="214"/>
      <c r="QAW41" s="214"/>
      <c r="QAX41" s="214"/>
      <c r="QAY41" s="214"/>
      <c r="QAZ41" s="214"/>
      <c r="QBA41" s="214"/>
      <c r="QBB41" s="214"/>
      <c r="QBC41" s="214"/>
      <c r="QBD41" s="214"/>
      <c r="QBE41" s="214"/>
      <c r="QBF41" s="214"/>
      <c r="QBG41" s="214"/>
      <c r="QBH41" s="214"/>
      <c r="QBI41" s="214"/>
      <c r="QBJ41" s="214"/>
      <c r="QBK41" s="214"/>
      <c r="QBL41" s="214"/>
      <c r="QBM41" s="214"/>
      <c r="QBN41" s="214"/>
      <c r="QBO41" s="214"/>
      <c r="QBP41" s="214"/>
      <c r="QBQ41" s="214"/>
      <c r="QBR41" s="214"/>
      <c r="QBS41" s="214"/>
      <c r="QBT41" s="214"/>
      <c r="QBU41" s="214"/>
      <c r="QBV41" s="214"/>
      <c r="QBW41" s="214"/>
      <c r="QBX41" s="214"/>
      <c r="QBY41" s="214"/>
      <c r="QBZ41" s="214"/>
      <c r="QCA41" s="214"/>
      <c r="QCB41" s="214"/>
      <c r="QCC41" s="214"/>
      <c r="QCD41" s="214"/>
      <c r="QCE41" s="214"/>
      <c r="QCF41" s="214"/>
      <c r="QCG41" s="214"/>
      <c r="QCH41" s="214"/>
      <c r="QCI41" s="214"/>
      <c r="QCJ41" s="214"/>
      <c r="QCK41" s="214"/>
      <c r="QCL41" s="214"/>
      <c r="QCM41" s="214"/>
      <c r="QCN41" s="214"/>
      <c r="QCO41" s="214"/>
      <c r="QCP41" s="214"/>
      <c r="QCQ41" s="214"/>
      <c r="QCR41" s="214"/>
      <c r="QCS41" s="214"/>
      <c r="QCT41" s="214"/>
      <c r="QCU41" s="214"/>
      <c r="QCV41" s="214"/>
      <c r="QCW41" s="214"/>
      <c r="QCX41" s="214"/>
      <c r="QCY41" s="214"/>
      <c r="QCZ41" s="214"/>
      <c r="QDA41" s="214"/>
      <c r="QDB41" s="214"/>
      <c r="QDC41" s="214"/>
      <c r="QDD41" s="214"/>
      <c r="QDE41" s="214"/>
      <c r="QDF41" s="214"/>
      <c r="QDG41" s="214"/>
      <c r="QDH41" s="214"/>
      <c r="QDI41" s="214"/>
      <c r="QDJ41" s="214"/>
      <c r="QDK41" s="214"/>
      <c r="QDL41" s="214"/>
      <c r="QDM41" s="214"/>
      <c r="QDN41" s="214"/>
      <c r="QDO41" s="214"/>
      <c r="QDP41" s="214"/>
      <c r="QDQ41" s="214"/>
      <c r="QDR41" s="214"/>
      <c r="QDS41" s="214"/>
      <c r="QDT41" s="214"/>
      <c r="QDU41" s="214"/>
      <c r="QDV41" s="214"/>
      <c r="QDW41" s="214"/>
      <c r="QDX41" s="214"/>
      <c r="QDY41" s="214"/>
      <c r="QDZ41" s="214"/>
      <c r="QEA41" s="214"/>
      <c r="QEB41" s="214"/>
      <c r="QEC41" s="214"/>
      <c r="QED41" s="214"/>
      <c r="QEE41" s="214"/>
      <c r="QEF41" s="214"/>
      <c r="QEG41" s="214"/>
      <c r="QEH41" s="214"/>
      <c r="QEI41" s="214"/>
      <c r="QEJ41" s="214"/>
      <c r="QEK41" s="214"/>
      <c r="QEL41" s="214"/>
      <c r="QEM41" s="214"/>
      <c r="QEN41" s="214"/>
      <c r="QEO41" s="214"/>
      <c r="QEP41" s="214"/>
      <c r="QEQ41" s="214"/>
      <c r="QER41" s="214"/>
      <c r="QES41" s="214"/>
      <c r="QET41" s="214"/>
      <c r="QEU41" s="214"/>
      <c r="QEV41" s="214"/>
      <c r="QEW41" s="214"/>
      <c r="QEX41" s="214"/>
      <c r="QEY41" s="214"/>
      <c r="QEZ41" s="214"/>
      <c r="QFA41" s="214"/>
      <c r="QFB41" s="214"/>
      <c r="QFC41" s="214"/>
      <c r="QFD41" s="214"/>
      <c r="QFE41" s="214"/>
      <c r="QFF41" s="214"/>
      <c r="QFG41" s="214"/>
      <c r="QFH41" s="214"/>
      <c r="QFI41" s="214"/>
      <c r="QFJ41" s="214"/>
      <c r="QFK41" s="214"/>
      <c r="QFL41" s="214"/>
      <c r="QFM41" s="214"/>
      <c r="QFN41" s="214"/>
      <c r="QFO41" s="214"/>
      <c r="QFP41" s="214"/>
      <c r="QFQ41" s="214"/>
      <c r="QFR41" s="214"/>
      <c r="QFS41" s="214"/>
      <c r="QFT41" s="214"/>
      <c r="QFU41" s="214"/>
      <c r="QFV41" s="214"/>
      <c r="QFW41" s="214"/>
      <c r="QFX41" s="214"/>
      <c r="QFY41" s="214"/>
      <c r="QFZ41" s="214"/>
      <c r="QGA41" s="214"/>
      <c r="QGB41" s="214"/>
      <c r="QGC41" s="214"/>
      <c r="QGD41" s="214"/>
      <c r="QGE41" s="214"/>
      <c r="QGF41" s="214"/>
      <c r="QGG41" s="214"/>
      <c r="QGH41" s="214"/>
      <c r="QGI41" s="214"/>
      <c r="QGJ41" s="214"/>
      <c r="QGK41" s="214"/>
      <c r="QGL41" s="214"/>
      <c r="QGM41" s="214"/>
      <c r="QGN41" s="214"/>
      <c r="QGO41" s="214"/>
      <c r="QGP41" s="214"/>
      <c r="QGQ41" s="214"/>
      <c r="QGR41" s="214"/>
      <c r="QGS41" s="214"/>
      <c r="QGT41" s="214"/>
      <c r="QGU41" s="214"/>
      <c r="QGV41" s="214"/>
      <c r="QGW41" s="214"/>
      <c r="QGX41" s="214"/>
      <c r="QGY41" s="214"/>
      <c r="QGZ41" s="214"/>
      <c r="QHA41" s="214"/>
      <c r="QHB41" s="214"/>
      <c r="QHC41" s="214"/>
      <c r="QHD41" s="214"/>
      <c r="QHE41" s="214"/>
      <c r="QHF41" s="214"/>
      <c r="QHG41" s="214"/>
      <c r="QHH41" s="214"/>
      <c r="QHI41" s="214"/>
      <c r="QHJ41" s="214"/>
      <c r="QHK41" s="214"/>
      <c r="QHL41" s="214"/>
      <c r="QHM41" s="214"/>
      <c r="QHN41" s="214"/>
      <c r="QHO41" s="214"/>
      <c r="QHP41" s="214"/>
      <c r="QHQ41" s="214"/>
      <c r="QHR41" s="214"/>
      <c r="QHS41" s="214"/>
      <c r="QHT41" s="214"/>
      <c r="QHU41" s="214"/>
      <c r="QHV41" s="214"/>
      <c r="QHW41" s="214"/>
      <c r="QHX41" s="214"/>
      <c r="QHY41" s="214"/>
      <c r="QHZ41" s="214"/>
      <c r="QIA41" s="214"/>
      <c r="QIB41" s="214"/>
      <c r="QIC41" s="214"/>
      <c r="QID41" s="214"/>
      <c r="QIE41" s="214"/>
      <c r="QIF41" s="214"/>
      <c r="QIG41" s="214"/>
      <c r="QIH41" s="214"/>
      <c r="QII41" s="214"/>
      <c r="QIJ41" s="214"/>
      <c r="QIK41" s="214"/>
      <c r="QIL41" s="214"/>
      <c r="QIM41" s="214"/>
      <c r="QIN41" s="214"/>
      <c r="QIO41" s="214"/>
      <c r="QIP41" s="214"/>
      <c r="QIQ41" s="214"/>
      <c r="QIR41" s="214"/>
      <c r="QIS41" s="214"/>
      <c r="QIT41" s="214"/>
      <c r="QIU41" s="214"/>
      <c r="QIV41" s="214"/>
      <c r="QIW41" s="214"/>
      <c r="QIX41" s="214"/>
      <c r="QIY41" s="214"/>
      <c r="QIZ41" s="214"/>
      <c r="QJA41" s="214"/>
      <c r="QJB41" s="214"/>
      <c r="QJC41" s="214"/>
      <c r="QJD41" s="214"/>
      <c r="QJE41" s="214"/>
      <c r="QJF41" s="214"/>
      <c r="QJG41" s="214"/>
      <c r="QJH41" s="214"/>
      <c r="QJI41" s="214"/>
      <c r="QJJ41" s="214"/>
      <c r="QJK41" s="214"/>
      <c r="QJL41" s="214"/>
      <c r="QJM41" s="214"/>
      <c r="QJN41" s="214"/>
      <c r="QJO41" s="214"/>
      <c r="QJP41" s="214"/>
      <c r="QJQ41" s="214"/>
      <c r="QJR41" s="214"/>
      <c r="QJS41" s="214"/>
      <c r="QJT41" s="214"/>
      <c r="QJU41" s="214"/>
      <c r="QJV41" s="214"/>
      <c r="QJW41" s="214"/>
      <c r="QJX41" s="214"/>
      <c r="QJY41" s="214"/>
      <c r="QJZ41" s="214"/>
      <c r="QKA41" s="214"/>
      <c r="QKB41" s="214"/>
      <c r="QKC41" s="214"/>
      <c r="QKD41" s="214"/>
      <c r="QKE41" s="214"/>
      <c r="QKF41" s="214"/>
      <c r="QKG41" s="214"/>
      <c r="QKH41" s="214"/>
      <c r="QKI41" s="214"/>
      <c r="QKJ41" s="214"/>
      <c r="QKK41" s="214"/>
      <c r="QKL41" s="214"/>
      <c r="QKM41" s="214"/>
      <c r="QKN41" s="214"/>
      <c r="QKO41" s="214"/>
      <c r="QKP41" s="214"/>
      <c r="QKQ41" s="214"/>
      <c r="QKR41" s="214"/>
      <c r="QKS41" s="214"/>
      <c r="QKT41" s="214"/>
      <c r="QKU41" s="214"/>
      <c r="QKV41" s="214"/>
      <c r="QKW41" s="214"/>
      <c r="QKX41" s="214"/>
      <c r="QKY41" s="214"/>
      <c r="QKZ41" s="214"/>
      <c r="QLA41" s="214"/>
      <c r="QLB41" s="214"/>
      <c r="QLC41" s="214"/>
      <c r="QLD41" s="214"/>
      <c r="QLE41" s="214"/>
      <c r="QLF41" s="214"/>
      <c r="QLG41" s="214"/>
      <c r="QLH41" s="214"/>
      <c r="QLI41" s="214"/>
      <c r="QLJ41" s="214"/>
      <c r="QLK41" s="214"/>
      <c r="QLL41" s="214"/>
      <c r="QLM41" s="214"/>
      <c r="QLN41" s="214"/>
      <c r="QLO41" s="214"/>
      <c r="QLP41" s="214"/>
      <c r="QLQ41" s="214"/>
      <c r="QLR41" s="214"/>
      <c r="QLS41" s="214"/>
      <c r="QLT41" s="214"/>
      <c r="QLU41" s="214"/>
      <c r="QLV41" s="214"/>
      <c r="QLW41" s="214"/>
      <c r="QLX41" s="214"/>
      <c r="QLY41" s="214"/>
      <c r="QLZ41" s="214"/>
      <c r="QMA41" s="214"/>
      <c r="QMB41" s="214"/>
      <c r="QMC41" s="214"/>
      <c r="QMD41" s="214"/>
      <c r="QME41" s="214"/>
      <c r="QMF41" s="214"/>
      <c r="QMG41" s="214"/>
      <c r="QMH41" s="214"/>
      <c r="QMI41" s="214"/>
      <c r="QMJ41" s="214"/>
      <c r="QMK41" s="214"/>
      <c r="QML41" s="214"/>
      <c r="QMM41" s="214"/>
      <c r="QMN41" s="214"/>
      <c r="QMO41" s="214"/>
      <c r="QMP41" s="214"/>
      <c r="QMQ41" s="214"/>
      <c r="QMR41" s="214"/>
      <c r="QMS41" s="214"/>
      <c r="QMT41" s="214"/>
      <c r="QMU41" s="214"/>
      <c r="QMV41" s="214"/>
      <c r="QMW41" s="214"/>
      <c r="QMX41" s="214"/>
      <c r="QMY41" s="214"/>
      <c r="QMZ41" s="214"/>
      <c r="QNA41" s="214"/>
      <c r="QNB41" s="214"/>
      <c r="QNC41" s="214"/>
      <c r="QND41" s="214"/>
      <c r="QNE41" s="214"/>
      <c r="QNF41" s="214"/>
      <c r="QNG41" s="214"/>
      <c r="QNH41" s="214"/>
      <c r="QNI41" s="214"/>
      <c r="QNJ41" s="214"/>
      <c r="QNK41" s="214"/>
      <c r="QNL41" s="214"/>
      <c r="QNM41" s="214"/>
      <c r="QNN41" s="214"/>
      <c r="QNO41" s="214"/>
      <c r="QNP41" s="214"/>
      <c r="QNQ41" s="214"/>
      <c r="QNR41" s="214"/>
      <c r="QNS41" s="214"/>
      <c r="QNT41" s="214"/>
      <c r="QNU41" s="214"/>
      <c r="QNV41" s="214"/>
      <c r="QNW41" s="214"/>
      <c r="QNX41" s="214"/>
      <c r="QNY41" s="214"/>
      <c r="QNZ41" s="214"/>
      <c r="QOA41" s="214"/>
      <c r="QOB41" s="214"/>
      <c r="QOC41" s="214"/>
      <c r="QOD41" s="214"/>
      <c r="QOE41" s="214"/>
      <c r="QOF41" s="214"/>
      <c r="QOG41" s="214"/>
      <c r="QOH41" s="214"/>
      <c r="QOI41" s="214"/>
      <c r="QOJ41" s="214"/>
      <c r="QOK41" s="214"/>
      <c r="QOL41" s="214"/>
      <c r="QOM41" s="214"/>
      <c r="QON41" s="214"/>
      <c r="QOO41" s="214"/>
      <c r="QOP41" s="214"/>
      <c r="QOQ41" s="214"/>
      <c r="QOR41" s="214"/>
      <c r="QOS41" s="214"/>
      <c r="QOT41" s="214"/>
      <c r="QOU41" s="214"/>
      <c r="QOV41" s="214"/>
      <c r="QOW41" s="214"/>
      <c r="QOX41" s="214"/>
      <c r="QOY41" s="214"/>
      <c r="QOZ41" s="214"/>
      <c r="QPA41" s="214"/>
      <c r="QPB41" s="214"/>
      <c r="QPC41" s="214"/>
      <c r="QPD41" s="214"/>
      <c r="QPE41" s="214"/>
      <c r="QPF41" s="214"/>
      <c r="QPG41" s="214"/>
      <c r="QPH41" s="214"/>
      <c r="QPI41" s="214"/>
      <c r="QPJ41" s="214"/>
      <c r="QPK41" s="214"/>
      <c r="QPL41" s="214"/>
      <c r="QPM41" s="214"/>
      <c r="QPN41" s="214"/>
      <c r="QPO41" s="214"/>
      <c r="QPP41" s="214"/>
      <c r="QPQ41" s="214"/>
      <c r="QPR41" s="214"/>
      <c r="QPS41" s="214"/>
      <c r="QPT41" s="214"/>
      <c r="QPU41" s="214"/>
      <c r="QPV41" s="214"/>
      <c r="QPW41" s="214"/>
      <c r="QPX41" s="214"/>
      <c r="QPY41" s="214"/>
      <c r="QPZ41" s="214"/>
      <c r="QQA41" s="214"/>
      <c r="QQB41" s="214"/>
      <c r="QQC41" s="214"/>
      <c r="QQD41" s="214"/>
      <c r="QQE41" s="214"/>
      <c r="QQF41" s="214"/>
      <c r="QQG41" s="214"/>
      <c r="QQH41" s="214"/>
      <c r="QQI41" s="214"/>
      <c r="QQJ41" s="214"/>
      <c r="QQK41" s="214"/>
      <c r="QQL41" s="214"/>
      <c r="QQM41" s="214"/>
      <c r="QQN41" s="214"/>
      <c r="QQO41" s="214"/>
      <c r="QQP41" s="214"/>
      <c r="QQQ41" s="214"/>
      <c r="QQR41" s="214"/>
      <c r="QQS41" s="214"/>
      <c r="QQT41" s="214"/>
      <c r="QQU41" s="214"/>
      <c r="QQV41" s="214"/>
      <c r="QQW41" s="214"/>
      <c r="QQX41" s="214"/>
      <c r="QQY41" s="214"/>
      <c r="QQZ41" s="214"/>
      <c r="QRA41" s="214"/>
      <c r="QRB41" s="214"/>
      <c r="QRC41" s="214"/>
      <c r="QRD41" s="214"/>
      <c r="QRE41" s="214"/>
      <c r="QRF41" s="214"/>
      <c r="QRG41" s="214"/>
      <c r="QRH41" s="214"/>
      <c r="QRI41" s="214"/>
      <c r="QRJ41" s="214"/>
      <c r="QRK41" s="214"/>
      <c r="QRL41" s="214"/>
      <c r="QRM41" s="214"/>
      <c r="QRN41" s="214"/>
      <c r="QRO41" s="214"/>
      <c r="QRP41" s="214"/>
      <c r="QRQ41" s="214"/>
      <c r="QRR41" s="214"/>
      <c r="QRS41" s="214"/>
      <c r="QRT41" s="214"/>
      <c r="QRU41" s="214"/>
      <c r="QRV41" s="214"/>
      <c r="QRW41" s="214"/>
      <c r="QRX41" s="214"/>
      <c r="QRY41" s="214"/>
      <c r="QRZ41" s="214"/>
      <c r="QSA41" s="214"/>
      <c r="QSB41" s="214"/>
      <c r="QSC41" s="214"/>
      <c r="QSD41" s="214"/>
      <c r="QSE41" s="214"/>
      <c r="QSF41" s="214"/>
      <c r="QSG41" s="214"/>
      <c r="QSH41" s="214"/>
      <c r="QSI41" s="214"/>
      <c r="QSJ41" s="214"/>
      <c r="QSK41" s="214"/>
      <c r="QSL41" s="214"/>
      <c r="QSM41" s="214"/>
      <c r="QSN41" s="214"/>
      <c r="QSO41" s="214"/>
      <c r="QSP41" s="214"/>
      <c r="QSQ41" s="214"/>
      <c r="QSR41" s="214"/>
      <c r="QSS41" s="214"/>
      <c r="QST41" s="214"/>
      <c r="QSU41" s="214"/>
      <c r="QSV41" s="214"/>
      <c r="QSW41" s="214"/>
      <c r="QSX41" s="214"/>
      <c r="QSY41" s="214"/>
      <c r="QSZ41" s="214"/>
      <c r="QTA41" s="214"/>
      <c r="QTB41" s="214"/>
      <c r="QTC41" s="214"/>
      <c r="QTD41" s="214"/>
      <c r="QTE41" s="214"/>
      <c r="QTF41" s="214"/>
      <c r="QTG41" s="214"/>
      <c r="QTH41" s="214"/>
      <c r="QTI41" s="214"/>
      <c r="QTJ41" s="214"/>
      <c r="QTK41" s="214"/>
      <c r="QTL41" s="214"/>
      <c r="QTM41" s="214"/>
      <c r="QTN41" s="214"/>
      <c r="QTO41" s="214"/>
      <c r="QTP41" s="214"/>
      <c r="QTQ41" s="214"/>
      <c r="QTR41" s="214"/>
      <c r="QTS41" s="214"/>
      <c r="QTT41" s="214"/>
      <c r="QTU41" s="214"/>
      <c r="QTV41" s="214"/>
      <c r="QTW41" s="214"/>
      <c r="QTX41" s="214"/>
      <c r="QTY41" s="214"/>
      <c r="QTZ41" s="214"/>
      <c r="QUA41" s="214"/>
      <c r="QUB41" s="214"/>
      <c r="QUC41" s="214"/>
      <c r="QUD41" s="214"/>
      <c r="QUE41" s="214"/>
      <c r="QUF41" s="214"/>
      <c r="QUG41" s="214"/>
      <c r="QUH41" s="214"/>
      <c r="QUI41" s="214"/>
      <c r="QUJ41" s="214"/>
      <c r="QUK41" s="214"/>
      <c r="QUL41" s="214"/>
      <c r="QUM41" s="214"/>
      <c r="QUN41" s="214"/>
      <c r="QUO41" s="214"/>
      <c r="QUP41" s="214"/>
      <c r="QUQ41" s="214"/>
      <c r="QUR41" s="214"/>
      <c r="QUS41" s="214"/>
      <c r="QUT41" s="214"/>
      <c r="QUU41" s="214"/>
      <c r="QUV41" s="214"/>
      <c r="QUW41" s="214"/>
      <c r="QUX41" s="214"/>
      <c r="QUY41" s="214"/>
      <c r="QUZ41" s="214"/>
      <c r="QVA41" s="214"/>
      <c r="QVB41" s="214"/>
      <c r="QVC41" s="214"/>
      <c r="QVD41" s="214"/>
      <c r="QVE41" s="214"/>
      <c r="QVF41" s="214"/>
      <c r="QVG41" s="214"/>
      <c r="QVH41" s="214"/>
      <c r="QVI41" s="214"/>
      <c r="QVJ41" s="214"/>
      <c r="QVK41" s="214"/>
      <c r="QVL41" s="214"/>
      <c r="QVM41" s="214"/>
      <c r="QVN41" s="214"/>
      <c r="QVO41" s="214"/>
      <c r="QVP41" s="214"/>
      <c r="QVQ41" s="214"/>
      <c r="QVR41" s="214"/>
      <c r="QVS41" s="214"/>
      <c r="QVT41" s="214"/>
      <c r="QVU41" s="214"/>
      <c r="QVV41" s="214"/>
      <c r="QVW41" s="214"/>
      <c r="QVX41" s="214"/>
      <c r="QVY41" s="214"/>
      <c r="QVZ41" s="214"/>
      <c r="QWA41" s="214"/>
      <c r="QWB41" s="214"/>
      <c r="QWC41" s="214"/>
      <c r="QWD41" s="214"/>
      <c r="QWE41" s="214"/>
      <c r="QWF41" s="214"/>
      <c r="QWG41" s="214"/>
      <c r="QWH41" s="214"/>
      <c r="QWI41" s="214"/>
      <c r="QWJ41" s="214"/>
      <c r="QWK41" s="214"/>
      <c r="QWL41" s="214"/>
      <c r="QWM41" s="214"/>
      <c r="QWN41" s="214"/>
      <c r="QWO41" s="214"/>
      <c r="QWP41" s="214"/>
      <c r="QWQ41" s="214"/>
      <c r="QWR41" s="214"/>
      <c r="QWS41" s="214"/>
      <c r="QWT41" s="214"/>
      <c r="QWU41" s="214"/>
      <c r="QWV41" s="214"/>
      <c r="QWW41" s="214"/>
      <c r="QWX41" s="214"/>
      <c r="QWY41" s="214"/>
      <c r="QWZ41" s="214"/>
      <c r="QXA41" s="214"/>
      <c r="QXB41" s="214"/>
      <c r="QXC41" s="214"/>
      <c r="QXD41" s="214"/>
      <c r="QXE41" s="214"/>
      <c r="QXF41" s="214"/>
      <c r="QXG41" s="214"/>
      <c r="QXH41" s="214"/>
      <c r="QXI41" s="214"/>
      <c r="QXJ41" s="214"/>
      <c r="QXK41" s="214"/>
      <c r="QXL41" s="214"/>
      <c r="QXM41" s="214"/>
      <c r="QXN41" s="214"/>
      <c r="QXO41" s="214"/>
      <c r="QXP41" s="214"/>
      <c r="QXQ41" s="214"/>
      <c r="QXR41" s="214"/>
      <c r="QXS41" s="214"/>
      <c r="QXT41" s="214"/>
      <c r="QXU41" s="214"/>
      <c r="QXV41" s="214"/>
      <c r="QXW41" s="214"/>
      <c r="QXX41" s="214"/>
      <c r="QXY41" s="214"/>
      <c r="QXZ41" s="214"/>
      <c r="QYA41" s="214"/>
      <c r="QYB41" s="214"/>
      <c r="QYC41" s="214"/>
      <c r="QYD41" s="214"/>
      <c r="QYE41" s="214"/>
      <c r="QYF41" s="214"/>
      <c r="QYG41" s="214"/>
      <c r="QYH41" s="214"/>
      <c r="QYI41" s="214"/>
      <c r="QYJ41" s="214"/>
      <c r="QYK41" s="214"/>
      <c r="QYL41" s="214"/>
      <c r="QYM41" s="214"/>
      <c r="QYN41" s="214"/>
      <c r="QYO41" s="214"/>
      <c r="QYP41" s="214"/>
      <c r="QYQ41" s="214"/>
      <c r="QYR41" s="214"/>
      <c r="QYS41" s="214"/>
      <c r="QYT41" s="214"/>
      <c r="QYU41" s="214"/>
      <c r="QYV41" s="214"/>
      <c r="QYW41" s="214"/>
      <c r="QYX41" s="214"/>
      <c r="QYY41" s="214"/>
      <c r="QYZ41" s="214"/>
      <c r="QZA41" s="214"/>
      <c r="QZB41" s="214"/>
      <c r="QZC41" s="214"/>
      <c r="QZD41" s="214"/>
      <c r="QZE41" s="214"/>
      <c r="QZF41" s="214"/>
      <c r="QZG41" s="214"/>
      <c r="QZH41" s="214"/>
      <c r="QZI41" s="214"/>
      <c r="QZJ41" s="214"/>
      <c r="QZK41" s="214"/>
      <c r="QZL41" s="214"/>
      <c r="QZM41" s="214"/>
      <c r="QZN41" s="214"/>
      <c r="QZO41" s="214"/>
      <c r="QZP41" s="214"/>
      <c r="QZQ41" s="214"/>
      <c r="QZR41" s="214"/>
      <c r="QZS41" s="214"/>
      <c r="QZT41" s="214"/>
      <c r="QZU41" s="214"/>
      <c r="QZV41" s="214"/>
      <c r="QZW41" s="214"/>
      <c r="QZX41" s="214"/>
      <c r="QZY41" s="214"/>
      <c r="QZZ41" s="214"/>
      <c r="RAA41" s="214"/>
      <c r="RAB41" s="214"/>
      <c r="RAC41" s="214"/>
      <c r="RAD41" s="214"/>
      <c r="RAE41" s="214"/>
      <c r="RAF41" s="214"/>
      <c r="RAG41" s="214"/>
      <c r="RAH41" s="214"/>
      <c r="RAI41" s="214"/>
      <c r="RAJ41" s="214"/>
      <c r="RAK41" s="214"/>
      <c r="RAL41" s="214"/>
      <c r="RAM41" s="214"/>
      <c r="RAN41" s="214"/>
      <c r="RAO41" s="214"/>
      <c r="RAP41" s="214"/>
      <c r="RAQ41" s="214"/>
      <c r="RAR41" s="214"/>
      <c r="RAS41" s="214"/>
      <c r="RAT41" s="214"/>
      <c r="RAU41" s="214"/>
      <c r="RAV41" s="214"/>
      <c r="RAW41" s="214"/>
      <c r="RAX41" s="214"/>
      <c r="RAY41" s="214"/>
      <c r="RAZ41" s="214"/>
      <c r="RBA41" s="214"/>
      <c r="RBB41" s="214"/>
      <c r="RBC41" s="214"/>
      <c r="RBD41" s="214"/>
      <c r="RBE41" s="214"/>
      <c r="RBF41" s="214"/>
      <c r="RBG41" s="214"/>
      <c r="RBH41" s="214"/>
      <c r="RBI41" s="214"/>
      <c r="RBJ41" s="214"/>
      <c r="RBK41" s="214"/>
      <c r="RBL41" s="214"/>
      <c r="RBM41" s="214"/>
      <c r="RBN41" s="214"/>
      <c r="RBO41" s="214"/>
      <c r="RBP41" s="214"/>
      <c r="RBQ41" s="214"/>
      <c r="RBR41" s="214"/>
      <c r="RBS41" s="214"/>
      <c r="RBT41" s="214"/>
      <c r="RBU41" s="214"/>
      <c r="RBV41" s="214"/>
      <c r="RBW41" s="214"/>
      <c r="RBX41" s="214"/>
      <c r="RBY41" s="214"/>
      <c r="RBZ41" s="214"/>
      <c r="RCA41" s="214"/>
      <c r="RCB41" s="214"/>
      <c r="RCC41" s="214"/>
      <c r="RCD41" s="214"/>
      <c r="RCE41" s="214"/>
      <c r="RCF41" s="214"/>
      <c r="RCG41" s="214"/>
      <c r="RCH41" s="214"/>
      <c r="RCI41" s="214"/>
      <c r="RCJ41" s="214"/>
      <c r="RCK41" s="214"/>
      <c r="RCL41" s="214"/>
      <c r="RCM41" s="214"/>
      <c r="RCN41" s="214"/>
      <c r="RCO41" s="214"/>
      <c r="RCP41" s="214"/>
      <c r="RCQ41" s="214"/>
      <c r="RCR41" s="214"/>
      <c r="RCS41" s="214"/>
      <c r="RCT41" s="214"/>
      <c r="RCU41" s="214"/>
      <c r="RCV41" s="214"/>
      <c r="RCW41" s="214"/>
      <c r="RCX41" s="214"/>
      <c r="RCY41" s="214"/>
      <c r="RCZ41" s="214"/>
      <c r="RDA41" s="214"/>
      <c r="RDB41" s="214"/>
      <c r="RDC41" s="214"/>
      <c r="RDD41" s="214"/>
      <c r="RDE41" s="214"/>
      <c r="RDF41" s="214"/>
      <c r="RDG41" s="214"/>
      <c r="RDH41" s="214"/>
      <c r="RDI41" s="214"/>
      <c r="RDJ41" s="214"/>
      <c r="RDK41" s="214"/>
      <c r="RDL41" s="214"/>
      <c r="RDM41" s="214"/>
      <c r="RDN41" s="214"/>
      <c r="RDO41" s="214"/>
      <c r="RDP41" s="214"/>
      <c r="RDQ41" s="214"/>
      <c r="RDR41" s="214"/>
      <c r="RDS41" s="214"/>
      <c r="RDT41" s="214"/>
      <c r="RDU41" s="214"/>
      <c r="RDV41" s="214"/>
      <c r="RDW41" s="214"/>
      <c r="RDX41" s="214"/>
      <c r="RDY41" s="214"/>
      <c r="RDZ41" s="214"/>
      <c r="REA41" s="214"/>
      <c r="REB41" s="214"/>
      <c r="REC41" s="214"/>
      <c r="RED41" s="214"/>
      <c r="REE41" s="214"/>
      <c r="REF41" s="214"/>
      <c r="REG41" s="214"/>
      <c r="REH41" s="214"/>
      <c r="REI41" s="214"/>
      <c r="REJ41" s="214"/>
      <c r="REK41" s="214"/>
      <c r="REL41" s="214"/>
      <c r="REM41" s="214"/>
      <c r="REN41" s="214"/>
      <c r="REO41" s="214"/>
      <c r="REP41" s="214"/>
      <c r="REQ41" s="214"/>
      <c r="RER41" s="214"/>
      <c r="RES41" s="214"/>
      <c r="RET41" s="214"/>
      <c r="REU41" s="214"/>
      <c r="REV41" s="214"/>
      <c r="REW41" s="214"/>
      <c r="REX41" s="214"/>
      <c r="REY41" s="214"/>
      <c r="REZ41" s="214"/>
      <c r="RFA41" s="214"/>
      <c r="RFB41" s="214"/>
      <c r="RFC41" s="214"/>
      <c r="RFD41" s="214"/>
      <c r="RFE41" s="214"/>
      <c r="RFF41" s="214"/>
      <c r="RFG41" s="214"/>
      <c r="RFH41" s="214"/>
      <c r="RFI41" s="214"/>
      <c r="RFJ41" s="214"/>
      <c r="RFK41" s="214"/>
      <c r="RFL41" s="214"/>
      <c r="RFM41" s="214"/>
      <c r="RFN41" s="214"/>
      <c r="RFO41" s="214"/>
      <c r="RFP41" s="214"/>
      <c r="RFQ41" s="214"/>
      <c r="RFR41" s="214"/>
      <c r="RFS41" s="214"/>
      <c r="RFT41" s="214"/>
      <c r="RFU41" s="214"/>
      <c r="RFV41" s="214"/>
      <c r="RFW41" s="214"/>
      <c r="RFX41" s="214"/>
      <c r="RFY41" s="214"/>
      <c r="RFZ41" s="214"/>
      <c r="RGA41" s="214"/>
      <c r="RGB41" s="214"/>
      <c r="RGC41" s="214"/>
      <c r="RGD41" s="214"/>
      <c r="RGE41" s="214"/>
      <c r="RGF41" s="214"/>
      <c r="RGG41" s="214"/>
      <c r="RGH41" s="214"/>
      <c r="RGI41" s="214"/>
      <c r="RGJ41" s="214"/>
      <c r="RGK41" s="214"/>
      <c r="RGL41" s="214"/>
      <c r="RGM41" s="214"/>
      <c r="RGN41" s="214"/>
      <c r="RGO41" s="214"/>
      <c r="RGP41" s="214"/>
      <c r="RGQ41" s="214"/>
      <c r="RGR41" s="214"/>
      <c r="RGS41" s="214"/>
      <c r="RGT41" s="214"/>
      <c r="RGU41" s="214"/>
      <c r="RGV41" s="214"/>
      <c r="RGW41" s="214"/>
      <c r="RGX41" s="214"/>
      <c r="RGY41" s="214"/>
      <c r="RGZ41" s="214"/>
      <c r="RHA41" s="214"/>
      <c r="RHB41" s="214"/>
      <c r="RHC41" s="214"/>
      <c r="RHD41" s="214"/>
      <c r="RHE41" s="214"/>
      <c r="RHF41" s="214"/>
      <c r="RHG41" s="214"/>
      <c r="RHH41" s="214"/>
      <c r="RHI41" s="214"/>
      <c r="RHJ41" s="214"/>
      <c r="RHK41" s="214"/>
      <c r="RHL41" s="214"/>
      <c r="RHM41" s="214"/>
      <c r="RHN41" s="214"/>
      <c r="RHO41" s="214"/>
      <c r="RHP41" s="214"/>
      <c r="RHQ41" s="214"/>
      <c r="RHR41" s="214"/>
      <c r="RHS41" s="214"/>
      <c r="RHT41" s="214"/>
      <c r="RHU41" s="214"/>
      <c r="RHV41" s="214"/>
      <c r="RHW41" s="214"/>
      <c r="RHX41" s="214"/>
      <c r="RHY41" s="214"/>
      <c r="RHZ41" s="214"/>
      <c r="RIA41" s="214"/>
      <c r="RIB41" s="214"/>
      <c r="RIC41" s="214"/>
      <c r="RID41" s="214"/>
      <c r="RIE41" s="214"/>
      <c r="RIF41" s="214"/>
      <c r="RIG41" s="214"/>
      <c r="RIH41" s="214"/>
      <c r="RII41" s="214"/>
      <c r="RIJ41" s="214"/>
      <c r="RIK41" s="214"/>
      <c r="RIL41" s="214"/>
      <c r="RIM41" s="214"/>
      <c r="RIN41" s="214"/>
      <c r="RIO41" s="214"/>
      <c r="RIP41" s="214"/>
      <c r="RIQ41" s="214"/>
      <c r="RIR41" s="214"/>
      <c r="RIS41" s="214"/>
      <c r="RIT41" s="214"/>
      <c r="RIU41" s="214"/>
      <c r="RIV41" s="214"/>
      <c r="RIW41" s="214"/>
      <c r="RIX41" s="214"/>
      <c r="RIY41" s="214"/>
      <c r="RIZ41" s="214"/>
      <c r="RJA41" s="214"/>
      <c r="RJB41" s="214"/>
      <c r="RJC41" s="214"/>
      <c r="RJD41" s="214"/>
      <c r="RJE41" s="214"/>
      <c r="RJF41" s="214"/>
      <c r="RJG41" s="214"/>
      <c r="RJH41" s="214"/>
      <c r="RJI41" s="214"/>
      <c r="RJJ41" s="214"/>
      <c r="RJK41" s="214"/>
      <c r="RJL41" s="214"/>
      <c r="RJM41" s="214"/>
      <c r="RJN41" s="214"/>
      <c r="RJO41" s="214"/>
      <c r="RJP41" s="214"/>
      <c r="RJQ41" s="214"/>
      <c r="RJR41" s="214"/>
      <c r="RJS41" s="214"/>
      <c r="RJT41" s="214"/>
      <c r="RJU41" s="214"/>
      <c r="RJV41" s="214"/>
      <c r="RJW41" s="214"/>
      <c r="RJX41" s="214"/>
      <c r="RJY41" s="214"/>
      <c r="RJZ41" s="214"/>
      <c r="RKA41" s="214"/>
      <c r="RKB41" s="214"/>
      <c r="RKC41" s="214"/>
      <c r="RKD41" s="214"/>
      <c r="RKE41" s="214"/>
      <c r="RKF41" s="214"/>
      <c r="RKG41" s="214"/>
      <c r="RKH41" s="214"/>
      <c r="RKI41" s="214"/>
      <c r="RKJ41" s="214"/>
      <c r="RKK41" s="214"/>
      <c r="RKL41" s="214"/>
      <c r="RKM41" s="214"/>
      <c r="RKN41" s="214"/>
      <c r="RKO41" s="214"/>
      <c r="RKP41" s="214"/>
      <c r="RKQ41" s="214"/>
      <c r="RKR41" s="214"/>
      <c r="RKS41" s="214"/>
      <c r="RKT41" s="214"/>
      <c r="RKU41" s="214"/>
      <c r="RKV41" s="214"/>
      <c r="RKW41" s="214"/>
      <c r="RKX41" s="214"/>
      <c r="RKY41" s="214"/>
      <c r="RKZ41" s="214"/>
      <c r="RLA41" s="214"/>
      <c r="RLB41" s="214"/>
      <c r="RLC41" s="214"/>
      <c r="RLD41" s="214"/>
      <c r="RLE41" s="214"/>
      <c r="RLF41" s="214"/>
      <c r="RLG41" s="214"/>
      <c r="RLH41" s="214"/>
      <c r="RLI41" s="214"/>
      <c r="RLJ41" s="214"/>
      <c r="RLK41" s="214"/>
      <c r="RLL41" s="214"/>
      <c r="RLM41" s="214"/>
      <c r="RLN41" s="214"/>
      <c r="RLO41" s="214"/>
      <c r="RLP41" s="214"/>
      <c r="RLQ41" s="214"/>
      <c r="RLR41" s="214"/>
      <c r="RLS41" s="214"/>
      <c r="RLT41" s="214"/>
      <c r="RLU41" s="214"/>
      <c r="RLV41" s="214"/>
      <c r="RLW41" s="214"/>
      <c r="RLX41" s="214"/>
      <c r="RLY41" s="214"/>
      <c r="RLZ41" s="214"/>
      <c r="RMA41" s="214"/>
      <c r="RMB41" s="214"/>
      <c r="RMC41" s="214"/>
      <c r="RMD41" s="214"/>
      <c r="RME41" s="214"/>
      <c r="RMF41" s="214"/>
      <c r="RMG41" s="214"/>
      <c r="RMH41" s="214"/>
      <c r="RMI41" s="214"/>
      <c r="RMJ41" s="214"/>
      <c r="RMK41" s="214"/>
      <c r="RML41" s="214"/>
      <c r="RMM41" s="214"/>
      <c r="RMN41" s="214"/>
      <c r="RMO41" s="214"/>
      <c r="RMP41" s="214"/>
      <c r="RMQ41" s="214"/>
      <c r="RMR41" s="214"/>
      <c r="RMS41" s="214"/>
      <c r="RMT41" s="214"/>
      <c r="RMU41" s="214"/>
      <c r="RMV41" s="214"/>
      <c r="RMW41" s="214"/>
      <c r="RMX41" s="214"/>
      <c r="RMY41" s="214"/>
      <c r="RMZ41" s="214"/>
      <c r="RNA41" s="214"/>
      <c r="RNB41" s="214"/>
      <c r="RNC41" s="214"/>
      <c r="RND41" s="214"/>
      <c r="RNE41" s="214"/>
      <c r="RNF41" s="214"/>
      <c r="RNG41" s="214"/>
      <c r="RNH41" s="214"/>
      <c r="RNI41" s="214"/>
      <c r="RNJ41" s="214"/>
      <c r="RNK41" s="214"/>
      <c r="RNL41" s="214"/>
      <c r="RNM41" s="214"/>
      <c r="RNN41" s="214"/>
      <c r="RNO41" s="214"/>
      <c r="RNP41" s="214"/>
      <c r="RNQ41" s="214"/>
      <c r="RNR41" s="214"/>
      <c r="RNS41" s="214"/>
      <c r="RNT41" s="214"/>
      <c r="RNU41" s="214"/>
      <c r="RNV41" s="214"/>
      <c r="RNW41" s="214"/>
      <c r="RNX41" s="214"/>
      <c r="RNY41" s="214"/>
      <c r="RNZ41" s="214"/>
      <c r="ROA41" s="214"/>
      <c r="ROB41" s="214"/>
      <c r="ROC41" s="214"/>
      <c r="ROD41" s="214"/>
      <c r="ROE41" s="214"/>
      <c r="ROF41" s="214"/>
      <c r="ROG41" s="214"/>
      <c r="ROH41" s="214"/>
      <c r="ROI41" s="214"/>
      <c r="ROJ41" s="214"/>
      <c r="ROK41" s="214"/>
      <c r="ROL41" s="214"/>
      <c r="ROM41" s="214"/>
      <c r="RON41" s="214"/>
      <c r="ROO41" s="214"/>
      <c r="ROP41" s="214"/>
      <c r="ROQ41" s="214"/>
      <c r="ROR41" s="214"/>
      <c r="ROS41" s="214"/>
      <c r="ROT41" s="214"/>
      <c r="ROU41" s="214"/>
      <c r="ROV41" s="214"/>
      <c r="ROW41" s="214"/>
      <c r="ROX41" s="214"/>
      <c r="ROY41" s="214"/>
      <c r="ROZ41" s="214"/>
      <c r="RPA41" s="214"/>
      <c r="RPB41" s="214"/>
      <c r="RPC41" s="214"/>
      <c r="RPD41" s="214"/>
      <c r="RPE41" s="214"/>
      <c r="RPF41" s="214"/>
      <c r="RPG41" s="214"/>
      <c r="RPH41" s="214"/>
      <c r="RPI41" s="214"/>
      <c r="RPJ41" s="214"/>
      <c r="RPK41" s="214"/>
      <c r="RPL41" s="214"/>
      <c r="RPM41" s="214"/>
      <c r="RPN41" s="214"/>
      <c r="RPO41" s="214"/>
      <c r="RPP41" s="214"/>
      <c r="RPQ41" s="214"/>
      <c r="RPR41" s="214"/>
      <c r="RPS41" s="214"/>
      <c r="RPT41" s="214"/>
      <c r="RPU41" s="214"/>
      <c r="RPV41" s="214"/>
      <c r="RPW41" s="214"/>
      <c r="RPX41" s="214"/>
      <c r="RPY41" s="214"/>
      <c r="RPZ41" s="214"/>
      <c r="RQA41" s="214"/>
      <c r="RQB41" s="214"/>
      <c r="RQC41" s="214"/>
      <c r="RQD41" s="214"/>
      <c r="RQE41" s="214"/>
      <c r="RQF41" s="214"/>
      <c r="RQG41" s="214"/>
      <c r="RQH41" s="214"/>
      <c r="RQI41" s="214"/>
      <c r="RQJ41" s="214"/>
      <c r="RQK41" s="214"/>
      <c r="RQL41" s="214"/>
      <c r="RQM41" s="214"/>
      <c r="RQN41" s="214"/>
      <c r="RQO41" s="214"/>
      <c r="RQP41" s="214"/>
      <c r="RQQ41" s="214"/>
      <c r="RQR41" s="214"/>
      <c r="RQS41" s="214"/>
      <c r="RQT41" s="214"/>
      <c r="RQU41" s="214"/>
      <c r="RQV41" s="214"/>
      <c r="RQW41" s="214"/>
      <c r="RQX41" s="214"/>
      <c r="RQY41" s="214"/>
      <c r="RQZ41" s="214"/>
      <c r="RRA41" s="214"/>
      <c r="RRB41" s="214"/>
      <c r="RRC41" s="214"/>
      <c r="RRD41" s="214"/>
      <c r="RRE41" s="214"/>
      <c r="RRF41" s="214"/>
      <c r="RRG41" s="214"/>
      <c r="RRH41" s="214"/>
      <c r="RRI41" s="214"/>
      <c r="RRJ41" s="214"/>
      <c r="RRK41" s="214"/>
      <c r="RRL41" s="214"/>
      <c r="RRM41" s="214"/>
      <c r="RRN41" s="214"/>
      <c r="RRO41" s="214"/>
      <c r="RRP41" s="214"/>
      <c r="RRQ41" s="214"/>
      <c r="RRR41" s="214"/>
      <c r="RRS41" s="214"/>
      <c r="RRT41" s="214"/>
      <c r="RRU41" s="214"/>
      <c r="RRV41" s="214"/>
      <c r="RRW41" s="214"/>
      <c r="RRX41" s="214"/>
      <c r="RRY41" s="214"/>
      <c r="RRZ41" s="214"/>
      <c r="RSA41" s="214"/>
      <c r="RSB41" s="214"/>
      <c r="RSC41" s="214"/>
      <c r="RSD41" s="214"/>
      <c r="RSE41" s="214"/>
      <c r="RSF41" s="214"/>
      <c r="RSG41" s="214"/>
      <c r="RSH41" s="214"/>
      <c r="RSI41" s="214"/>
      <c r="RSJ41" s="214"/>
      <c r="RSK41" s="214"/>
      <c r="RSL41" s="214"/>
      <c r="RSM41" s="214"/>
      <c r="RSN41" s="214"/>
      <c r="RSO41" s="214"/>
      <c r="RSP41" s="214"/>
      <c r="RSQ41" s="214"/>
      <c r="RSR41" s="214"/>
      <c r="RSS41" s="214"/>
      <c r="RST41" s="214"/>
      <c r="RSU41" s="214"/>
      <c r="RSV41" s="214"/>
      <c r="RSW41" s="214"/>
      <c r="RSX41" s="214"/>
      <c r="RSY41" s="214"/>
      <c r="RSZ41" s="214"/>
      <c r="RTA41" s="214"/>
      <c r="RTB41" s="214"/>
      <c r="RTC41" s="214"/>
      <c r="RTD41" s="214"/>
      <c r="RTE41" s="214"/>
      <c r="RTF41" s="214"/>
      <c r="RTG41" s="214"/>
      <c r="RTH41" s="214"/>
      <c r="RTI41" s="214"/>
      <c r="RTJ41" s="214"/>
      <c r="RTK41" s="214"/>
      <c r="RTL41" s="214"/>
      <c r="RTM41" s="214"/>
      <c r="RTN41" s="214"/>
      <c r="RTO41" s="214"/>
      <c r="RTP41" s="214"/>
      <c r="RTQ41" s="214"/>
      <c r="RTR41" s="214"/>
      <c r="RTS41" s="214"/>
      <c r="RTT41" s="214"/>
      <c r="RTU41" s="214"/>
      <c r="RTV41" s="214"/>
      <c r="RTW41" s="214"/>
      <c r="RTX41" s="214"/>
      <c r="RTY41" s="214"/>
      <c r="RTZ41" s="214"/>
      <c r="RUA41" s="214"/>
      <c r="RUB41" s="214"/>
      <c r="RUC41" s="214"/>
      <c r="RUD41" s="214"/>
      <c r="RUE41" s="214"/>
      <c r="RUF41" s="214"/>
      <c r="RUG41" s="214"/>
      <c r="RUH41" s="214"/>
      <c r="RUI41" s="214"/>
      <c r="RUJ41" s="214"/>
      <c r="RUK41" s="214"/>
      <c r="RUL41" s="214"/>
      <c r="RUM41" s="214"/>
      <c r="RUN41" s="214"/>
      <c r="RUO41" s="214"/>
      <c r="RUP41" s="214"/>
      <c r="RUQ41" s="214"/>
      <c r="RUR41" s="214"/>
      <c r="RUS41" s="214"/>
      <c r="RUT41" s="214"/>
      <c r="RUU41" s="214"/>
      <c r="RUV41" s="214"/>
      <c r="RUW41" s="214"/>
      <c r="RUX41" s="214"/>
      <c r="RUY41" s="214"/>
      <c r="RUZ41" s="214"/>
      <c r="RVA41" s="214"/>
      <c r="RVB41" s="214"/>
      <c r="RVC41" s="214"/>
      <c r="RVD41" s="214"/>
      <c r="RVE41" s="214"/>
      <c r="RVF41" s="214"/>
      <c r="RVG41" s="214"/>
      <c r="RVH41" s="214"/>
      <c r="RVI41" s="214"/>
      <c r="RVJ41" s="214"/>
      <c r="RVK41" s="214"/>
      <c r="RVL41" s="214"/>
      <c r="RVM41" s="214"/>
      <c r="RVN41" s="214"/>
      <c r="RVO41" s="214"/>
      <c r="RVP41" s="214"/>
      <c r="RVQ41" s="214"/>
      <c r="RVR41" s="214"/>
      <c r="RVS41" s="214"/>
      <c r="RVT41" s="214"/>
      <c r="RVU41" s="214"/>
      <c r="RVV41" s="214"/>
      <c r="RVW41" s="214"/>
      <c r="RVX41" s="214"/>
      <c r="RVY41" s="214"/>
      <c r="RVZ41" s="214"/>
      <c r="RWA41" s="214"/>
      <c r="RWB41" s="214"/>
      <c r="RWC41" s="214"/>
      <c r="RWD41" s="214"/>
      <c r="RWE41" s="214"/>
      <c r="RWF41" s="214"/>
      <c r="RWG41" s="214"/>
      <c r="RWH41" s="214"/>
      <c r="RWI41" s="214"/>
      <c r="RWJ41" s="214"/>
      <c r="RWK41" s="214"/>
      <c r="RWL41" s="214"/>
      <c r="RWM41" s="214"/>
      <c r="RWN41" s="214"/>
      <c r="RWO41" s="214"/>
      <c r="RWP41" s="214"/>
      <c r="RWQ41" s="214"/>
      <c r="RWR41" s="214"/>
      <c r="RWS41" s="214"/>
      <c r="RWT41" s="214"/>
      <c r="RWU41" s="214"/>
      <c r="RWV41" s="214"/>
      <c r="RWW41" s="214"/>
      <c r="RWX41" s="214"/>
      <c r="RWY41" s="214"/>
      <c r="RWZ41" s="214"/>
      <c r="RXA41" s="214"/>
      <c r="RXB41" s="214"/>
      <c r="RXC41" s="214"/>
      <c r="RXD41" s="214"/>
      <c r="RXE41" s="214"/>
      <c r="RXF41" s="214"/>
      <c r="RXG41" s="214"/>
      <c r="RXH41" s="214"/>
      <c r="RXI41" s="214"/>
      <c r="RXJ41" s="214"/>
      <c r="RXK41" s="214"/>
      <c r="RXL41" s="214"/>
      <c r="RXM41" s="214"/>
      <c r="RXN41" s="214"/>
      <c r="RXO41" s="214"/>
      <c r="RXP41" s="214"/>
      <c r="RXQ41" s="214"/>
      <c r="RXR41" s="214"/>
      <c r="RXS41" s="214"/>
      <c r="RXT41" s="214"/>
      <c r="RXU41" s="214"/>
      <c r="RXV41" s="214"/>
      <c r="RXW41" s="214"/>
      <c r="RXX41" s="214"/>
      <c r="RXY41" s="214"/>
      <c r="RXZ41" s="214"/>
      <c r="RYA41" s="214"/>
      <c r="RYB41" s="214"/>
      <c r="RYC41" s="214"/>
      <c r="RYD41" s="214"/>
      <c r="RYE41" s="214"/>
      <c r="RYF41" s="214"/>
      <c r="RYG41" s="214"/>
      <c r="RYH41" s="214"/>
      <c r="RYI41" s="214"/>
      <c r="RYJ41" s="214"/>
      <c r="RYK41" s="214"/>
      <c r="RYL41" s="214"/>
      <c r="RYM41" s="214"/>
      <c r="RYN41" s="214"/>
      <c r="RYO41" s="214"/>
      <c r="RYP41" s="214"/>
      <c r="RYQ41" s="214"/>
      <c r="RYR41" s="214"/>
      <c r="RYS41" s="214"/>
      <c r="RYT41" s="214"/>
      <c r="RYU41" s="214"/>
      <c r="RYV41" s="214"/>
      <c r="RYW41" s="214"/>
      <c r="RYX41" s="214"/>
      <c r="RYY41" s="214"/>
      <c r="RYZ41" s="214"/>
      <c r="RZA41" s="214"/>
      <c r="RZB41" s="214"/>
      <c r="RZC41" s="214"/>
      <c r="RZD41" s="214"/>
      <c r="RZE41" s="214"/>
      <c r="RZF41" s="214"/>
      <c r="RZG41" s="214"/>
      <c r="RZH41" s="214"/>
      <c r="RZI41" s="214"/>
      <c r="RZJ41" s="214"/>
      <c r="RZK41" s="214"/>
      <c r="RZL41" s="214"/>
      <c r="RZM41" s="214"/>
      <c r="RZN41" s="214"/>
      <c r="RZO41" s="214"/>
      <c r="RZP41" s="214"/>
      <c r="RZQ41" s="214"/>
      <c r="RZR41" s="214"/>
      <c r="RZS41" s="214"/>
      <c r="RZT41" s="214"/>
      <c r="RZU41" s="214"/>
      <c r="RZV41" s="214"/>
      <c r="RZW41" s="214"/>
      <c r="RZX41" s="214"/>
      <c r="RZY41" s="214"/>
      <c r="RZZ41" s="214"/>
      <c r="SAA41" s="214"/>
      <c r="SAB41" s="214"/>
      <c r="SAC41" s="214"/>
      <c r="SAD41" s="214"/>
      <c r="SAE41" s="214"/>
      <c r="SAF41" s="214"/>
      <c r="SAG41" s="214"/>
      <c r="SAH41" s="214"/>
      <c r="SAI41" s="214"/>
      <c r="SAJ41" s="214"/>
      <c r="SAK41" s="214"/>
      <c r="SAL41" s="214"/>
      <c r="SAM41" s="214"/>
      <c r="SAN41" s="214"/>
      <c r="SAO41" s="214"/>
      <c r="SAP41" s="214"/>
      <c r="SAQ41" s="214"/>
      <c r="SAR41" s="214"/>
      <c r="SAS41" s="214"/>
      <c r="SAT41" s="214"/>
      <c r="SAU41" s="214"/>
      <c r="SAV41" s="214"/>
      <c r="SAW41" s="214"/>
      <c r="SAX41" s="214"/>
      <c r="SAY41" s="214"/>
      <c r="SAZ41" s="214"/>
      <c r="SBA41" s="214"/>
      <c r="SBB41" s="214"/>
      <c r="SBC41" s="214"/>
      <c r="SBD41" s="214"/>
      <c r="SBE41" s="214"/>
      <c r="SBF41" s="214"/>
      <c r="SBG41" s="214"/>
      <c r="SBH41" s="214"/>
      <c r="SBI41" s="214"/>
      <c r="SBJ41" s="214"/>
      <c r="SBK41" s="214"/>
      <c r="SBL41" s="214"/>
      <c r="SBM41" s="214"/>
      <c r="SBN41" s="214"/>
      <c r="SBO41" s="214"/>
      <c r="SBP41" s="214"/>
      <c r="SBQ41" s="214"/>
      <c r="SBR41" s="214"/>
      <c r="SBS41" s="214"/>
      <c r="SBT41" s="214"/>
      <c r="SBU41" s="214"/>
      <c r="SBV41" s="214"/>
      <c r="SBW41" s="214"/>
      <c r="SBX41" s="214"/>
      <c r="SBY41" s="214"/>
      <c r="SBZ41" s="214"/>
      <c r="SCA41" s="214"/>
      <c r="SCB41" s="214"/>
      <c r="SCC41" s="214"/>
      <c r="SCD41" s="214"/>
      <c r="SCE41" s="214"/>
      <c r="SCF41" s="214"/>
      <c r="SCG41" s="214"/>
      <c r="SCH41" s="214"/>
      <c r="SCI41" s="214"/>
      <c r="SCJ41" s="214"/>
      <c r="SCK41" s="214"/>
      <c r="SCL41" s="214"/>
      <c r="SCM41" s="214"/>
      <c r="SCN41" s="214"/>
      <c r="SCO41" s="214"/>
      <c r="SCP41" s="214"/>
      <c r="SCQ41" s="214"/>
      <c r="SCR41" s="214"/>
      <c r="SCS41" s="214"/>
      <c r="SCT41" s="214"/>
      <c r="SCU41" s="214"/>
      <c r="SCV41" s="214"/>
      <c r="SCW41" s="214"/>
      <c r="SCX41" s="214"/>
      <c r="SCY41" s="214"/>
      <c r="SCZ41" s="214"/>
      <c r="SDA41" s="214"/>
      <c r="SDB41" s="214"/>
      <c r="SDC41" s="214"/>
      <c r="SDD41" s="214"/>
      <c r="SDE41" s="214"/>
      <c r="SDF41" s="214"/>
      <c r="SDG41" s="214"/>
      <c r="SDH41" s="214"/>
      <c r="SDI41" s="214"/>
      <c r="SDJ41" s="214"/>
      <c r="SDK41" s="214"/>
      <c r="SDL41" s="214"/>
      <c r="SDM41" s="214"/>
      <c r="SDN41" s="214"/>
      <c r="SDO41" s="214"/>
      <c r="SDP41" s="214"/>
      <c r="SDQ41" s="214"/>
      <c r="SDR41" s="214"/>
      <c r="SDS41" s="214"/>
      <c r="SDT41" s="214"/>
      <c r="SDU41" s="214"/>
      <c r="SDV41" s="214"/>
      <c r="SDW41" s="214"/>
      <c r="SDX41" s="214"/>
      <c r="SDY41" s="214"/>
      <c r="SDZ41" s="214"/>
      <c r="SEA41" s="214"/>
      <c r="SEB41" s="214"/>
      <c r="SEC41" s="214"/>
      <c r="SED41" s="214"/>
      <c r="SEE41" s="214"/>
      <c r="SEF41" s="214"/>
      <c r="SEG41" s="214"/>
      <c r="SEH41" s="214"/>
      <c r="SEI41" s="214"/>
      <c r="SEJ41" s="214"/>
      <c r="SEK41" s="214"/>
      <c r="SEL41" s="214"/>
      <c r="SEM41" s="214"/>
      <c r="SEN41" s="214"/>
      <c r="SEO41" s="214"/>
      <c r="SEP41" s="214"/>
      <c r="SEQ41" s="214"/>
      <c r="SER41" s="214"/>
      <c r="SES41" s="214"/>
      <c r="SET41" s="214"/>
      <c r="SEU41" s="214"/>
      <c r="SEV41" s="214"/>
      <c r="SEW41" s="214"/>
      <c r="SEX41" s="214"/>
      <c r="SEY41" s="214"/>
      <c r="SEZ41" s="214"/>
      <c r="SFA41" s="214"/>
      <c r="SFB41" s="214"/>
      <c r="SFC41" s="214"/>
      <c r="SFD41" s="214"/>
      <c r="SFE41" s="214"/>
      <c r="SFF41" s="214"/>
      <c r="SFG41" s="214"/>
      <c r="SFH41" s="214"/>
      <c r="SFI41" s="214"/>
      <c r="SFJ41" s="214"/>
      <c r="SFK41" s="214"/>
      <c r="SFL41" s="214"/>
      <c r="SFM41" s="214"/>
      <c r="SFN41" s="214"/>
      <c r="SFO41" s="214"/>
      <c r="SFP41" s="214"/>
      <c r="SFQ41" s="214"/>
      <c r="SFR41" s="214"/>
      <c r="SFS41" s="214"/>
      <c r="SFT41" s="214"/>
      <c r="SFU41" s="214"/>
      <c r="SFV41" s="214"/>
      <c r="SFW41" s="214"/>
      <c r="SFX41" s="214"/>
      <c r="SFY41" s="214"/>
      <c r="SFZ41" s="214"/>
      <c r="SGA41" s="214"/>
      <c r="SGB41" s="214"/>
      <c r="SGC41" s="214"/>
      <c r="SGD41" s="214"/>
      <c r="SGE41" s="214"/>
      <c r="SGF41" s="214"/>
      <c r="SGG41" s="214"/>
      <c r="SGH41" s="214"/>
      <c r="SGI41" s="214"/>
      <c r="SGJ41" s="214"/>
      <c r="SGK41" s="214"/>
      <c r="SGL41" s="214"/>
      <c r="SGM41" s="214"/>
      <c r="SGN41" s="214"/>
      <c r="SGO41" s="214"/>
      <c r="SGP41" s="214"/>
      <c r="SGQ41" s="214"/>
      <c r="SGR41" s="214"/>
      <c r="SGS41" s="214"/>
      <c r="SGT41" s="214"/>
      <c r="SGU41" s="214"/>
      <c r="SGV41" s="214"/>
      <c r="SGW41" s="214"/>
      <c r="SGX41" s="214"/>
      <c r="SGY41" s="214"/>
      <c r="SGZ41" s="214"/>
      <c r="SHA41" s="214"/>
      <c r="SHB41" s="214"/>
      <c r="SHC41" s="214"/>
      <c r="SHD41" s="214"/>
      <c r="SHE41" s="214"/>
      <c r="SHF41" s="214"/>
      <c r="SHG41" s="214"/>
      <c r="SHH41" s="214"/>
      <c r="SHI41" s="214"/>
      <c r="SHJ41" s="214"/>
      <c r="SHK41" s="214"/>
      <c r="SHL41" s="214"/>
      <c r="SHM41" s="214"/>
      <c r="SHN41" s="214"/>
      <c r="SHO41" s="214"/>
      <c r="SHP41" s="214"/>
      <c r="SHQ41" s="214"/>
      <c r="SHR41" s="214"/>
      <c r="SHS41" s="214"/>
      <c r="SHT41" s="214"/>
      <c r="SHU41" s="214"/>
      <c r="SHV41" s="214"/>
      <c r="SHW41" s="214"/>
      <c r="SHX41" s="214"/>
      <c r="SHY41" s="214"/>
      <c r="SHZ41" s="214"/>
      <c r="SIA41" s="214"/>
      <c r="SIB41" s="214"/>
      <c r="SIC41" s="214"/>
      <c r="SID41" s="214"/>
      <c r="SIE41" s="214"/>
      <c r="SIF41" s="214"/>
      <c r="SIG41" s="214"/>
      <c r="SIH41" s="214"/>
      <c r="SII41" s="214"/>
      <c r="SIJ41" s="214"/>
      <c r="SIK41" s="214"/>
      <c r="SIL41" s="214"/>
      <c r="SIM41" s="214"/>
      <c r="SIN41" s="214"/>
      <c r="SIO41" s="214"/>
      <c r="SIP41" s="214"/>
      <c r="SIQ41" s="214"/>
      <c r="SIR41" s="214"/>
      <c r="SIS41" s="214"/>
      <c r="SIT41" s="214"/>
      <c r="SIU41" s="214"/>
      <c r="SIV41" s="214"/>
      <c r="SIW41" s="214"/>
      <c r="SIX41" s="214"/>
      <c r="SIY41" s="214"/>
      <c r="SIZ41" s="214"/>
      <c r="SJA41" s="214"/>
      <c r="SJB41" s="214"/>
      <c r="SJC41" s="214"/>
      <c r="SJD41" s="214"/>
      <c r="SJE41" s="214"/>
      <c r="SJF41" s="214"/>
      <c r="SJG41" s="214"/>
      <c r="SJH41" s="214"/>
      <c r="SJI41" s="214"/>
      <c r="SJJ41" s="214"/>
      <c r="SJK41" s="214"/>
      <c r="SJL41" s="214"/>
      <c r="SJM41" s="214"/>
      <c r="SJN41" s="214"/>
      <c r="SJO41" s="214"/>
      <c r="SJP41" s="214"/>
      <c r="SJQ41" s="214"/>
      <c r="SJR41" s="214"/>
      <c r="SJS41" s="214"/>
      <c r="SJT41" s="214"/>
      <c r="SJU41" s="214"/>
      <c r="SJV41" s="214"/>
      <c r="SJW41" s="214"/>
      <c r="SJX41" s="214"/>
      <c r="SJY41" s="214"/>
      <c r="SJZ41" s="214"/>
      <c r="SKA41" s="214"/>
      <c r="SKB41" s="214"/>
      <c r="SKC41" s="214"/>
      <c r="SKD41" s="214"/>
      <c r="SKE41" s="214"/>
      <c r="SKF41" s="214"/>
      <c r="SKG41" s="214"/>
      <c r="SKH41" s="214"/>
      <c r="SKI41" s="214"/>
      <c r="SKJ41" s="214"/>
      <c r="SKK41" s="214"/>
      <c r="SKL41" s="214"/>
      <c r="SKM41" s="214"/>
      <c r="SKN41" s="214"/>
      <c r="SKO41" s="214"/>
      <c r="SKP41" s="214"/>
      <c r="SKQ41" s="214"/>
      <c r="SKR41" s="214"/>
      <c r="SKS41" s="214"/>
      <c r="SKT41" s="214"/>
      <c r="SKU41" s="214"/>
      <c r="SKV41" s="214"/>
      <c r="SKW41" s="214"/>
      <c r="SKX41" s="214"/>
      <c r="SKY41" s="214"/>
      <c r="SKZ41" s="214"/>
      <c r="SLA41" s="214"/>
      <c r="SLB41" s="214"/>
      <c r="SLC41" s="214"/>
      <c r="SLD41" s="214"/>
      <c r="SLE41" s="214"/>
      <c r="SLF41" s="214"/>
      <c r="SLG41" s="214"/>
      <c r="SLH41" s="214"/>
      <c r="SLI41" s="214"/>
      <c r="SLJ41" s="214"/>
      <c r="SLK41" s="214"/>
      <c r="SLL41" s="214"/>
      <c r="SLM41" s="214"/>
      <c r="SLN41" s="214"/>
      <c r="SLO41" s="214"/>
      <c r="SLP41" s="214"/>
      <c r="SLQ41" s="214"/>
      <c r="SLR41" s="214"/>
      <c r="SLS41" s="214"/>
      <c r="SLT41" s="214"/>
      <c r="SLU41" s="214"/>
      <c r="SLV41" s="214"/>
      <c r="SLW41" s="214"/>
      <c r="SLX41" s="214"/>
      <c r="SLY41" s="214"/>
      <c r="SLZ41" s="214"/>
      <c r="SMA41" s="214"/>
      <c r="SMB41" s="214"/>
      <c r="SMC41" s="214"/>
      <c r="SMD41" s="214"/>
      <c r="SME41" s="214"/>
      <c r="SMF41" s="214"/>
      <c r="SMG41" s="214"/>
      <c r="SMH41" s="214"/>
      <c r="SMI41" s="214"/>
      <c r="SMJ41" s="214"/>
      <c r="SMK41" s="214"/>
      <c r="SML41" s="214"/>
      <c r="SMM41" s="214"/>
      <c r="SMN41" s="214"/>
      <c r="SMO41" s="214"/>
      <c r="SMP41" s="214"/>
      <c r="SMQ41" s="214"/>
      <c r="SMR41" s="214"/>
      <c r="SMS41" s="214"/>
      <c r="SMT41" s="214"/>
      <c r="SMU41" s="214"/>
      <c r="SMV41" s="214"/>
      <c r="SMW41" s="214"/>
      <c r="SMX41" s="214"/>
      <c r="SMY41" s="214"/>
      <c r="SMZ41" s="214"/>
      <c r="SNA41" s="214"/>
      <c r="SNB41" s="214"/>
      <c r="SNC41" s="214"/>
      <c r="SND41" s="214"/>
      <c r="SNE41" s="214"/>
      <c r="SNF41" s="214"/>
      <c r="SNG41" s="214"/>
      <c r="SNH41" s="214"/>
      <c r="SNI41" s="214"/>
      <c r="SNJ41" s="214"/>
      <c r="SNK41" s="214"/>
      <c r="SNL41" s="214"/>
      <c r="SNM41" s="214"/>
      <c r="SNN41" s="214"/>
      <c r="SNO41" s="214"/>
      <c r="SNP41" s="214"/>
      <c r="SNQ41" s="214"/>
      <c r="SNR41" s="214"/>
      <c r="SNS41" s="214"/>
      <c r="SNT41" s="214"/>
      <c r="SNU41" s="214"/>
      <c r="SNV41" s="214"/>
      <c r="SNW41" s="214"/>
      <c r="SNX41" s="214"/>
      <c r="SNY41" s="214"/>
      <c r="SNZ41" s="214"/>
      <c r="SOA41" s="214"/>
      <c r="SOB41" s="214"/>
      <c r="SOC41" s="214"/>
      <c r="SOD41" s="214"/>
      <c r="SOE41" s="214"/>
      <c r="SOF41" s="214"/>
      <c r="SOG41" s="214"/>
      <c r="SOH41" s="214"/>
      <c r="SOI41" s="214"/>
      <c r="SOJ41" s="214"/>
      <c r="SOK41" s="214"/>
      <c r="SOL41" s="214"/>
      <c r="SOM41" s="214"/>
      <c r="SON41" s="214"/>
      <c r="SOO41" s="214"/>
      <c r="SOP41" s="214"/>
      <c r="SOQ41" s="214"/>
      <c r="SOR41" s="214"/>
      <c r="SOS41" s="214"/>
      <c r="SOT41" s="214"/>
      <c r="SOU41" s="214"/>
      <c r="SOV41" s="214"/>
      <c r="SOW41" s="214"/>
      <c r="SOX41" s="214"/>
      <c r="SOY41" s="214"/>
      <c r="SOZ41" s="214"/>
      <c r="SPA41" s="214"/>
      <c r="SPB41" s="214"/>
      <c r="SPC41" s="214"/>
      <c r="SPD41" s="214"/>
      <c r="SPE41" s="214"/>
      <c r="SPF41" s="214"/>
      <c r="SPG41" s="214"/>
      <c r="SPH41" s="214"/>
      <c r="SPI41" s="214"/>
      <c r="SPJ41" s="214"/>
      <c r="SPK41" s="214"/>
      <c r="SPL41" s="214"/>
      <c r="SPM41" s="214"/>
      <c r="SPN41" s="214"/>
      <c r="SPO41" s="214"/>
      <c r="SPP41" s="214"/>
      <c r="SPQ41" s="214"/>
      <c r="SPR41" s="214"/>
      <c r="SPS41" s="214"/>
      <c r="SPT41" s="214"/>
      <c r="SPU41" s="214"/>
      <c r="SPV41" s="214"/>
      <c r="SPW41" s="214"/>
      <c r="SPX41" s="214"/>
      <c r="SPY41" s="214"/>
      <c r="SPZ41" s="214"/>
      <c r="SQA41" s="214"/>
      <c r="SQB41" s="214"/>
      <c r="SQC41" s="214"/>
      <c r="SQD41" s="214"/>
      <c r="SQE41" s="214"/>
      <c r="SQF41" s="214"/>
      <c r="SQG41" s="214"/>
      <c r="SQH41" s="214"/>
      <c r="SQI41" s="214"/>
      <c r="SQJ41" s="214"/>
      <c r="SQK41" s="214"/>
      <c r="SQL41" s="214"/>
      <c r="SQM41" s="214"/>
      <c r="SQN41" s="214"/>
      <c r="SQO41" s="214"/>
      <c r="SQP41" s="214"/>
      <c r="SQQ41" s="214"/>
      <c r="SQR41" s="214"/>
      <c r="SQS41" s="214"/>
      <c r="SQT41" s="214"/>
      <c r="SQU41" s="214"/>
      <c r="SQV41" s="214"/>
      <c r="SQW41" s="214"/>
      <c r="SQX41" s="214"/>
      <c r="SQY41" s="214"/>
      <c r="SQZ41" s="214"/>
      <c r="SRA41" s="214"/>
      <c r="SRB41" s="214"/>
      <c r="SRC41" s="214"/>
      <c r="SRD41" s="214"/>
      <c r="SRE41" s="214"/>
      <c r="SRF41" s="214"/>
      <c r="SRG41" s="214"/>
      <c r="SRH41" s="214"/>
      <c r="SRI41" s="214"/>
      <c r="SRJ41" s="214"/>
      <c r="SRK41" s="214"/>
      <c r="SRL41" s="214"/>
      <c r="SRM41" s="214"/>
      <c r="SRN41" s="214"/>
      <c r="SRO41" s="214"/>
      <c r="SRP41" s="214"/>
      <c r="SRQ41" s="214"/>
      <c r="SRR41" s="214"/>
      <c r="SRS41" s="214"/>
      <c r="SRT41" s="214"/>
      <c r="SRU41" s="214"/>
      <c r="SRV41" s="214"/>
      <c r="SRW41" s="214"/>
      <c r="SRX41" s="214"/>
      <c r="SRY41" s="214"/>
      <c r="SRZ41" s="214"/>
      <c r="SSA41" s="214"/>
      <c r="SSB41" s="214"/>
      <c r="SSC41" s="214"/>
      <c r="SSD41" s="214"/>
      <c r="SSE41" s="214"/>
      <c r="SSF41" s="214"/>
      <c r="SSG41" s="214"/>
      <c r="SSH41" s="214"/>
      <c r="SSI41" s="214"/>
      <c r="SSJ41" s="214"/>
      <c r="SSK41" s="214"/>
      <c r="SSL41" s="214"/>
      <c r="SSM41" s="214"/>
      <c r="SSN41" s="214"/>
      <c r="SSO41" s="214"/>
      <c r="SSP41" s="214"/>
      <c r="SSQ41" s="214"/>
      <c r="SSR41" s="214"/>
      <c r="SSS41" s="214"/>
      <c r="SST41" s="214"/>
      <c r="SSU41" s="214"/>
      <c r="SSV41" s="214"/>
      <c r="SSW41" s="214"/>
      <c r="SSX41" s="214"/>
      <c r="SSY41" s="214"/>
      <c r="SSZ41" s="214"/>
      <c r="STA41" s="214"/>
      <c r="STB41" s="214"/>
      <c r="STC41" s="214"/>
      <c r="STD41" s="214"/>
      <c r="STE41" s="214"/>
      <c r="STF41" s="214"/>
      <c r="STG41" s="214"/>
      <c r="STH41" s="214"/>
      <c r="STI41" s="214"/>
      <c r="STJ41" s="214"/>
      <c r="STK41" s="214"/>
      <c r="STL41" s="214"/>
      <c r="STM41" s="214"/>
      <c r="STN41" s="214"/>
      <c r="STO41" s="214"/>
      <c r="STP41" s="214"/>
      <c r="STQ41" s="214"/>
      <c r="STR41" s="214"/>
      <c r="STS41" s="214"/>
      <c r="STT41" s="214"/>
      <c r="STU41" s="214"/>
      <c r="STV41" s="214"/>
      <c r="STW41" s="214"/>
      <c r="STX41" s="214"/>
      <c r="STY41" s="214"/>
      <c r="STZ41" s="214"/>
      <c r="SUA41" s="214"/>
      <c r="SUB41" s="214"/>
      <c r="SUC41" s="214"/>
      <c r="SUD41" s="214"/>
      <c r="SUE41" s="214"/>
      <c r="SUF41" s="214"/>
      <c r="SUG41" s="214"/>
      <c r="SUH41" s="214"/>
      <c r="SUI41" s="214"/>
      <c r="SUJ41" s="214"/>
      <c r="SUK41" s="214"/>
      <c r="SUL41" s="214"/>
      <c r="SUM41" s="214"/>
      <c r="SUN41" s="214"/>
      <c r="SUO41" s="214"/>
      <c r="SUP41" s="214"/>
      <c r="SUQ41" s="214"/>
      <c r="SUR41" s="214"/>
      <c r="SUS41" s="214"/>
      <c r="SUT41" s="214"/>
      <c r="SUU41" s="214"/>
      <c r="SUV41" s="214"/>
      <c r="SUW41" s="214"/>
      <c r="SUX41" s="214"/>
      <c r="SUY41" s="214"/>
      <c r="SUZ41" s="214"/>
      <c r="SVA41" s="214"/>
      <c r="SVB41" s="214"/>
      <c r="SVC41" s="214"/>
      <c r="SVD41" s="214"/>
      <c r="SVE41" s="214"/>
      <c r="SVF41" s="214"/>
      <c r="SVG41" s="214"/>
      <c r="SVH41" s="214"/>
      <c r="SVI41" s="214"/>
      <c r="SVJ41" s="214"/>
      <c r="SVK41" s="214"/>
      <c r="SVL41" s="214"/>
      <c r="SVM41" s="214"/>
      <c r="SVN41" s="214"/>
      <c r="SVO41" s="214"/>
      <c r="SVP41" s="214"/>
      <c r="SVQ41" s="214"/>
      <c r="SVR41" s="214"/>
      <c r="SVS41" s="214"/>
      <c r="SVT41" s="214"/>
      <c r="SVU41" s="214"/>
      <c r="SVV41" s="214"/>
      <c r="SVW41" s="214"/>
      <c r="SVX41" s="214"/>
      <c r="SVY41" s="214"/>
      <c r="SVZ41" s="214"/>
      <c r="SWA41" s="214"/>
      <c r="SWB41" s="214"/>
      <c r="SWC41" s="214"/>
      <c r="SWD41" s="214"/>
      <c r="SWE41" s="214"/>
      <c r="SWF41" s="214"/>
      <c r="SWG41" s="214"/>
      <c r="SWH41" s="214"/>
      <c r="SWI41" s="214"/>
      <c r="SWJ41" s="214"/>
      <c r="SWK41" s="214"/>
      <c r="SWL41" s="214"/>
      <c r="SWM41" s="214"/>
      <c r="SWN41" s="214"/>
      <c r="SWO41" s="214"/>
      <c r="SWP41" s="214"/>
      <c r="SWQ41" s="214"/>
      <c r="SWR41" s="214"/>
      <c r="SWS41" s="214"/>
      <c r="SWT41" s="214"/>
      <c r="SWU41" s="214"/>
      <c r="SWV41" s="214"/>
      <c r="SWW41" s="214"/>
      <c r="SWX41" s="214"/>
      <c r="SWY41" s="214"/>
      <c r="SWZ41" s="214"/>
      <c r="SXA41" s="214"/>
      <c r="SXB41" s="214"/>
      <c r="SXC41" s="214"/>
      <c r="SXD41" s="214"/>
      <c r="SXE41" s="214"/>
      <c r="SXF41" s="214"/>
      <c r="SXG41" s="214"/>
      <c r="SXH41" s="214"/>
      <c r="SXI41" s="214"/>
      <c r="SXJ41" s="214"/>
      <c r="SXK41" s="214"/>
      <c r="SXL41" s="214"/>
      <c r="SXM41" s="214"/>
      <c r="SXN41" s="214"/>
      <c r="SXO41" s="214"/>
      <c r="SXP41" s="214"/>
      <c r="SXQ41" s="214"/>
      <c r="SXR41" s="214"/>
      <c r="SXS41" s="214"/>
      <c r="SXT41" s="214"/>
      <c r="SXU41" s="214"/>
      <c r="SXV41" s="214"/>
      <c r="SXW41" s="214"/>
      <c r="SXX41" s="214"/>
      <c r="SXY41" s="214"/>
      <c r="SXZ41" s="214"/>
      <c r="SYA41" s="214"/>
      <c r="SYB41" s="214"/>
      <c r="SYC41" s="214"/>
      <c r="SYD41" s="214"/>
      <c r="SYE41" s="214"/>
      <c r="SYF41" s="214"/>
      <c r="SYG41" s="214"/>
      <c r="SYH41" s="214"/>
      <c r="SYI41" s="214"/>
      <c r="SYJ41" s="214"/>
      <c r="SYK41" s="214"/>
      <c r="SYL41" s="214"/>
      <c r="SYM41" s="214"/>
      <c r="SYN41" s="214"/>
      <c r="SYO41" s="214"/>
      <c r="SYP41" s="214"/>
      <c r="SYQ41" s="214"/>
      <c r="SYR41" s="214"/>
      <c r="SYS41" s="214"/>
      <c r="SYT41" s="214"/>
      <c r="SYU41" s="214"/>
      <c r="SYV41" s="214"/>
      <c r="SYW41" s="214"/>
      <c r="SYX41" s="214"/>
      <c r="SYY41" s="214"/>
      <c r="SYZ41" s="214"/>
      <c r="SZA41" s="214"/>
      <c r="SZB41" s="214"/>
      <c r="SZC41" s="214"/>
      <c r="SZD41" s="214"/>
      <c r="SZE41" s="214"/>
      <c r="SZF41" s="214"/>
      <c r="SZG41" s="214"/>
      <c r="SZH41" s="214"/>
      <c r="SZI41" s="214"/>
      <c r="SZJ41" s="214"/>
      <c r="SZK41" s="214"/>
      <c r="SZL41" s="214"/>
      <c r="SZM41" s="214"/>
      <c r="SZN41" s="214"/>
      <c r="SZO41" s="214"/>
      <c r="SZP41" s="214"/>
      <c r="SZQ41" s="214"/>
      <c r="SZR41" s="214"/>
      <c r="SZS41" s="214"/>
      <c r="SZT41" s="214"/>
      <c r="SZU41" s="214"/>
      <c r="SZV41" s="214"/>
      <c r="SZW41" s="214"/>
      <c r="SZX41" s="214"/>
      <c r="SZY41" s="214"/>
      <c r="SZZ41" s="214"/>
      <c r="TAA41" s="214"/>
      <c r="TAB41" s="214"/>
      <c r="TAC41" s="214"/>
      <c r="TAD41" s="214"/>
      <c r="TAE41" s="214"/>
      <c r="TAF41" s="214"/>
      <c r="TAG41" s="214"/>
      <c r="TAH41" s="214"/>
      <c r="TAI41" s="214"/>
      <c r="TAJ41" s="214"/>
      <c r="TAK41" s="214"/>
      <c r="TAL41" s="214"/>
      <c r="TAM41" s="214"/>
      <c r="TAN41" s="214"/>
      <c r="TAO41" s="214"/>
      <c r="TAP41" s="214"/>
      <c r="TAQ41" s="214"/>
      <c r="TAR41" s="214"/>
      <c r="TAS41" s="214"/>
      <c r="TAT41" s="214"/>
      <c r="TAU41" s="214"/>
      <c r="TAV41" s="214"/>
      <c r="TAW41" s="214"/>
      <c r="TAX41" s="214"/>
      <c r="TAY41" s="214"/>
      <c r="TAZ41" s="214"/>
      <c r="TBA41" s="214"/>
      <c r="TBB41" s="214"/>
      <c r="TBC41" s="214"/>
      <c r="TBD41" s="214"/>
      <c r="TBE41" s="214"/>
      <c r="TBF41" s="214"/>
      <c r="TBG41" s="214"/>
      <c r="TBH41" s="214"/>
      <c r="TBI41" s="214"/>
      <c r="TBJ41" s="214"/>
      <c r="TBK41" s="214"/>
      <c r="TBL41" s="214"/>
      <c r="TBM41" s="214"/>
      <c r="TBN41" s="214"/>
      <c r="TBO41" s="214"/>
      <c r="TBP41" s="214"/>
      <c r="TBQ41" s="214"/>
      <c r="TBR41" s="214"/>
      <c r="TBS41" s="214"/>
      <c r="TBT41" s="214"/>
      <c r="TBU41" s="214"/>
      <c r="TBV41" s="214"/>
      <c r="TBW41" s="214"/>
      <c r="TBX41" s="214"/>
      <c r="TBY41" s="214"/>
      <c r="TBZ41" s="214"/>
      <c r="TCA41" s="214"/>
      <c r="TCB41" s="214"/>
      <c r="TCC41" s="214"/>
      <c r="TCD41" s="214"/>
      <c r="TCE41" s="214"/>
      <c r="TCF41" s="214"/>
      <c r="TCG41" s="214"/>
      <c r="TCH41" s="214"/>
      <c r="TCI41" s="214"/>
      <c r="TCJ41" s="214"/>
      <c r="TCK41" s="214"/>
      <c r="TCL41" s="214"/>
      <c r="TCM41" s="214"/>
      <c r="TCN41" s="214"/>
      <c r="TCO41" s="214"/>
      <c r="TCP41" s="214"/>
      <c r="TCQ41" s="214"/>
      <c r="TCR41" s="214"/>
      <c r="TCS41" s="214"/>
      <c r="TCT41" s="214"/>
      <c r="TCU41" s="214"/>
      <c r="TCV41" s="214"/>
      <c r="TCW41" s="214"/>
      <c r="TCX41" s="214"/>
      <c r="TCY41" s="214"/>
      <c r="TCZ41" s="214"/>
      <c r="TDA41" s="214"/>
      <c r="TDB41" s="214"/>
      <c r="TDC41" s="214"/>
      <c r="TDD41" s="214"/>
      <c r="TDE41" s="214"/>
      <c r="TDF41" s="214"/>
      <c r="TDG41" s="214"/>
      <c r="TDH41" s="214"/>
      <c r="TDI41" s="214"/>
      <c r="TDJ41" s="214"/>
      <c r="TDK41" s="214"/>
      <c r="TDL41" s="214"/>
      <c r="TDM41" s="214"/>
      <c r="TDN41" s="214"/>
      <c r="TDO41" s="214"/>
      <c r="TDP41" s="214"/>
      <c r="TDQ41" s="214"/>
      <c r="TDR41" s="214"/>
      <c r="TDS41" s="214"/>
      <c r="TDT41" s="214"/>
      <c r="TDU41" s="214"/>
      <c r="TDV41" s="214"/>
      <c r="TDW41" s="214"/>
      <c r="TDX41" s="214"/>
      <c r="TDY41" s="214"/>
      <c r="TDZ41" s="214"/>
      <c r="TEA41" s="214"/>
      <c r="TEB41" s="214"/>
      <c r="TEC41" s="214"/>
      <c r="TED41" s="214"/>
      <c r="TEE41" s="214"/>
      <c r="TEF41" s="214"/>
      <c r="TEG41" s="214"/>
      <c r="TEH41" s="214"/>
      <c r="TEI41" s="214"/>
      <c r="TEJ41" s="214"/>
      <c r="TEK41" s="214"/>
      <c r="TEL41" s="214"/>
      <c r="TEM41" s="214"/>
      <c r="TEN41" s="214"/>
      <c r="TEO41" s="214"/>
      <c r="TEP41" s="214"/>
      <c r="TEQ41" s="214"/>
      <c r="TER41" s="214"/>
      <c r="TES41" s="214"/>
      <c r="TET41" s="214"/>
      <c r="TEU41" s="214"/>
      <c r="TEV41" s="214"/>
      <c r="TEW41" s="214"/>
      <c r="TEX41" s="214"/>
      <c r="TEY41" s="214"/>
      <c r="TEZ41" s="214"/>
      <c r="TFA41" s="214"/>
      <c r="TFB41" s="214"/>
      <c r="TFC41" s="214"/>
      <c r="TFD41" s="214"/>
      <c r="TFE41" s="214"/>
      <c r="TFF41" s="214"/>
      <c r="TFG41" s="214"/>
      <c r="TFH41" s="214"/>
      <c r="TFI41" s="214"/>
      <c r="TFJ41" s="214"/>
      <c r="TFK41" s="214"/>
      <c r="TFL41" s="214"/>
      <c r="TFM41" s="214"/>
      <c r="TFN41" s="214"/>
      <c r="TFO41" s="214"/>
      <c r="TFP41" s="214"/>
      <c r="TFQ41" s="214"/>
      <c r="TFR41" s="214"/>
      <c r="TFS41" s="214"/>
      <c r="TFT41" s="214"/>
      <c r="TFU41" s="214"/>
      <c r="TFV41" s="214"/>
      <c r="TFW41" s="214"/>
      <c r="TFX41" s="214"/>
      <c r="TFY41" s="214"/>
      <c r="TFZ41" s="214"/>
      <c r="TGA41" s="214"/>
      <c r="TGB41" s="214"/>
      <c r="TGC41" s="214"/>
      <c r="TGD41" s="214"/>
      <c r="TGE41" s="214"/>
      <c r="TGF41" s="214"/>
      <c r="TGG41" s="214"/>
      <c r="TGH41" s="214"/>
      <c r="TGI41" s="214"/>
      <c r="TGJ41" s="214"/>
      <c r="TGK41" s="214"/>
      <c r="TGL41" s="214"/>
      <c r="TGM41" s="214"/>
      <c r="TGN41" s="214"/>
      <c r="TGO41" s="214"/>
      <c r="TGP41" s="214"/>
      <c r="TGQ41" s="214"/>
      <c r="TGR41" s="214"/>
      <c r="TGS41" s="214"/>
      <c r="TGT41" s="214"/>
      <c r="TGU41" s="214"/>
      <c r="TGV41" s="214"/>
      <c r="TGW41" s="214"/>
      <c r="TGX41" s="214"/>
      <c r="TGY41" s="214"/>
      <c r="TGZ41" s="214"/>
      <c r="THA41" s="214"/>
      <c r="THB41" s="214"/>
      <c r="THC41" s="214"/>
      <c r="THD41" s="214"/>
      <c r="THE41" s="214"/>
      <c r="THF41" s="214"/>
      <c r="THG41" s="214"/>
      <c r="THH41" s="214"/>
      <c r="THI41" s="214"/>
      <c r="THJ41" s="214"/>
      <c r="THK41" s="214"/>
      <c r="THL41" s="214"/>
      <c r="THM41" s="214"/>
      <c r="THN41" s="214"/>
      <c r="THO41" s="214"/>
      <c r="THP41" s="214"/>
      <c r="THQ41" s="214"/>
      <c r="THR41" s="214"/>
      <c r="THS41" s="214"/>
      <c r="THT41" s="214"/>
      <c r="THU41" s="214"/>
      <c r="THV41" s="214"/>
      <c r="THW41" s="214"/>
      <c r="THX41" s="214"/>
      <c r="THY41" s="214"/>
      <c r="THZ41" s="214"/>
      <c r="TIA41" s="214"/>
      <c r="TIB41" s="214"/>
      <c r="TIC41" s="214"/>
      <c r="TID41" s="214"/>
      <c r="TIE41" s="214"/>
      <c r="TIF41" s="214"/>
      <c r="TIG41" s="214"/>
      <c r="TIH41" s="214"/>
      <c r="TII41" s="214"/>
      <c r="TIJ41" s="214"/>
      <c r="TIK41" s="214"/>
      <c r="TIL41" s="214"/>
      <c r="TIM41" s="214"/>
      <c r="TIN41" s="214"/>
      <c r="TIO41" s="214"/>
      <c r="TIP41" s="214"/>
      <c r="TIQ41" s="214"/>
      <c r="TIR41" s="214"/>
      <c r="TIS41" s="214"/>
      <c r="TIT41" s="214"/>
      <c r="TIU41" s="214"/>
      <c r="TIV41" s="214"/>
      <c r="TIW41" s="214"/>
      <c r="TIX41" s="214"/>
      <c r="TIY41" s="214"/>
      <c r="TIZ41" s="214"/>
      <c r="TJA41" s="214"/>
      <c r="TJB41" s="214"/>
      <c r="TJC41" s="214"/>
      <c r="TJD41" s="214"/>
      <c r="TJE41" s="214"/>
      <c r="TJF41" s="214"/>
      <c r="TJG41" s="214"/>
      <c r="TJH41" s="214"/>
      <c r="TJI41" s="214"/>
      <c r="TJJ41" s="214"/>
      <c r="TJK41" s="214"/>
      <c r="TJL41" s="214"/>
      <c r="TJM41" s="214"/>
      <c r="TJN41" s="214"/>
      <c r="TJO41" s="214"/>
      <c r="TJP41" s="214"/>
      <c r="TJQ41" s="214"/>
      <c r="TJR41" s="214"/>
      <c r="TJS41" s="214"/>
      <c r="TJT41" s="214"/>
      <c r="TJU41" s="214"/>
      <c r="TJV41" s="214"/>
      <c r="TJW41" s="214"/>
      <c r="TJX41" s="214"/>
      <c r="TJY41" s="214"/>
      <c r="TJZ41" s="214"/>
      <c r="TKA41" s="214"/>
      <c r="TKB41" s="214"/>
      <c r="TKC41" s="214"/>
      <c r="TKD41" s="214"/>
      <c r="TKE41" s="214"/>
      <c r="TKF41" s="214"/>
      <c r="TKG41" s="214"/>
      <c r="TKH41" s="214"/>
      <c r="TKI41" s="214"/>
      <c r="TKJ41" s="214"/>
      <c r="TKK41" s="214"/>
      <c r="TKL41" s="214"/>
      <c r="TKM41" s="214"/>
      <c r="TKN41" s="214"/>
      <c r="TKO41" s="214"/>
      <c r="TKP41" s="214"/>
      <c r="TKQ41" s="214"/>
      <c r="TKR41" s="214"/>
      <c r="TKS41" s="214"/>
      <c r="TKT41" s="214"/>
      <c r="TKU41" s="214"/>
      <c r="TKV41" s="214"/>
      <c r="TKW41" s="214"/>
      <c r="TKX41" s="214"/>
      <c r="TKY41" s="214"/>
      <c r="TKZ41" s="214"/>
      <c r="TLA41" s="214"/>
      <c r="TLB41" s="214"/>
      <c r="TLC41" s="214"/>
      <c r="TLD41" s="214"/>
      <c r="TLE41" s="214"/>
      <c r="TLF41" s="214"/>
      <c r="TLG41" s="214"/>
      <c r="TLH41" s="214"/>
      <c r="TLI41" s="214"/>
      <c r="TLJ41" s="214"/>
      <c r="TLK41" s="214"/>
      <c r="TLL41" s="214"/>
      <c r="TLM41" s="214"/>
      <c r="TLN41" s="214"/>
      <c r="TLO41" s="214"/>
      <c r="TLP41" s="214"/>
      <c r="TLQ41" s="214"/>
      <c r="TLR41" s="214"/>
      <c r="TLS41" s="214"/>
      <c r="TLT41" s="214"/>
      <c r="TLU41" s="214"/>
      <c r="TLV41" s="214"/>
      <c r="TLW41" s="214"/>
      <c r="TLX41" s="214"/>
      <c r="TLY41" s="214"/>
      <c r="TLZ41" s="214"/>
      <c r="TMA41" s="214"/>
      <c r="TMB41" s="214"/>
      <c r="TMC41" s="214"/>
      <c r="TMD41" s="214"/>
      <c r="TME41" s="214"/>
      <c r="TMF41" s="214"/>
      <c r="TMG41" s="214"/>
      <c r="TMH41" s="214"/>
      <c r="TMI41" s="214"/>
      <c r="TMJ41" s="214"/>
      <c r="TMK41" s="214"/>
      <c r="TML41" s="214"/>
      <c r="TMM41" s="214"/>
      <c r="TMN41" s="214"/>
      <c r="TMO41" s="214"/>
      <c r="TMP41" s="214"/>
      <c r="TMQ41" s="214"/>
      <c r="TMR41" s="214"/>
      <c r="TMS41" s="214"/>
      <c r="TMT41" s="214"/>
      <c r="TMU41" s="214"/>
      <c r="TMV41" s="214"/>
      <c r="TMW41" s="214"/>
      <c r="TMX41" s="214"/>
      <c r="TMY41" s="214"/>
      <c r="TMZ41" s="214"/>
      <c r="TNA41" s="214"/>
      <c r="TNB41" s="214"/>
      <c r="TNC41" s="214"/>
      <c r="TND41" s="214"/>
      <c r="TNE41" s="214"/>
      <c r="TNF41" s="214"/>
      <c r="TNG41" s="214"/>
      <c r="TNH41" s="214"/>
      <c r="TNI41" s="214"/>
      <c r="TNJ41" s="214"/>
      <c r="TNK41" s="214"/>
      <c r="TNL41" s="214"/>
      <c r="TNM41" s="214"/>
      <c r="TNN41" s="214"/>
      <c r="TNO41" s="214"/>
      <c r="TNP41" s="214"/>
      <c r="TNQ41" s="214"/>
      <c r="TNR41" s="214"/>
      <c r="TNS41" s="214"/>
      <c r="TNT41" s="214"/>
      <c r="TNU41" s="214"/>
      <c r="TNV41" s="214"/>
      <c r="TNW41" s="214"/>
      <c r="TNX41" s="214"/>
      <c r="TNY41" s="214"/>
      <c r="TNZ41" s="214"/>
      <c r="TOA41" s="214"/>
      <c r="TOB41" s="214"/>
      <c r="TOC41" s="214"/>
      <c r="TOD41" s="214"/>
      <c r="TOE41" s="214"/>
      <c r="TOF41" s="214"/>
      <c r="TOG41" s="214"/>
      <c r="TOH41" s="214"/>
      <c r="TOI41" s="214"/>
      <c r="TOJ41" s="214"/>
      <c r="TOK41" s="214"/>
      <c r="TOL41" s="214"/>
      <c r="TOM41" s="214"/>
      <c r="TON41" s="214"/>
      <c r="TOO41" s="214"/>
      <c r="TOP41" s="214"/>
      <c r="TOQ41" s="214"/>
      <c r="TOR41" s="214"/>
      <c r="TOS41" s="214"/>
      <c r="TOT41" s="214"/>
      <c r="TOU41" s="214"/>
      <c r="TOV41" s="214"/>
      <c r="TOW41" s="214"/>
      <c r="TOX41" s="214"/>
      <c r="TOY41" s="214"/>
      <c r="TOZ41" s="214"/>
      <c r="TPA41" s="214"/>
      <c r="TPB41" s="214"/>
      <c r="TPC41" s="214"/>
      <c r="TPD41" s="214"/>
      <c r="TPE41" s="214"/>
      <c r="TPF41" s="214"/>
      <c r="TPG41" s="214"/>
      <c r="TPH41" s="214"/>
      <c r="TPI41" s="214"/>
      <c r="TPJ41" s="214"/>
      <c r="TPK41" s="214"/>
      <c r="TPL41" s="214"/>
      <c r="TPM41" s="214"/>
      <c r="TPN41" s="214"/>
      <c r="TPO41" s="214"/>
      <c r="TPP41" s="214"/>
      <c r="TPQ41" s="214"/>
      <c r="TPR41" s="214"/>
      <c r="TPS41" s="214"/>
      <c r="TPT41" s="214"/>
      <c r="TPU41" s="214"/>
      <c r="TPV41" s="214"/>
      <c r="TPW41" s="214"/>
      <c r="TPX41" s="214"/>
      <c r="TPY41" s="214"/>
      <c r="TPZ41" s="214"/>
      <c r="TQA41" s="214"/>
      <c r="TQB41" s="214"/>
      <c r="TQC41" s="214"/>
      <c r="TQD41" s="214"/>
      <c r="TQE41" s="214"/>
      <c r="TQF41" s="214"/>
      <c r="TQG41" s="214"/>
      <c r="TQH41" s="214"/>
      <c r="TQI41" s="214"/>
      <c r="TQJ41" s="214"/>
      <c r="TQK41" s="214"/>
      <c r="TQL41" s="214"/>
      <c r="TQM41" s="214"/>
      <c r="TQN41" s="214"/>
      <c r="TQO41" s="214"/>
      <c r="TQP41" s="214"/>
      <c r="TQQ41" s="214"/>
      <c r="TQR41" s="214"/>
      <c r="TQS41" s="214"/>
      <c r="TQT41" s="214"/>
      <c r="TQU41" s="214"/>
      <c r="TQV41" s="214"/>
      <c r="TQW41" s="214"/>
      <c r="TQX41" s="214"/>
      <c r="TQY41" s="214"/>
      <c r="TQZ41" s="214"/>
      <c r="TRA41" s="214"/>
      <c r="TRB41" s="214"/>
      <c r="TRC41" s="214"/>
      <c r="TRD41" s="214"/>
      <c r="TRE41" s="214"/>
      <c r="TRF41" s="214"/>
      <c r="TRG41" s="214"/>
      <c r="TRH41" s="214"/>
      <c r="TRI41" s="214"/>
      <c r="TRJ41" s="214"/>
      <c r="TRK41" s="214"/>
      <c r="TRL41" s="214"/>
      <c r="TRM41" s="214"/>
      <c r="TRN41" s="214"/>
      <c r="TRO41" s="214"/>
      <c r="TRP41" s="214"/>
      <c r="TRQ41" s="214"/>
      <c r="TRR41" s="214"/>
      <c r="TRS41" s="214"/>
      <c r="TRT41" s="214"/>
      <c r="TRU41" s="214"/>
      <c r="TRV41" s="214"/>
      <c r="TRW41" s="214"/>
      <c r="TRX41" s="214"/>
      <c r="TRY41" s="214"/>
      <c r="TRZ41" s="214"/>
      <c r="TSA41" s="214"/>
      <c r="TSB41" s="214"/>
      <c r="TSC41" s="214"/>
      <c r="TSD41" s="214"/>
      <c r="TSE41" s="214"/>
      <c r="TSF41" s="214"/>
      <c r="TSG41" s="214"/>
      <c r="TSH41" s="214"/>
      <c r="TSI41" s="214"/>
      <c r="TSJ41" s="214"/>
      <c r="TSK41" s="214"/>
      <c r="TSL41" s="214"/>
      <c r="TSM41" s="214"/>
      <c r="TSN41" s="214"/>
      <c r="TSO41" s="214"/>
      <c r="TSP41" s="214"/>
      <c r="TSQ41" s="214"/>
      <c r="TSR41" s="214"/>
      <c r="TSS41" s="214"/>
      <c r="TST41" s="214"/>
      <c r="TSU41" s="214"/>
      <c r="TSV41" s="214"/>
      <c r="TSW41" s="214"/>
      <c r="TSX41" s="214"/>
      <c r="TSY41" s="214"/>
      <c r="TSZ41" s="214"/>
      <c r="TTA41" s="214"/>
      <c r="TTB41" s="214"/>
      <c r="TTC41" s="214"/>
      <c r="TTD41" s="214"/>
      <c r="TTE41" s="214"/>
      <c r="TTF41" s="214"/>
      <c r="TTG41" s="214"/>
      <c r="TTH41" s="214"/>
      <c r="TTI41" s="214"/>
      <c r="TTJ41" s="214"/>
      <c r="TTK41" s="214"/>
      <c r="TTL41" s="214"/>
      <c r="TTM41" s="214"/>
      <c r="TTN41" s="214"/>
      <c r="TTO41" s="214"/>
      <c r="TTP41" s="214"/>
      <c r="TTQ41" s="214"/>
      <c r="TTR41" s="214"/>
      <c r="TTS41" s="214"/>
      <c r="TTT41" s="214"/>
      <c r="TTU41" s="214"/>
      <c r="TTV41" s="214"/>
      <c r="TTW41" s="214"/>
      <c r="TTX41" s="214"/>
      <c r="TTY41" s="214"/>
      <c r="TTZ41" s="214"/>
      <c r="TUA41" s="214"/>
      <c r="TUB41" s="214"/>
      <c r="TUC41" s="214"/>
      <c r="TUD41" s="214"/>
      <c r="TUE41" s="214"/>
      <c r="TUF41" s="214"/>
      <c r="TUG41" s="214"/>
      <c r="TUH41" s="214"/>
      <c r="TUI41" s="214"/>
      <c r="TUJ41" s="214"/>
      <c r="TUK41" s="214"/>
      <c r="TUL41" s="214"/>
      <c r="TUM41" s="214"/>
      <c r="TUN41" s="214"/>
      <c r="TUO41" s="214"/>
      <c r="TUP41" s="214"/>
      <c r="TUQ41" s="214"/>
      <c r="TUR41" s="214"/>
      <c r="TUS41" s="214"/>
      <c r="TUT41" s="214"/>
      <c r="TUU41" s="214"/>
      <c r="TUV41" s="214"/>
      <c r="TUW41" s="214"/>
      <c r="TUX41" s="214"/>
      <c r="TUY41" s="214"/>
      <c r="TUZ41" s="214"/>
      <c r="TVA41" s="214"/>
      <c r="TVB41" s="214"/>
      <c r="TVC41" s="214"/>
      <c r="TVD41" s="214"/>
      <c r="TVE41" s="214"/>
      <c r="TVF41" s="214"/>
      <c r="TVG41" s="214"/>
      <c r="TVH41" s="214"/>
      <c r="TVI41" s="214"/>
      <c r="TVJ41" s="214"/>
      <c r="TVK41" s="214"/>
      <c r="TVL41" s="214"/>
      <c r="TVM41" s="214"/>
      <c r="TVN41" s="214"/>
      <c r="TVO41" s="214"/>
      <c r="TVP41" s="214"/>
      <c r="TVQ41" s="214"/>
      <c r="TVR41" s="214"/>
      <c r="TVS41" s="214"/>
      <c r="TVT41" s="214"/>
      <c r="TVU41" s="214"/>
      <c r="TVV41" s="214"/>
      <c r="TVW41" s="214"/>
      <c r="TVX41" s="214"/>
      <c r="TVY41" s="214"/>
      <c r="TVZ41" s="214"/>
      <c r="TWA41" s="214"/>
      <c r="TWB41" s="214"/>
      <c r="TWC41" s="214"/>
      <c r="TWD41" s="214"/>
      <c r="TWE41" s="214"/>
      <c r="TWF41" s="214"/>
      <c r="TWG41" s="214"/>
      <c r="TWH41" s="214"/>
      <c r="TWI41" s="214"/>
      <c r="TWJ41" s="214"/>
      <c r="TWK41" s="214"/>
      <c r="TWL41" s="214"/>
      <c r="TWM41" s="214"/>
      <c r="TWN41" s="214"/>
      <c r="TWO41" s="214"/>
      <c r="TWP41" s="214"/>
      <c r="TWQ41" s="214"/>
      <c r="TWR41" s="214"/>
      <c r="TWS41" s="214"/>
      <c r="TWT41" s="214"/>
      <c r="TWU41" s="214"/>
      <c r="TWV41" s="214"/>
      <c r="TWW41" s="214"/>
      <c r="TWX41" s="214"/>
      <c r="TWY41" s="214"/>
      <c r="TWZ41" s="214"/>
      <c r="TXA41" s="214"/>
      <c r="TXB41" s="214"/>
      <c r="TXC41" s="214"/>
      <c r="TXD41" s="214"/>
      <c r="TXE41" s="214"/>
      <c r="TXF41" s="214"/>
      <c r="TXG41" s="214"/>
      <c r="TXH41" s="214"/>
      <c r="TXI41" s="214"/>
      <c r="TXJ41" s="214"/>
      <c r="TXK41" s="214"/>
      <c r="TXL41" s="214"/>
      <c r="TXM41" s="214"/>
      <c r="TXN41" s="214"/>
      <c r="TXO41" s="214"/>
      <c r="TXP41" s="214"/>
      <c r="TXQ41" s="214"/>
      <c r="TXR41" s="214"/>
      <c r="TXS41" s="214"/>
      <c r="TXT41" s="214"/>
      <c r="TXU41" s="214"/>
      <c r="TXV41" s="214"/>
      <c r="TXW41" s="214"/>
      <c r="TXX41" s="214"/>
      <c r="TXY41" s="214"/>
      <c r="TXZ41" s="214"/>
      <c r="TYA41" s="214"/>
      <c r="TYB41" s="214"/>
      <c r="TYC41" s="214"/>
      <c r="TYD41" s="214"/>
      <c r="TYE41" s="214"/>
      <c r="TYF41" s="214"/>
      <c r="TYG41" s="214"/>
      <c r="TYH41" s="214"/>
      <c r="TYI41" s="214"/>
      <c r="TYJ41" s="214"/>
      <c r="TYK41" s="214"/>
      <c r="TYL41" s="214"/>
      <c r="TYM41" s="214"/>
      <c r="TYN41" s="214"/>
      <c r="TYO41" s="214"/>
      <c r="TYP41" s="214"/>
      <c r="TYQ41" s="214"/>
      <c r="TYR41" s="214"/>
      <c r="TYS41" s="214"/>
      <c r="TYT41" s="214"/>
      <c r="TYU41" s="214"/>
      <c r="TYV41" s="214"/>
      <c r="TYW41" s="214"/>
      <c r="TYX41" s="214"/>
      <c r="TYY41" s="214"/>
      <c r="TYZ41" s="214"/>
      <c r="TZA41" s="214"/>
      <c r="TZB41" s="214"/>
      <c r="TZC41" s="214"/>
      <c r="TZD41" s="214"/>
      <c r="TZE41" s="214"/>
      <c r="TZF41" s="214"/>
      <c r="TZG41" s="214"/>
      <c r="TZH41" s="214"/>
      <c r="TZI41" s="214"/>
      <c r="TZJ41" s="214"/>
      <c r="TZK41" s="214"/>
      <c r="TZL41" s="214"/>
      <c r="TZM41" s="214"/>
      <c r="TZN41" s="214"/>
      <c r="TZO41" s="214"/>
      <c r="TZP41" s="214"/>
      <c r="TZQ41" s="214"/>
      <c r="TZR41" s="214"/>
      <c r="TZS41" s="214"/>
      <c r="TZT41" s="214"/>
      <c r="TZU41" s="214"/>
      <c r="TZV41" s="214"/>
      <c r="TZW41" s="214"/>
      <c r="TZX41" s="214"/>
      <c r="TZY41" s="214"/>
      <c r="TZZ41" s="214"/>
      <c r="UAA41" s="214"/>
      <c r="UAB41" s="214"/>
      <c r="UAC41" s="214"/>
      <c r="UAD41" s="214"/>
      <c r="UAE41" s="214"/>
      <c r="UAF41" s="214"/>
      <c r="UAG41" s="214"/>
      <c r="UAH41" s="214"/>
      <c r="UAI41" s="214"/>
      <c r="UAJ41" s="214"/>
      <c r="UAK41" s="214"/>
      <c r="UAL41" s="214"/>
      <c r="UAM41" s="214"/>
      <c r="UAN41" s="214"/>
      <c r="UAO41" s="214"/>
      <c r="UAP41" s="214"/>
      <c r="UAQ41" s="214"/>
      <c r="UAR41" s="214"/>
      <c r="UAS41" s="214"/>
      <c r="UAT41" s="214"/>
      <c r="UAU41" s="214"/>
      <c r="UAV41" s="214"/>
      <c r="UAW41" s="214"/>
      <c r="UAX41" s="214"/>
      <c r="UAY41" s="214"/>
      <c r="UAZ41" s="214"/>
      <c r="UBA41" s="214"/>
      <c r="UBB41" s="214"/>
      <c r="UBC41" s="214"/>
      <c r="UBD41" s="214"/>
      <c r="UBE41" s="214"/>
      <c r="UBF41" s="214"/>
      <c r="UBG41" s="214"/>
      <c r="UBH41" s="214"/>
      <c r="UBI41" s="214"/>
      <c r="UBJ41" s="214"/>
      <c r="UBK41" s="214"/>
      <c r="UBL41" s="214"/>
      <c r="UBM41" s="214"/>
      <c r="UBN41" s="214"/>
      <c r="UBO41" s="214"/>
      <c r="UBP41" s="214"/>
      <c r="UBQ41" s="214"/>
      <c r="UBR41" s="214"/>
      <c r="UBS41" s="214"/>
      <c r="UBT41" s="214"/>
      <c r="UBU41" s="214"/>
      <c r="UBV41" s="214"/>
      <c r="UBW41" s="214"/>
      <c r="UBX41" s="214"/>
      <c r="UBY41" s="214"/>
      <c r="UBZ41" s="214"/>
      <c r="UCA41" s="214"/>
      <c r="UCB41" s="214"/>
      <c r="UCC41" s="214"/>
      <c r="UCD41" s="214"/>
      <c r="UCE41" s="214"/>
      <c r="UCF41" s="214"/>
      <c r="UCG41" s="214"/>
      <c r="UCH41" s="214"/>
      <c r="UCI41" s="214"/>
      <c r="UCJ41" s="214"/>
      <c r="UCK41" s="214"/>
      <c r="UCL41" s="214"/>
      <c r="UCM41" s="214"/>
      <c r="UCN41" s="214"/>
      <c r="UCO41" s="214"/>
      <c r="UCP41" s="214"/>
      <c r="UCQ41" s="214"/>
      <c r="UCR41" s="214"/>
      <c r="UCS41" s="214"/>
      <c r="UCT41" s="214"/>
      <c r="UCU41" s="214"/>
      <c r="UCV41" s="214"/>
      <c r="UCW41" s="214"/>
      <c r="UCX41" s="214"/>
      <c r="UCY41" s="214"/>
      <c r="UCZ41" s="214"/>
      <c r="UDA41" s="214"/>
      <c r="UDB41" s="214"/>
      <c r="UDC41" s="214"/>
      <c r="UDD41" s="214"/>
      <c r="UDE41" s="214"/>
      <c r="UDF41" s="214"/>
      <c r="UDG41" s="214"/>
      <c r="UDH41" s="214"/>
      <c r="UDI41" s="214"/>
      <c r="UDJ41" s="214"/>
      <c r="UDK41" s="214"/>
      <c r="UDL41" s="214"/>
      <c r="UDM41" s="214"/>
      <c r="UDN41" s="214"/>
      <c r="UDO41" s="214"/>
      <c r="UDP41" s="214"/>
      <c r="UDQ41" s="214"/>
      <c r="UDR41" s="214"/>
      <c r="UDS41" s="214"/>
      <c r="UDT41" s="214"/>
      <c r="UDU41" s="214"/>
      <c r="UDV41" s="214"/>
      <c r="UDW41" s="214"/>
      <c r="UDX41" s="214"/>
      <c r="UDY41" s="214"/>
      <c r="UDZ41" s="214"/>
      <c r="UEA41" s="214"/>
      <c r="UEB41" s="214"/>
      <c r="UEC41" s="214"/>
      <c r="UED41" s="214"/>
      <c r="UEE41" s="214"/>
      <c r="UEF41" s="214"/>
      <c r="UEG41" s="214"/>
      <c r="UEH41" s="214"/>
      <c r="UEI41" s="214"/>
      <c r="UEJ41" s="214"/>
      <c r="UEK41" s="214"/>
      <c r="UEL41" s="214"/>
      <c r="UEM41" s="214"/>
      <c r="UEN41" s="214"/>
      <c r="UEO41" s="214"/>
      <c r="UEP41" s="214"/>
      <c r="UEQ41" s="214"/>
      <c r="UER41" s="214"/>
      <c r="UES41" s="214"/>
      <c r="UET41" s="214"/>
      <c r="UEU41" s="214"/>
      <c r="UEV41" s="214"/>
      <c r="UEW41" s="214"/>
      <c r="UEX41" s="214"/>
      <c r="UEY41" s="214"/>
      <c r="UEZ41" s="214"/>
      <c r="UFA41" s="214"/>
      <c r="UFB41" s="214"/>
      <c r="UFC41" s="214"/>
      <c r="UFD41" s="214"/>
      <c r="UFE41" s="214"/>
      <c r="UFF41" s="214"/>
      <c r="UFG41" s="214"/>
      <c r="UFH41" s="214"/>
      <c r="UFI41" s="214"/>
      <c r="UFJ41" s="214"/>
      <c r="UFK41" s="214"/>
      <c r="UFL41" s="214"/>
      <c r="UFM41" s="214"/>
      <c r="UFN41" s="214"/>
      <c r="UFO41" s="214"/>
      <c r="UFP41" s="214"/>
      <c r="UFQ41" s="214"/>
      <c r="UFR41" s="214"/>
      <c r="UFS41" s="214"/>
      <c r="UFT41" s="214"/>
      <c r="UFU41" s="214"/>
      <c r="UFV41" s="214"/>
      <c r="UFW41" s="214"/>
      <c r="UFX41" s="214"/>
      <c r="UFY41" s="214"/>
      <c r="UFZ41" s="214"/>
      <c r="UGA41" s="214"/>
      <c r="UGB41" s="214"/>
      <c r="UGC41" s="214"/>
      <c r="UGD41" s="214"/>
      <c r="UGE41" s="214"/>
      <c r="UGF41" s="214"/>
      <c r="UGG41" s="214"/>
      <c r="UGH41" s="214"/>
      <c r="UGI41" s="214"/>
      <c r="UGJ41" s="214"/>
      <c r="UGK41" s="214"/>
      <c r="UGL41" s="214"/>
      <c r="UGM41" s="214"/>
      <c r="UGN41" s="214"/>
      <c r="UGO41" s="214"/>
      <c r="UGP41" s="214"/>
      <c r="UGQ41" s="214"/>
      <c r="UGR41" s="214"/>
      <c r="UGS41" s="214"/>
      <c r="UGT41" s="214"/>
      <c r="UGU41" s="214"/>
      <c r="UGV41" s="214"/>
      <c r="UGW41" s="214"/>
      <c r="UGX41" s="214"/>
      <c r="UGY41" s="214"/>
      <c r="UGZ41" s="214"/>
      <c r="UHA41" s="214"/>
      <c r="UHB41" s="214"/>
      <c r="UHC41" s="214"/>
      <c r="UHD41" s="214"/>
      <c r="UHE41" s="214"/>
      <c r="UHF41" s="214"/>
      <c r="UHG41" s="214"/>
      <c r="UHH41" s="214"/>
      <c r="UHI41" s="214"/>
      <c r="UHJ41" s="214"/>
      <c r="UHK41" s="214"/>
      <c r="UHL41" s="214"/>
      <c r="UHM41" s="214"/>
      <c r="UHN41" s="214"/>
      <c r="UHO41" s="214"/>
      <c r="UHP41" s="214"/>
      <c r="UHQ41" s="214"/>
      <c r="UHR41" s="214"/>
      <c r="UHS41" s="214"/>
      <c r="UHT41" s="214"/>
      <c r="UHU41" s="214"/>
      <c r="UHV41" s="214"/>
      <c r="UHW41" s="214"/>
      <c r="UHX41" s="214"/>
      <c r="UHY41" s="214"/>
      <c r="UHZ41" s="214"/>
      <c r="UIA41" s="214"/>
      <c r="UIB41" s="214"/>
      <c r="UIC41" s="214"/>
      <c r="UID41" s="214"/>
      <c r="UIE41" s="214"/>
      <c r="UIF41" s="214"/>
      <c r="UIG41" s="214"/>
      <c r="UIH41" s="214"/>
      <c r="UII41" s="214"/>
      <c r="UIJ41" s="214"/>
      <c r="UIK41" s="214"/>
      <c r="UIL41" s="214"/>
      <c r="UIM41" s="214"/>
      <c r="UIN41" s="214"/>
      <c r="UIO41" s="214"/>
      <c r="UIP41" s="214"/>
      <c r="UIQ41" s="214"/>
      <c r="UIR41" s="214"/>
      <c r="UIS41" s="214"/>
      <c r="UIT41" s="214"/>
      <c r="UIU41" s="214"/>
      <c r="UIV41" s="214"/>
      <c r="UIW41" s="214"/>
      <c r="UIX41" s="214"/>
      <c r="UIY41" s="214"/>
      <c r="UIZ41" s="214"/>
      <c r="UJA41" s="214"/>
      <c r="UJB41" s="214"/>
      <c r="UJC41" s="214"/>
      <c r="UJD41" s="214"/>
      <c r="UJE41" s="214"/>
      <c r="UJF41" s="214"/>
      <c r="UJG41" s="214"/>
      <c r="UJH41" s="214"/>
      <c r="UJI41" s="214"/>
      <c r="UJJ41" s="214"/>
      <c r="UJK41" s="214"/>
      <c r="UJL41" s="214"/>
      <c r="UJM41" s="214"/>
      <c r="UJN41" s="214"/>
      <c r="UJO41" s="214"/>
      <c r="UJP41" s="214"/>
      <c r="UJQ41" s="214"/>
      <c r="UJR41" s="214"/>
      <c r="UJS41" s="214"/>
      <c r="UJT41" s="214"/>
      <c r="UJU41" s="214"/>
      <c r="UJV41" s="214"/>
      <c r="UJW41" s="214"/>
      <c r="UJX41" s="214"/>
      <c r="UJY41" s="214"/>
      <c r="UJZ41" s="214"/>
      <c r="UKA41" s="214"/>
      <c r="UKB41" s="214"/>
      <c r="UKC41" s="214"/>
      <c r="UKD41" s="214"/>
      <c r="UKE41" s="214"/>
      <c r="UKF41" s="214"/>
      <c r="UKG41" s="214"/>
      <c r="UKH41" s="214"/>
      <c r="UKI41" s="214"/>
      <c r="UKJ41" s="214"/>
      <c r="UKK41" s="214"/>
      <c r="UKL41" s="214"/>
      <c r="UKM41" s="214"/>
      <c r="UKN41" s="214"/>
      <c r="UKO41" s="214"/>
      <c r="UKP41" s="214"/>
      <c r="UKQ41" s="214"/>
      <c r="UKR41" s="214"/>
      <c r="UKS41" s="214"/>
      <c r="UKT41" s="214"/>
      <c r="UKU41" s="214"/>
      <c r="UKV41" s="214"/>
      <c r="UKW41" s="214"/>
      <c r="UKX41" s="214"/>
      <c r="UKY41" s="214"/>
      <c r="UKZ41" s="214"/>
      <c r="ULA41" s="214"/>
      <c r="ULB41" s="214"/>
      <c r="ULC41" s="214"/>
      <c r="ULD41" s="214"/>
      <c r="ULE41" s="214"/>
      <c r="ULF41" s="214"/>
      <c r="ULG41" s="214"/>
      <c r="ULH41" s="214"/>
      <c r="ULI41" s="214"/>
      <c r="ULJ41" s="214"/>
      <c r="ULK41" s="214"/>
      <c r="ULL41" s="214"/>
      <c r="ULM41" s="214"/>
      <c r="ULN41" s="214"/>
      <c r="ULO41" s="214"/>
      <c r="ULP41" s="214"/>
      <c r="ULQ41" s="214"/>
      <c r="ULR41" s="214"/>
      <c r="ULS41" s="214"/>
      <c r="ULT41" s="214"/>
      <c r="ULU41" s="214"/>
      <c r="ULV41" s="214"/>
      <c r="ULW41" s="214"/>
      <c r="ULX41" s="214"/>
      <c r="ULY41" s="214"/>
      <c r="ULZ41" s="214"/>
      <c r="UMA41" s="214"/>
      <c r="UMB41" s="214"/>
      <c r="UMC41" s="214"/>
      <c r="UMD41" s="214"/>
      <c r="UME41" s="214"/>
      <c r="UMF41" s="214"/>
      <c r="UMG41" s="214"/>
      <c r="UMH41" s="214"/>
      <c r="UMI41" s="214"/>
      <c r="UMJ41" s="214"/>
      <c r="UMK41" s="214"/>
      <c r="UML41" s="214"/>
      <c r="UMM41" s="214"/>
      <c r="UMN41" s="214"/>
      <c r="UMO41" s="214"/>
      <c r="UMP41" s="214"/>
      <c r="UMQ41" s="214"/>
      <c r="UMR41" s="214"/>
      <c r="UMS41" s="214"/>
      <c r="UMT41" s="214"/>
      <c r="UMU41" s="214"/>
      <c r="UMV41" s="214"/>
      <c r="UMW41" s="214"/>
      <c r="UMX41" s="214"/>
      <c r="UMY41" s="214"/>
      <c r="UMZ41" s="214"/>
      <c r="UNA41" s="214"/>
      <c r="UNB41" s="214"/>
      <c r="UNC41" s="214"/>
      <c r="UND41" s="214"/>
      <c r="UNE41" s="214"/>
      <c r="UNF41" s="214"/>
      <c r="UNG41" s="214"/>
      <c r="UNH41" s="214"/>
      <c r="UNI41" s="214"/>
      <c r="UNJ41" s="214"/>
      <c r="UNK41" s="214"/>
      <c r="UNL41" s="214"/>
      <c r="UNM41" s="214"/>
      <c r="UNN41" s="214"/>
      <c r="UNO41" s="214"/>
      <c r="UNP41" s="214"/>
      <c r="UNQ41" s="214"/>
      <c r="UNR41" s="214"/>
      <c r="UNS41" s="214"/>
      <c r="UNT41" s="214"/>
      <c r="UNU41" s="214"/>
      <c r="UNV41" s="214"/>
      <c r="UNW41" s="214"/>
      <c r="UNX41" s="214"/>
      <c r="UNY41" s="214"/>
      <c r="UNZ41" s="214"/>
      <c r="UOA41" s="214"/>
      <c r="UOB41" s="214"/>
      <c r="UOC41" s="214"/>
      <c r="UOD41" s="214"/>
      <c r="UOE41" s="214"/>
      <c r="UOF41" s="214"/>
      <c r="UOG41" s="214"/>
      <c r="UOH41" s="214"/>
      <c r="UOI41" s="214"/>
      <c r="UOJ41" s="214"/>
      <c r="UOK41" s="214"/>
      <c r="UOL41" s="214"/>
      <c r="UOM41" s="214"/>
      <c r="UON41" s="214"/>
      <c r="UOO41" s="214"/>
      <c r="UOP41" s="214"/>
      <c r="UOQ41" s="214"/>
      <c r="UOR41" s="214"/>
      <c r="UOS41" s="214"/>
      <c r="UOT41" s="214"/>
      <c r="UOU41" s="214"/>
      <c r="UOV41" s="214"/>
      <c r="UOW41" s="214"/>
      <c r="UOX41" s="214"/>
      <c r="UOY41" s="214"/>
      <c r="UOZ41" s="214"/>
      <c r="UPA41" s="214"/>
      <c r="UPB41" s="214"/>
      <c r="UPC41" s="214"/>
      <c r="UPD41" s="214"/>
      <c r="UPE41" s="214"/>
      <c r="UPF41" s="214"/>
      <c r="UPG41" s="214"/>
      <c r="UPH41" s="214"/>
      <c r="UPI41" s="214"/>
      <c r="UPJ41" s="214"/>
      <c r="UPK41" s="214"/>
      <c r="UPL41" s="214"/>
      <c r="UPM41" s="214"/>
      <c r="UPN41" s="214"/>
      <c r="UPO41" s="214"/>
      <c r="UPP41" s="214"/>
      <c r="UPQ41" s="214"/>
      <c r="UPR41" s="214"/>
      <c r="UPS41" s="214"/>
      <c r="UPT41" s="214"/>
      <c r="UPU41" s="214"/>
      <c r="UPV41" s="214"/>
      <c r="UPW41" s="214"/>
      <c r="UPX41" s="214"/>
      <c r="UPY41" s="214"/>
      <c r="UPZ41" s="214"/>
      <c r="UQA41" s="214"/>
      <c r="UQB41" s="214"/>
      <c r="UQC41" s="214"/>
      <c r="UQD41" s="214"/>
      <c r="UQE41" s="214"/>
      <c r="UQF41" s="214"/>
      <c r="UQG41" s="214"/>
      <c r="UQH41" s="214"/>
      <c r="UQI41" s="214"/>
      <c r="UQJ41" s="214"/>
      <c r="UQK41" s="214"/>
      <c r="UQL41" s="214"/>
      <c r="UQM41" s="214"/>
      <c r="UQN41" s="214"/>
      <c r="UQO41" s="214"/>
      <c r="UQP41" s="214"/>
      <c r="UQQ41" s="214"/>
      <c r="UQR41" s="214"/>
      <c r="UQS41" s="214"/>
      <c r="UQT41" s="214"/>
      <c r="UQU41" s="214"/>
      <c r="UQV41" s="214"/>
      <c r="UQW41" s="214"/>
      <c r="UQX41" s="214"/>
      <c r="UQY41" s="214"/>
      <c r="UQZ41" s="214"/>
      <c r="URA41" s="214"/>
      <c r="URB41" s="214"/>
      <c r="URC41" s="214"/>
      <c r="URD41" s="214"/>
      <c r="URE41" s="214"/>
      <c r="URF41" s="214"/>
      <c r="URG41" s="214"/>
      <c r="URH41" s="214"/>
      <c r="URI41" s="214"/>
      <c r="URJ41" s="214"/>
      <c r="URK41" s="214"/>
      <c r="URL41" s="214"/>
      <c r="URM41" s="214"/>
      <c r="URN41" s="214"/>
      <c r="URO41" s="214"/>
      <c r="URP41" s="214"/>
      <c r="URQ41" s="214"/>
      <c r="URR41" s="214"/>
      <c r="URS41" s="214"/>
      <c r="URT41" s="214"/>
      <c r="URU41" s="214"/>
      <c r="URV41" s="214"/>
      <c r="URW41" s="214"/>
      <c r="URX41" s="214"/>
      <c r="URY41" s="214"/>
      <c r="URZ41" s="214"/>
      <c r="USA41" s="214"/>
      <c r="USB41" s="214"/>
      <c r="USC41" s="214"/>
      <c r="USD41" s="214"/>
      <c r="USE41" s="214"/>
      <c r="USF41" s="214"/>
      <c r="USG41" s="214"/>
      <c r="USH41" s="214"/>
      <c r="USI41" s="214"/>
      <c r="USJ41" s="214"/>
      <c r="USK41" s="214"/>
      <c r="USL41" s="214"/>
      <c r="USM41" s="214"/>
      <c r="USN41" s="214"/>
      <c r="USO41" s="214"/>
      <c r="USP41" s="214"/>
      <c r="USQ41" s="214"/>
      <c r="USR41" s="214"/>
      <c r="USS41" s="214"/>
      <c r="UST41" s="214"/>
      <c r="USU41" s="214"/>
      <c r="USV41" s="214"/>
      <c r="USW41" s="214"/>
      <c r="USX41" s="214"/>
      <c r="USY41" s="214"/>
      <c r="USZ41" s="214"/>
      <c r="UTA41" s="214"/>
      <c r="UTB41" s="214"/>
      <c r="UTC41" s="214"/>
      <c r="UTD41" s="214"/>
      <c r="UTE41" s="214"/>
      <c r="UTF41" s="214"/>
      <c r="UTG41" s="214"/>
      <c r="UTH41" s="214"/>
      <c r="UTI41" s="214"/>
      <c r="UTJ41" s="214"/>
      <c r="UTK41" s="214"/>
      <c r="UTL41" s="214"/>
      <c r="UTM41" s="214"/>
      <c r="UTN41" s="214"/>
      <c r="UTO41" s="214"/>
      <c r="UTP41" s="214"/>
      <c r="UTQ41" s="214"/>
      <c r="UTR41" s="214"/>
      <c r="UTS41" s="214"/>
      <c r="UTT41" s="214"/>
      <c r="UTU41" s="214"/>
      <c r="UTV41" s="214"/>
      <c r="UTW41" s="214"/>
      <c r="UTX41" s="214"/>
      <c r="UTY41" s="214"/>
      <c r="UTZ41" s="214"/>
      <c r="UUA41" s="214"/>
      <c r="UUB41" s="214"/>
      <c r="UUC41" s="214"/>
      <c r="UUD41" s="214"/>
      <c r="UUE41" s="214"/>
      <c r="UUF41" s="214"/>
      <c r="UUG41" s="214"/>
      <c r="UUH41" s="214"/>
      <c r="UUI41" s="214"/>
      <c r="UUJ41" s="214"/>
      <c r="UUK41" s="214"/>
      <c r="UUL41" s="214"/>
      <c r="UUM41" s="214"/>
      <c r="UUN41" s="214"/>
      <c r="UUO41" s="214"/>
      <c r="UUP41" s="214"/>
      <c r="UUQ41" s="214"/>
      <c r="UUR41" s="214"/>
      <c r="UUS41" s="214"/>
      <c r="UUT41" s="214"/>
      <c r="UUU41" s="214"/>
      <c r="UUV41" s="214"/>
      <c r="UUW41" s="214"/>
      <c r="UUX41" s="214"/>
      <c r="UUY41" s="214"/>
      <c r="UUZ41" s="214"/>
      <c r="UVA41" s="214"/>
      <c r="UVB41" s="214"/>
      <c r="UVC41" s="214"/>
      <c r="UVD41" s="214"/>
      <c r="UVE41" s="214"/>
      <c r="UVF41" s="214"/>
      <c r="UVG41" s="214"/>
      <c r="UVH41" s="214"/>
      <c r="UVI41" s="214"/>
      <c r="UVJ41" s="214"/>
      <c r="UVK41" s="214"/>
      <c r="UVL41" s="214"/>
      <c r="UVM41" s="214"/>
      <c r="UVN41" s="214"/>
      <c r="UVO41" s="214"/>
      <c r="UVP41" s="214"/>
      <c r="UVQ41" s="214"/>
      <c r="UVR41" s="214"/>
      <c r="UVS41" s="214"/>
      <c r="UVT41" s="214"/>
      <c r="UVU41" s="214"/>
      <c r="UVV41" s="214"/>
      <c r="UVW41" s="214"/>
      <c r="UVX41" s="214"/>
      <c r="UVY41" s="214"/>
      <c r="UVZ41" s="214"/>
      <c r="UWA41" s="214"/>
      <c r="UWB41" s="214"/>
      <c r="UWC41" s="214"/>
      <c r="UWD41" s="214"/>
      <c r="UWE41" s="214"/>
      <c r="UWF41" s="214"/>
      <c r="UWG41" s="214"/>
      <c r="UWH41" s="214"/>
      <c r="UWI41" s="214"/>
      <c r="UWJ41" s="214"/>
      <c r="UWK41" s="214"/>
      <c r="UWL41" s="214"/>
      <c r="UWM41" s="214"/>
      <c r="UWN41" s="214"/>
      <c r="UWO41" s="214"/>
      <c r="UWP41" s="214"/>
      <c r="UWQ41" s="214"/>
      <c r="UWR41" s="214"/>
      <c r="UWS41" s="214"/>
      <c r="UWT41" s="214"/>
      <c r="UWU41" s="214"/>
      <c r="UWV41" s="214"/>
      <c r="UWW41" s="214"/>
      <c r="UWX41" s="214"/>
      <c r="UWY41" s="214"/>
      <c r="UWZ41" s="214"/>
      <c r="UXA41" s="214"/>
      <c r="UXB41" s="214"/>
      <c r="UXC41" s="214"/>
      <c r="UXD41" s="214"/>
      <c r="UXE41" s="214"/>
      <c r="UXF41" s="214"/>
      <c r="UXG41" s="214"/>
      <c r="UXH41" s="214"/>
      <c r="UXI41" s="214"/>
      <c r="UXJ41" s="214"/>
      <c r="UXK41" s="214"/>
      <c r="UXL41" s="214"/>
      <c r="UXM41" s="214"/>
      <c r="UXN41" s="214"/>
      <c r="UXO41" s="214"/>
      <c r="UXP41" s="214"/>
      <c r="UXQ41" s="214"/>
      <c r="UXR41" s="214"/>
      <c r="UXS41" s="214"/>
      <c r="UXT41" s="214"/>
      <c r="UXU41" s="214"/>
      <c r="UXV41" s="214"/>
      <c r="UXW41" s="214"/>
      <c r="UXX41" s="214"/>
      <c r="UXY41" s="214"/>
      <c r="UXZ41" s="214"/>
      <c r="UYA41" s="214"/>
      <c r="UYB41" s="214"/>
      <c r="UYC41" s="214"/>
      <c r="UYD41" s="214"/>
      <c r="UYE41" s="214"/>
      <c r="UYF41" s="214"/>
      <c r="UYG41" s="214"/>
      <c r="UYH41" s="214"/>
      <c r="UYI41" s="214"/>
      <c r="UYJ41" s="214"/>
      <c r="UYK41" s="214"/>
      <c r="UYL41" s="214"/>
      <c r="UYM41" s="214"/>
      <c r="UYN41" s="214"/>
      <c r="UYO41" s="214"/>
      <c r="UYP41" s="214"/>
      <c r="UYQ41" s="214"/>
      <c r="UYR41" s="214"/>
      <c r="UYS41" s="214"/>
      <c r="UYT41" s="214"/>
      <c r="UYU41" s="214"/>
      <c r="UYV41" s="214"/>
      <c r="UYW41" s="214"/>
      <c r="UYX41" s="214"/>
      <c r="UYY41" s="214"/>
      <c r="UYZ41" s="214"/>
      <c r="UZA41" s="214"/>
      <c r="UZB41" s="214"/>
      <c r="UZC41" s="214"/>
      <c r="UZD41" s="214"/>
      <c r="UZE41" s="214"/>
      <c r="UZF41" s="214"/>
      <c r="UZG41" s="214"/>
      <c r="UZH41" s="214"/>
      <c r="UZI41" s="214"/>
      <c r="UZJ41" s="214"/>
      <c r="UZK41" s="214"/>
      <c r="UZL41" s="214"/>
      <c r="UZM41" s="214"/>
      <c r="UZN41" s="214"/>
      <c r="UZO41" s="214"/>
      <c r="UZP41" s="214"/>
      <c r="UZQ41" s="214"/>
      <c r="UZR41" s="214"/>
      <c r="UZS41" s="214"/>
      <c r="UZT41" s="214"/>
      <c r="UZU41" s="214"/>
      <c r="UZV41" s="214"/>
      <c r="UZW41" s="214"/>
      <c r="UZX41" s="214"/>
      <c r="UZY41" s="214"/>
      <c r="UZZ41" s="214"/>
      <c r="VAA41" s="214"/>
      <c r="VAB41" s="214"/>
      <c r="VAC41" s="214"/>
      <c r="VAD41" s="214"/>
      <c r="VAE41" s="214"/>
      <c r="VAF41" s="214"/>
      <c r="VAG41" s="214"/>
      <c r="VAH41" s="214"/>
      <c r="VAI41" s="214"/>
      <c r="VAJ41" s="214"/>
      <c r="VAK41" s="214"/>
      <c r="VAL41" s="214"/>
      <c r="VAM41" s="214"/>
      <c r="VAN41" s="214"/>
      <c r="VAO41" s="214"/>
      <c r="VAP41" s="214"/>
      <c r="VAQ41" s="214"/>
      <c r="VAR41" s="214"/>
      <c r="VAS41" s="214"/>
      <c r="VAT41" s="214"/>
      <c r="VAU41" s="214"/>
      <c r="VAV41" s="214"/>
      <c r="VAW41" s="214"/>
      <c r="VAX41" s="214"/>
      <c r="VAY41" s="214"/>
      <c r="VAZ41" s="214"/>
      <c r="VBA41" s="214"/>
      <c r="VBB41" s="214"/>
      <c r="VBC41" s="214"/>
      <c r="VBD41" s="214"/>
      <c r="VBE41" s="214"/>
      <c r="VBF41" s="214"/>
      <c r="VBG41" s="214"/>
      <c r="VBH41" s="214"/>
      <c r="VBI41" s="214"/>
      <c r="VBJ41" s="214"/>
      <c r="VBK41" s="214"/>
      <c r="VBL41" s="214"/>
      <c r="VBM41" s="214"/>
      <c r="VBN41" s="214"/>
      <c r="VBO41" s="214"/>
      <c r="VBP41" s="214"/>
      <c r="VBQ41" s="214"/>
      <c r="VBR41" s="214"/>
      <c r="VBS41" s="214"/>
      <c r="VBT41" s="214"/>
      <c r="VBU41" s="214"/>
      <c r="VBV41" s="214"/>
      <c r="VBW41" s="214"/>
      <c r="VBX41" s="214"/>
      <c r="VBY41" s="214"/>
      <c r="VBZ41" s="214"/>
      <c r="VCA41" s="214"/>
      <c r="VCB41" s="214"/>
      <c r="VCC41" s="214"/>
      <c r="VCD41" s="214"/>
      <c r="VCE41" s="214"/>
      <c r="VCF41" s="214"/>
      <c r="VCG41" s="214"/>
      <c r="VCH41" s="214"/>
      <c r="VCI41" s="214"/>
      <c r="VCJ41" s="214"/>
      <c r="VCK41" s="214"/>
      <c r="VCL41" s="214"/>
      <c r="VCM41" s="214"/>
      <c r="VCN41" s="214"/>
      <c r="VCO41" s="214"/>
      <c r="VCP41" s="214"/>
      <c r="VCQ41" s="214"/>
      <c r="VCR41" s="214"/>
      <c r="VCS41" s="214"/>
      <c r="VCT41" s="214"/>
      <c r="VCU41" s="214"/>
      <c r="VCV41" s="214"/>
      <c r="VCW41" s="214"/>
      <c r="VCX41" s="214"/>
      <c r="VCY41" s="214"/>
      <c r="VCZ41" s="214"/>
      <c r="VDA41" s="214"/>
      <c r="VDB41" s="214"/>
      <c r="VDC41" s="214"/>
      <c r="VDD41" s="214"/>
      <c r="VDE41" s="214"/>
      <c r="VDF41" s="214"/>
      <c r="VDG41" s="214"/>
      <c r="VDH41" s="214"/>
      <c r="VDI41" s="214"/>
      <c r="VDJ41" s="214"/>
      <c r="VDK41" s="214"/>
      <c r="VDL41" s="214"/>
      <c r="VDM41" s="214"/>
      <c r="VDN41" s="214"/>
      <c r="VDO41" s="214"/>
      <c r="VDP41" s="214"/>
      <c r="VDQ41" s="214"/>
      <c r="VDR41" s="214"/>
      <c r="VDS41" s="214"/>
      <c r="VDT41" s="214"/>
      <c r="VDU41" s="214"/>
      <c r="VDV41" s="214"/>
      <c r="VDW41" s="214"/>
      <c r="VDX41" s="214"/>
      <c r="VDY41" s="214"/>
      <c r="VDZ41" s="214"/>
      <c r="VEA41" s="214"/>
      <c r="VEB41" s="214"/>
      <c r="VEC41" s="214"/>
      <c r="VED41" s="214"/>
      <c r="VEE41" s="214"/>
      <c r="VEF41" s="214"/>
      <c r="VEG41" s="214"/>
      <c r="VEH41" s="214"/>
      <c r="VEI41" s="214"/>
      <c r="VEJ41" s="214"/>
      <c r="VEK41" s="214"/>
      <c r="VEL41" s="214"/>
      <c r="VEM41" s="214"/>
      <c r="VEN41" s="214"/>
      <c r="VEO41" s="214"/>
      <c r="VEP41" s="214"/>
      <c r="VEQ41" s="214"/>
      <c r="VER41" s="214"/>
      <c r="VES41" s="214"/>
      <c r="VET41" s="214"/>
      <c r="VEU41" s="214"/>
      <c r="VEV41" s="214"/>
      <c r="VEW41" s="214"/>
      <c r="VEX41" s="214"/>
      <c r="VEY41" s="214"/>
      <c r="VEZ41" s="214"/>
      <c r="VFA41" s="214"/>
      <c r="VFB41" s="214"/>
      <c r="VFC41" s="214"/>
      <c r="VFD41" s="214"/>
      <c r="VFE41" s="214"/>
      <c r="VFF41" s="214"/>
      <c r="VFG41" s="214"/>
      <c r="VFH41" s="214"/>
      <c r="VFI41" s="214"/>
      <c r="VFJ41" s="214"/>
      <c r="VFK41" s="214"/>
      <c r="VFL41" s="214"/>
      <c r="VFM41" s="214"/>
      <c r="VFN41" s="214"/>
      <c r="VFO41" s="214"/>
      <c r="VFP41" s="214"/>
      <c r="VFQ41" s="214"/>
      <c r="VFR41" s="214"/>
      <c r="VFS41" s="214"/>
      <c r="VFT41" s="214"/>
      <c r="VFU41" s="214"/>
      <c r="VFV41" s="214"/>
      <c r="VFW41" s="214"/>
      <c r="VFX41" s="214"/>
      <c r="VFY41" s="214"/>
      <c r="VFZ41" s="214"/>
      <c r="VGA41" s="214"/>
      <c r="VGB41" s="214"/>
      <c r="VGC41" s="214"/>
      <c r="VGD41" s="214"/>
      <c r="VGE41" s="214"/>
      <c r="VGF41" s="214"/>
      <c r="VGG41" s="214"/>
      <c r="VGH41" s="214"/>
      <c r="VGI41" s="214"/>
      <c r="VGJ41" s="214"/>
      <c r="VGK41" s="214"/>
      <c r="VGL41" s="214"/>
      <c r="VGM41" s="214"/>
      <c r="VGN41" s="214"/>
      <c r="VGO41" s="214"/>
      <c r="VGP41" s="214"/>
      <c r="VGQ41" s="214"/>
      <c r="VGR41" s="214"/>
      <c r="VGS41" s="214"/>
      <c r="VGT41" s="214"/>
      <c r="VGU41" s="214"/>
      <c r="VGV41" s="214"/>
      <c r="VGW41" s="214"/>
      <c r="VGX41" s="214"/>
      <c r="VGY41" s="214"/>
      <c r="VGZ41" s="214"/>
      <c r="VHA41" s="214"/>
      <c r="VHB41" s="214"/>
      <c r="VHC41" s="214"/>
      <c r="VHD41" s="214"/>
      <c r="VHE41" s="214"/>
      <c r="VHF41" s="214"/>
      <c r="VHG41" s="214"/>
      <c r="VHH41" s="214"/>
      <c r="VHI41" s="214"/>
      <c r="VHJ41" s="214"/>
      <c r="VHK41" s="214"/>
      <c r="VHL41" s="214"/>
      <c r="VHM41" s="214"/>
      <c r="VHN41" s="214"/>
      <c r="VHO41" s="214"/>
      <c r="VHP41" s="214"/>
      <c r="VHQ41" s="214"/>
      <c r="VHR41" s="214"/>
      <c r="VHS41" s="214"/>
      <c r="VHT41" s="214"/>
      <c r="VHU41" s="214"/>
      <c r="VHV41" s="214"/>
      <c r="VHW41" s="214"/>
      <c r="VHX41" s="214"/>
      <c r="VHY41" s="214"/>
      <c r="VHZ41" s="214"/>
      <c r="VIA41" s="214"/>
      <c r="VIB41" s="214"/>
      <c r="VIC41" s="214"/>
      <c r="VID41" s="214"/>
      <c r="VIE41" s="214"/>
      <c r="VIF41" s="214"/>
      <c r="VIG41" s="214"/>
      <c r="VIH41" s="214"/>
      <c r="VII41" s="214"/>
      <c r="VIJ41" s="214"/>
      <c r="VIK41" s="214"/>
      <c r="VIL41" s="214"/>
      <c r="VIM41" s="214"/>
      <c r="VIN41" s="214"/>
      <c r="VIO41" s="214"/>
      <c r="VIP41" s="214"/>
      <c r="VIQ41" s="214"/>
      <c r="VIR41" s="214"/>
      <c r="VIS41" s="214"/>
      <c r="VIT41" s="214"/>
      <c r="VIU41" s="214"/>
      <c r="VIV41" s="214"/>
      <c r="VIW41" s="214"/>
      <c r="VIX41" s="214"/>
      <c r="VIY41" s="214"/>
      <c r="VIZ41" s="214"/>
      <c r="VJA41" s="214"/>
      <c r="VJB41" s="214"/>
      <c r="VJC41" s="214"/>
      <c r="VJD41" s="214"/>
      <c r="VJE41" s="214"/>
      <c r="VJF41" s="214"/>
      <c r="VJG41" s="214"/>
      <c r="VJH41" s="214"/>
      <c r="VJI41" s="214"/>
      <c r="VJJ41" s="214"/>
      <c r="VJK41" s="214"/>
      <c r="VJL41" s="214"/>
      <c r="VJM41" s="214"/>
      <c r="VJN41" s="214"/>
      <c r="VJO41" s="214"/>
      <c r="VJP41" s="214"/>
      <c r="VJQ41" s="214"/>
      <c r="VJR41" s="214"/>
      <c r="VJS41" s="214"/>
      <c r="VJT41" s="214"/>
      <c r="VJU41" s="214"/>
      <c r="VJV41" s="214"/>
      <c r="VJW41" s="214"/>
      <c r="VJX41" s="214"/>
      <c r="VJY41" s="214"/>
      <c r="VJZ41" s="214"/>
      <c r="VKA41" s="214"/>
      <c r="VKB41" s="214"/>
      <c r="VKC41" s="214"/>
      <c r="VKD41" s="214"/>
      <c r="VKE41" s="214"/>
      <c r="VKF41" s="214"/>
      <c r="VKG41" s="214"/>
      <c r="VKH41" s="214"/>
      <c r="VKI41" s="214"/>
      <c r="VKJ41" s="214"/>
      <c r="VKK41" s="214"/>
      <c r="VKL41" s="214"/>
      <c r="VKM41" s="214"/>
      <c r="VKN41" s="214"/>
      <c r="VKO41" s="214"/>
      <c r="VKP41" s="214"/>
      <c r="VKQ41" s="214"/>
      <c r="VKR41" s="214"/>
      <c r="VKS41" s="214"/>
      <c r="VKT41" s="214"/>
      <c r="VKU41" s="214"/>
      <c r="VKV41" s="214"/>
      <c r="VKW41" s="214"/>
      <c r="VKX41" s="214"/>
      <c r="VKY41" s="214"/>
      <c r="VKZ41" s="214"/>
      <c r="VLA41" s="214"/>
      <c r="VLB41" s="214"/>
      <c r="VLC41" s="214"/>
      <c r="VLD41" s="214"/>
      <c r="VLE41" s="214"/>
      <c r="VLF41" s="214"/>
      <c r="VLG41" s="214"/>
      <c r="VLH41" s="214"/>
      <c r="VLI41" s="214"/>
      <c r="VLJ41" s="214"/>
      <c r="VLK41" s="214"/>
      <c r="VLL41" s="214"/>
      <c r="VLM41" s="214"/>
      <c r="VLN41" s="214"/>
      <c r="VLO41" s="214"/>
      <c r="VLP41" s="214"/>
      <c r="VLQ41" s="214"/>
      <c r="VLR41" s="214"/>
      <c r="VLS41" s="214"/>
      <c r="VLT41" s="214"/>
      <c r="VLU41" s="214"/>
      <c r="VLV41" s="214"/>
      <c r="VLW41" s="214"/>
      <c r="VLX41" s="214"/>
      <c r="VLY41" s="214"/>
      <c r="VLZ41" s="214"/>
      <c r="VMA41" s="214"/>
      <c r="VMB41" s="214"/>
      <c r="VMC41" s="214"/>
      <c r="VMD41" s="214"/>
      <c r="VME41" s="214"/>
      <c r="VMF41" s="214"/>
      <c r="VMG41" s="214"/>
      <c r="VMH41" s="214"/>
      <c r="VMI41" s="214"/>
      <c r="VMJ41" s="214"/>
      <c r="VMK41" s="214"/>
      <c r="VML41" s="214"/>
      <c r="VMM41" s="214"/>
      <c r="VMN41" s="214"/>
      <c r="VMO41" s="214"/>
      <c r="VMP41" s="214"/>
      <c r="VMQ41" s="214"/>
      <c r="VMR41" s="214"/>
      <c r="VMS41" s="214"/>
      <c r="VMT41" s="214"/>
      <c r="VMU41" s="214"/>
      <c r="VMV41" s="214"/>
      <c r="VMW41" s="214"/>
      <c r="VMX41" s="214"/>
      <c r="VMY41" s="214"/>
      <c r="VMZ41" s="214"/>
      <c r="VNA41" s="214"/>
      <c r="VNB41" s="214"/>
      <c r="VNC41" s="214"/>
      <c r="VND41" s="214"/>
      <c r="VNE41" s="214"/>
      <c r="VNF41" s="214"/>
      <c r="VNG41" s="214"/>
      <c r="VNH41" s="214"/>
      <c r="VNI41" s="214"/>
      <c r="VNJ41" s="214"/>
      <c r="VNK41" s="214"/>
      <c r="VNL41" s="214"/>
      <c r="VNM41" s="214"/>
      <c r="VNN41" s="214"/>
      <c r="VNO41" s="214"/>
      <c r="VNP41" s="214"/>
      <c r="VNQ41" s="214"/>
      <c r="VNR41" s="214"/>
      <c r="VNS41" s="214"/>
      <c r="VNT41" s="214"/>
      <c r="VNU41" s="214"/>
      <c r="VNV41" s="214"/>
      <c r="VNW41" s="214"/>
      <c r="VNX41" s="214"/>
      <c r="VNY41" s="214"/>
      <c r="VNZ41" s="214"/>
      <c r="VOA41" s="214"/>
      <c r="VOB41" s="214"/>
      <c r="VOC41" s="214"/>
      <c r="VOD41" s="214"/>
      <c r="VOE41" s="214"/>
      <c r="VOF41" s="214"/>
      <c r="VOG41" s="214"/>
      <c r="VOH41" s="214"/>
      <c r="VOI41" s="214"/>
      <c r="VOJ41" s="214"/>
      <c r="VOK41" s="214"/>
      <c r="VOL41" s="214"/>
      <c r="VOM41" s="214"/>
      <c r="VON41" s="214"/>
      <c r="VOO41" s="214"/>
      <c r="VOP41" s="214"/>
      <c r="VOQ41" s="214"/>
      <c r="VOR41" s="214"/>
      <c r="VOS41" s="214"/>
      <c r="VOT41" s="214"/>
      <c r="VOU41" s="214"/>
      <c r="VOV41" s="214"/>
      <c r="VOW41" s="214"/>
      <c r="VOX41" s="214"/>
      <c r="VOY41" s="214"/>
      <c r="VOZ41" s="214"/>
      <c r="VPA41" s="214"/>
      <c r="VPB41" s="214"/>
      <c r="VPC41" s="214"/>
      <c r="VPD41" s="214"/>
      <c r="VPE41" s="214"/>
      <c r="VPF41" s="214"/>
      <c r="VPG41" s="214"/>
      <c r="VPH41" s="214"/>
      <c r="VPI41" s="214"/>
      <c r="VPJ41" s="214"/>
      <c r="VPK41" s="214"/>
      <c r="VPL41" s="214"/>
      <c r="VPM41" s="214"/>
      <c r="VPN41" s="214"/>
      <c r="VPO41" s="214"/>
      <c r="VPP41" s="214"/>
      <c r="VPQ41" s="214"/>
      <c r="VPR41" s="214"/>
      <c r="VPS41" s="214"/>
      <c r="VPT41" s="214"/>
      <c r="VPU41" s="214"/>
      <c r="VPV41" s="214"/>
      <c r="VPW41" s="214"/>
      <c r="VPX41" s="214"/>
      <c r="VPY41" s="214"/>
      <c r="VPZ41" s="214"/>
      <c r="VQA41" s="214"/>
      <c r="VQB41" s="214"/>
      <c r="VQC41" s="214"/>
      <c r="VQD41" s="214"/>
      <c r="VQE41" s="214"/>
      <c r="VQF41" s="214"/>
      <c r="VQG41" s="214"/>
      <c r="VQH41" s="214"/>
      <c r="VQI41" s="214"/>
      <c r="VQJ41" s="214"/>
      <c r="VQK41" s="214"/>
      <c r="VQL41" s="214"/>
      <c r="VQM41" s="214"/>
      <c r="VQN41" s="214"/>
      <c r="VQO41" s="214"/>
      <c r="VQP41" s="214"/>
      <c r="VQQ41" s="214"/>
      <c r="VQR41" s="214"/>
      <c r="VQS41" s="214"/>
      <c r="VQT41" s="214"/>
      <c r="VQU41" s="214"/>
      <c r="VQV41" s="214"/>
      <c r="VQW41" s="214"/>
      <c r="VQX41" s="214"/>
      <c r="VQY41" s="214"/>
      <c r="VQZ41" s="214"/>
      <c r="VRA41" s="214"/>
      <c r="VRB41" s="214"/>
      <c r="VRC41" s="214"/>
      <c r="VRD41" s="214"/>
      <c r="VRE41" s="214"/>
      <c r="VRF41" s="214"/>
      <c r="VRG41" s="214"/>
      <c r="VRH41" s="214"/>
      <c r="VRI41" s="214"/>
      <c r="VRJ41" s="214"/>
      <c r="VRK41" s="214"/>
      <c r="VRL41" s="214"/>
      <c r="VRM41" s="214"/>
      <c r="VRN41" s="214"/>
      <c r="VRO41" s="214"/>
      <c r="VRP41" s="214"/>
      <c r="VRQ41" s="214"/>
      <c r="VRR41" s="214"/>
      <c r="VRS41" s="214"/>
      <c r="VRT41" s="214"/>
      <c r="VRU41" s="214"/>
      <c r="VRV41" s="214"/>
      <c r="VRW41" s="214"/>
      <c r="VRX41" s="214"/>
      <c r="VRY41" s="214"/>
      <c r="VRZ41" s="214"/>
      <c r="VSA41" s="214"/>
      <c r="VSB41" s="214"/>
      <c r="VSC41" s="214"/>
      <c r="VSD41" s="214"/>
      <c r="VSE41" s="214"/>
      <c r="VSF41" s="214"/>
      <c r="VSG41" s="214"/>
      <c r="VSH41" s="214"/>
      <c r="VSI41" s="214"/>
      <c r="VSJ41" s="214"/>
      <c r="VSK41" s="214"/>
      <c r="VSL41" s="214"/>
      <c r="VSM41" s="214"/>
      <c r="VSN41" s="214"/>
      <c r="VSO41" s="214"/>
      <c r="VSP41" s="214"/>
      <c r="VSQ41" s="214"/>
      <c r="VSR41" s="214"/>
      <c r="VSS41" s="214"/>
      <c r="VST41" s="214"/>
      <c r="VSU41" s="214"/>
      <c r="VSV41" s="214"/>
      <c r="VSW41" s="214"/>
      <c r="VSX41" s="214"/>
      <c r="VSY41" s="214"/>
      <c r="VSZ41" s="214"/>
      <c r="VTA41" s="214"/>
      <c r="VTB41" s="214"/>
      <c r="VTC41" s="214"/>
      <c r="VTD41" s="214"/>
      <c r="VTE41" s="214"/>
      <c r="VTF41" s="214"/>
      <c r="VTG41" s="214"/>
      <c r="VTH41" s="214"/>
      <c r="VTI41" s="214"/>
      <c r="VTJ41" s="214"/>
      <c r="VTK41" s="214"/>
      <c r="VTL41" s="214"/>
      <c r="VTM41" s="214"/>
      <c r="VTN41" s="214"/>
      <c r="VTO41" s="214"/>
      <c r="VTP41" s="214"/>
      <c r="VTQ41" s="214"/>
      <c r="VTR41" s="214"/>
      <c r="VTS41" s="214"/>
      <c r="VTT41" s="214"/>
      <c r="VTU41" s="214"/>
      <c r="VTV41" s="214"/>
      <c r="VTW41" s="214"/>
      <c r="VTX41" s="214"/>
      <c r="VTY41" s="214"/>
      <c r="VTZ41" s="214"/>
      <c r="VUA41" s="214"/>
      <c r="VUB41" s="214"/>
      <c r="VUC41" s="214"/>
      <c r="VUD41" s="214"/>
      <c r="VUE41" s="214"/>
      <c r="VUF41" s="214"/>
      <c r="VUG41" s="214"/>
      <c r="VUH41" s="214"/>
      <c r="VUI41" s="214"/>
      <c r="VUJ41" s="214"/>
      <c r="VUK41" s="214"/>
      <c r="VUL41" s="214"/>
      <c r="VUM41" s="214"/>
      <c r="VUN41" s="214"/>
      <c r="VUO41" s="214"/>
      <c r="VUP41" s="214"/>
      <c r="VUQ41" s="214"/>
      <c r="VUR41" s="214"/>
      <c r="VUS41" s="214"/>
      <c r="VUT41" s="214"/>
      <c r="VUU41" s="214"/>
      <c r="VUV41" s="214"/>
      <c r="VUW41" s="214"/>
      <c r="VUX41" s="214"/>
      <c r="VUY41" s="214"/>
      <c r="VUZ41" s="214"/>
      <c r="VVA41" s="214"/>
      <c r="VVB41" s="214"/>
      <c r="VVC41" s="214"/>
      <c r="VVD41" s="214"/>
      <c r="VVE41" s="214"/>
      <c r="VVF41" s="214"/>
      <c r="VVG41" s="214"/>
      <c r="VVH41" s="214"/>
      <c r="VVI41" s="214"/>
      <c r="VVJ41" s="214"/>
      <c r="VVK41" s="214"/>
      <c r="VVL41" s="214"/>
      <c r="VVM41" s="214"/>
      <c r="VVN41" s="214"/>
      <c r="VVO41" s="214"/>
      <c r="VVP41" s="214"/>
      <c r="VVQ41" s="214"/>
      <c r="VVR41" s="214"/>
      <c r="VVS41" s="214"/>
      <c r="VVT41" s="214"/>
      <c r="VVU41" s="214"/>
      <c r="VVV41" s="214"/>
      <c r="VVW41" s="214"/>
      <c r="VVX41" s="214"/>
      <c r="VVY41" s="214"/>
      <c r="VVZ41" s="214"/>
      <c r="VWA41" s="214"/>
      <c r="VWB41" s="214"/>
      <c r="VWC41" s="214"/>
      <c r="VWD41" s="214"/>
      <c r="VWE41" s="214"/>
      <c r="VWF41" s="214"/>
      <c r="VWG41" s="214"/>
      <c r="VWH41" s="214"/>
      <c r="VWI41" s="214"/>
      <c r="VWJ41" s="214"/>
      <c r="VWK41" s="214"/>
      <c r="VWL41" s="214"/>
      <c r="VWM41" s="214"/>
      <c r="VWN41" s="214"/>
      <c r="VWO41" s="214"/>
      <c r="VWP41" s="214"/>
      <c r="VWQ41" s="214"/>
      <c r="VWR41" s="214"/>
      <c r="VWS41" s="214"/>
      <c r="VWT41" s="214"/>
      <c r="VWU41" s="214"/>
      <c r="VWV41" s="214"/>
      <c r="VWW41" s="214"/>
      <c r="VWX41" s="214"/>
      <c r="VWY41" s="214"/>
      <c r="VWZ41" s="214"/>
      <c r="VXA41" s="214"/>
      <c r="VXB41" s="214"/>
      <c r="VXC41" s="214"/>
      <c r="VXD41" s="214"/>
      <c r="VXE41" s="214"/>
      <c r="VXF41" s="214"/>
      <c r="VXG41" s="214"/>
      <c r="VXH41" s="214"/>
      <c r="VXI41" s="214"/>
      <c r="VXJ41" s="214"/>
      <c r="VXK41" s="214"/>
      <c r="VXL41" s="214"/>
      <c r="VXM41" s="214"/>
      <c r="VXN41" s="214"/>
      <c r="VXO41" s="214"/>
      <c r="VXP41" s="214"/>
      <c r="VXQ41" s="214"/>
      <c r="VXR41" s="214"/>
      <c r="VXS41" s="214"/>
      <c r="VXT41" s="214"/>
      <c r="VXU41" s="214"/>
      <c r="VXV41" s="214"/>
      <c r="VXW41" s="214"/>
      <c r="VXX41" s="214"/>
      <c r="VXY41" s="214"/>
      <c r="VXZ41" s="214"/>
      <c r="VYA41" s="214"/>
      <c r="VYB41" s="214"/>
      <c r="VYC41" s="214"/>
      <c r="VYD41" s="214"/>
      <c r="VYE41" s="214"/>
      <c r="VYF41" s="214"/>
      <c r="VYG41" s="214"/>
      <c r="VYH41" s="214"/>
      <c r="VYI41" s="214"/>
      <c r="VYJ41" s="214"/>
      <c r="VYK41" s="214"/>
      <c r="VYL41" s="214"/>
      <c r="VYM41" s="214"/>
      <c r="VYN41" s="214"/>
      <c r="VYO41" s="214"/>
      <c r="VYP41" s="214"/>
      <c r="VYQ41" s="214"/>
      <c r="VYR41" s="214"/>
      <c r="VYS41" s="214"/>
      <c r="VYT41" s="214"/>
      <c r="VYU41" s="214"/>
      <c r="VYV41" s="214"/>
      <c r="VYW41" s="214"/>
      <c r="VYX41" s="214"/>
      <c r="VYY41" s="214"/>
      <c r="VYZ41" s="214"/>
      <c r="VZA41" s="214"/>
      <c r="VZB41" s="214"/>
      <c r="VZC41" s="214"/>
      <c r="VZD41" s="214"/>
      <c r="VZE41" s="214"/>
      <c r="VZF41" s="214"/>
      <c r="VZG41" s="214"/>
      <c r="VZH41" s="214"/>
      <c r="VZI41" s="214"/>
      <c r="VZJ41" s="214"/>
      <c r="VZK41" s="214"/>
      <c r="VZL41" s="214"/>
      <c r="VZM41" s="214"/>
      <c r="VZN41" s="214"/>
      <c r="VZO41" s="214"/>
      <c r="VZP41" s="214"/>
      <c r="VZQ41" s="214"/>
      <c r="VZR41" s="214"/>
      <c r="VZS41" s="214"/>
      <c r="VZT41" s="214"/>
      <c r="VZU41" s="214"/>
      <c r="VZV41" s="214"/>
      <c r="VZW41" s="214"/>
      <c r="VZX41" s="214"/>
      <c r="VZY41" s="214"/>
      <c r="VZZ41" s="214"/>
      <c r="WAA41" s="214"/>
      <c r="WAB41" s="214"/>
      <c r="WAC41" s="214"/>
      <c r="WAD41" s="214"/>
      <c r="WAE41" s="214"/>
      <c r="WAF41" s="214"/>
      <c r="WAG41" s="214"/>
      <c r="WAH41" s="214"/>
      <c r="WAI41" s="214"/>
      <c r="WAJ41" s="214"/>
      <c r="WAK41" s="214"/>
      <c r="WAL41" s="214"/>
      <c r="WAM41" s="214"/>
      <c r="WAN41" s="214"/>
      <c r="WAO41" s="214"/>
      <c r="WAP41" s="214"/>
      <c r="WAQ41" s="214"/>
      <c r="WAR41" s="214"/>
      <c r="WAS41" s="214"/>
      <c r="WAT41" s="214"/>
      <c r="WAU41" s="214"/>
      <c r="WAV41" s="214"/>
      <c r="WAW41" s="214"/>
      <c r="WAX41" s="214"/>
      <c r="WAY41" s="214"/>
      <c r="WAZ41" s="214"/>
      <c r="WBA41" s="214"/>
      <c r="WBB41" s="214"/>
      <c r="WBC41" s="214"/>
      <c r="WBD41" s="214"/>
      <c r="WBE41" s="214"/>
      <c r="WBF41" s="214"/>
      <c r="WBG41" s="214"/>
      <c r="WBH41" s="214"/>
      <c r="WBI41" s="214"/>
      <c r="WBJ41" s="214"/>
      <c r="WBK41" s="214"/>
      <c r="WBL41" s="214"/>
      <c r="WBM41" s="214"/>
      <c r="WBN41" s="214"/>
      <c r="WBO41" s="214"/>
      <c r="WBP41" s="214"/>
      <c r="WBQ41" s="214"/>
      <c r="WBR41" s="214"/>
      <c r="WBS41" s="214"/>
      <c r="WBT41" s="214"/>
      <c r="WBU41" s="214"/>
      <c r="WBV41" s="214"/>
      <c r="WBW41" s="214"/>
      <c r="WBX41" s="214"/>
      <c r="WBY41" s="214"/>
      <c r="WBZ41" s="214"/>
      <c r="WCA41" s="214"/>
      <c r="WCB41" s="214"/>
      <c r="WCC41" s="214"/>
      <c r="WCD41" s="214"/>
      <c r="WCE41" s="214"/>
      <c r="WCF41" s="214"/>
      <c r="WCG41" s="214"/>
      <c r="WCH41" s="214"/>
      <c r="WCI41" s="214"/>
      <c r="WCJ41" s="214"/>
      <c r="WCK41" s="214"/>
      <c r="WCL41" s="214"/>
      <c r="WCM41" s="214"/>
      <c r="WCN41" s="214"/>
      <c r="WCO41" s="214"/>
      <c r="WCP41" s="214"/>
      <c r="WCQ41" s="214"/>
      <c r="WCR41" s="214"/>
      <c r="WCS41" s="214"/>
      <c r="WCT41" s="214"/>
      <c r="WCU41" s="214"/>
      <c r="WCV41" s="214"/>
      <c r="WCW41" s="214"/>
      <c r="WCX41" s="214"/>
      <c r="WCY41" s="214"/>
      <c r="WCZ41" s="214"/>
      <c r="WDA41" s="214"/>
      <c r="WDB41" s="214"/>
      <c r="WDC41" s="214"/>
      <c r="WDD41" s="214"/>
      <c r="WDE41" s="214"/>
      <c r="WDF41" s="214"/>
      <c r="WDG41" s="214"/>
      <c r="WDH41" s="214"/>
      <c r="WDI41" s="214"/>
      <c r="WDJ41" s="214"/>
      <c r="WDK41" s="214"/>
      <c r="WDL41" s="214"/>
      <c r="WDM41" s="214"/>
      <c r="WDN41" s="214"/>
      <c r="WDO41" s="214"/>
      <c r="WDP41" s="214"/>
      <c r="WDQ41" s="214"/>
      <c r="WDR41" s="214"/>
      <c r="WDS41" s="214"/>
      <c r="WDT41" s="214"/>
      <c r="WDU41" s="214"/>
      <c r="WDV41" s="214"/>
      <c r="WDW41" s="214"/>
      <c r="WDX41" s="214"/>
      <c r="WDY41" s="214"/>
      <c r="WDZ41" s="214"/>
      <c r="WEA41" s="214"/>
      <c r="WEB41" s="214"/>
      <c r="WEC41" s="214"/>
      <c r="WED41" s="214"/>
      <c r="WEE41" s="214"/>
      <c r="WEF41" s="214"/>
      <c r="WEG41" s="214"/>
      <c r="WEH41" s="214"/>
      <c r="WEI41" s="214"/>
      <c r="WEJ41" s="214"/>
      <c r="WEK41" s="214"/>
      <c r="WEL41" s="214"/>
      <c r="WEM41" s="214"/>
      <c r="WEN41" s="214"/>
      <c r="WEO41" s="214"/>
      <c r="WEP41" s="214"/>
      <c r="WEQ41" s="214"/>
      <c r="WER41" s="214"/>
      <c r="WES41" s="214"/>
      <c r="WET41" s="214"/>
      <c r="WEU41" s="214"/>
      <c r="WEV41" s="214"/>
      <c r="WEW41" s="214"/>
      <c r="WEX41" s="214"/>
      <c r="WEY41" s="214"/>
      <c r="WEZ41" s="214"/>
      <c r="WFA41" s="214"/>
      <c r="WFB41" s="214"/>
      <c r="WFC41" s="214"/>
      <c r="WFD41" s="214"/>
      <c r="WFE41" s="214"/>
      <c r="WFF41" s="214"/>
      <c r="WFG41" s="214"/>
      <c r="WFH41" s="214"/>
      <c r="WFI41" s="214"/>
      <c r="WFJ41" s="214"/>
      <c r="WFK41" s="214"/>
      <c r="WFL41" s="214"/>
      <c r="WFM41" s="214"/>
      <c r="WFN41" s="214"/>
      <c r="WFO41" s="214"/>
      <c r="WFP41" s="214"/>
      <c r="WFQ41" s="214"/>
      <c r="WFR41" s="214"/>
      <c r="WFS41" s="214"/>
      <c r="WFT41" s="214"/>
      <c r="WFU41" s="214"/>
      <c r="WFV41" s="214"/>
      <c r="WFW41" s="214"/>
      <c r="WFX41" s="214"/>
      <c r="WFY41" s="214"/>
      <c r="WFZ41" s="214"/>
      <c r="WGA41" s="214"/>
      <c r="WGB41" s="214"/>
      <c r="WGC41" s="214"/>
      <c r="WGD41" s="214"/>
      <c r="WGE41" s="214"/>
      <c r="WGF41" s="214"/>
      <c r="WGG41" s="214"/>
      <c r="WGH41" s="214"/>
      <c r="WGI41" s="214"/>
      <c r="WGJ41" s="214"/>
      <c r="WGK41" s="214"/>
      <c r="WGL41" s="214"/>
      <c r="WGM41" s="214"/>
      <c r="WGN41" s="214"/>
      <c r="WGO41" s="214"/>
      <c r="WGP41" s="214"/>
      <c r="WGQ41" s="214"/>
      <c r="WGR41" s="214"/>
      <c r="WGS41" s="214"/>
      <c r="WGT41" s="214"/>
      <c r="WGU41" s="214"/>
      <c r="WGV41" s="214"/>
      <c r="WGW41" s="214"/>
      <c r="WGX41" s="214"/>
      <c r="WGY41" s="214"/>
      <c r="WGZ41" s="214"/>
      <c r="WHA41" s="214"/>
      <c r="WHB41" s="214"/>
      <c r="WHC41" s="214"/>
      <c r="WHD41" s="214"/>
      <c r="WHE41" s="214"/>
      <c r="WHF41" s="214"/>
      <c r="WHG41" s="214"/>
      <c r="WHH41" s="214"/>
      <c r="WHI41" s="214"/>
      <c r="WHJ41" s="214"/>
      <c r="WHK41" s="214"/>
      <c r="WHL41" s="214"/>
      <c r="WHM41" s="214"/>
      <c r="WHN41" s="214"/>
      <c r="WHO41" s="214"/>
      <c r="WHP41" s="214"/>
      <c r="WHQ41" s="214"/>
      <c r="WHR41" s="214"/>
      <c r="WHS41" s="214"/>
      <c r="WHT41" s="214"/>
      <c r="WHU41" s="214"/>
      <c r="WHV41" s="214"/>
      <c r="WHW41" s="214"/>
      <c r="WHX41" s="214"/>
      <c r="WHY41" s="214"/>
      <c r="WHZ41" s="214"/>
      <c r="WIA41" s="214"/>
      <c r="WIB41" s="214"/>
      <c r="WIC41" s="214"/>
      <c r="WID41" s="214"/>
      <c r="WIE41" s="214"/>
      <c r="WIF41" s="214"/>
      <c r="WIG41" s="214"/>
      <c r="WIH41" s="214"/>
      <c r="WII41" s="214"/>
      <c r="WIJ41" s="214"/>
      <c r="WIK41" s="214"/>
      <c r="WIL41" s="214"/>
      <c r="WIM41" s="214"/>
      <c r="WIN41" s="214"/>
      <c r="WIO41" s="214"/>
      <c r="WIP41" s="214"/>
      <c r="WIQ41" s="214"/>
      <c r="WIR41" s="214"/>
      <c r="WIS41" s="214"/>
      <c r="WIT41" s="214"/>
      <c r="WIU41" s="214"/>
      <c r="WIV41" s="214"/>
      <c r="WIW41" s="214"/>
      <c r="WIX41" s="214"/>
      <c r="WIY41" s="214"/>
      <c r="WIZ41" s="214"/>
      <c r="WJA41" s="214"/>
      <c r="WJB41" s="214"/>
      <c r="WJC41" s="214"/>
      <c r="WJD41" s="214"/>
      <c r="WJE41" s="214"/>
      <c r="WJF41" s="214"/>
      <c r="WJG41" s="214"/>
      <c r="WJH41" s="214"/>
      <c r="WJI41" s="214"/>
      <c r="WJJ41" s="214"/>
      <c r="WJK41" s="214"/>
      <c r="WJL41" s="214"/>
      <c r="WJM41" s="214"/>
      <c r="WJN41" s="214"/>
      <c r="WJO41" s="214"/>
      <c r="WJP41" s="214"/>
      <c r="WJQ41" s="214"/>
      <c r="WJR41" s="214"/>
      <c r="WJS41" s="214"/>
      <c r="WJT41" s="214"/>
      <c r="WJU41" s="214"/>
      <c r="WJV41" s="214"/>
      <c r="WJW41" s="214"/>
      <c r="WJX41" s="214"/>
      <c r="WJY41" s="214"/>
      <c r="WJZ41" s="214"/>
      <c r="WKA41" s="214"/>
      <c r="WKB41" s="214"/>
      <c r="WKC41" s="214"/>
      <c r="WKD41" s="214"/>
      <c r="WKE41" s="214"/>
      <c r="WKF41" s="214"/>
      <c r="WKG41" s="214"/>
      <c r="WKH41" s="214"/>
      <c r="WKI41" s="214"/>
      <c r="WKJ41" s="214"/>
      <c r="WKK41" s="214"/>
      <c r="WKL41" s="214"/>
      <c r="WKM41" s="214"/>
      <c r="WKN41" s="214"/>
      <c r="WKO41" s="214"/>
      <c r="WKP41" s="214"/>
      <c r="WKQ41" s="214"/>
      <c r="WKR41" s="214"/>
      <c r="WKS41" s="214"/>
      <c r="WKT41" s="214"/>
      <c r="WKU41" s="214"/>
      <c r="WKV41" s="214"/>
      <c r="WKW41" s="214"/>
      <c r="WKX41" s="214"/>
      <c r="WKY41" s="214"/>
      <c r="WKZ41" s="214"/>
      <c r="WLA41" s="214"/>
      <c r="WLB41" s="214"/>
      <c r="WLC41" s="214"/>
      <c r="WLD41" s="214"/>
      <c r="WLE41" s="214"/>
      <c r="WLF41" s="214"/>
      <c r="WLG41" s="214"/>
      <c r="WLH41" s="214"/>
      <c r="WLI41" s="214"/>
      <c r="WLJ41" s="214"/>
      <c r="WLK41" s="214"/>
      <c r="WLL41" s="214"/>
      <c r="WLM41" s="214"/>
      <c r="WLN41" s="214"/>
      <c r="WLO41" s="214"/>
      <c r="WLP41" s="214"/>
      <c r="WLQ41" s="214"/>
      <c r="WLR41" s="214"/>
      <c r="WLS41" s="214"/>
      <c r="WLT41" s="214"/>
      <c r="WLU41" s="214"/>
      <c r="WLV41" s="214"/>
      <c r="WLW41" s="214"/>
      <c r="WLX41" s="214"/>
      <c r="WLY41" s="214"/>
      <c r="WLZ41" s="214"/>
      <c r="WMA41" s="214"/>
      <c r="WMB41" s="214"/>
      <c r="WMC41" s="214"/>
      <c r="WMD41" s="214"/>
      <c r="WME41" s="214"/>
      <c r="WMF41" s="214"/>
      <c r="WMG41" s="214"/>
      <c r="WMH41" s="214"/>
      <c r="WMI41" s="214"/>
      <c r="WMJ41" s="214"/>
      <c r="WMK41" s="214"/>
      <c r="WML41" s="214"/>
      <c r="WMM41" s="214"/>
      <c r="WMN41" s="214"/>
      <c r="WMO41" s="214"/>
      <c r="WMP41" s="214"/>
      <c r="WMQ41" s="214"/>
      <c r="WMR41" s="214"/>
      <c r="WMS41" s="214"/>
      <c r="WMT41" s="214"/>
      <c r="WMU41" s="214"/>
      <c r="WMV41" s="214"/>
      <c r="WMW41" s="214"/>
      <c r="WMX41" s="214"/>
      <c r="WMY41" s="214"/>
      <c r="WMZ41" s="214"/>
      <c r="WNA41" s="214"/>
      <c r="WNB41" s="214"/>
      <c r="WNC41" s="214"/>
      <c r="WND41" s="214"/>
      <c r="WNE41" s="214"/>
      <c r="WNF41" s="214"/>
      <c r="WNG41" s="214"/>
      <c r="WNH41" s="214"/>
      <c r="WNI41" s="214"/>
      <c r="WNJ41" s="214"/>
      <c r="WNK41" s="214"/>
      <c r="WNL41" s="214"/>
      <c r="WNM41" s="214"/>
      <c r="WNN41" s="214"/>
      <c r="WNO41" s="214"/>
      <c r="WNP41" s="214"/>
      <c r="WNQ41" s="214"/>
      <c r="WNR41" s="214"/>
      <c r="WNS41" s="214"/>
      <c r="WNT41" s="214"/>
      <c r="WNU41" s="214"/>
      <c r="WNV41" s="214"/>
      <c r="WNW41" s="214"/>
      <c r="WNX41" s="214"/>
      <c r="WNY41" s="214"/>
      <c r="WNZ41" s="214"/>
      <c r="WOA41" s="214"/>
      <c r="WOB41" s="214"/>
      <c r="WOC41" s="214"/>
      <c r="WOD41" s="214"/>
      <c r="WOE41" s="214"/>
      <c r="WOF41" s="214"/>
      <c r="WOG41" s="214"/>
      <c r="WOH41" s="214"/>
      <c r="WOI41" s="214"/>
      <c r="WOJ41" s="214"/>
      <c r="WOK41" s="214"/>
      <c r="WOL41" s="214"/>
      <c r="WOM41" s="214"/>
      <c r="WON41" s="214"/>
      <c r="WOO41" s="214"/>
      <c r="WOP41" s="214"/>
      <c r="WOQ41" s="214"/>
      <c r="WOR41" s="214"/>
      <c r="WOS41" s="214"/>
      <c r="WOT41" s="214"/>
      <c r="WOU41" s="214"/>
      <c r="WOV41" s="214"/>
      <c r="WOW41" s="214"/>
      <c r="WOX41" s="214"/>
      <c r="WOY41" s="214"/>
      <c r="WOZ41" s="214"/>
      <c r="WPA41" s="214"/>
      <c r="WPB41" s="214"/>
      <c r="WPC41" s="214"/>
      <c r="WPD41" s="214"/>
      <c r="WPE41" s="214"/>
      <c r="WPF41" s="214"/>
      <c r="WPG41" s="214"/>
      <c r="WPH41" s="214"/>
      <c r="WPI41" s="214"/>
      <c r="WPJ41" s="214"/>
      <c r="WPK41" s="214"/>
      <c r="WPL41" s="214"/>
      <c r="WPM41" s="214"/>
      <c r="WPN41" s="214"/>
      <c r="WPO41" s="214"/>
      <c r="WPP41" s="214"/>
      <c r="WPQ41" s="214"/>
      <c r="WPR41" s="214"/>
      <c r="WPS41" s="214"/>
      <c r="WPT41" s="214"/>
      <c r="WPU41" s="214"/>
      <c r="WPV41" s="214"/>
      <c r="WPW41" s="214"/>
      <c r="WPX41" s="214"/>
      <c r="WPY41" s="214"/>
      <c r="WPZ41" s="214"/>
      <c r="WQA41" s="214"/>
      <c r="WQB41" s="214"/>
      <c r="WQC41" s="214"/>
      <c r="WQD41" s="214"/>
      <c r="WQE41" s="214"/>
      <c r="WQF41" s="214"/>
      <c r="WQG41" s="214"/>
      <c r="WQH41" s="214"/>
      <c r="WQI41" s="214"/>
      <c r="WQJ41" s="214"/>
      <c r="WQK41" s="214"/>
      <c r="WQL41" s="214"/>
      <c r="WQM41" s="214"/>
      <c r="WQN41" s="214"/>
      <c r="WQO41" s="214"/>
      <c r="WQP41" s="214"/>
      <c r="WQQ41" s="214"/>
      <c r="WQR41" s="214"/>
      <c r="WQS41" s="214"/>
      <c r="WQT41" s="214"/>
      <c r="WQU41" s="214"/>
      <c r="WQV41" s="214"/>
      <c r="WQW41" s="214"/>
      <c r="WQX41" s="214"/>
      <c r="WQY41" s="214"/>
      <c r="WQZ41" s="214"/>
      <c r="WRA41" s="214"/>
      <c r="WRB41" s="214"/>
      <c r="WRC41" s="214"/>
      <c r="WRD41" s="214"/>
      <c r="WRE41" s="214"/>
      <c r="WRF41" s="214"/>
      <c r="WRG41" s="214"/>
      <c r="WRH41" s="214"/>
      <c r="WRI41" s="214"/>
      <c r="WRJ41" s="214"/>
      <c r="WRK41" s="214"/>
      <c r="WRL41" s="214"/>
      <c r="WRM41" s="214"/>
      <c r="WRN41" s="214"/>
      <c r="WRO41" s="214"/>
      <c r="WRP41" s="214"/>
      <c r="WRQ41" s="214"/>
      <c r="WRR41" s="214"/>
      <c r="WRS41" s="214"/>
      <c r="WRT41" s="214"/>
      <c r="WRU41" s="214"/>
      <c r="WRV41" s="214"/>
      <c r="WRW41" s="214"/>
      <c r="WRX41" s="214"/>
      <c r="WRY41" s="214"/>
      <c r="WRZ41" s="214"/>
      <c r="WSA41" s="214"/>
      <c r="WSB41" s="214"/>
      <c r="WSC41" s="214"/>
      <c r="WSD41" s="214"/>
      <c r="WSE41" s="214"/>
      <c r="WSF41" s="214"/>
      <c r="WSG41" s="214"/>
      <c r="WSH41" s="214"/>
      <c r="WSI41" s="214"/>
      <c r="WSJ41" s="214"/>
      <c r="WSK41" s="214"/>
      <c r="WSL41" s="214"/>
      <c r="WSM41" s="214"/>
      <c r="WSN41" s="214"/>
      <c r="WSO41" s="214"/>
      <c r="WSP41" s="214"/>
      <c r="WSQ41" s="214"/>
      <c r="WSR41" s="214"/>
      <c r="WSS41" s="214"/>
      <c r="WST41" s="214"/>
      <c r="WSU41" s="214"/>
      <c r="WSV41" s="214"/>
      <c r="WSW41" s="214"/>
      <c r="WSX41" s="214"/>
      <c r="WSY41" s="214"/>
      <c r="WSZ41" s="214"/>
      <c r="WTA41" s="214"/>
      <c r="WTB41" s="214"/>
      <c r="WTC41" s="214"/>
      <c r="WTD41" s="214"/>
      <c r="WTE41" s="214"/>
      <c r="WTF41" s="214"/>
      <c r="WTG41" s="214"/>
      <c r="WTH41" s="214"/>
      <c r="WTI41" s="214"/>
      <c r="WTJ41" s="214"/>
      <c r="WTK41" s="214"/>
      <c r="WTL41" s="214"/>
      <c r="WTM41" s="214"/>
      <c r="WTN41" s="214"/>
      <c r="WTO41" s="214"/>
      <c r="WTP41" s="214"/>
      <c r="WTQ41" s="214"/>
      <c r="WTR41" s="214"/>
      <c r="WTS41" s="214"/>
      <c r="WTT41" s="214"/>
      <c r="WTU41" s="214"/>
      <c r="WTV41" s="214"/>
      <c r="WTW41" s="214"/>
      <c r="WTX41" s="214"/>
      <c r="WTY41" s="214"/>
      <c r="WTZ41" s="214"/>
      <c r="WUA41" s="214"/>
      <c r="WUB41" s="214"/>
      <c r="WUC41" s="214"/>
      <c r="WUD41" s="214"/>
      <c r="WUE41" s="214"/>
      <c r="WUF41" s="214"/>
      <c r="WUG41" s="214"/>
      <c r="WUH41" s="214"/>
      <c r="WUI41" s="214"/>
      <c r="WUJ41" s="214"/>
      <c r="WUK41" s="214"/>
      <c r="WUL41" s="214"/>
      <c r="WUM41" s="214"/>
      <c r="WUN41" s="214"/>
      <c r="WUO41" s="214"/>
      <c r="WUP41" s="214"/>
      <c r="WUQ41" s="214"/>
      <c r="WUR41" s="214"/>
      <c r="WUS41" s="214"/>
      <c r="WUT41" s="214"/>
      <c r="WUU41" s="214"/>
      <c r="WUV41" s="214"/>
      <c r="WUW41" s="214"/>
      <c r="WUX41" s="214"/>
      <c r="WUY41" s="214"/>
      <c r="WUZ41" s="214"/>
      <c r="WVA41" s="214"/>
      <c r="WVB41" s="214"/>
      <c r="WVC41" s="214"/>
      <c r="WVD41" s="214"/>
      <c r="WVE41" s="214"/>
      <c r="WVF41" s="214"/>
      <c r="WVG41" s="214"/>
      <c r="WVH41" s="214"/>
      <c r="WVI41" s="214"/>
      <c r="WVJ41" s="214"/>
      <c r="WVK41" s="214"/>
      <c r="WVL41" s="214"/>
      <c r="WVM41" s="214"/>
      <c r="WVN41" s="214"/>
      <c r="WVO41" s="214"/>
      <c r="WVP41" s="214"/>
      <c r="WVQ41" s="214"/>
      <c r="WVR41" s="214"/>
      <c r="WVS41" s="214"/>
      <c r="WVT41" s="214"/>
      <c r="WVU41" s="214"/>
      <c r="WVV41" s="214"/>
      <c r="WVW41" s="214"/>
      <c r="WVX41" s="214"/>
      <c r="WVY41" s="214"/>
      <c r="WVZ41" s="214"/>
      <c r="WWA41" s="214"/>
      <c r="WWB41" s="214"/>
      <c r="WWC41" s="214"/>
      <c r="WWD41" s="214"/>
      <c r="WWE41" s="214"/>
      <c r="WWF41" s="214"/>
      <c r="WWG41" s="214"/>
      <c r="WWH41" s="214"/>
      <c r="WWI41" s="214"/>
      <c r="WWJ41" s="214"/>
      <c r="WWK41" s="214"/>
      <c r="WWL41" s="214"/>
      <c r="WWM41" s="214"/>
      <c r="WWN41" s="214"/>
      <c r="WWO41" s="214"/>
      <c r="WWP41" s="214"/>
      <c r="WWQ41" s="214"/>
      <c r="WWR41" s="214"/>
      <c r="WWS41" s="214"/>
      <c r="WWT41" s="214"/>
      <c r="WWU41" s="214"/>
      <c r="WWV41" s="214"/>
      <c r="WWW41" s="214"/>
      <c r="WWX41" s="214"/>
      <c r="WWY41" s="214"/>
      <c r="WWZ41" s="214"/>
      <c r="WXA41" s="214"/>
      <c r="WXB41" s="214"/>
      <c r="WXC41" s="214"/>
      <c r="WXD41" s="214"/>
      <c r="WXE41" s="214"/>
      <c r="WXF41" s="214"/>
      <c r="WXG41" s="214"/>
      <c r="WXH41" s="214"/>
      <c r="WXI41" s="214"/>
      <c r="WXJ41" s="214"/>
      <c r="WXK41" s="214"/>
      <c r="WXL41" s="214"/>
      <c r="WXM41" s="214"/>
      <c r="WXN41" s="214"/>
      <c r="WXO41" s="214"/>
      <c r="WXP41" s="214"/>
      <c r="WXQ41" s="214"/>
      <c r="WXR41" s="214"/>
      <c r="WXS41" s="214"/>
      <c r="WXT41" s="214"/>
      <c r="WXU41" s="214"/>
      <c r="WXV41" s="214"/>
      <c r="WXW41" s="214"/>
      <c r="WXX41" s="214"/>
      <c r="WXY41" s="214"/>
      <c r="WXZ41" s="214"/>
      <c r="WYA41" s="214"/>
      <c r="WYB41" s="214"/>
      <c r="WYC41" s="214"/>
      <c r="WYD41" s="214"/>
      <c r="WYE41" s="214"/>
      <c r="WYF41" s="214"/>
      <c r="WYG41" s="214"/>
      <c r="WYH41" s="214"/>
      <c r="WYI41" s="214"/>
      <c r="WYJ41" s="214"/>
      <c r="WYK41" s="214"/>
      <c r="WYL41" s="214"/>
      <c r="WYM41" s="214"/>
      <c r="WYN41" s="214"/>
      <c r="WYO41" s="214"/>
      <c r="WYP41" s="214"/>
      <c r="WYQ41" s="214"/>
      <c r="WYR41" s="214"/>
      <c r="WYS41" s="214"/>
      <c r="WYT41" s="214"/>
      <c r="WYU41" s="214"/>
      <c r="WYV41" s="214"/>
      <c r="WYW41" s="214"/>
      <c r="WYX41" s="214"/>
      <c r="WYY41" s="214"/>
      <c r="WYZ41" s="214"/>
      <c r="WZA41" s="214"/>
      <c r="WZB41" s="214"/>
      <c r="WZC41" s="214"/>
      <c r="WZD41" s="214"/>
      <c r="WZE41" s="214"/>
      <c r="WZF41" s="214"/>
      <c r="WZG41" s="214"/>
      <c r="WZH41" s="214"/>
      <c r="WZI41" s="214"/>
      <c r="WZJ41" s="214"/>
      <c r="WZK41" s="214"/>
      <c r="WZL41" s="214"/>
      <c r="WZM41" s="214"/>
      <c r="WZN41" s="214"/>
      <c r="WZO41" s="214"/>
      <c r="WZP41" s="214"/>
      <c r="WZQ41" s="214"/>
      <c r="WZR41" s="214"/>
      <c r="WZS41" s="214"/>
      <c r="WZT41" s="214"/>
      <c r="WZU41" s="214"/>
      <c r="WZV41" s="214"/>
      <c r="WZW41" s="214"/>
      <c r="WZX41" s="214"/>
      <c r="WZY41" s="214"/>
      <c r="WZZ41" s="214"/>
      <c r="XAA41" s="214"/>
      <c r="XAB41" s="214"/>
      <c r="XAC41" s="214"/>
      <c r="XAD41" s="214"/>
      <c r="XAE41" s="214"/>
      <c r="XAF41" s="214"/>
      <c r="XAG41" s="214"/>
      <c r="XAH41" s="214"/>
      <c r="XAI41" s="214"/>
      <c r="XAJ41" s="214"/>
      <c r="XAK41" s="214"/>
      <c r="XAL41" s="214"/>
      <c r="XAM41" s="214"/>
      <c r="XAN41" s="214"/>
      <c r="XAO41" s="214"/>
      <c r="XAP41" s="214"/>
      <c r="XAQ41" s="214"/>
      <c r="XAR41" s="214"/>
      <c r="XAS41" s="214"/>
      <c r="XAT41" s="214"/>
      <c r="XAU41" s="214"/>
      <c r="XAV41" s="214"/>
      <c r="XAW41" s="214"/>
      <c r="XAX41" s="214"/>
      <c r="XAY41" s="214"/>
      <c r="XAZ41" s="214"/>
      <c r="XBA41" s="214"/>
      <c r="XBB41" s="214"/>
      <c r="XBC41" s="214"/>
      <c r="XBD41" s="214"/>
      <c r="XBE41" s="214"/>
      <c r="XBF41" s="214"/>
      <c r="XBG41" s="214"/>
      <c r="XBH41" s="214"/>
      <c r="XBI41" s="214"/>
      <c r="XBJ41" s="214"/>
      <c r="XBK41" s="214"/>
      <c r="XBL41" s="214"/>
      <c r="XBM41" s="214"/>
      <c r="XBN41" s="214"/>
      <c r="XBO41" s="214"/>
      <c r="XBP41" s="214"/>
      <c r="XBQ41" s="214"/>
      <c r="XBR41" s="214"/>
      <c r="XBS41" s="214"/>
      <c r="XBT41" s="214"/>
      <c r="XBU41" s="214"/>
      <c r="XBV41" s="214"/>
      <c r="XBW41" s="214"/>
      <c r="XBX41" s="214"/>
      <c r="XBY41" s="214"/>
      <c r="XBZ41" s="214"/>
      <c r="XCA41" s="214"/>
      <c r="XCB41" s="214"/>
      <c r="XCC41" s="214"/>
      <c r="XCD41" s="214"/>
      <c r="XCE41" s="214"/>
      <c r="XCF41" s="214"/>
      <c r="XCG41" s="214"/>
      <c r="XCH41" s="214"/>
      <c r="XCI41" s="214"/>
      <c r="XCJ41" s="214"/>
      <c r="XCK41" s="214"/>
      <c r="XCL41" s="214"/>
      <c r="XCM41" s="214"/>
      <c r="XCN41" s="214"/>
      <c r="XCO41" s="214"/>
      <c r="XCP41" s="214"/>
      <c r="XCQ41" s="214"/>
      <c r="XCR41" s="214"/>
      <c r="XCS41" s="214"/>
      <c r="XCT41" s="214"/>
      <c r="XCU41" s="214"/>
      <c r="XCV41" s="214"/>
      <c r="XCW41" s="214"/>
      <c r="XCX41" s="214"/>
      <c r="XCY41" s="214"/>
      <c r="XCZ41" s="214"/>
      <c r="XDA41" s="214"/>
      <c r="XDB41" s="214"/>
      <c r="XDC41" s="214"/>
      <c r="XDD41" s="214"/>
      <c r="XDE41" s="214"/>
      <c r="XDF41" s="214"/>
      <c r="XDG41" s="214"/>
      <c r="XDH41" s="214"/>
      <c r="XDI41" s="214"/>
      <c r="XDJ41" s="214"/>
      <c r="XDK41" s="214"/>
      <c r="XDL41" s="214"/>
      <c r="XDM41" s="214"/>
      <c r="XDN41" s="214"/>
      <c r="XDO41" s="214"/>
      <c r="XDP41" s="214"/>
      <c r="XDQ41" s="214"/>
      <c r="XDR41" s="214"/>
      <c r="XDS41" s="214"/>
      <c r="XDT41" s="214"/>
      <c r="XDU41" s="214"/>
      <c r="XDV41" s="214"/>
      <c r="XDW41" s="214"/>
      <c r="XDX41" s="214"/>
      <c r="XDY41" s="214"/>
      <c r="XDZ41" s="214"/>
      <c r="XEA41" s="214"/>
      <c r="XEB41" s="214"/>
      <c r="XEC41" s="214"/>
      <c r="XED41" s="214"/>
      <c r="XEE41" s="214"/>
      <c r="XEF41" s="214"/>
      <c r="XEG41" s="214"/>
      <c r="XEH41" s="214"/>
      <c r="XEI41" s="214"/>
      <c r="XEJ41" s="214"/>
      <c r="XEK41" s="214"/>
      <c r="XEL41" s="214"/>
      <c r="XEM41" s="214"/>
      <c r="XEN41" s="214"/>
      <c r="XEO41" s="214"/>
      <c r="XEP41" s="214"/>
      <c r="XEQ41" s="214"/>
      <c r="XER41" s="214"/>
      <c r="XES41" s="214"/>
      <c r="XET41" s="214"/>
      <c r="XEU41" s="214"/>
      <c r="XEV41" s="214"/>
      <c r="XEW41" s="214"/>
      <c r="XEX41" s="214"/>
      <c r="XEY41" s="214"/>
      <c r="XEZ41" s="214"/>
      <c r="XFA41" s="214"/>
      <c r="XFB41" s="214"/>
      <c r="XFC41" s="214"/>
      <c r="XFD41" s="214"/>
    </row>
    <row r="42" spans="1:16384" s="72" customFormat="1" ht="15" thickBot="1" x14ac:dyDescent="0.35">
      <c r="A42" s="220" t="s">
        <v>480</v>
      </c>
      <c r="B42" s="221" t="s">
        <v>503</v>
      </c>
      <c r="C42" s="219" t="s">
        <v>527</v>
      </c>
      <c r="D42" s="55">
        <v>150000</v>
      </c>
      <c r="E42" s="54">
        <f t="shared" si="1"/>
        <v>150000</v>
      </c>
      <c r="F42" s="55">
        <f t="shared" si="0"/>
        <v>0</v>
      </c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>
        <v>21938</v>
      </c>
      <c r="W42" s="215"/>
      <c r="X42" s="55">
        <v>128062</v>
      </c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4"/>
      <c r="CO42" s="214"/>
      <c r="CP42" s="214"/>
      <c r="CQ42" s="214"/>
      <c r="CR42" s="214"/>
      <c r="CS42" s="214"/>
      <c r="CT42" s="214"/>
      <c r="CU42" s="214"/>
      <c r="CV42" s="214"/>
      <c r="CW42" s="214"/>
      <c r="CX42" s="214"/>
      <c r="CY42" s="214"/>
      <c r="CZ42" s="214"/>
      <c r="DA42" s="214"/>
      <c r="DB42" s="214"/>
      <c r="DC42" s="214"/>
      <c r="DD42" s="214"/>
      <c r="DE42" s="214"/>
      <c r="DF42" s="214"/>
      <c r="DG42" s="214"/>
      <c r="DH42" s="214"/>
      <c r="DI42" s="214"/>
      <c r="DJ42" s="214"/>
      <c r="DK42" s="214"/>
      <c r="DL42" s="214"/>
      <c r="DM42" s="214"/>
      <c r="DN42" s="214"/>
      <c r="DO42" s="214"/>
      <c r="DP42" s="214"/>
      <c r="DQ42" s="214"/>
      <c r="DR42" s="214"/>
      <c r="DS42" s="214"/>
      <c r="DT42" s="214"/>
      <c r="DU42" s="214"/>
      <c r="DV42" s="214"/>
      <c r="DW42" s="214"/>
      <c r="DX42" s="214"/>
      <c r="DY42" s="214"/>
      <c r="DZ42" s="214"/>
      <c r="EA42" s="214"/>
      <c r="EB42" s="214"/>
      <c r="EC42" s="214"/>
      <c r="ED42" s="214"/>
      <c r="EE42" s="214"/>
      <c r="EF42" s="214"/>
      <c r="EG42" s="214"/>
      <c r="EH42" s="214"/>
      <c r="EI42" s="214"/>
      <c r="EJ42" s="214"/>
      <c r="EK42" s="214"/>
      <c r="EL42" s="214"/>
      <c r="EM42" s="214"/>
      <c r="EN42" s="214"/>
      <c r="EO42" s="214"/>
      <c r="EP42" s="214"/>
      <c r="EQ42" s="214"/>
      <c r="ER42" s="214"/>
      <c r="ES42" s="214"/>
      <c r="ET42" s="214"/>
      <c r="EU42" s="214"/>
      <c r="EV42" s="214"/>
      <c r="EW42" s="214"/>
      <c r="EX42" s="214"/>
      <c r="EY42" s="214"/>
      <c r="EZ42" s="214"/>
      <c r="FA42" s="214"/>
      <c r="FB42" s="214"/>
      <c r="FC42" s="214"/>
      <c r="FD42" s="214"/>
      <c r="FE42" s="214"/>
      <c r="FF42" s="214"/>
      <c r="FG42" s="214"/>
      <c r="FH42" s="214"/>
      <c r="FI42" s="214"/>
      <c r="FJ42" s="214"/>
      <c r="FK42" s="214"/>
      <c r="FL42" s="214"/>
      <c r="FM42" s="214"/>
      <c r="FN42" s="214"/>
      <c r="FO42" s="214"/>
      <c r="FP42" s="214"/>
      <c r="FQ42" s="214"/>
      <c r="FR42" s="214"/>
      <c r="FS42" s="214"/>
      <c r="FT42" s="214"/>
      <c r="FU42" s="214"/>
      <c r="FV42" s="214"/>
      <c r="FW42" s="214"/>
      <c r="FX42" s="214"/>
      <c r="FY42" s="214"/>
      <c r="FZ42" s="214"/>
      <c r="GA42" s="214"/>
      <c r="GB42" s="214"/>
      <c r="GC42" s="214"/>
      <c r="GD42" s="214"/>
      <c r="GE42" s="214"/>
      <c r="GF42" s="214"/>
      <c r="GG42" s="214"/>
      <c r="GH42" s="214"/>
      <c r="GI42" s="214"/>
      <c r="GJ42" s="214"/>
      <c r="GK42" s="214"/>
      <c r="GL42" s="214"/>
      <c r="GM42" s="214"/>
      <c r="GN42" s="214"/>
      <c r="GO42" s="214"/>
      <c r="GP42" s="214"/>
      <c r="GQ42" s="214"/>
      <c r="GR42" s="214"/>
      <c r="GS42" s="214"/>
      <c r="GT42" s="214"/>
      <c r="GU42" s="214"/>
      <c r="GV42" s="214"/>
      <c r="GW42" s="214"/>
      <c r="GX42" s="214"/>
      <c r="GY42" s="214"/>
      <c r="GZ42" s="214"/>
      <c r="HA42" s="214"/>
      <c r="HB42" s="214"/>
      <c r="HC42" s="214"/>
      <c r="HD42" s="214"/>
      <c r="HE42" s="214"/>
      <c r="HF42" s="214"/>
      <c r="HG42" s="214"/>
      <c r="HH42" s="214"/>
      <c r="HI42" s="214"/>
      <c r="HJ42" s="214"/>
      <c r="HK42" s="214"/>
      <c r="HL42" s="214"/>
      <c r="HM42" s="214"/>
      <c r="HN42" s="214"/>
      <c r="HO42" s="214"/>
      <c r="HP42" s="214"/>
      <c r="HQ42" s="214"/>
      <c r="HR42" s="214"/>
      <c r="HS42" s="214"/>
      <c r="HT42" s="214"/>
      <c r="HU42" s="214"/>
      <c r="HV42" s="214"/>
      <c r="HW42" s="214"/>
      <c r="HX42" s="214"/>
      <c r="HY42" s="214"/>
      <c r="HZ42" s="214"/>
      <c r="IA42" s="214"/>
      <c r="IB42" s="214"/>
      <c r="IC42" s="214"/>
      <c r="ID42" s="214"/>
      <c r="IE42" s="214"/>
      <c r="IF42" s="214"/>
      <c r="IG42" s="214"/>
      <c r="IH42" s="214"/>
      <c r="II42" s="214"/>
      <c r="IJ42" s="214"/>
      <c r="IK42" s="214"/>
      <c r="IL42" s="214"/>
      <c r="IM42" s="214"/>
      <c r="IN42" s="214"/>
      <c r="IO42" s="214"/>
      <c r="IP42" s="214"/>
      <c r="IQ42" s="214"/>
      <c r="IR42" s="214"/>
      <c r="IS42" s="214"/>
      <c r="IT42" s="214"/>
      <c r="IU42" s="214"/>
      <c r="IV42" s="214"/>
      <c r="IW42" s="214"/>
      <c r="IX42" s="214"/>
      <c r="IY42" s="214"/>
      <c r="IZ42" s="214"/>
      <c r="JA42" s="214"/>
      <c r="JB42" s="214"/>
      <c r="JC42" s="214"/>
      <c r="JD42" s="214"/>
      <c r="JE42" s="214"/>
      <c r="JF42" s="214"/>
      <c r="JG42" s="214"/>
      <c r="JH42" s="214"/>
      <c r="JI42" s="214"/>
      <c r="JJ42" s="214"/>
      <c r="JK42" s="214"/>
      <c r="JL42" s="214"/>
      <c r="JM42" s="214"/>
      <c r="JN42" s="214"/>
      <c r="JO42" s="214"/>
      <c r="JP42" s="214"/>
      <c r="JQ42" s="214"/>
      <c r="JR42" s="214"/>
      <c r="JS42" s="214"/>
      <c r="JT42" s="214"/>
      <c r="JU42" s="214"/>
      <c r="JV42" s="214"/>
      <c r="JW42" s="214"/>
      <c r="JX42" s="214"/>
      <c r="JY42" s="214"/>
      <c r="JZ42" s="214"/>
      <c r="KA42" s="214"/>
      <c r="KB42" s="214"/>
      <c r="KC42" s="214"/>
      <c r="KD42" s="214"/>
      <c r="KE42" s="214"/>
      <c r="KF42" s="214"/>
      <c r="KG42" s="214"/>
      <c r="KH42" s="214"/>
      <c r="KI42" s="214"/>
      <c r="KJ42" s="214"/>
      <c r="KK42" s="214"/>
      <c r="KL42" s="214"/>
      <c r="KM42" s="214"/>
      <c r="KN42" s="214"/>
      <c r="KO42" s="214"/>
      <c r="KP42" s="214"/>
      <c r="KQ42" s="214"/>
      <c r="KR42" s="214"/>
      <c r="KS42" s="214"/>
      <c r="KT42" s="214"/>
      <c r="KU42" s="214"/>
      <c r="KV42" s="214"/>
      <c r="KW42" s="214"/>
      <c r="KX42" s="214"/>
      <c r="KY42" s="214"/>
      <c r="KZ42" s="214"/>
      <c r="LA42" s="214"/>
      <c r="LB42" s="214"/>
      <c r="LC42" s="214"/>
      <c r="LD42" s="214"/>
      <c r="LE42" s="214"/>
      <c r="LF42" s="214"/>
      <c r="LG42" s="214"/>
      <c r="LH42" s="214"/>
      <c r="LI42" s="214"/>
      <c r="LJ42" s="214"/>
      <c r="LK42" s="214"/>
      <c r="LL42" s="214"/>
      <c r="LM42" s="214"/>
      <c r="LN42" s="214"/>
      <c r="LO42" s="214"/>
      <c r="LP42" s="214"/>
      <c r="LQ42" s="214"/>
      <c r="LR42" s="214"/>
      <c r="LS42" s="214"/>
      <c r="LT42" s="214"/>
      <c r="LU42" s="214"/>
      <c r="LV42" s="214"/>
      <c r="LW42" s="214"/>
      <c r="LX42" s="214"/>
      <c r="LY42" s="214"/>
      <c r="LZ42" s="214"/>
      <c r="MA42" s="214"/>
      <c r="MB42" s="214"/>
      <c r="MC42" s="214"/>
      <c r="MD42" s="214"/>
      <c r="ME42" s="214"/>
      <c r="MF42" s="214"/>
      <c r="MG42" s="214"/>
      <c r="MH42" s="214"/>
      <c r="MI42" s="214"/>
      <c r="MJ42" s="214"/>
      <c r="MK42" s="214"/>
      <c r="ML42" s="214"/>
      <c r="MM42" s="214"/>
      <c r="MN42" s="214"/>
      <c r="MO42" s="214"/>
      <c r="MP42" s="214"/>
      <c r="MQ42" s="214"/>
      <c r="MR42" s="214"/>
      <c r="MS42" s="214"/>
      <c r="MT42" s="214"/>
      <c r="MU42" s="214"/>
      <c r="MV42" s="214"/>
      <c r="MW42" s="214"/>
      <c r="MX42" s="214"/>
      <c r="MY42" s="214"/>
      <c r="MZ42" s="214"/>
      <c r="NA42" s="214"/>
      <c r="NB42" s="214"/>
      <c r="NC42" s="214"/>
      <c r="ND42" s="214"/>
      <c r="NE42" s="214"/>
      <c r="NF42" s="214"/>
      <c r="NG42" s="214"/>
      <c r="NH42" s="214"/>
      <c r="NI42" s="214"/>
      <c r="NJ42" s="214"/>
      <c r="NK42" s="214"/>
      <c r="NL42" s="214"/>
      <c r="NM42" s="214"/>
      <c r="NN42" s="214"/>
      <c r="NO42" s="214"/>
      <c r="NP42" s="214"/>
      <c r="NQ42" s="214"/>
      <c r="NR42" s="214"/>
      <c r="NS42" s="214"/>
      <c r="NT42" s="214"/>
      <c r="NU42" s="214"/>
      <c r="NV42" s="214"/>
      <c r="NW42" s="214"/>
      <c r="NX42" s="214"/>
      <c r="NY42" s="214"/>
      <c r="NZ42" s="214"/>
      <c r="OA42" s="214"/>
      <c r="OB42" s="214"/>
      <c r="OC42" s="214"/>
      <c r="OD42" s="214"/>
      <c r="OE42" s="214"/>
      <c r="OF42" s="214"/>
      <c r="OG42" s="214"/>
      <c r="OH42" s="214"/>
      <c r="OI42" s="214"/>
      <c r="OJ42" s="214"/>
      <c r="OK42" s="214"/>
      <c r="OL42" s="214"/>
      <c r="OM42" s="214"/>
      <c r="ON42" s="214"/>
      <c r="OO42" s="214"/>
      <c r="OP42" s="214"/>
      <c r="OQ42" s="214"/>
      <c r="OR42" s="214"/>
      <c r="OS42" s="214"/>
      <c r="OT42" s="214"/>
      <c r="OU42" s="214"/>
      <c r="OV42" s="214"/>
      <c r="OW42" s="214"/>
      <c r="OX42" s="214"/>
      <c r="OY42" s="214"/>
      <c r="OZ42" s="214"/>
      <c r="PA42" s="214"/>
      <c r="PB42" s="214"/>
      <c r="PC42" s="214"/>
      <c r="PD42" s="214"/>
      <c r="PE42" s="214"/>
      <c r="PF42" s="214"/>
      <c r="PG42" s="214"/>
      <c r="PH42" s="214"/>
      <c r="PI42" s="214"/>
      <c r="PJ42" s="214"/>
      <c r="PK42" s="214"/>
      <c r="PL42" s="214"/>
      <c r="PM42" s="214"/>
      <c r="PN42" s="214"/>
      <c r="PO42" s="214"/>
      <c r="PP42" s="214"/>
      <c r="PQ42" s="214"/>
      <c r="PR42" s="214"/>
      <c r="PS42" s="214"/>
      <c r="PT42" s="214"/>
      <c r="PU42" s="214"/>
      <c r="PV42" s="214"/>
      <c r="PW42" s="214"/>
      <c r="PX42" s="214"/>
      <c r="PY42" s="214"/>
      <c r="PZ42" s="214"/>
      <c r="QA42" s="214"/>
      <c r="QB42" s="214"/>
      <c r="QC42" s="214"/>
      <c r="QD42" s="214"/>
      <c r="QE42" s="214"/>
      <c r="QF42" s="214"/>
      <c r="QG42" s="214"/>
      <c r="QH42" s="214"/>
      <c r="QI42" s="214"/>
      <c r="QJ42" s="214"/>
      <c r="QK42" s="214"/>
      <c r="QL42" s="214"/>
      <c r="QM42" s="214"/>
      <c r="QN42" s="214"/>
      <c r="QO42" s="214"/>
      <c r="QP42" s="214"/>
      <c r="QQ42" s="214"/>
      <c r="QR42" s="214"/>
      <c r="QS42" s="214"/>
      <c r="QT42" s="214"/>
      <c r="QU42" s="214"/>
      <c r="QV42" s="214"/>
      <c r="QW42" s="214"/>
      <c r="QX42" s="214"/>
      <c r="QY42" s="214"/>
      <c r="QZ42" s="214"/>
      <c r="RA42" s="214"/>
      <c r="RB42" s="214"/>
      <c r="RC42" s="214"/>
      <c r="RD42" s="214"/>
      <c r="RE42" s="214"/>
      <c r="RF42" s="214"/>
      <c r="RG42" s="214"/>
      <c r="RH42" s="214"/>
      <c r="RI42" s="214"/>
      <c r="RJ42" s="214"/>
      <c r="RK42" s="214"/>
      <c r="RL42" s="214"/>
      <c r="RM42" s="214"/>
      <c r="RN42" s="214"/>
      <c r="RO42" s="214"/>
      <c r="RP42" s="214"/>
      <c r="RQ42" s="214"/>
      <c r="RR42" s="214"/>
      <c r="RS42" s="214"/>
      <c r="RT42" s="214"/>
      <c r="RU42" s="214"/>
      <c r="RV42" s="214"/>
      <c r="RW42" s="214"/>
      <c r="RX42" s="214"/>
      <c r="RY42" s="214"/>
      <c r="RZ42" s="214"/>
      <c r="SA42" s="214"/>
      <c r="SB42" s="214"/>
      <c r="SC42" s="214"/>
      <c r="SD42" s="214"/>
      <c r="SE42" s="214"/>
      <c r="SF42" s="214"/>
      <c r="SG42" s="214"/>
      <c r="SH42" s="214"/>
      <c r="SI42" s="214"/>
      <c r="SJ42" s="214"/>
      <c r="SK42" s="214"/>
      <c r="SL42" s="214"/>
      <c r="SM42" s="214"/>
      <c r="SN42" s="214"/>
      <c r="SO42" s="214"/>
      <c r="SP42" s="214"/>
      <c r="SQ42" s="214"/>
      <c r="SR42" s="214"/>
      <c r="SS42" s="214"/>
      <c r="ST42" s="214"/>
      <c r="SU42" s="214"/>
      <c r="SV42" s="214"/>
      <c r="SW42" s="214"/>
      <c r="SX42" s="214"/>
      <c r="SY42" s="214"/>
      <c r="SZ42" s="214"/>
      <c r="TA42" s="214"/>
      <c r="TB42" s="214"/>
      <c r="TC42" s="214"/>
      <c r="TD42" s="214"/>
      <c r="TE42" s="214"/>
      <c r="TF42" s="214"/>
      <c r="TG42" s="214"/>
      <c r="TH42" s="214"/>
      <c r="TI42" s="214"/>
      <c r="TJ42" s="214"/>
      <c r="TK42" s="214"/>
      <c r="TL42" s="214"/>
      <c r="TM42" s="214"/>
      <c r="TN42" s="214"/>
      <c r="TO42" s="214"/>
      <c r="TP42" s="214"/>
      <c r="TQ42" s="214"/>
      <c r="TR42" s="214"/>
      <c r="TS42" s="214"/>
      <c r="TT42" s="214"/>
      <c r="TU42" s="214"/>
      <c r="TV42" s="214"/>
      <c r="TW42" s="214"/>
      <c r="TX42" s="214"/>
      <c r="TY42" s="214"/>
      <c r="TZ42" s="214"/>
      <c r="UA42" s="214"/>
      <c r="UB42" s="214"/>
      <c r="UC42" s="214"/>
      <c r="UD42" s="214"/>
      <c r="UE42" s="214"/>
      <c r="UF42" s="214"/>
      <c r="UG42" s="214"/>
      <c r="UH42" s="214"/>
      <c r="UI42" s="214"/>
      <c r="UJ42" s="214"/>
      <c r="UK42" s="214"/>
      <c r="UL42" s="214"/>
      <c r="UM42" s="214"/>
      <c r="UN42" s="214"/>
      <c r="UO42" s="214"/>
      <c r="UP42" s="214"/>
      <c r="UQ42" s="214"/>
      <c r="UR42" s="214"/>
      <c r="US42" s="214"/>
      <c r="UT42" s="214"/>
      <c r="UU42" s="214"/>
      <c r="UV42" s="214"/>
      <c r="UW42" s="214"/>
      <c r="UX42" s="214"/>
      <c r="UY42" s="214"/>
      <c r="UZ42" s="214"/>
      <c r="VA42" s="214"/>
      <c r="VB42" s="214"/>
      <c r="VC42" s="214"/>
      <c r="VD42" s="214"/>
      <c r="VE42" s="214"/>
      <c r="VF42" s="214"/>
      <c r="VG42" s="214"/>
      <c r="VH42" s="214"/>
      <c r="VI42" s="214"/>
      <c r="VJ42" s="214"/>
      <c r="VK42" s="214"/>
      <c r="VL42" s="214"/>
      <c r="VM42" s="214"/>
      <c r="VN42" s="214"/>
      <c r="VO42" s="214"/>
      <c r="VP42" s="214"/>
      <c r="VQ42" s="214"/>
      <c r="VR42" s="214"/>
      <c r="VS42" s="214"/>
      <c r="VT42" s="214"/>
      <c r="VU42" s="214"/>
      <c r="VV42" s="214"/>
      <c r="VW42" s="214"/>
      <c r="VX42" s="214"/>
      <c r="VY42" s="214"/>
      <c r="VZ42" s="214"/>
      <c r="WA42" s="214"/>
      <c r="WB42" s="214"/>
      <c r="WC42" s="214"/>
      <c r="WD42" s="214"/>
      <c r="WE42" s="214"/>
      <c r="WF42" s="214"/>
      <c r="WG42" s="214"/>
      <c r="WH42" s="214"/>
      <c r="WI42" s="214"/>
      <c r="WJ42" s="214"/>
      <c r="WK42" s="214"/>
      <c r="WL42" s="214"/>
      <c r="WM42" s="214"/>
      <c r="WN42" s="214"/>
      <c r="WO42" s="214"/>
      <c r="WP42" s="214"/>
      <c r="WQ42" s="214"/>
      <c r="WR42" s="214"/>
      <c r="WS42" s="214"/>
      <c r="WT42" s="214"/>
      <c r="WU42" s="214"/>
      <c r="WV42" s="214"/>
      <c r="WW42" s="214"/>
      <c r="WX42" s="214"/>
      <c r="WY42" s="214"/>
      <c r="WZ42" s="214"/>
      <c r="XA42" s="214"/>
      <c r="XB42" s="214"/>
      <c r="XC42" s="214"/>
      <c r="XD42" s="214"/>
      <c r="XE42" s="214"/>
      <c r="XF42" s="214"/>
      <c r="XG42" s="214"/>
      <c r="XH42" s="214"/>
      <c r="XI42" s="214"/>
      <c r="XJ42" s="214"/>
      <c r="XK42" s="214"/>
      <c r="XL42" s="214"/>
      <c r="XM42" s="214"/>
      <c r="XN42" s="214"/>
      <c r="XO42" s="214"/>
      <c r="XP42" s="214"/>
      <c r="XQ42" s="214"/>
      <c r="XR42" s="214"/>
      <c r="XS42" s="214"/>
      <c r="XT42" s="214"/>
      <c r="XU42" s="214"/>
      <c r="XV42" s="214"/>
      <c r="XW42" s="214"/>
      <c r="XX42" s="214"/>
      <c r="XY42" s="214"/>
      <c r="XZ42" s="214"/>
      <c r="YA42" s="214"/>
      <c r="YB42" s="214"/>
      <c r="YC42" s="214"/>
      <c r="YD42" s="214"/>
      <c r="YE42" s="214"/>
      <c r="YF42" s="214"/>
      <c r="YG42" s="214"/>
      <c r="YH42" s="214"/>
      <c r="YI42" s="214"/>
      <c r="YJ42" s="214"/>
      <c r="YK42" s="214"/>
      <c r="YL42" s="214"/>
      <c r="YM42" s="214"/>
      <c r="YN42" s="214"/>
      <c r="YO42" s="214"/>
      <c r="YP42" s="214"/>
      <c r="YQ42" s="214"/>
      <c r="YR42" s="214"/>
      <c r="YS42" s="214"/>
      <c r="YT42" s="214"/>
      <c r="YU42" s="214"/>
      <c r="YV42" s="214"/>
      <c r="YW42" s="214"/>
      <c r="YX42" s="214"/>
      <c r="YY42" s="214"/>
      <c r="YZ42" s="214"/>
      <c r="ZA42" s="214"/>
      <c r="ZB42" s="214"/>
      <c r="ZC42" s="214"/>
      <c r="ZD42" s="214"/>
      <c r="ZE42" s="214"/>
      <c r="ZF42" s="214"/>
      <c r="ZG42" s="214"/>
      <c r="ZH42" s="214"/>
      <c r="ZI42" s="214"/>
      <c r="ZJ42" s="214"/>
      <c r="ZK42" s="214"/>
      <c r="ZL42" s="214"/>
      <c r="ZM42" s="214"/>
      <c r="ZN42" s="214"/>
      <c r="ZO42" s="214"/>
      <c r="ZP42" s="214"/>
      <c r="ZQ42" s="214"/>
      <c r="ZR42" s="214"/>
      <c r="ZS42" s="214"/>
      <c r="ZT42" s="214"/>
      <c r="ZU42" s="214"/>
      <c r="ZV42" s="214"/>
      <c r="ZW42" s="214"/>
      <c r="ZX42" s="214"/>
      <c r="ZY42" s="214"/>
      <c r="ZZ42" s="214"/>
      <c r="AAA42" s="214"/>
      <c r="AAB42" s="214"/>
      <c r="AAC42" s="214"/>
      <c r="AAD42" s="214"/>
      <c r="AAE42" s="214"/>
      <c r="AAF42" s="214"/>
      <c r="AAG42" s="214"/>
      <c r="AAH42" s="214"/>
      <c r="AAI42" s="214"/>
      <c r="AAJ42" s="214"/>
      <c r="AAK42" s="214"/>
      <c r="AAL42" s="214"/>
      <c r="AAM42" s="214"/>
      <c r="AAN42" s="214"/>
      <c r="AAO42" s="214"/>
      <c r="AAP42" s="214"/>
      <c r="AAQ42" s="214"/>
      <c r="AAR42" s="214"/>
      <c r="AAS42" s="214"/>
      <c r="AAT42" s="214"/>
      <c r="AAU42" s="214"/>
      <c r="AAV42" s="214"/>
      <c r="AAW42" s="214"/>
      <c r="AAX42" s="214"/>
      <c r="AAY42" s="214"/>
      <c r="AAZ42" s="214"/>
      <c r="ABA42" s="214"/>
      <c r="ABB42" s="214"/>
      <c r="ABC42" s="214"/>
      <c r="ABD42" s="214"/>
      <c r="ABE42" s="214"/>
      <c r="ABF42" s="214"/>
      <c r="ABG42" s="214"/>
      <c r="ABH42" s="214"/>
      <c r="ABI42" s="214"/>
      <c r="ABJ42" s="214"/>
      <c r="ABK42" s="214"/>
      <c r="ABL42" s="214"/>
      <c r="ABM42" s="214"/>
      <c r="ABN42" s="214"/>
      <c r="ABO42" s="214"/>
      <c r="ABP42" s="214"/>
      <c r="ABQ42" s="214"/>
      <c r="ABR42" s="214"/>
      <c r="ABS42" s="214"/>
      <c r="ABT42" s="214"/>
      <c r="ABU42" s="214"/>
      <c r="ABV42" s="214"/>
      <c r="ABW42" s="214"/>
      <c r="ABX42" s="214"/>
      <c r="ABY42" s="214"/>
      <c r="ABZ42" s="214"/>
      <c r="ACA42" s="214"/>
      <c r="ACB42" s="214"/>
      <c r="ACC42" s="214"/>
      <c r="ACD42" s="214"/>
      <c r="ACE42" s="214"/>
      <c r="ACF42" s="214"/>
      <c r="ACG42" s="214"/>
      <c r="ACH42" s="214"/>
      <c r="ACI42" s="214"/>
      <c r="ACJ42" s="214"/>
      <c r="ACK42" s="214"/>
      <c r="ACL42" s="214"/>
      <c r="ACM42" s="214"/>
      <c r="ACN42" s="214"/>
      <c r="ACO42" s="214"/>
      <c r="ACP42" s="214"/>
      <c r="ACQ42" s="214"/>
      <c r="ACR42" s="214"/>
      <c r="ACS42" s="214"/>
      <c r="ACT42" s="214"/>
      <c r="ACU42" s="214"/>
      <c r="ACV42" s="214"/>
      <c r="ACW42" s="214"/>
      <c r="ACX42" s="214"/>
      <c r="ACY42" s="214"/>
      <c r="ACZ42" s="214"/>
      <c r="ADA42" s="214"/>
      <c r="ADB42" s="214"/>
      <c r="ADC42" s="214"/>
      <c r="ADD42" s="214"/>
      <c r="ADE42" s="214"/>
      <c r="ADF42" s="214"/>
      <c r="ADG42" s="214"/>
      <c r="ADH42" s="214"/>
      <c r="ADI42" s="214"/>
      <c r="ADJ42" s="214"/>
      <c r="ADK42" s="214"/>
      <c r="ADL42" s="214"/>
      <c r="ADM42" s="214"/>
      <c r="ADN42" s="214"/>
      <c r="ADO42" s="214"/>
      <c r="ADP42" s="214"/>
      <c r="ADQ42" s="214"/>
      <c r="ADR42" s="214"/>
      <c r="ADS42" s="214"/>
      <c r="ADT42" s="214"/>
      <c r="ADU42" s="214"/>
      <c r="ADV42" s="214"/>
      <c r="ADW42" s="214"/>
      <c r="ADX42" s="214"/>
      <c r="ADY42" s="214"/>
      <c r="ADZ42" s="214"/>
      <c r="AEA42" s="214"/>
      <c r="AEB42" s="214"/>
      <c r="AEC42" s="214"/>
      <c r="AED42" s="214"/>
      <c r="AEE42" s="214"/>
      <c r="AEF42" s="214"/>
      <c r="AEG42" s="214"/>
      <c r="AEH42" s="214"/>
      <c r="AEI42" s="214"/>
      <c r="AEJ42" s="214"/>
      <c r="AEK42" s="214"/>
      <c r="AEL42" s="214"/>
      <c r="AEM42" s="214"/>
      <c r="AEN42" s="214"/>
      <c r="AEO42" s="214"/>
      <c r="AEP42" s="214"/>
      <c r="AEQ42" s="214"/>
      <c r="AER42" s="214"/>
      <c r="AES42" s="214"/>
      <c r="AET42" s="214"/>
      <c r="AEU42" s="214"/>
      <c r="AEV42" s="214"/>
      <c r="AEW42" s="214"/>
      <c r="AEX42" s="214"/>
      <c r="AEY42" s="214"/>
      <c r="AEZ42" s="214"/>
      <c r="AFA42" s="214"/>
      <c r="AFB42" s="214"/>
      <c r="AFC42" s="214"/>
      <c r="AFD42" s="214"/>
      <c r="AFE42" s="214"/>
      <c r="AFF42" s="214"/>
      <c r="AFG42" s="214"/>
      <c r="AFH42" s="214"/>
      <c r="AFI42" s="214"/>
      <c r="AFJ42" s="214"/>
      <c r="AFK42" s="214"/>
      <c r="AFL42" s="214"/>
      <c r="AFM42" s="214"/>
      <c r="AFN42" s="214"/>
      <c r="AFO42" s="214"/>
      <c r="AFP42" s="214"/>
      <c r="AFQ42" s="214"/>
      <c r="AFR42" s="214"/>
      <c r="AFS42" s="214"/>
      <c r="AFT42" s="214"/>
      <c r="AFU42" s="214"/>
      <c r="AFV42" s="214"/>
      <c r="AFW42" s="214"/>
      <c r="AFX42" s="214"/>
      <c r="AFY42" s="214"/>
      <c r="AFZ42" s="214"/>
      <c r="AGA42" s="214"/>
      <c r="AGB42" s="214"/>
      <c r="AGC42" s="214"/>
      <c r="AGD42" s="214"/>
      <c r="AGE42" s="214"/>
      <c r="AGF42" s="214"/>
      <c r="AGG42" s="214"/>
      <c r="AGH42" s="214"/>
      <c r="AGI42" s="214"/>
      <c r="AGJ42" s="214"/>
      <c r="AGK42" s="214"/>
      <c r="AGL42" s="214"/>
      <c r="AGM42" s="214"/>
      <c r="AGN42" s="214"/>
      <c r="AGO42" s="214"/>
      <c r="AGP42" s="214"/>
      <c r="AGQ42" s="214"/>
      <c r="AGR42" s="214"/>
      <c r="AGS42" s="214"/>
      <c r="AGT42" s="214"/>
      <c r="AGU42" s="214"/>
      <c r="AGV42" s="214"/>
      <c r="AGW42" s="214"/>
      <c r="AGX42" s="214"/>
      <c r="AGY42" s="214"/>
      <c r="AGZ42" s="214"/>
      <c r="AHA42" s="214"/>
      <c r="AHB42" s="214"/>
      <c r="AHC42" s="214"/>
      <c r="AHD42" s="214"/>
      <c r="AHE42" s="214"/>
      <c r="AHF42" s="214"/>
      <c r="AHG42" s="214"/>
      <c r="AHH42" s="214"/>
      <c r="AHI42" s="214"/>
      <c r="AHJ42" s="214"/>
      <c r="AHK42" s="214"/>
      <c r="AHL42" s="214"/>
      <c r="AHM42" s="214"/>
      <c r="AHN42" s="214"/>
      <c r="AHO42" s="214"/>
      <c r="AHP42" s="214"/>
      <c r="AHQ42" s="214"/>
      <c r="AHR42" s="214"/>
      <c r="AHS42" s="214"/>
      <c r="AHT42" s="214"/>
      <c r="AHU42" s="214"/>
      <c r="AHV42" s="214"/>
      <c r="AHW42" s="214"/>
      <c r="AHX42" s="214"/>
      <c r="AHY42" s="214"/>
      <c r="AHZ42" s="214"/>
      <c r="AIA42" s="214"/>
      <c r="AIB42" s="214"/>
      <c r="AIC42" s="214"/>
      <c r="AID42" s="214"/>
      <c r="AIE42" s="214"/>
      <c r="AIF42" s="214"/>
      <c r="AIG42" s="214"/>
      <c r="AIH42" s="214"/>
      <c r="AII42" s="214"/>
      <c r="AIJ42" s="214"/>
      <c r="AIK42" s="214"/>
      <c r="AIL42" s="214"/>
      <c r="AIM42" s="214"/>
      <c r="AIN42" s="214"/>
      <c r="AIO42" s="214"/>
      <c r="AIP42" s="214"/>
      <c r="AIQ42" s="214"/>
      <c r="AIR42" s="214"/>
      <c r="AIS42" s="214"/>
      <c r="AIT42" s="214"/>
      <c r="AIU42" s="214"/>
      <c r="AIV42" s="214"/>
      <c r="AIW42" s="214"/>
      <c r="AIX42" s="214"/>
      <c r="AIY42" s="214"/>
      <c r="AIZ42" s="214"/>
      <c r="AJA42" s="214"/>
      <c r="AJB42" s="214"/>
      <c r="AJC42" s="214"/>
      <c r="AJD42" s="214"/>
      <c r="AJE42" s="214"/>
      <c r="AJF42" s="214"/>
      <c r="AJG42" s="214"/>
      <c r="AJH42" s="214"/>
      <c r="AJI42" s="214"/>
      <c r="AJJ42" s="214"/>
      <c r="AJK42" s="214"/>
      <c r="AJL42" s="214"/>
      <c r="AJM42" s="214"/>
      <c r="AJN42" s="214"/>
      <c r="AJO42" s="214"/>
      <c r="AJP42" s="214"/>
      <c r="AJQ42" s="214"/>
      <c r="AJR42" s="214"/>
      <c r="AJS42" s="214"/>
      <c r="AJT42" s="214"/>
      <c r="AJU42" s="214"/>
      <c r="AJV42" s="214"/>
      <c r="AJW42" s="214"/>
      <c r="AJX42" s="214"/>
      <c r="AJY42" s="214"/>
      <c r="AJZ42" s="214"/>
      <c r="AKA42" s="214"/>
      <c r="AKB42" s="214"/>
      <c r="AKC42" s="214"/>
      <c r="AKD42" s="214"/>
      <c r="AKE42" s="214"/>
      <c r="AKF42" s="214"/>
      <c r="AKG42" s="214"/>
      <c r="AKH42" s="214"/>
      <c r="AKI42" s="214"/>
      <c r="AKJ42" s="214"/>
      <c r="AKK42" s="214"/>
      <c r="AKL42" s="214"/>
      <c r="AKM42" s="214"/>
      <c r="AKN42" s="214"/>
      <c r="AKO42" s="214"/>
      <c r="AKP42" s="214"/>
      <c r="AKQ42" s="214"/>
      <c r="AKR42" s="214"/>
      <c r="AKS42" s="214"/>
      <c r="AKT42" s="214"/>
      <c r="AKU42" s="214"/>
      <c r="AKV42" s="214"/>
      <c r="AKW42" s="214"/>
      <c r="AKX42" s="214"/>
      <c r="AKY42" s="214"/>
      <c r="AKZ42" s="214"/>
      <c r="ALA42" s="214"/>
      <c r="ALB42" s="214"/>
      <c r="ALC42" s="214"/>
      <c r="ALD42" s="214"/>
      <c r="ALE42" s="214"/>
      <c r="ALF42" s="214"/>
      <c r="ALG42" s="214"/>
      <c r="ALH42" s="214"/>
      <c r="ALI42" s="214"/>
      <c r="ALJ42" s="214"/>
      <c r="ALK42" s="214"/>
      <c r="ALL42" s="214"/>
      <c r="ALM42" s="214"/>
      <c r="ALN42" s="214"/>
      <c r="ALO42" s="214"/>
      <c r="ALP42" s="214"/>
      <c r="ALQ42" s="214"/>
      <c r="ALR42" s="214"/>
      <c r="ALS42" s="214"/>
      <c r="ALT42" s="214"/>
      <c r="ALU42" s="214"/>
      <c r="ALV42" s="214"/>
      <c r="ALW42" s="214"/>
      <c r="ALX42" s="214"/>
      <c r="ALY42" s="214"/>
      <c r="ALZ42" s="214"/>
      <c r="AMA42" s="214"/>
      <c r="AMB42" s="214"/>
      <c r="AMC42" s="214"/>
      <c r="AMD42" s="214"/>
      <c r="AME42" s="214"/>
      <c r="AMF42" s="214"/>
      <c r="AMG42" s="214"/>
      <c r="AMH42" s="214"/>
      <c r="AMI42" s="214"/>
      <c r="AMJ42" s="214"/>
      <c r="AMK42" s="214"/>
      <c r="AML42" s="214"/>
      <c r="AMM42" s="214"/>
      <c r="AMN42" s="214"/>
      <c r="AMO42" s="214"/>
      <c r="AMP42" s="214"/>
      <c r="AMQ42" s="214"/>
      <c r="AMR42" s="214"/>
      <c r="AMS42" s="214"/>
      <c r="AMT42" s="214"/>
      <c r="AMU42" s="214"/>
      <c r="AMV42" s="214"/>
      <c r="AMW42" s="214"/>
      <c r="AMX42" s="214"/>
      <c r="AMY42" s="214"/>
      <c r="AMZ42" s="214"/>
      <c r="ANA42" s="214"/>
      <c r="ANB42" s="214"/>
      <c r="ANC42" s="214"/>
      <c r="AND42" s="214"/>
      <c r="ANE42" s="214"/>
      <c r="ANF42" s="214"/>
      <c r="ANG42" s="214"/>
      <c r="ANH42" s="214"/>
      <c r="ANI42" s="214"/>
      <c r="ANJ42" s="214"/>
      <c r="ANK42" s="214"/>
      <c r="ANL42" s="214"/>
      <c r="ANM42" s="214"/>
      <c r="ANN42" s="214"/>
      <c r="ANO42" s="214"/>
      <c r="ANP42" s="214"/>
      <c r="ANQ42" s="214"/>
      <c r="ANR42" s="214"/>
      <c r="ANS42" s="214"/>
      <c r="ANT42" s="214"/>
      <c r="ANU42" s="214"/>
      <c r="ANV42" s="214"/>
      <c r="ANW42" s="214"/>
      <c r="ANX42" s="214"/>
      <c r="ANY42" s="214"/>
      <c r="ANZ42" s="214"/>
      <c r="AOA42" s="214"/>
      <c r="AOB42" s="214"/>
      <c r="AOC42" s="214"/>
      <c r="AOD42" s="214"/>
      <c r="AOE42" s="214"/>
      <c r="AOF42" s="214"/>
      <c r="AOG42" s="214"/>
      <c r="AOH42" s="214"/>
      <c r="AOI42" s="214"/>
      <c r="AOJ42" s="214"/>
      <c r="AOK42" s="214"/>
      <c r="AOL42" s="214"/>
      <c r="AOM42" s="214"/>
      <c r="AON42" s="214"/>
      <c r="AOO42" s="214"/>
      <c r="AOP42" s="214"/>
      <c r="AOQ42" s="214"/>
      <c r="AOR42" s="214"/>
      <c r="AOS42" s="214"/>
      <c r="AOT42" s="214"/>
      <c r="AOU42" s="214"/>
      <c r="AOV42" s="214"/>
      <c r="AOW42" s="214"/>
      <c r="AOX42" s="214"/>
      <c r="AOY42" s="214"/>
      <c r="AOZ42" s="214"/>
      <c r="APA42" s="214"/>
      <c r="APB42" s="214"/>
      <c r="APC42" s="214"/>
      <c r="APD42" s="214"/>
      <c r="APE42" s="214"/>
      <c r="APF42" s="214"/>
      <c r="APG42" s="214"/>
      <c r="APH42" s="214"/>
      <c r="API42" s="214"/>
      <c r="APJ42" s="214"/>
      <c r="APK42" s="214"/>
      <c r="APL42" s="214"/>
      <c r="APM42" s="214"/>
      <c r="APN42" s="214"/>
      <c r="APO42" s="214"/>
      <c r="APP42" s="214"/>
      <c r="APQ42" s="214"/>
      <c r="APR42" s="214"/>
      <c r="APS42" s="214"/>
      <c r="APT42" s="214"/>
      <c r="APU42" s="214"/>
      <c r="APV42" s="214"/>
      <c r="APW42" s="214"/>
      <c r="APX42" s="214"/>
      <c r="APY42" s="214"/>
      <c r="APZ42" s="214"/>
      <c r="AQA42" s="214"/>
      <c r="AQB42" s="214"/>
      <c r="AQC42" s="214"/>
      <c r="AQD42" s="214"/>
      <c r="AQE42" s="214"/>
      <c r="AQF42" s="214"/>
      <c r="AQG42" s="214"/>
      <c r="AQH42" s="214"/>
      <c r="AQI42" s="214"/>
      <c r="AQJ42" s="214"/>
      <c r="AQK42" s="214"/>
      <c r="AQL42" s="214"/>
      <c r="AQM42" s="214"/>
      <c r="AQN42" s="214"/>
      <c r="AQO42" s="214"/>
      <c r="AQP42" s="214"/>
      <c r="AQQ42" s="214"/>
      <c r="AQR42" s="214"/>
      <c r="AQS42" s="214"/>
      <c r="AQT42" s="214"/>
      <c r="AQU42" s="214"/>
      <c r="AQV42" s="214"/>
      <c r="AQW42" s="214"/>
      <c r="AQX42" s="214"/>
      <c r="AQY42" s="214"/>
      <c r="AQZ42" s="214"/>
      <c r="ARA42" s="214"/>
      <c r="ARB42" s="214"/>
      <c r="ARC42" s="214"/>
      <c r="ARD42" s="214"/>
      <c r="ARE42" s="214"/>
      <c r="ARF42" s="214"/>
      <c r="ARG42" s="214"/>
      <c r="ARH42" s="214"/>
      <c r="ARI42" s="214"/>
      <c r="ARJ42" s="214"/>
      <c r="ARK42" s="214"/>
      <c r="ARL42" s="214"/>
      <c r="ARM42" s="214"/>
      <c r="ARN42" s="214"/>
      <c r="ARO42" s="214"/>
      <c r="ARP42" s="214"/>
      <c r="ARQ42" s="214"/>
      <c r="ARR42" s="214"/>
      <c r="ARS42" s="214"/>
      <c r="ART42" s="214"/>
      <c r="ARU42" s="214"/>
      <c r="ARV42" s="214"/>
      <c r="ARW42" s="214"/>
      <c r="ARX42" s="214"/>
      <c r="ARY42" s="214"/>
      <c r="ARZ42" s="214"/>
      <c r="ASA42" s="214"/>
      <c r="ASB42" s="214"/>
      <c r="ASC42" s="214"/>
      <c r="ASD42" s="214"/>
      <c r="ASE42" s="214"/>
      <c r="ASF42" s="214"/>
      <c r="ASG42" s="214"/>
      <c r="ASH42" s="214"/>
      <c r="ASI42" s="214"/>
      <c r="ASJ42" s="214"/>
      <c r="ASK42" s="214"/>
      <c r="ASL42" s="214"/>
      <c r="ASM42" s="214"/>
      <c r="ASN42" s="214"/>
      <c r="ASO42" s="214"/>
      <c r="ASP42" s="214"/>
      <c r="ASQ42" s="214"/>
      <c r="ASR42" s="214"/>
      <c r="ASS42" s="214"/>
      <c r="AST42" s="214"/>
      <c r="ASU42" s="214"/>
      <c r="ASV42" s="214"/>
      <c r="ASW42" s="214"/>
      <c r="ASX42" s="214"/>
      <c r="ASY42" s="214"/>
      <c r="ASZ42" s="214"/>
      <c r="ATA42" s="214"/>
      <c r="ATB42" s="214"/>
      <c r="ATC42" s="214"/>
      <c r="ATD42" s="214"/>
      <c r="ATE42" s="214"/>
      <c r="ATF42" s="214"/>
      <c r="ATG42" s="214"/>
      <c r="ATH42" s="214"/>
      <c r="ATI42" s="214"/>
      <c r="ATJ42" s="214"/>
      <c r="ATK42" s="214"/>
      <c r="ATL42" s="214"/>
      <c r="ATM42" s="214"/>
      <c r="ATN42" s="214"/>
      <c r="ATO42" s="214"/>
      <c r="ATP42" s="214"/>
      <c r="ATQ42" s="214"/>
      <c r="ATR42" s="214"/>
      <c r="ATS42" s="214"/>
      <c r="ATT42" s="214"/>
      <c r="ATU42" s="214"/>
      <c r="ATV42" s="214"/>
      <c r="ATW42" s="214"/>
      <c r="ATX42" s="214"/>
      <c r="ATY42" s="214"/>
      <c r="ATZ42" s="214"/>
      <c r="AUA42" s="214"/>
      <c r="AUB42" s="214"/>
      <c r="AUC42" s="214"/>
      <c r="AUD42" s="214"/>
      <c r="AUE42" s="214"/>
      <c r="AUF42" s="214"/>
      <c r="AUG42" s="214"/>
      <c r="AUH42" s="214"/>
      <c r="AUI42" s="214"/>
      <c r="AUJ42" s="214"/>
      <c r="AUK42" s="214"/>
      <c r="AUL42" s="214"/>
      <c r="AUM42" s="214"/>
      <c r="AUN42" s="214"/>
      <c r="AUO42" s="214"/>
      <c r="AUP42" s="214"/>
      <c r="AUQ42" s="214"/>
      <c r="AUR42" s="214"/>
      <c r="AUS42" s="214"/>
      <c r="AUT42" s="214"/>
      <c r="AUU42" s="214"/>
      <c r="AUV42" s="214"/>
      <c r="AUW42" s="214"/>
      <c r="AUX42" s="214"/>
      <c r="AUY42" s="214"/>
      <c r="AUZ42" s="214"/>
      <c r="AVA42" s="214"/>
      <c r="AVB42" s="214"/>
      <c r="AVC42" s="214"/>
      <c r="AVD42" s="214"/>
      <c r="AVE42" s="214"/>
      <c r="AVF42" s="214"/>
      <c r="AVG42" s="214"/>
      <c r="AVH42" s="214"/>
      <c r="AVI42" s="214"/>
      <c r="AVJ42" s="214"/>
      <c r="AVK42" s="214"/>
      <c r="AVL42" s="214"/>
      <c r="AVM42" s="214"/>
      <c r="AVN42" s="214"/>
      <c r="AVO42" s="214"/>
      <c r="AVP42" s="214"/>
      <c r="AVQ42" s="214"/>
      <c r="AVR42" s="214"/>
      <c r="AVS42" s="214"/>
      <c r="AVT42" s="214"/>
      <c r="AVU42" s="214"/>
      <c r="AVV42" s="214"/>
      <c r="AVW42" s="214"/>
      <c r="AVX42" s="214"/>
      <c r="AVY42" s="214"/>
      <c r="AVZ42" s="214"/>
      <c r="AWA42" s="214"/>
      <c r="AWB42" s="214"/>
      <c r="AWC42" s="214"/>
      <c r="AWD42" s="214"/>
      <c r="AWE42" s="214"/>
      <c r="AWF42" s="214"/>
      <c r="AWG42" s="214"/>
      <c r="AWH42" s="214"/>
      <c r="AWI42" s="214"/>
      <c r="AWJ42" s="214"/>
      <c r="AWK42" s="214"/>
      <c r="AWL42" s="214"/>
      <c r="AWM42" s="214"/>
      <c r="AWN42" s="214"/>
      <c r="AWO42" s="214"/>
      <c r="AWP42" s="214"/>
      <c r="AWQ42" s="214"/>
      <c r="AWR42" s="214"/>
      <c r="AWS42" s="214"/>
      <c r="AWT42" s="214"/>
      <c r="AWU42" s="214"/>
      <c r="AWV42" s="214"/>
      <c r="AWW42" s="214"/>
      <c r="AWX42" s="214"/>
      <c r="AWY42" s="214"/>
      <c r="AWZ42" s="214"/>
      <c r="AXA42" s="214"/>
      <c r="AXB42" s="214"/>
      <c r="AXC42" s="214"/>
      <c r="AXD42" s="214"/>
      <c r="AXE42" s="214"/>
      <c r="AXF42" s="214"/>
      <c r="AXG42" s="214"/>
      <c r="AXH42" s="214"/>
      <c r="AXI42" s="214"/>
      <c r="AXJ42" s="214"/>
      <c r="AXK42" s="214"/>
      <c r="AXL42" s="214"/>
      <c r="AXM42" s="214"/>
      <c r="AXN42" s="214"/>
      <c r="AXO42" s="214"/>
      <c r="AXP42" s="214"/>
      <c r="AXQ42" s="214"/>
      <c r="AXR42" s="214"/>
      <c r="AXS42" s="214"/>
      <c r="AXT42" s="214"/>
      <c r="AXU42" s="214"/>
      <c r="AXV42" s="214"/>
      <c r="AXW42" s="214"/>
      <c r="AXX42" s="214"/>
      <c r="AXY42" s="214"/>
      <c r="AXZ42" s="214"/>
      <c r="AYA42" s="214"/>
      <c r="AYB42" s="214"/>
      <c r="AYC42" s="214"/>
      <c r="AYD42" s="214"/>
      <c r="AYE42" s="214"/>
      <c r="AYF42" s="214"/>
      <c r="AYG42" s="214"/>
      <c r="AYH42" s="214"/>
      <c r="AYI42" s="214"/>
      <c r="AYJ42" s="214"/>
      <c r="AYK42" s="214"/>
      <c r="AYL42" s="214"/>
      <c r="AYM42" s="214"/>
      <c r="AYN42" s="214"/>
      <c r="AYO42" s="214"/>
      <c r="AYP42" s="214"/>
      <c r="AYQ42" s="214"/>
      <c r="AYR42" s="214"/>
      <c r="AYS42" s="214"/>
      <c r="AYT42" s="214"/>
      <c r="AYU42" s="214"/>
      <c r="AYV42" s="214"/>
      <c r="AYW42" s="214"/>
      <c r="AYX42" s="214"/>
      <c r="AYY42" s="214"/>
      <c r="AYZ42" s="214"/>
      <c r="AZA42" s="214"/>
      <c r="AZB42" s="214"/>
      <c r="AZC42" s="214"/>
      <c r="AZD42" s="214"/>
      <c r="AZE42" s="214"/>
      <c r="AZF42" s="214"/>
      <c r="AZG42" s="214"/>
      <c r="AZH42" s="214"/>
      <c r="AZI42" s="214"/>
      <c r="AZJ42" s="214"/>
      <c r="AZK42" s="214"/>
      <c r="AZL42" s="214"/>
      <c r="AZM42" s="214"/>
      <c r="AZN42" s="214"/>
      <c r="AZO42" s="214"/>
      <c r="AZP42" s="214"/>
      <c r="AZQ42" s="214"/>
      <c r="AZR42" s="214"/>
      <c r="AZS42" s="214"/>
      <c r="AZT42" s="214"/>
      <c r="AZU42" s="214"/>
      <c r="AZV42" s="214"/>
      <c r="AZW42" s="214"/>
      <c r="AZX42" s="214"/>
      <c r="AZY42" s="214"/>
      <c r="AZZ42" s="214"/>
      <c r="BAA42" s="214"/>
      <c r="BAB42" s="214"/>
      <c r="BAC42" s="214"/>
      <c r="BAD42" s="214"/>
      <c r="BAE42" s="214"/>
      <c r="BAF42" s="214"/>
      <c r="BAG42" s="214"/>
      <c r="BAH42" s="214"/>
      <c r="BAI42" s="214"/>
      <c r="BAJ42" s="214"/>
      <c r="BAK42" s="214"/>
      <c r="BAL42" s="214"/>
      <c r="BAM42" s="214"/>
      <c r="BAN42" s="214"/>
      <c r="BAO42" s="214"/>
      <c r="BAP42" s="214"/>
      <c r="BAQ42" s="214"/>
      <c r="BAR42" s="214"/>
      <c r="BAS42" s="214"/>
      <c r="BAT42" s="214"/>
      <c r="BAU42" s="214"/>
      <c r="BAV42" s="214"/>
      <c r="BAW42" s="214"/>
      <c r="BAX42" s="214"/>
      <c r="BAY42" s="214"/>
      <c r="BAZ42" s="214"/>
      <c r="BBA42" s="214"/>
      <c r="BBB42" s="214"/>
      <c r="BBC42" s="214"/>
      <c r="BBD42" s="214"/>
      <c r="BBE42" s="214"/>
      <c r="BBF42" s="214"/>
      <c r="BBG42" s="214"/>
      <c r="BBH42" s="214"/>
      <c r="BBI42" s="214"/>
      <c r="BBJ42" s="214"/>
      <c r="BBK42" s="214"/>
      <c r="BBL42" s="214"/>
      <c r="BBM42" s="214"/>
      <c r="BBN42" s="214"/>
      <c r="BBO42" s="214"/>
      <c r="BBP42" s="214"/>
      <c r="BBQ42" s="214"/>
      <c r="BBR42" s="214"/>
      <c r="BBS42" s="214"/>
      <c r="BBT42" s="214"/>
      <c r="BBU42" s="214"/>
      <c r="BBV42" s="214"/>
      <c r="BBW42" s="214"/>
      <c r="BBX42" s="214"/>
      <c r="BBY42" s="214"/>
      <c r="BBZ42" s="214"/>
      <c r="BCA42" s="214"/>
      <c r="BCB42" s="214"/>
      <c r="BCC42" s="214"/>
      <c r="BCD42" s="214"/>
      <c r="BCE42" s="214"/>
      <c r="BCF42" s="214"/>
      <c r="BCG42" s="214"/>
      <c r="BCH42" s="214"/>
      <c r="BCI42" s="214"/>
      <c r="BCJ42" s="214"/>
      <c r="BCK42" s="214"/>
      <c r="BCL42" s="214"/>
      <c r="BCM42" s="214"/>
      <c r="BCN42" s="214"/>
      <c r="BCO42" s="214"/>
      <c r="BCP42" s="214"/>
      <c r="BCQ42" s="214"/>
      <c r="BCR42" s="214"/>
      <c r="BCS42" s="214"/>
      <c r="BCT42" s="214"/>
      <c r="BCU42" s="214"/>
      <c r="BCV42" s="214"/>
      <c r="BCW42" s="214"/>
      <c r="BCX42" s="214"/>
      <c r="BCY42" s="214"/>
      <c r="BCZ42" s="214"/>
      <c r="BDA42" s="214"/>
      <c r="BDB42" s="214"/>
      <c r="BDC42" s="214"/>
      <c r="BDD42" s="214"/>
      <c r="BDE42" s="214"/>
      <c r="BDF42" s="214"/>
      <c r="BDG42" s="214"/>
      <c r="BDH42" s="214"/>
      <c r="BDI42" s="214"/>
      <c r="BDJ42" s="214"/>
      <c r="BDK42" s="214"/>
      <c r="BDL42" s="214"/>
      <c r="BDM42" s="214"/>
      <c r="BDN42" s="214"/>
      <c r="BDO42" s="214"/>
      <c r="BDP42" s="214"/>
      <c r="BDQ42" s="214"/>
      <c r="BDR42" s="214"/>
      <c r="BDS42" s="214"/>
      <c r="BDT42" s="214"/>
      <c r="BDU42" s="214"/>
      <c r="BDV42" s="214"/>
      <c r="BDW42" s="214"/>
      <c r="BDX42" s="214"/>
      <c r="BDY42" s="214"/>
      <c r="BDZ42" s="214"/>
      <c r="BEA42" s="214"/>
      <c r="BEB42" s="214"/>
      <c r="BEC42" s="214"/>
      <c r="BED42" s="214"/>
      <c r="BEE42" s="214"/>
      <c r="BEF42" s="214"/>
      <c r="BEG42" s="214"/>
      <c r="BEH42" s="214"/>
      <c r="BEI42" s="214"/>
      <c r="BEJ42" s="214"/>
      <c r="BEK42" s="214"/>
      <c r="BEL42" s="214"/>
      <c r="BEM42" s="214"/>
      <c r="BEN42" s="214"/>
      <c r="BEO42" s="214"/>
      <c r="BEP42" s="214"/>
      <c r="BEQ42" s="214"/>
      <c r="BER42" s="214"/>
      <c r="BES42" s="214"/>
      <c r="BET42" s="214"/>
      <c r="BEU42" s="214"/>
      <c r="BEV42" s="214"/>
      <c r="BEW42" s="214"/>
      <c r="BEX42" s="214"/>
      <c r="BEY42" s="214"/>
      <c r="BEZ42" s="214"/>
      <c r="BFA42" s="214"/>
      <c r="BFB42" s="214"/>
      <c r="BFC42" s="214"/>
      <c r="BFD42" s="214"/>
      <c r="BFE42" s="214"/>
      <c r="BFF42" s="214"/>
      <c r="BFG42" s="214"/>
      <c r="BFH42" s="214"/>
      <c r="BFI42" s="214"/>
      <c r="BFJ42" s="214"/>
      <c r="BFK42" s="214"/>
      <c r="BFL42" s="214"/>
      <c r="BFM42" s="214"/>
      <c r="BFN42" s="214"/>
      <c r="BFO42" s="214"/>
      <c r="BFP42" s="214"/>
      <c r="BFQ42" s="214"/>
      <c r="BFR42" s="214"/>
      <c r="BFS42" s="214"/>
      <c r="BFT42" s="214"/>
      <c r="BFU42" s="214"/>
      <c r="BFV42" s="214"/>
      <c r="BFW42" s="214"/>
      <c r="BFX42" s="214"/>
      <c r="BFY42" s="214"/>
      <c r="BFZ42" s="214"/>
      <c r="BGA42" s="214"/>
      <c r="BGB42" s="214"/>
      <c r="BGC42" s="214"/>
      <c r="BGD42" s="214"/>
      <c r="BGE42" s="214"/>
      <c r="BGF42" s="214"/>
      <c r="BGG42" s="214"/>
      <c r="BGH42" s="214"/>
      <c r="BGI42" s="214"/>
      <c r="BGJ42" s="214"/>
      <c r="BGK42" s="214"/>
      <c r="BGL42" s="214"/>
      <c r="BGM42" s="214"/>
      <c r="BGN42" s="214"/>
      <c r="BGO42" s="214"/>
      <c r="BGP42" s="214"/>
      <c r="BGQ42" s="214"/>
      <c r="BGR42" s="214"/>
      <c r="BGS42" s="214"/>
      <c r="BGT42" s="214"/>
      <c r="BGU42" s="214"/>
      <c r="BGV42" s="214"/>
      <c r="BGW42" s="214"/>
      <c r="BGX42" s="214"/>
      <c r="BGY42" s="214"/>
      <c r="BGZ42" s="214"/>
      <c r="BHA42" s="214"/>
      <c r="BHB42" s="214"/>
      <c r="BHC42" s="214"/>
      <c r="BHD42" s="214"/>
      <c r="BHE42" s="214"/>
      <c r="BHF42" s="214"/>
      <c r="BHG42" s="214"/>
      <c r="BHH42" s="214"/>
      <c r="BHI42" s="214"/>
      <c r="BHJ42" s="214"/>
      <c r="BHK42" s="214"/>
      <c r="BHL42" s="214"/>
      <c r="BHM42" s="214"/>
      <c r="BHN42" s="214"/>
      <c r="BHO42" s="214"/>
      <c r="BHP42" s="214"/>
      <c r="BHQ42" s="214"/>
      <c r="BHR42" s="214"/>
      <c r="BHS42" s="214"/>
      <c r="BHT42" s="214"/>
      <c r="BHU42" s="214"/>
      <c r="BHV42" s="214"/>
      <c r="BHW42" s="214"/>
      <c r="BHX42" s="214"/>
      <c r="BHY42" s="214"/>
      <c r="BHZ42" s="214"/>
      <c r="BIA42" s="214"/>
      <c r="BIB42" s="214"/>
      <c r="BIC42" s="214"/>
      <c r="BID42" s="214"/>
      <c r="BIE42" s="214"/>
      <c r="BIF42" s="214"/>
      <c r="BIG42" s="214"/>
      <c r="BIH42" s="214"/>
      <c r="BII42" s="214"/>
      <c r="BIJ42" s="214"/>
      <c r="BIK42" s="214"/>
      <c r="BIL42" s="214"/>
      <c r="BIM42" s="214"/>
      <c r="BIN42" s="214"/>
      <c r="BIO42" s="214"/>
      <c r="BIP42" s="214"/>
      <c r="BIQ42" s="214"/>
      <c r="BIR42" s="214"/>
      <c r="BIS42" s="214"/>
      <c r="BIT42" s="214"/>
      <c r="BIU42" s="214"/>
      <c r="BIV42" s="214"/>
      <c r="BIW42" s="214"/>
      <c r="BIX42" s="214"/>
      <c r="BIY42" s="214"/>
      <c r="BIZ42" s="214"/>
      <c r="BJA42" s="214"/>
      <c r="BJB42" s="214"/>
      <c r="BJC42" s="214"/>
      <c r="BJD42" s="214"/>
      <c r="BJE42" s="214"/>
      <c r="BJF42" s="214"/>
      <c r="BJG42" s="214"/>
      <c r="BJH42" s="214"/>
      <c r="BJI42" s="214"/>
      <c r="BJJ42" s="214"/>
      <c r="BJK42" s="214"/>
      <c r="BJL42" s="214"/>
      <c r="BJM42" s="214"/>
      <c r="BJN42" s="214"/>
      <c r="BJO42" s="214"/>
      <c r="BJP42" s="214"/>
      <c r="BJQ42" s="214"/>
      <c r="BJR42" s="214"/>
      <c r="BJS42" s="214"/>
      <c r="BJT42" s="214"/>
      <c r="BJU42" s="214"/>
      <c r="BJV42" s="214"/>
      <c r="BJW42" s="214"/>
      <c r="BJX42" s="214"/>
      <c r="BJY42" s="214"/>
      <c r="BJZ42" s="214"/>
      <c r="BKA42" s="214"/>
      <c r="BKB42" s="214"/>
      <c r="BKC42" s="214"/>
      <c r="BKD42" s="214"/>
      <c r="BKE42" s="214"/>
      <c r="BKF42" s="214"/>
      <c r="BKG42" s="214"/>
      <c r="BKH42" s="214"/>
      <c r="BKI42" s="214"/>
      <c r="BKJ42" s="214"/>
      <c r="BKK42" s="214"/>
      <c r="BKL42" s="214"/>
      <c r="BKM42" s="214"/>
      <c r="BKN42" s="214"/>
      <c r="BKO42" s="214"/>
      <c r="BKP42" s="214"/>
      <c r="BKQ42" s="214"/>
      <c r="BKR42" s="214"/>
      <c r="BKS42" s="214"/>
      <c r="BKT42" s="214"/>
      <c r="BKU42" s="214"/>
      <c r="BKV42" s="214"/>
      <c r="BKW42" s="214"/>
      <c r="BKX42" s="214"/>
      <c r="BKY42" s="214"/>
      <c r="BKZ42" s="214"/>
      <c r="BLA42" s="214"/>
      <c r="BLB42" s="214"/>
      <c r="BLC42" s="214"/>
      <c r="BLD42" s="214"/>
      <c r="BLE42" s="214"/>
      <c r="BLF42" s="214"/>
      <c r="BLG42" s="214"/>
      <c r="BLH42" s="214"/>
      <c r="BLI42" s="214"/>
      <c r="BLJ42" s="214"/>
      <c r="BLK42" s="214"/>
      <c r="BLL42" s="214"/>
      <c r="BLM42" s="214"/>
      <c r="BLN42" s="214"/>
      <c r="BLO42" s="214"/>
      <c r="BLP42" s="214"/>
      <c r="BLQ42" s="214"/>
      <c r="BLR42" s="214"/>
      <c r="BLS42" s="214"/>
      <c r="BLT42" s="214"/>
      <c r="BLU42" s="214"/>
      <c r="BLV42" s="214"/>
      <c r="BLW42" s="214"/>
      <c r="BLX42" s="214"/>
      <c r="BLY42" s="214"/>
      <c r="BLZ42" s="214"/>
      <c r="BMA42" s="214"/>
      <c r="BMB42" s="214"/>
      <c r="BMC42" s="214"/>
      <c r="BMD42" s="214"/>
      <c r="BME42" s="214"/>
      <c r="BMF42" s="214"/>
      <c r="BMG42" s="214"/>
      <c r="BMH42" s="214"/>
      <c r="BMI42" s="214"/>
      <c r="BMJ42" s="214"/>
      <c r="BMK42" s="214"/>
      <c r="BML42" s="214"/>
      <c r="BMM42" s="214"/>
      <c r="BMN42" s="214"/>
      <c r="BMO42" s="214"/>
      <c r="BMP42" s="214"/>
      <c r="BMQ42" s="214"/>
      <c r="BMR42" s="214"/>
      <c r="BMS42" s="214"/>
      <c r="BMT42" s="214"/>
      <c r="BMU42" s="214"/>
      <c r="BMV42" s="214"/>
      <c r="BMW42" s="214"/>
      <c r="BMX42" s="214"/>
      <c r="BMY42" s="214"/>
      <c r="BMZ42" s="214"/>
      <c r="BNA42" s="214"/>
      <c r="BNB42" s="214"/>
      <c r="BNC42" s="214"/>
      <c r="BND42" s="214"/>
      <c r="BNE42" s="214"/>
      <c r="BNF42" s="214"/>
      <c r="BNG42" s="214"/>
      <c r="BNH42" s="214"/>
      <c r="BNI42" s="214"/>
      <c r="BNJ42" s="214"/>
      <c r="BNK42" s="214"/>
      <c r="BNL42" s="214"/>
      <c r="BNM42" s="214"/>
      <c r="BNN42" s="214"/>
      <c r="BNO42" s="214"/>
      <c r="BNP42" s="214"/>
      <c r="BNQ42" s="214"/>
      <c r="BNR42" s="214"/>
      <c r="BNS42" s="214"/>
      <c r="BNT42" s="214"/>
      <c r="BNU42" s="214"/>
      <c r="BNV42" s="214"/>
      <c r="BNW42" s="214"/>
      <c r="BNX42" s="214"/>
      <c r="BNY42" s="214"/>
      <c r="BNZ42" s="214"/>
      <c r="BOA42" s="214"/>
      <c r="BOB42" s="214"/>
      <c r="BOC42" s="214"/>
      <c r="BOD42" s="214"/>
      <c r="BOE42" s="214"/>
      <c r="BOF42" s="214"/>
      <c r="BOG42" s="214"/>
      <c r="BOH42" s="214"/>
      <c r="BOI42" s="214"/>
      <c r="BOJ42" s="214"/>
      <c r="BOK42" s="214"/>
      <c r="BOL42" s="214"/>
      <c r="BOM42" s="214"/>
      <c r="BON42" s="214"/>
      <c r="BOO42" s="214"/>
      <c r="BOP42" s="214"/>
      <c r="BOQ42" s="214"/>
      <c r="BOR42" s="214"/>
      <c r="BOS42" s="214"/>
      <c r="BOT42" s="214"/>
      <c r="BOU42" s="214"/>
      <c r="BOV42" s="214"/>
      <c r="BOW42" s="214"/>
      <c r="BOX42" s="214"/>
      <c r="BOY42" s="214"/>
      <c r="BOZ42" s="214"/>
      <c r="BPA42" s="214"/>
      <c r="BPB42" s="214"/>
      <c r="BPC42" s="214"/>
      <c r="BPD42" s="214"/>
      <c r="BPE42" s="214"/>
      <c r="BPF42" s="214"/>
      <c r="BPG42" s="214"/>
      <c r="BPH42" s="214"/>
      <c r="BPI42" s="214"/>
      <c r="BPJ42" s="214"/>
      <c r="BPK42" s="214"/>
      <c r="BPL42" s="214"/>
      <c r="BPM42" s="214"/>
      <c r="BPN42" s="214"/>
      <c r="BPO42" s="214"/>
      <c r="BPP42" s="214"/>
      <c r="BPQ42" s="214"/>
      <c r="BPR42" s="214"/>
      <c r="BPS42" s="214"/>
      <c r="BPT42" s="214"/>
      <c r="BPU42" s="214"/>
      <c r="BPV42" s="214"/>
      <c r="BPW42" s="214"/>
      <c r="BPX42" s="214"/>
      <c r="BPY42" s="214"/>
      <c r="BPZ42" s="214"/>
      <c r="BQA42" s="214"/>
      <c r="BQB42" s="214"/>
      <c r="BQC42" s="214"/>
      <c r="BQD42" s="214"/>
      <c r="BQE42" s="214"/>
      <c r="BQF42" s="214"/>
      <c r="BQG42" s="214"/>
      <c r="BQH42" s="214"/>
      <c r="BQI42" s="214"/>
      <c r="BQJ42" s="214"/>
      <c r="BQK42" s="214"/>
      <c r="BQL42" s="214"/>
      <c r="BQM42" s="214"/>
      <c r="BQN42" s="214"/>
      <c r="BQO42" s="214"/>
      <c r="BQP42" s="214"/>
      <c r="BQQ42" s="214"/>
      <c r="BQR42" s="214"/>
      <c r="BQS42" s="214"/>
      <c r="BQT42" s="214"/>
      <c r="BQU42" s="214"/>
      <c r="BQV42" s="214"/>
      <c r="BQW42" s="214"/>
      <c r="BQX42" s="214"/>
      <c r="BQY42" s="214"/>
      <c r="BQZ42" s="214"/>
      <c r="BRA42" s="214"/>
      <c r="BRB42" s="214"/>
      <c r="BRC42" s="214"/>
      <c r="BRD42" s="214"/>
      <c r="BRE42" s="214"/>
      <c r="BRF42" s="214"/>
      <c r="BRG42" s="214"/>
      <c r="BRH42" s="214"/>
      <c r="BRI42" s="214"/>
      <c r="BRJ42" s="214"/>
      <c r="BRK42" s="214"/>
      <c r="BRL42" s="214"/>
      <c r="BRM42" s="214"/>
      <c r="BRN42" s="214"/>
      <c r="BRO42" s="214"/>
      <c r="BRP42" s="214"/>
      <c r="BRQ42" s="214"/>
      <c r="BRR42" s="214"/>
      <c r="BRS42" s="214"/>
      <c r="BRT42" s="214"/>
      <c r="BRU42" s="214"/>
      <c r="BRV42" s="214"/>
      <c r="BRW42" s="214"/>
      <c r="BRX42" s="214"/>
      <c r="BRY42" s="214"/>
      <c r="BRZ42" s="214"/>
      <c r="BSA42" s="214"/>
      <c r="BSB42" s="214"/>
      <c r="BSC42" s="214"/>
      <c r="BSD42" s="214"/>
      <c r="BSE42" s="214"/>
      <c r="BSF42" s="214"/>
      <c r="BSG42" s="214"/>
      <c r="BSH42" s="214"/>
      <c r="BSI42" s="214"/>
      <c r="BSJ42" s="214"/>
      <c r="BSK42" s="214"/>
      <c r="BSL42" s="214"/>
      <c r="BSM42" s="214"/>
      <c r="BSN42" s="214"/>
      <c r="BSO42" s="214"/>
      <c r="BSP42" s="214"/>
      <c r="BSQ42" s="214"/>
      <c r="BSR42" s="214"/>
      <c r="BSS42" s="214"/>
      <c r="BST42" s="214"/>
      <c r="BSU42" s="214"/>
      <c r="BSV42" s="214"/>
      <c r="BSW42" s="214"/>
      <c r="BSX42" s="214"/>
      <c r="BSY42" s="214"/>
      <c r="BSZ42" s="214"/>
      <c r="BTA42" s="214"/>
      <c r="BTB42" s="214"/>
      <c r="BTC42" s="214"/>
      <c r="BTD42" s="214"/>
      <c r="BTE42" s="214"/>
      <c r="BTF42" s="214"/>
      <c r="BTG42" s="214"/>
      <c r="BTH42" s="214"/>
      <c r="BTI42" s="214"/>
      <c r="BTJ42" s="214"/>
      <c r="BTK42" s="214"/>
      <c r="BTL42" s="214"/>
      <c r="BTM42" s="214"/>
      <c r="BTN42" s="214"/>
      <c r="BTO42" s="214"/>
      <c r="BTP42" s="214"/>
      <c r="BTQ42" s="214"/>
      <c r="BTR42" s="214"/>
      <c r="BTS42" s="214"/>
      <c r="BTT42" s="214"/>
      <c r="BTU42" s="214"/>
      <c r="BTV42" s="214"/>
      <c r="BTW42" s="214"/>
      <c r="BTX42" s="214"/>
      <c r="BTY42" s="214"/>
      <c r="BTZ42" s="214"/>
      <c r="BUA42" s="214"/>
      <c r="BUB42" s="214"/>
      <c r="BUC42" s="214"/>
      <c r="BUD42" s="214"/>
      <c r="BUE42" s="214"/>
      <c r="BUF42" s="214"/>
      <c r="BUG42" s="214"/>
      <c r="BUH42" s="214"/>
      <c r="BUI42" s="214"/>
      <c r="BUJ42" s="214"/>
      <c r="BUK42" s="214"/>
      <c r="BUL42" s="214"/>
      <c r="BUM42" s="214"/>
      <c r="BUN42" s="214"/>
      <c r="BUO42" s="214"/>
      <c r="BUP42" s="214"/>
      <c r="BUQ42" s="214"/>
      <c r="BUR42" s="214"/>
      <c r="BUS42" s="214"/>
      <c r="BUT42" s="214"/>
      <c r="BUU42" s="214"/>
      <c r="BUV42" s="214"/>
      <c r="BUW42" s="214"/>
      <c r="BUX42" s="214"/>
      <c r="BUY42" s="214"/>
      <c r="BUZ42" s="214"/>
      <c r="BVA42" s="214"/>
      <c r="BVB42" s="214"/>
      <c r="BVC42" s="214"/>
      <c r="BVD42" s="214"/>
      <c r="BVE42" s="214"/>
      <c r="BVF42" s="214"/>
      <c r="BVG42" s="214"/>
      <c r="BVH42" s="214"/>
      <c r="BVI42" s="214"/>
      <c r="BVJ42" s="214"/>
      <c r="BVK42" s="214"/>
      <c r="BVL42" s="214"/>
      <c r="BVM42" s="214"/>
      <c r="BVN42" s="214"/>
      <c r="BVO42" s="214"/>
      <c r="BVP42" s="214"/>
      <c r="BVQ42" s="214"/>
      <c r="BVR42" s="214"/>
      <c r="BVS42" s="214"/>
      <c r="BVT42" s="214"/>
      <c r="BVU42" s="214"/>
      <c r="BVV42" s="214"/>
      <c r="BVW42" s="214"/>
      <c r="BVX42" s="214"/>
      <c r="BVY42" s="214"/>
      <c r="BVZ42" s="214"/>
      <c r="BWA42" s="214"/>
      <c r="BWB42" s="214"/>
      <c r="BWC42" s="214"/>
      <c r="BWD42" s="214"/>
      <c r="BWE42" s="214"/>
      <c r="BWF42" s="214"/>
      <c r="BWG42" s="214"/>
      <c r="BWH42" s="214"/>
      <c r="BWI42" s="214"/>
      <c r="BWJ42" s="214"/>
      <c r="BWK42" s="214"/>
      <c r="BWL42" s="214"/>
      <c r="BWM42" s="214"/>
      <c r="BWN42" s="214"/>
      <c r="BWO42" s="214"/>
      <c r="BWP42" s="214"/>
      <c r="BWQ42" s="214"/>
      <c r="BWR42" s="214"/>
      <c r="BWS42" s="214"/>
      <c r="BWT42" s="214"/>
      <c r="BWU42" s="214"/>
      <c r="BWV42" s="214"/>
      <c r="BWW42" s="214"/>
      <c r="BWX42" s="214"/>
      <c r="BWY42" s="214"/>
      <c r="BWZ42" s="214"/>
      <c r="BXA42" s="214"/>
      <c r="BXB42" s="214"/>
      <c r="BXC42" s="214"/>
      <c r="BXD42" s="214"/>
      <c r="BXE42" s="214"/>
      <c r="BXF42" s="214"/>
      <c r="BXG42" s="214"/>
      <c r="BXH42" s="214"/>
      <c r="BXI42" s="214"/>
      <c r="BXJ42" s="214"/>
      <c r="BXK42" s="214"/>
      <c r="BXL42" s="214"/>
      <c r="BXM42" s="214"/>
      <c r="BXN42" s="214"/>
      <c r="BXO42" s="214"/>
      <c r="BXP42" s="214"/>
      <c r="BXQ42" s="214"/>
      <c r="BXR42" s="214"/>
      <c r="BXS42" s="214"/>
      <c r="BXT42" s="214"/>
      <c r="BXU42" s="214"/>
      <c r="BXV42" s="214"/>
      <c r="BXW42" s="214"/>
      <c r="BXX42" s="214"/>
      <c r="BXY42" s="214"/>
      <c r="BXZ42" s="214"/>
      <c r="BYA42" s="214"/>
      <c r="BYB42" s="214"/>
      <c r="BYC42" s="214"/>
      <c r="BYD42" s="214"/>
      <c r="BYE42" s="214"/>
      <c r="BYF42" s="214"/>
      <c r="BYG42" s="214"/>
      <c r="BYH42" s="214"/>
      <c r="BYI42" s="214"/>
      <c r="BYJ42" s="214"/>
      <c r="BYK42" s="214"/>
      <c r="BYL42" s="214"/>
      <c r="BYM42" s="214"/>
      <c r="BYN42" s="214"/>
      <c r="BYO42" s="214"/>
      <c r="BYP42" s="214"/>
      <c r="BYQ42" s="214"/>
      <c r="BYR42" s="214"/>
      <c r="BYS42" s="214"/>
      <c r="BYT42" s="214"/>
      <c r="BYU42" s="214"/>
      <c r="BYV42" s="214"/>
      <c r="BYW42" s="214"/>
      <c r="BYX42" s="214"/>
      <c r="BYY42" s="214"/>
      <c r="BYZ42" s="214"/>
      <c r="BZA42" s="214"/>
      <c r="BZB42" s="214"/>
      <c r="BZC42" s="214"/>
      <c r="BZD42" s="214"/>
      <c r="BZE42" s="214"/>
      <c r="BZF42" s="214"/>
      <c r="BZG42" s="214"/>
      <c r="BZH42" s="214"/>
      <c r="BZI42" s="214"/>
      <c r="BZJ42" s="214"/>
      <c r="BZK42" s="214"/>
      <c r="BZL42" s="214"/>
      <c r="BZM42" s="214"/>
      <c r="BZN42" s="214"/>
      <c r="BZO42" s="214"/>
      <c r="BZP42" s="214"/>
      <c r="BZQ42" s="214"/>
      <c r="BZR42" s="214"/>
      <c r="BZS42" s="214"/>
      <c r="BZT42" s="214"/>
      <c r="BZU42" s="214"/>
      <c r="BZV42" s="214"/>
      <c r="BZW42" s="214"/>
      <c r="BZX42" s="214"/>
      <c r="BZY42" s="214"/>
      <c r="BZZ42" s="214"/>
      <c r="CAA42" s="214"/>
      <c r="CAB42" s="214"/>
      <c r="CAC42" s="214"/>
      <c r="CAD42" s="214"/>
      <c r="CAE42" s="214"/>
      <c r="CAF42" s="214"/>
      <c r="CAG42" s="214"/>
      <c r="CAH42" s="214"/>
      <c r="CAI42" s="214"/>
      <c r="CAJ42" s="214"/>
      <c r="CAK42" s="214"/>
      <c r="CAL42" s="214"/>
      <c r="CAM42" s="214"/>
      <c r="CAN42" s="214"/>
      <c r="CAO42" s="214"/>
      <c r="CAP42" s="214"/>
      <c r="CAQ42" s="214"/>
      <c r="CAR42" s="214"/>
      <c r="CAS42" s="214"/>
      <c r="CAT42" s="214"/>
      <c r="CAU42" s="214"/>
      <c r="CAV42" s="214"/>
      <c r="CAW42" s="214"/>
      <c r="CAX42" s="214"/>
      <c r="CAY42" s="214"/>
      <c r="CAZ42" s="214"/>
      <c r="CBA42" s="214"/>
      <c r="CBB42" s="214"/>
      <c r="CBC42" s="214"/>
      <c r="CBD42" s="214"/>
      <c r="CBE42" s="214"/>
      <c r="CBF42" s="214"/>
      <c r="CBG42" s="214"/>
      <c r="CBH42" s="214"/>
      <c r="CBI42" s="214"/>
      <c r="CBJ42" s="214"/>
      <c r="CBK42" s="214"/>
      <c r="CBL42" s="214"/>
      <c r="CBM42" s="214"/>
      <c r="CBN42" s="214"/>
      <c r="CBO42" s="214"/>
      <c r="CBP42" s="214"/>
      <c r="CBQ42" s="214"/>
      <c r="CBR42" s="214"/>
      <c r="CBS42" s="214"/>
      <c r="CBT42" s="214"/>
      <c r="CBU42" s="214"/>
      <c r="CBV42" s="214"/>
      <c r="CBW42" s="214"/>
      <c r="CBX42" s="214"/>
      <c r="CBY42" s="214"/>
      <c r="CBZ42" s="214"/>
      <c r="CCA42" s="214"/>
      <c r="CCB42" s="214"/>
      <c r="CCC42" s="214"/>
      <c r="CCD42" s="214"/>
      <c r="CCE42" s="214"/>
      <c r="CCF42" s="214"/>
      <c r="CCG42" s="214"/>
      <c r="CCH42" s="214"/>
      <c r="CCI42" s="214"/>
      <c r="CCJ42" s="214"/>
      <c r="CCK42" s="214"/>
      <c r="CCL42" s="214"/>
      <c r="CCM42" s="214"/>
      <c r="CCN42" s="214"/>
      <c r="CCO42" s="214"/>
      <c r="CCP42" s="214"/>
      <c r="CCQ42" s="214"/>
      <c r="CCR42" s="214"/>
      <c r="CCS42" s="214"/>
      <c r="CCT42" s="214"/>
      <c r="CCU42" s="214"/>
      <c r="CCV42" s="214"/>
      <c r="CCW42" s="214"/>
      <c r="CCX42" s="214"/>
      <c r="CCY42" s="214"/>
      <c r="CCZ42" s="214"/>
      <c r="CDA42" s="214"/>
      <c r="CDB42" s="214"/>
      <c r="CDC42" s="214"/>
      <c r="CDD42" s="214"/>
      <c r="CDE42" s="214"/>
      <c r="CDF42" s="214"/>
      <c r="CDG42" s="214"/>
      <c r="CDH42" s="214"/>
      <c r="CDI42" s="214"/>
      <c r="CDJ42" s="214"/>
      <c r="CDK42" s="214"/>
      <c r="CDL42" s="214"/>
      <c r="CDM42" s="214"/>
      <c r="CDN42" s="214"/>
      <c r="CDO42" s="214"/>
      <c r="CDP42" s="214"/>
      <c r="CDQ42" s="214"/>
      <c r="CDR42" s="214"/>
      <c r="CDS42" s="214"/>
      <c r="CDT42" s="214"/>
      <c r="CDU42" s="214"/>
      <c r="CDV42" s="214"/>
      <c r="CDW42" s="214"/>
      <c r="CDX42" s="214"/>
      <c r="CDY42" s="214"/>
      <c r="CDZ42" s="214"/>
      <c r="CEA42" s="214"/>
      <c r="CEB42" s="214"/>
      <c r="CEC42" s="214"/>
      <c r="CED42" s="214"/>
      <c r="CEE42" s="214"/>
      <c r="CEF42" s="214"/>
      <c r="CEG42" s="214"/>
      <c r="CEH42" s="214"/>
      <c r="CEI42" s="214"/>
      <c r="CEJ42" s="214"/>
      <c r="CEK42" s="214"/>
      <c r="CEL42" s="214"/>
      <c r="CEM42" s="214"/>
      <c r="CEN42" s="214"/>
      <c r="CEO42" s="214"/>
      <c r="CEP42" s="214"/>
      <c r="CEQ42" s="214"/>
      <c r="CER42" s="214"/>
      <c r="CES42" s="214"/>
      <c r="CET42" s="214"/>
      <c r="CEU42" s="214"/>
      <c r="CEV42" s="214"/>
      <c r="CEW42" s="214"/>
      <c r="CEX42" s="214"/>
      <c r="CEY42" s="214"/>
      <c r="CEZ42" s="214"/>
      <c r="CFA42" s="214"/>
      <c r="CFB42" s="214"/>
      <c r="CFC42" s="214"/>
      <c r="CFD42" s="214"/>
      <c r="CFE42" s="214"/>
      <c r="CFF42" s="214"/>
      <c r="CFG42" s="214"/>
      <c r="CFH42" s="214"/>
      <c r="CFI42" s="214"/>
      <c r="CFJ42" s="214"/>
      <c r="CFK42" s="214"/>
      <c r="CFL42" s="214"/>
      <c r="CFM42" s="214"/>
      <c r="CFN42" s="214"/>
      <c r="CFO42" s="214"/>
      <c r="CFP42" s="214"/>
      <c r="CFQ42" s="214"/>
      <c r="CFR42" s="214"/>
      <c r="CFS42" s="214"/>
      <c r="CFT42" s="214"/>
      <c r="CFU42" s="214"/>
      <c r="CFV42" s="214"/>
      <c r="CFW42" s="214"/>
      <c r="CFX42" s="214"/>
      <c r="CFY42" s="214"/>
      <c r="CFZ42" s="214"/>
      <c r="CGA42" s="214"/>
      <c r="CGB42" s="214"/>
      <c r="CGC42" s="214"/>
      <c r="CGD42" s="214"/>
      <c r="CGE42" s="214"/>
      <c r="CGF42" s="214"/>
      <c r="CGG42" s="214"/>
      <c r="CGH42" s="214"/>
      <c r="CGI42" s="214"/>
      <c r="CGJ42" s="214"/>
      <c r="CGK42" s="214"/>
      <c r="CGL42" s="214"/>
      <c r="CGM42" s="214"/>
      <c r="CGN42" s="214"/>
      <c r="CGO42" s="214"/>
      <c r="CGP42" s="214"/>
      <c r="CGQ42" s="214"/>
      <c r="CGR42" s="214"/>
      <c r="CGS42" s="214"/>
      <c r="CGT42" s="214"/>
      <c r="CGU42" s="214"/>
      <c r="CGV42" s="214"/>
      <c r="CGW42" s="214"/>
      <c r="CGX42" s="214"/>
      <c r="CGY42" s="214"/>
      <c r="CGZ42" s="214"/>
      <c r="CHA42" s="214"/>
      <c r="CHB42" s="214"/>
      <c r="CHC42" s="214"/>
      <c r="CHD42" s="214"/>
      <c r="CHE42" s="214"/>
      <c r="CHF42" s="214"/>
      <c r="CHG42" s="214"/>
      <c r="CHH42" s="214"/>
      <c r="CHI42" s="214"/>
      <c r="CHJ42" s="214"/>
      <c r="CHK42" s="214"/>
      <c r="CHL42" s="214"/>
      <c r="CHM42" s="214"/>
      <c r="CHN42" s="214"/>
      <c r="CHO42" s="214"/>
      <c r="CHP42" s="214"/>
      <c r="CHQ42" s="214"/>
      <c r="CHR42" s="214"/>
      <c r="CHS42" s="214"/>
      <c r="CHT42" s="214"/>
      <c r="CHU42" s="214"/>
      <c r="CHV42" s="214"/>
      <c r="CHW42" s="214"/>
      <c r="CHX42" s="214"/>
      <c r="CHY42" s="214"/>
      <c r="CHZ42" s="214"/>
      <c r="CIA42" s="214"/>
      <c r="CIB42" s="214"/>
      <c r="CIC42" s="214"/>
      <c r="CID42" s="214"/>
      <c r="CIE42" s="214"/>
      <c r="CIF42" s="214"/>
      <c r="CIG42" s="214"/>
      <c r="CIH42" s="214"/>
      <c r="CII42" s="214"/>
      <c r="CIJ42" s="214"/>
      <c r="CIK42" s="214"/>
      <c r="CIL42" s="214"/>
      <c r="CIM42" s="214"/>
      <c r="CIN42" s="214"/>
      <c r="CIO42" s="214"/>
      <c r="CIP42" s="214"/>
      <c r="CIQ42" s="214"/>
      <c r="CIR42" s="214"/>
      <c r="CIS42" s="214"/>
      <c r="CIT42" s="214"/>
      <c r="CIU42" s="214"/>
      <c r="CIV42" s="214"/>
      <c r="CIW42" s="214"/>
      <c r="CIX42" s="214"/>
      <c r="CIY42" s="214"/>
      <c r="CIZ42" s="214"/>
      <c r="CJA42" s="214"/>
      <c r="CJB42" s="214"/>
      <c r="CJC42" s="214"/>
      <c r="CJD42" s="214"/>
      <c r="CJE42" s="214"/>
      <c r="CJF42" s="214"/>
      <c r="CJG42" s="214"/>
      <c r="CJH42" s="214"/>
      <c r="CJI42" s="214"/>
      <c r="CJJ42" s="214"/>
      <c r="CJK42" s="214"/>
      <c r="CJL42" s="214"/>
      <c r="CJM42" s="214"/>
      <c r="CJN42" s="214"/>
      <c r="CJO42" s="214"/>
      <c r="CJP42" s="214"/>
      <c r="CJQ42" s="214"/>
      <c r="CJR42" s="214"/>
      <c r="CJS42" s="214"/>
      <c r="CJT42" s="214"/>
      <c r="CJU42" s="214"/>
      <c r="CJV42" s="214"/>
      <c r="CJW42" s="214"/>
      <c r="CJX42" s="214"/>
      <c r="CJY42" s="214"/>
      <c r="CJZ42" s="214"/>
      <c r="CKA42" s="214"/>
      <c r="CKB42" s="214"/>
      <c r="CKC42" s="214"/>
      <c r="CKD42" s="214"/>
      <c r="CKE42" s="214"/>
      <c r="CKF42" s="214"/>
      <c r="CKG42" s="214"/>
      <c r="CKH42" s="214"/>
      <c r="CKI42" s="214"/>
      <c r="CKJ42" s="214"/>
      <c r="CKK42" s="214"/>
      <c r="CKL42" s="214"/>
      <c r="CKM42" s="214"/>
      <c r="CKN42" s="214"/>
      <c r="CKO42" s="214"/>
      <c r="CKP42" s="214"/>
      <c r="CKQ42" s="214"/>
      <c r="CKR42" s="214"/>
      <c r="CKS42" s="214"/>
      <c r="CKT42" s="214"/>
      <c r="CKU42" s="214"/>
      <c r="CKV42" s="214"/>
      <c r="CKW42" s="214"/>
      <c r="CKX42" s="214"/>
      <c r="CKY42" s="214"/>
      <c r="CKZ42" s="214"/>
      <c r="CLA42" s="214"/>
      <c r="CLB42" s="214"/>
      <c r="CLC42" s="214"/>
      <c r="CLD42" s="214"/>
      <c r="CLE42" s="214"/>
      <c r="CLF42" s="214"/>
      <c r="CLG42" s="214"/>
      <c r="CLH42" s="214"/>
      <c r="CLI42" s="214"/>
      <c r="CLJ42" s="214"/>
      <c r="CLK42" s="214"/>
      <c r="CLL42" s="214"/>
      <c r="CLM42" s="214"/>
      <c r="CLN42" s="214"/>
      <c r="CLO42" s="214"/>
      <c r="CLP42" s="214"/>
      <c r="CLQ42" s="214"/>
      <c r="CLR42" s="214"/>
      <c r="CLS42" s="214"/>
      <c r="CLT42" s="214"/>
      <c r="CLU42" s="214"/>
      <c r="CLV42" s="214"/>
      <c r="CLW42" s="214"/>
      <c r="CLX42" s="214"/>
      <c r="CLY42" s="214"/>
      <c r="CLZ42" s="214"/>
      <c r="CMA42" s="214"/>
      <c r="CMB42" s="214"/>
      <c r="CMC42" s="214"/>
      <c r="CMD42" s="214"/>
      <c r="CME42" s="214"/>
      <c r="CMF42" s="214"/>
      <c r="CMG42" s="214"/>
      <c r="CMH42" s="214"/>
      <c r="CMI42" s="214"/>
      <c r="CMJ42" s="214"/>
      <c r="CMK42" s="214"/>
      <c r="CML42" s="214"/>
      <c r="CMM42" s="214"/>
      <c r="CMN42" s="214"/>
      <c r="CMO42" s="214"/>
      <c r="CMP42" s="214"/>
      <c r="CMQ42" s="214"/>
      <c r="CMR42" s="214"/>
      <c r="CMS42" s="214"/>
      <c r="CMT42" s="214"/>
      <c r="CMU42" s="214"/>
      <c r="CMV42" s="214"/>
      <c r="CMW42" s="214"/>
      <c r="CMX42" s="214"/>
      <c r="CMY42" s="214"/>
      <c r="CMZ42" s="214"/>
      <c r="CNA42" s="214"/>
      <c r="CNB42" s="214"/>
      <c r="CNC42" s="214"/>
      <c r="CND42" s="214"/>
      <c r="CNE42" s="214"/>
      <c r="CNF42" s="214"/>
      <c r="CNG42" s="214"/>
      <c r="CNH42" s="214"/>
      <c r="CNI42" s="214"/>
      <c r="CNJ42" s="214"/>
      <c r="CNK42" s="214"/>
      <c r="CNL42" s="214"/>
      <c r="CNM42" s="214"/>
      <c r="CNN42" s="214"/>
      <c r="CNO42" s="214"/>
      <c r="CNP42" s="214"/>
      <c r="CNQ42" s="214"/>
      <c r="CNR42" s="214"/>
      <c r="CNS42" s="214"/>
      <c r="CNT42" s="214"/>
      <c r="CNU42" s="214"/>
      <c r="CNV42" s="214"/>
      <c r="CNW42" s="214"/>
      <c r="CNX42" s="214"/>
      <c r="CNY42" s="214"/>
      <c r="CNZ42" s="214"/>
      <c r="COA42" s="214"/>
      <c r="COB42" s="214"/>
      <c r="COC42" s="214"/>
      <c r="COD42" s="214"/>
      <c r="COE42" s="214"/>
      <c r="COF42" s="214"/>
      <c r="COG42" s="214"/>
      <c r="COH42" s="214"/>
      <c r="COI42" s="214"/>
      <c r="COJ42" s="214"/>
      <c r="COK42" s="214"/>
      <c r="COL42" s="214"/>
      <c r="COM42" s="214"/>
      <c r="CON42" s="214"/>
      <c r="COO42" s="214"/>
      <c r="COP42" s="214"/>
      <c r="COQ42" s="214"/>
      <c r="COR42" s="214"/>
      <c r="COS42" s="214"/>
      <c r="COT42" s="214"/>
      <c r="COU42" s="214"/>
      <c r="COV42" s="214"/>
      <c r="COW42" s="214"/>
      <c r="COX42" s="214"/>
      <c r="COY42" s="214"/>
      <c r="COZ42" s="214"/>
      <c r="CPA42" s="214"/>
      <c r="CPB42" s="214"/>
      <c r="CPC42" s="214"/>
      <c r="CPD42" s="214"/>
      <c r="CPE42" s="214"/>
      <c r="CPF42" s="214"/>
      <c r="CPG42" s="214"/>
      <c r="CPH42" s="214"/>
      <c r="CPI42" s="214"/>
      <c r="CPJ42" s="214"/>
      <c r="CPK42" s="214"/>
      <c r="CPL42" s="214"/>
      <c r="CPM42" s="214"/>
      <c r="CPN42" s="214"/>
      <c r="CPO42" s="214"/>
      <c r="CPP42" s="214"/>
      <c r="CPQ42" s="214"/>
      <c r="CPR42" s="214"/>
      <c r="CPS42" s="214"/>
      <c r="CPT42" s="214"/>
      <c r="CPU42" s="214"/>
      <c r="CPV42" s="214"/>
      <c r="CPW42" s="214"/>
      <c r="CPX42" s="214"/>
      <c r="CPY42" s="214"/>
      <c r="CPZ42" s="214"/>
      <c r="CQA42" s="214"/>
      <c r="CQB42" s="214"/>
      <c r="CQC42" s="214"/>
      <c r="CQD42" s="214"/>
      <c r="CQE42" s="214"/>
      <c r="CQF42" s="214"/>
      <c r="CQG42" s="214"/>
      <c r="CQH42" s="214"/>
      <c r="CQI42" s="214"/>
      <c r="CQJ42" s="214"/>
      <c r="CQK42" s="214"/>
      <c r="CQL42" s="214"/>
      <c r="CQM42" s="214"/>
      <c r="CQN42" s="214"/>
      <c r="CQO42" s="214"/>
      <c r="CQP42" s="214"/>
      <c r="CQQ42" s="214"/>
      <c r="CQR42" s="214"/>
      <c r="CQS42" s="214"/>
      <c r="CQT42" s="214"/>
      <c r="CQU42" s="214"/>
      <c r="CQV42" s="214"/>
      <c r="CQW42" s="214"/>
      <c r="CQX42" s="214"/>
      <c r="CQY42" s="214"/>
      <c r="CQZ42" s="214"/>
      <c r="CRA42" s="214"/>
      <c r="CRB42" s="214"/>
      <c r="CRC42" s="214"/>
      <c r="CRD42" s="214"/>
      <c r="CRE42" s="214"/>
      <c r="CRF42" s="214"/>
      <c r="CRG42" s="214"/>
      <c r="CRH42" s="214"/>
      <c r="CRI42" s="214"/>
      <c r="CRJ42" s="214"/>
      <c r="CRK42" s="214"/>
      <c r="CRL42" s="214"/>
      <c r="CRM42" s="214"/>
      <c r="CRN42" s="214"/>
      <c r="CRO42" s="214"/>
      <c r="CRP42" s="214"/>
      <c r="CRQ42" s="214"/>
      <c r="CRR42" s="214"/>
      <c r="CRS42" s="214"/>
      <c r="CRT42" s="214"/>
      <c r="CRU42" s="214"/>
      <c r="CRV42" s="214"/>
      <c r="CRW42" s="214"/>
      <c r="CRX42" s="214"/>
      <c r="CRY42" s="214"/>
      <c r="CRZ42" s="214"/>
      <c r="CSA42" s="214"/>
      <c r="CSB42" s="214"/>
      <c r="CSC42" s="214"/>
      <c r="CSD42" s="214"/>
      <c r="CSE42" s="214"/>
      <c r="CSF42" s="214"/>
      <c r="CSG42" s="214"/>
      <c r="CSH42" s="214"/>
      <c r="CSI42" s="214"/>
      <c r="CSJ42" s="214"/>
      <c r="CSK42" s="214"/>
      <c r="CSL42" s="214"/>
      <c r="CSM42" s="214"/>
      <c r="CSN42" s="214"/>
      <c r="CSO42" s="214"/>
      <c r="CSP42" s="214"/>
      <c r="CSQ42" s="214"/>
      <c r="CSR42" s="214"/>
      <c r="CSS42" s="214"/>
      <c r="CST42" s="214"/>
      <c r="CSU42" s="214"/>
      <c r="CSV42" s="214"/>
      <c r="CSW42" s="214"/>
      <c r="CSX42" s="214"/>
      <c r="CSY42" s="214"/>
      <c r="CSZ42" s="214"/>
      <c r="CTA42" s="214"/>
      <c r="CTB42" s="214"/>
      <c r="CTC42" s="214"/>
      <c r="CTD42" s="214"/>
      <c r="CTE42" s="214"/>
      <c r="CTF42" s="214"/>
      <c r="CTG42" s="214"/>
      <c r="CTH42" s="214"/>
      <c r="CTI42" s="214"/>
      <c r="CTJ42" s="214"/>
      <c r="CTK42" s="214"/>
      <c r="CTL42" s="214"/>
      <c r="CTM42" s="214"/>
      <c r="CTN42" s="214"/>
      <c r="CTO42" s="214"/>
      <c r="CTP42" s="214"/>
      <c r="CTQ42" s="214"/>
      <c r="CTR42" s="214"/>
      <c r="CTS42" s="214"/>
      <c r="CTT42" s="214"/>
      <c r="CTU42" s="214"/>
      <c r="CTV42" s="214"/>
      <c r="CTW42" s="214"/>
      <c r="CTX42" s="214"/>
      <c r="CTY42" s="214"/>
      <c r="CTZ42" s="214"/>
      <c r="CUA42" s="214"/>
      <c r="CUB42" s="214"/>
      <c r="CUC42" s="214"/>
      <c r="CUD42" s="214"/>
      <c r="CUE42" s="214"/>
      <c r="CUF42" s="214"/>
      <c r="CUG42" s="214"/>
      <c r="CUH42" s="214"/>
      <c r="CUI42" s="214"/>
      <c r="CUJ42" s="214"/>
      <c r="CUK42" s="214"/>
      <c r="CUL42" s="214"/>
      <c r="CUM42" s="214"/>
      <c r="CUN42" s="214"/>
      <c r="CUO42" s="214"/>
      <c r="CUP42" s="214"/>
      <c r="CUQ42" s="214"/>
      <c r="CUR42" s="214"/>
      <c r="CUS42" s="214"/>
      <c r="CUT42" s="214"/>
      <c r="CUU42" s="214"/>
      <c r="CUV42" s="214"/>
      <c r="CUW42" s="214"/>
      <c r="CUX42" s="214"/>
      <c r="CUY42" s="214"/>
      <c r="CUZ42" s="214"/>
      <c r="CVA42" s="214"/>
      <c r="CVB42" s="214"/>
      <c r="CVC42" s="214"/>
      <c r="CVD42" s="214"/>
      <c r="CVE42" s="214"/>
      <c r="CVF42" s="214"/>
      <c r="CVG42" s="214"/>
      <c r="CVH42" s="214"/>
      <c r="CVI42" s="214"/>
      <c r="CVJ42" s="214"/>
      <c r="CVK42" s="214"/>
      <c r="CVL42" s="214"/>
      <c r="CVM42" s="214"/>
      <c r="CVN42" s="214"/>
      <c r="CVO42" s="214"/>
      <c r="CVP42" s="214"/>
      <c r="CVQ42" s="214"/>
      <c r="CVR42" s="214"/>
      <c r="CVS42" s="214"/>
      <c r="CVT42" s="214"/>
      <c r="CVU42" s="214"/>
      <c r="CVV42" s="214"/>
      <c r="CVW42" s="214"/>
      <c r="CVX42" s="214"/>
      <c r="CVY42" s="214"/>
      <c r="CVZ42" s="214"/>
      <c r="CWA42" s="214"/>
      <c r="CWB42" s="214"/>
      <c r="CWC42" s="214"/>
      <c r="CWD42" s="214"/>
      <c r="CWE42" s="214"/>
      <c r="CWF42" s="214"/>
      <c r="CWG42" s="214"/>
      <c r="CWH42" s="214"/>
      <c r="CWI42" s="214"/>
      <c r="CWJ42" s="214"/>
      <c r="CWK42" s="214"/>
      <c r="CWL42" s="214"/>
      <c r="CWM42" s="214"/>
      <c r="CWN42" s="214"/>
      <c r="CWO42" s="214"/>
      <c r="CWP42" s="214"/>
      <c r="CWQ42" s="214"/>
      <c r="CWR42" s="214"/>
      <c r="CWS42" s="214"/>
      <c r="CWT42" s="214"/>
      <c r="CWU42" s="214"/>
      <c r="CWV42" s="214"/>
      <c r="CWW42" s="214"/>
      <c r="CWX42" s="214"/>
      <c r="CWY42" s="214"/>
      <c r="CWZ42" s="214"/>
      <c r="CXA42" s="214"/>
      <c r="CXB42" s="214"/>
      <c r="CXC42" s="214"/>
      <c r="CXD42" s="214"/>
      <c r="CXE42" s="214"/>
      <c r="CXF42" s="214"/>
      <c r="CXG42" s="214"/>
      <c r="CXH42" s="214"/>
      <c r="CXI42" s="214"/>
      <c r="CXJ42" s="214"/>
      <c r="CXK42" s="214"/>
      <c r="CXL42" s="214"/>
      <c r="CXM42" s="214"/>
      <c r="CXN42" s="214"/>
      <c r="CXO42" s="214"/>
      <c r="CXP42" s="214"/>
      <c r="CXQ42" s="214"/>
      <c r="CXR42" s="214"/>
      <c r="CXS42" s="214"/>
      <c r="CXT42" s="214"/>
      <c r="CXU42" s="214"/>
      <c r="CXV42" s="214"/>
      <c r="CXW42" s="214"/>
      <c r="CXX42" s="214"/>
      <c r="CXY42" s="214"/>
      <c r="CXZ42" s="214"/>
      <c r="CYA42" s="214"/>
      <c r="CYB42" s="214"/>
      <c r="CYC42" s="214"/>
      <c r="CYD42" s="214"/>
      <c r="CYE42" s="214"/>
      <c r="CYF42" s="214"/>
      <c r="CYG42" s="214"/>
      <c r="CYH42" s="214"/>
      <c r="CYI42" s="214"/>
      <c r="CYJ42" s="214"/>
      <c r="CYK42" s="214"/>
      <c r="CYL42" s="214"/>
      <c r="CYM42" s="214"/>
      <c r="CYN42" s="214"/>
      <c r="CYO42" s="214"/>
      <c r="CYP42" s="214"/>
      <c r="CYQ42" s="214"/>
      <c r="CYR42" s="214"/>
      <c r="CYS42" s="214"/>
      <c r="CYT42" s="214"/>
      <c r="CYU42" s="214"/>
      <c r="CYV42" s="214"/>
      <c r="CYW42" s="214"/>
      <c r="CYX42" s="214"/>
      <c r="CYY42" s="214"/>
      <c r="CYZ42" s="214"/>
      <c r="CZA42" s="214"/>
      <c r="CZB42" s="214"/>
      <c r="CZC42" s="214"/>
      <c r="CZD42" s="214"/>
      <c r="CZE42" s="214"/>
      <c r="CZF42" s="214"/>
      <c r="CZG42" s="214"/>
      <c r="CZH42" s="214"/>
      <c r="CZI42" s="214"/>
      <c r="CZJ42" s="214"/>
      <c r="CZK42" s="214"/>
      <c r="CZL42" s="214"/>
      <c r="CZM42" s="214"/>
      <c r="CZN42" s="214"/>
      <c r="CZO42" s="214"/>
      <c r="CZP42" s="214"/>
      <c r="CZQ42" s="214"/>
      <c r="CZR42" s="214"/>
      <c r="CZS42" s="214"/>
      <c r="CZT42" s="214"/>
      <c r="CZU42" s="214"/>
      <c r="CZV42" s="214"/>
      <c r="CZW42" s="214"/>
      <c r="CZX42" s="214"/>
      <c r="CZY42" s="214"/>
      <c r="CZZ42" s="214"/>
      <c r="DAA42" s="214"/>
      <c r="DAB42" s="214"/>
      <c r="DAC42" s="214"/>
      <c r="DAD42" s="214"/>
      <c r="DAE42" s="214"/>
      <c r="DAF42" s="214"/>
      <c r="DAG42" s="214"/>
      <c r="DAH42" s="214"/>
      <c r="DAI42" s="214"/>
      <c r="DAJ42" s="214"/>
      <c r="DAK42" s="214"/>
      <c r="DAL42" s="214"/>
      <c r="DAM42" s="214"/>
      <c r="DAN42" s="214"/>
      <c r="DAO42" s="214"/>
      <c r="DAP42" s="214"/>
      <c r="DAQ42" s="214"/>
      <c r="DAR42" s="214"/>
      <c r="DAS42" s="214"/>
      <c r="DAT42" s="214"/>
      <c r="DAU42" s="214"/>
      <c r="DAV42" s="214"/>
      <c r="DAW42" s="214"/>
      <c r="DAX42" s="214"/>
      <c r="DAY42" s="214"/>
      <c r="DAZ42" s="214"/>
      <c r="DBA42" s="214"/>
      <c r="DBB42" s="214"/>
      <c r="DBC42" s="214"/>
      <c r="DBD42" s="214"/>
      <c r="DBE42" s="214"/>
      <c r="DBF42" s="214"/>
      <c r="DBG42" s="214"/>
      <c r="DBH42" s="214"/>
      <c r="DBI42" s="214"/>
      <c r="DBJ42" s="214"/>
      <c r="DBK42" s="214"/>
      <c r="DBL42" s="214"/>
      <c r="DBM42" s="214"/>
      <c r="DBN42" s="214"/>
      <c r="DBO42" s="214"/>
      <c r="DBP42" s="214"/>
      <c r="DBQ42" s="214"/>
      <c r="DBR42" s="214"/>
      <c r="DBS42" s="214"/>
      <c r="DBT42" s="214"/>
      <c r="DBU42" s="214"/>
      <c r="DBV42" s="214"/>
      <c r="DBW42" s="214"/>
      <c r="DBX42" s="214"/>
      <c r="DBY42" s="214"/>
      <c r="DBZ42" s="214"/>
      <c r="DCA42" s="214"/>
      <c r="DCB42" s="214"/>
      <c r="DCC42" s="214"/>
      <c r="DCD42" s="214"/>
      <c r="DCE42" s="214"/>
      <c r="DCF42" s="214"/>
      <c r="DCG42" s="214"/>
      <c r="DCH42" s="214"/>
      <c r="DCI42" s="214"/>
      <c r="DCJ42" s="214"/>
      <c r="DCK42" s="214"/>
      <c r="DCL42" s="214"/>
      <c r="DCM42" s="214"/>
      <c r="DCN42" s="214"/>
      <c r="DCO42" s="214"/>
      <c r="DCP42" s="214"/>
      <c r="DCQ42" s="214"/>
      <c r="DCR42" s="214"/>
      <c r="DCS42" s="214"/>
      <c r="DCT42" s="214"/>
      <c r="DCU42" s="214"/>
      <c r="DCV42" s="214"/>
      <c r="DCW42" s="214"/>
      <c r="DCX42" s="214"/>
      <c r="DCY42" s="214"/>
      <c r="DCZ42" s="214"/>
      <c r="DDA42" s="214"/>
      <c r="DDB42" s="214"/>
      <c r="DDC42" s="214"/>
      <c r="DDD42" s="214"/>
      <c r="DDE42" s="214"/>
      <c r="DDF42" s="214"/>
      <c r="DDG42" s="214"/>
      <c r="DDH42" s="214"/>
      <c r="DDI42" s="214"/>
      <c r="DDJ42" s="214"/>
      <c r="DDK42" s="214"/>
      <c r="DDL42" s="214"/>
      <c r="DDM42" s="214"/>
      <c r="DDN42" s="214"/>
      <c r="DDO42" s="214"/>
      <c r="DDP42" s="214"/>
      <c r="DDQ42" s="214"/>
      <c r="DDR42" s="214"/>
      <c r="DDS42" s="214"/>
      <c r="DDT42" s="214"/>
      <c r="DDU42" s="214"/>
      <c r="DDV42" s="214"/>
      <c r="DDW42" s="214"/>
      <c r="DDX42" s="214"/>
      <c r="DDY42" s="214"/>
      <c r="DDZ42" s="214"/>
      <c r="DEA42" s="214"/>
      <c r="DEB42" s="214"/>
      <c r="DEC42" s="214"/>
      <c r="DED42" s="214"/>
      <c r="DEE42" s="214"/>
      <c r="DEF42" s="214"/>
      <c r="DEG42" s="214"/>
      <c r="DEH42" s="214"/>
      <c r="DEI42" s="214"/>
      <c r="DEJ42" s="214"/>
      <c r="DEK42" s="214"/>
      <c r="DEL42" s="214"/>
      <c r="DEM42" s="214"/>
      <c r="DEN42" s="214"/>
      <c r="DEO42" s="214"/>
      <c r="DEP42" s="214"/>
      <c r="DEQ42" s="214"/>
      <c r="DER42" s="214"/>
      <c r="DES42" s="214"/>
      <c r="DET42" s="214"/>
      <c r="DEU42" s="214"/>
      <c r="DEV42" s="214"/>
      <c r="DEW42" s="214"/>
      <c r="DEX42" s="214"/>
      <c r="DEY42" s="214"/>
      <c r="DEZ42" s="214"/>
      <c r="DFA42" s="214"/>
      <c r="DFB42" s="214"/>
      <c r="DFC42" s="214"/>
      <c r="DFD42" s="214"/>
      <c r="DFE42" s="214"/>
      <c r="DFF42" s="214"/>
      <c r="DFG42" s="214"/>
      <c r="DFH42" s="214"/>
      <c r="DFI42" s="214"/>
      <c r="DFJ42" s="214"/>
      <c r="DFK42" s="214"/>
      <c r="DFL42" s="214"/>
      <c r="DFM42" s="214"/>
      <c r="DFN42" s="214"/>
      <c r="DFO42" s="214"/>
      <c r="DFP42" s="214"/>
      <c r="DFQ42" s="214"/>
      <c r="DFR42" s="214"/>
      <c r="DFS42" s="214"/>
      <c r="DFT42" s="214"/>
      <c r="DFU42" s="214"/>
      <c r="DFV42" s="214"/>
      <c r="DFW42" s="214"/>
      <c r="DFX42" s="214"/>
      <c r="DFY42" s="214"/>
      <c r="DFZ42" s="214"/>
      <c r="DGA42" s="214"/>
      <c r="DGB42" s="214"/>
      <c r="DGC42" s="214"/>
      <c r="DGD42" s="214"/>
      <c r="DGE42" s="214"/>
      <c r="DGF42" s="214"/>
      <c r="DGG42" s="214"/>
      <c r="DGH42" s="214"/>
      <c r="DGI42" s="214"/>
      <c r="DGJ42" s="214"/>
      <c r="DGK42" s="214"/>
      <c r="DGL42" s="214"/>
      <c r="DGM42" s="214"/>
      <c r="DGN42" s="214"/>
      <c r="DGO42" s="214"/>
      <c r="DGP42" s="214"/>
      <c r="DGQ42" s="214"/>
      <c r="DGR42" s="214"/>
      <c r="DGS42" s="214"/>
      <c r="DGT42" s="214"/>
      <c r="DGU42" s="214"/>
      <c r="DGV42" s="214"/>
      <c r="DGW42" s="214"/>
      <c r="DGX42" s="214"/>
      <c r="DGY42" s="214"/>
      <c r="DGZ42" s="214"/>
      <c r="DHA42" s="214"/>
      <c r="DHB42" s="214"/>
      <c r="DHC42" s="214"/>
      <c r="DHD42" s="214"/>
      <c r="DHE42" s="214"/>
      <c r="DHF42" s="214"/>
      <c r="DHG42" s="214"/>
      <c r="DHH42" s="214"/>
      <c r="DHI42" s="214"/>
      <c r="DHJ42" s="214"/>
      <c r="DHK42" s="214"/>
      <c r="DHL42" s="214"/>
      <c r="DHM42" s="214"/>
      <c r="DHN42" s="214"/>
      <c r="DHO42" s="214"/>
      <c r="DHP42" s="214"/>
      <c r="DHQ42" s="214"/>
      <c r="DHR42" s="214"/>
      <c r="DHS42" s="214"/>
      <c r="DHT42" s="214"/>
      <c r="DHU42" s="214"/>
      <c r="DHV42" s="214"/>
      <c r="DHW42" s="214"/>
      <c r="DHX42" s="214"/>
      <c r="DHY42" s="214"/>
      <c r="DHZ42" s="214"/>
      <c r="DIA42" s="214"/>
      <c r="DIB42" s="214"/>
      <c r="DIC42" s="214"/>
      <c r="DID42" s="214"/>
      <c r="DIE42" s="214"/>
      <c r="DIF42" s="214"/>
      <c r="DIG42" s="214"/>
      <c r="DIH42" s="214"/>
      <c r="DII42" s="214"/>
      <c r="DIJ42" s="214"/>
      <c r="DIK42" s="214"/>
      <c r="DIL42" s="214"/>
      <c r="DIM42" s="214"/>
      <c r="DIN42" s="214"/>
      <c r="DIO42" s="214"/>
      <c r="DIP42" s="214"/>
      <c r="DIQ42" s="214"/>
      <c r="DIR42" s="214"/>
      <c r="DIS42" s="214"/>
      <c r="DIT42" s="214"/>
      <c r="DIU42" s="214"/>
      <c r="DIV42" s="214"/>
      <c r="DIW42" s="214"/>
      <c r="DIX42" s="214"/>
      <c r="DIY42" s="214"/>
      <c r="DIZ42" s="214"/>
      <c r="DJA42" s="214"/>
      <c r="DJB42" s="214"/>
      <c r="DJC42" s="214"/>
      <c r="DJD42" s="214"/>
      <c r="DJE42" s="214"/>
      <c r="DJF42" s="214"/>
      <c r="DJG42" s="214"/>
      <c r="DJH42" s="214"/>
      <c r="DJI42" s="214"/>
      <c r="DJJ42" s="214"/>
      <c r="DJK42" s="214"/>
      <c r="DJL42" s="214"/>
      <c r="DJM42" s="214"/>
      <c r="DJN42" s="214"/>
      <c r="DJO42" s="214"/>
      <c r="DJP42" s="214"/>
      <c r="DJQ42" s="214"/>
      <c r="DJR42" s="214"/>
      <c r="DJS42" s="214"/>
      <c r="DJT42" s="214"/>
      <c r="DJU42" s="214"/>
      <c r="DJV42" s="214"/>
      <c r="DJW42" s="214"/>
      <c r="DJX42" s="214"/>
      <c r="DJY42" s="214"/>
      <c r="DJZ42" s="214"/>
      <c r="DKA42" s="214"/>
      <c r="DKB42" s="214"/>
      <c r="DKC42" s="214"/>
      <c r="DKD42" s="214"/>
      <c r="DKE42" s="214"/>
      <c r="DKF42" s="214"/>
      <c r="DKG42" s="214"/>
      <c r="DKH42" s="214"/>
      <c r="DKI42" s="214"/>
      <c r="DKJ42" s="214"/>
      <c r="DKK42" s="214"/>
      <c r="DKL42" s="214"/>
      <c r="DKM42" s="214"/>
      <c r="DKN42" s="214"/>
      <c r="DKO42" s="214"/>
      <c r="DKP42" s="214"/>
      <c r="DKQ42" s="214"/>
      <c r="DKR42" s="214"/>
      <c r="DKS42" s="214"/>
      <c r="DKT42" s="214"/>
      <c r="DKU42" s="214"/>
      <c r="DKV42" s="214"/>
      <c r="DKW42" s="214"/>
      <c r="DKX42" s="214"/>
      <c r="DKY42" s="214"/>
      <c r="DKZ42" s="214"/>
      <c r="DLA42" s="214"/>
      <c r="DLB42" s="214"/>
      <c r="DLC42" s="214"/>
      <c r="DLD42" s="214"/>
      <c r="DLE42" s="214"/>
      <c r="DLF42" s="214"/>
      <c r="DLG42" s="214"/>
      <c r="DLH42" s="214"/>
      <c r="DLI42" s="214"/>
      <c r="DLJ42" s="214"/>
      <c r="DLK42" s="214"/>
      <c r="DLL42" s="214"/>
      <c r="DLM42" s="214"/>
      <c r="DLN42" s="214"/>
      <c r="DLO42" s="214"/>
      <c r="DLP42" s="214"/>
      <c r="DLQ42" s="214"/>
      <c r="DLR42" s="214"/>
      <c r="DLS42" s="214"/>
      <c r="DLT42" s="214"/>
      <c r="DLU42" s="214"/>
      <c r="DLV42" s="214"/>
      <c r="DLW42" s="214"/>
      <c r="DLX42" s="214"/>
      <c r="DLY42" s="214"/>
      <c r="DLZ42" s="214"/>
      <c r="DMA42" s="214"/>
      <c r="DMB42" s="214"/>
      <c r="DMC42" s="214"/>
      <c r="DMD42" s="214"/>
      <c r="DME42" s="214"/>
      <c r="DMF42" s="214"/>
      <c r="DMG42" s="214"/>
      <c r="DMH42" s="214"/>
      <c r="DMI42" s="214"/>
      <c r="DMJ42" s="214"/>
      <c r="DMK42" s="214"/>
      <c r="DML42" s="214"/>
      <c r="DMM42" s="214"/>
      <c r="DMN42" s="214"/>
      <c r="DMO42" s="214"/>
      <c r="DMP42" s="214"/>
      <c r="DMQ42" s="214"/>
      <c r="DMR42" s="214"/>
      <c r="DMS42" s="214"/>
      <c r="DMT42" s="214"/>
      <c r="DMU42" s="214"/>
      <c r="DMV42" s="214"/>
      <c r="DMW42" s="214"/>
      <c r="DMX42" s="214"/>
      <c r="DMY42" s="214"/>
      <c r="DMZ42" s="214"/>
      <c r="DNA42" s="214"/>
      <c r="DNB42" s="214"/>
      <c r="DNC42" s="214"/>
      <c r="DND42" s="214"/>
      <c r="DNE42" s="214"/>
      <c r="DNF42" s="214"/>
      <c r="DNG42" s="214"/>
      <c r="DNH42" s="214"/>
      <c r="DNI42" s="214"/>
      <c r="DNJ42" s="214"/>
      <c r="DNK42" s="214"/>
      <c r="DNL42" s="214"/>
      <c r="DNM42" s="214"/>
      <c r="DNN42" s="214"/>
      <c r="DNO42" s="214"/>
      <c r="DNP42" s="214"/>
      <c r="DNQ42" s="214"/>
      <c r="DNR42" s="214"/>
      <c r="DNS42" s="214"/>
      <c r="DNT42" s="214"/>
      <c r="DNU42" s="214"/>
      <c r="DNV42" s="214"/>
      <c r="DNW42" s="214"/>
      <c r="DNX42" s="214"/>
      <c r="DNY42" s="214"/>
      <c r="DNZ42" s="214"/>
      <c r="DOA42" s="214"/>
      <c r="DOB42" s="214"/>
      <c r="DOC42" s="214"/>
      <c r="DOD42" s="214"/>
      <c r="DOE42" s="214"/>
      <c r="DOF42" s="214"/>
      <c r="DOG42" s="214"/>
      <c r="DOH42" s="214"/>
      <c r="DOI42" s="214"/>
      <c r="DOJ42" s="214"/>
      <c r="DOK42" s="214"/>
      <c r="DOL42" s="214"/>
      <c r="DOM42" s="214"/>
      <c r="DON42" s="214"/>
      <c r="DOO42" s="214"/>
      <c r="DOP42" s="214"/>
      <c r="DOQ42" s="214"/>
      <c r="DOR42" s="214"/>
      <c r="DOS42" s="214"/>
      <c r="DOT42" s="214"/>
      <c r="DOU42" s="214"/>
      <c r="DOV42" s="214"/>
      <c r="DOW42" s="214"/>
      <c r="DOX42" s="214"/>
      <c r="DOY42" s="214"/>
      <c r="DOZ42" s="214"/>
      <c r="DPA42" s="214"/>
      <c r="DPB42" s="214"/>
      <c r="DPC42" s="214"/>
      <c r="DPD42" s="214"/>
      <c r="DPE42" s="214"/>
      <c r="DPF42" s="214"/>
      <c r="DPG42" s="214"/>
      <c r="DPH42" s="214"/>
      <c r="DPI42" s="214"/>
      <c r="DPJ42" s="214"/>
      <c r="DPK42" s="214"/>
      <c r="DPL42" s="214"/>
      <c r="DPM42" s="214"/>
      <c r="DPN42" s="214"/>
      <c r="DPO42" s="214"/>
      <c r="DPP42" s="214"/>
      <c r="DPQ42" s="214"/>
      <c r="DPR42" s="214"/>
      <c r="DPS42" s="214"/>
      <c r="DPT42" s="214"/>
      <c r="DPU42" s="214"/>
      <c r="DPV42" s="214"/>
      <c r="DPW42" s="214"/>
      <c r="DPX42" s="214"/>
      <c r="DPY42" s="214"/>
      <c r="DPZ42" s="214"/>
      <c r="DQA42" s="214"/>
      <c r="DQB42" s="214"/>
      <c r="DQC42" s="214"/>
      <c r="DQD42" s="214"/>
      <c r="DQE42" s="214"/>
      <c r="DQF42" s="214"/>
      <c r="DQG42" s="214"/>
      <c r="DQH42" s="214"/>
      <c r="DQI42" s="214"/>
      <c r="DQJ42" s="214"/>
      <c r="DQK42" s="214"/>
      <c r="DQL42" s="214"/>
      <c r="DQM42" s="214"/>
      <c r="DQN42" s="214"/>
      <c r="DQO42" s="214"/>
      <c r="DQP42" s="214"/>
      <c r="DQQ42" s="214"/>
      <c r="DQR42" s="214"/>
      <c r="DQS42" s="214"/>
      <c r="DQT42" s="214"/>
      <c r="DQU42" s="214"/>
      <c r="DQV42" s="214"/>
      <c r="DQW42" s="214"/>
      <c r="DQX42" s="214"/>
      <c r="DQY42" s="214"/>
      <c r="DQZ42" s="214"/>
      <c r="DRA42" s="214"/>
      <c r="DRB42" s="214"/>
      <c r="DRC42" s="214"/>
      <c r="DRD42" s="214"/>
      <c r="DRE42" s="214"/>
      <c r="DRF42" s="214"/>
      <c r="DRG42" s="214"/>
      <c r="DRH42" s="214"/>
      <c r="DRI42" s="214"/>
      <c r="DRJ42" s="214"/>
      <c r="DRK42" s="214"/>
      <c r="DRL42" s="214"/>
      <c r="DRM42" s="214"/>
      <c r="DRN42" s="214"/>
      <c r="DRO42" s="214"/>
      <c r="DRP42" s="214"/>
      <c r="DRQ42" s="214"/>
      <c r="DRR42" s="214"/>
      <c r="DRS42" s="214"/>
      <c r="DRT42" s="214"/>
      <c r="DRU42" s="214"/>
      <c r="DRV42" s="214"/>
      <c r="DRW42" s="214"/>
      <c r="DRX42" s="214"/>
      <c r="DRY42" s="214"/>
      <c r="DRZ42" s="214"/>
      <c r="DSA42" s="214"/>
      <c r="DSB42" s="214"/>
      <c r="DSC42" s="214"/>
      <c r="DSD42" s="214"/>
      <c r="DSE42" s="214"/>
      <c r="DSF42" s="214"/>
      <c r="DSG42" s="214"/>
      <c r="DSH42" s="214"/>
      <c r="DSI42" s="214"/>
      <c r="DSJ42" s="214"/>
      <c r="DSK42" s="214"/>
      <c r="DSL42" s="214"/>
      <c r="DSM42" s="214"/>
      <c r="DSN42" s="214"/>
      <c r="DSO42" s="214"/>
      <c r="DSP42" s="214"/>
      <c r="DSQ42" s="214"/>
      <c r="DSR42" s="214"/>
      <c r="DSS42" s="214"/>
      <c r="DST42" s="214"/>
      <c r="DSU42" s="214"/>
      <c r="DSV42" s="214"/>
      <c r="DSW42" s="214"/>
      <c r="DSX42" s="214"/>
      <c r="DSY42" s="214"/>
      <c r="DSZ42" s="214"/>
      <c r="DTA42" s="214"/>
      <c r="DTB42" s="214"/>
      <c r="DTC42" s="214"/>
      <c r="DTD42" s="214"/>
      <c r="DTE42" s="214"/>
      <c r="DTF42" s="214"/>
      <c r="DTG42" s="214"/>
      <c r="DTH42" s="214"/>
      <c r="DTI42" s="214"/>
      <c r="DTJ42" s="214"/>
      <c r="DTK42" s="214"/>
      <c r="DTL42" s="214"/>
      <c r="DTM42" s="214"/>
      <c r="DTN42" s="214"/>
      <c r="DTO42" s="214"/>
      <c r="DTP42" s="214"/>
      <c r="DTQ42" s="214"/>
      <c r="DTR42" s="214"/>
      <c r="DTS42" s="214"/>
      <c r="DTT42" s="214"/>
      <c r="DTU42" s="214"/>
      <c r="DTV42" s="214"/>
      <c r="DTW42" s="214"/>
      <c r="DTX42" s="214"/>
      <c r="DTY42" s="214"/>
      <c r="DTZ42" s="214"/>
      <c r="DUA42" s="214"/>
      <c r="DUB42" s="214"/>
      <c r="DUC42" s="214"/>
      <c r="DUD42" s="214"/>
      <c r="DUE42" s="214"/>
      <c r="DUF42" s="214"/>
      <c r="DUG42" s="214"/>
      <c r="DUH42" s="214"/>
      <c r="DUI42" s="214"/>
      <c r="DUJ42" s="214"/>
      <c r="DUK42" s="214"/>
      <c r="DUL42" s="214"/>
      <c r="DUM42" s="214"/>
      <c r="DUN42" s="214"/>
      <c r="DUO42" s="214"/>
      <c r="DUP42" s="214"/>
      <c r="DUQ42" s="214"/>
      <c r="DUR42" s="214"/>
      <c r="DUS42" s="214"/>
      <c r="DUT42" s="214"/>
      <c r="DUU42" s="214"/>
      <c r="DUV42" s="214"/>
      <c r="DUW42" s="214"/>
      <c r="DUX42" s="214"/>
      <c r="DUY42" s="214"/>
      <c r="DUZ42" s="214"/>
      <c r="DVA42" s="214"/>
      <c r="DVB42" s="214"/>
      <c r="DVC42" s="214"/>
      <c r="DVD42" s="214"/>
      <c r="DVE42" s="214"/>
      <c r="DVF42" s="214"/>
      <c r="DVG42" s="214"/>
      <c r="DVH42" s="214"/>
      <c r="DVI42" s="214"/>
      <c r="DVJ42" s="214"/>
      <c r="DVK42" s="214"/>
      <c r="DVL42" s="214"/>
      <c r="DVM42" s="214"/>
      <c r="DVN42" s="214"/>
      <c r="DVO42" s="214"/>
      <c r="DVP42" s="214"/>
      <c r="DVQ42" s="214"/>
      <c r="DVR42" s="214"/>
      <c r="DVS42" s="214"/>
      <c r="DVT42" s="214"/>
      <c r="DVU42" s="214"/>
      <c r="DVV42" s="214"/>
      <c r="DVW42" s="214"/>
      <c r="DVX42" s="214"/>
      <c r="DVY42" s="214"/>
      <c r="DVZ42" s="214"/>
      <c r="DWA42" s="214"/>
      <c r="DWB42" s="214"/>
      <c r="DWC42" s="214"/>
      <c r="DWD42" s="214"/>
      <c r="DWE42" s="214"/>
      <c r="DWF42" s="214"/>
      <c r="DWG42" s="214"/>
      <c r="DWH42" s="214"/>
      <c r="DWI42" s="214"/>
      <c r="DWJ42" s="214"/>
      <c r="DWK42" s="214"/>
      <c r="DWL42" s="214"/>
      <c r="DWM42" s="214"/>
      <c r="DWN42" s="214"/>
      <c r="DWO42" s="214"/>
      <c r="DWP42" s="214"/>
      <c r="DWQ42" s="214"/>
      <c r="DWR42" s="214"/>
      <c r="DWS42" s="214"/>
      <c r="DWT42" s="214"/>
      <c r="DWU42" s="214"/>
      <c r="DWV42" s="214"/>
      <c r="DWW42" s="214"/>
      <c r="DWX42" s="214"/>
      <c r="DWY42" s="214"/>
      <c r="DWZ42" s="214"/>
      <c r="DXA42" s="214"/>
      <c r="DXB42" s="214"/>
      <c r="DXC42" s="214"/>
      <c r="DXD42" s="214"/>
      <c r="DXE42" s="214"/>
      <c r="DXF42" s="214"/>
      <c r="DXG42" s="214"/>
      <c r="DXH42" s="214"/>
      <c r="DXI42" s="214"/>
      <c r="DXJ42" s="214"/>
      <c r="DXK42" s="214"/>
      <c r="DXL42" s="214"/>
      <c r="DXM42" s="214"/>
      <c r="DXN42" s="214"/>
      <c r="DXO42" s="214"/>
      <c r="DXP42" s="214"/>
      <c r="DXQ42" s="214"/>
      <c r="DXR42" s="214"/>
      <c r="DXS42" s="214"/>
      <c r="DXT42" s="214"/>
      <c r="DXU42" s="214"/>
      <c r="DXV42" s="214"/>
      <c r="DXW42" s="214"/>
      <c r="DXX42" s="214"/>
      <c r="DXY42" s="214"/>
      <c r="DXZ42" s="214"/>
      <c r="DYA42" s="214"/>
      <c r="DYB42" s="214"/>
      <c r="DYC42" s="214"/>
      <c r="DYD42" s="214"/>
      <c r="DYE42" s="214"/>
      <c r="DYF42" s="214"/>
      <c r="DYG42" s="214"/>
      <c r="DYH42" s="214"/>
      <c r="DYI42" s="214"/>
      <c r="DYJ42" s="214"/>
      <c r="DYK42" s="214"/>
      <c r="DYL42" s="214"/>
      <c r="DYM42" s="214"/>
      <c r="DYN42" s="214"/>
      <c r="DYO42" s="214"/>
      <c r="DYP42" s="214"/>
      <c r="DYQ42" s="214"/>
      <c r="DYR42" s="214"/>
      <c r="DYS42" s="214"/>
      <c r="DYT42" s="214"/>
      <c r="DYU42" s="214"/>
      <c r="DYV42" s="214"/>
      <c r="DYW42" s="214"/>
      <c r="DYX42" s="214"/>
      <c r="DYY42" s="214"/>
      <c r="DYZ42" s="214"/>
      <c r="DZA42" s="214"/>
      <c r="DZB42" s="214"/>
      <c r="DZC42" s="214"/>
      <c r="DZD42" s="214"/>
      <c r="DZE42" s="214"/>
      <c r="DZF42" s="214"/>
      <c r="DZG42" s="214"/>
      <c r="DZH42" s="214"/>
      <c r="DZI42" s="214"/>
      <c r="DZJ42" s="214"/>
      <c r="DZK42" s="214"/>
      <c r="DZL42" s="214"/>
      <c r="DZM42" s="214"/>
      <c r="DZN42" s="214"/>
      <c r="DZO42" s="214"/>
      <c r="DZP42" s="214"/>
      <c r="DZQ42" s="214"/>
      <c r="DZR42" s="214"/>
      <c r="DZS42" s="214"/>
      <c r="DZT42" s="214"/>
      <c r="DZU42" s="214"/>
      <c r="DZV42" s="214"/>
      <c r="DZW42" s="214"/>
      <c r="DZX42" s="214"/>
      <c r="DZY42" s="214"/>
      <c r="DZZ42" s="214"/>
      <c r="EAA42" s="214"/>
      <c r="EAB42" s="214"/>
      <c r="EAC42" s="214"/>
      <c r="EAD42" s="214"/>
      <c r="EAE42" s="214"/>
      <c r="EAF42" s="214"/>
      <c r="EAG42" s="214"/>
      <c r="EAH42" s="214"/>
      <c r="EAI42" s="214"/>
      <c r="EAJ42" s="214"/>
      <c r="EAK42" s="214"/>
      <c r="EAL42" s="214"/>
      <c r="EAM42" s="214"/>
      <c r="EAN42" s="214"/>
      <c r="EAO42" s="214"/>
      <c r="EAP42" s="214"/>
      <c r="EAQ42" s="214"/>
      <c r="EAR42" s="214"/>
      <c r="EAS42" s="214"/>
      <c r="EAT42" s="214"/>
      <c r="EAU42" s="214"/>
      <c r="EAV42" s="214"/>
      <c r="EAW42" s="214"/>
      <c r="EAX42" s="214"/>
      <c r="EAY42" s="214"/>
      <c r="EAZ42" s="214"/>
      <c r="EBA42" s="214"/>
      <c r="EBB42" s="214"/>
      <c r="EBC42" s="214"/>
      <c r="EBD42" s="214"/>
      <c r="EBE42" s="214"/>
      <c r="EBF42" s="214"/>
      <c r="EBG42" s="214"/>
      <c r="EBH42" s="214"/>
      <c r="EBI42" s="214"/>
      <c r="EBJ42" s="214"/>
      <c r="EBK42" s="214"/>
      <c r="EBL42" s="214"/>
      <c r="EBM42" s="214"/>
      <c r="EBN42" s="214"/>
      <c r="EBO42" s="214"/>
      <c r="EBP42" s="214"/>
      <c r="EBQ42" s="214"/>
      <c r="EBR42" s="214"/>
      <c r="EBS42" s="214"/>
      <c r="EBT42" s="214"/>
      <c r="EBU42" s="214"/>
      <c r="EBV42" s="214"/>
      <c r="EBW42" s="214"/>
      <c r="EBX42" s="214"/>
      <c r="EBY42" s="214"/>
      <c r="EBZ42" s="214"/>
      <c r="ECA42" s="214"/>
      <c r="ECB42" s="214"/>
      <c r="ECC42" s="214"/>
      <c r="ECD42" s="214"/>
      <c r="ECE42" s="214"/>
      <c r="ECF42" s="214"/>
      <c r="ECG42" s="214"/>
      <c r="ECH42" s="214"/>
      <c r="ECI42" s="214"/>
      <c r="ECJ42" s="214"/>
      <c r="ECK42" s="214"/>
      <c r="ECL42" s="214"/>
      <c r="ECM42" s="214"/>
      <c r="ECN42" s="214"/>
      <c r="ECO42" s="214"/>
      <c r="ECP42" s="214"/>
      <c r="ECQ42" s="214"/>
      <c r="ECR42" s="214"/>
      <c r="ECS42" s="214"/>
      <c r="ECT42" s="214"/>
      <c r="ECU42" s="214"/>
      <c r="ECV42" s="214"/>
      <c r="ECW42" s="214"/>
      <c r="ECX42" s="214"/>
      <c r="ECY42" s="214"/>
      <c r="ECZ42" s="214"/>
      <c r="EDA42" s="214"/>
      <c r="EDB42" s="214"/>
      <c r="EDC42" s="214"/>
      <c r="EDD42" s="214"/>
      <c r="EDE42" s="214"/>
      <c r="EDF42" s="214"/>
      <c r="EDG42" s="214"/>
      <c r="EDH42" s="214"/>
      <c r="EDI42" s="214"/>
      <c r="EDJ42" s="214"/>
      <c r="EDK42" s="214"/>
      <c r="EDL42" s="214"/>
      <c r="EDM42" s="214"/>
      <c r="EDN42" s="214"/>
      <c r="EDO42" s="214"/>
      <c r="EDP42" s="214"/>
      <c r="EDQ42" s="214"/>
      <c r="EDR42" s="214"/>
      <c r="EDS42" s="214"/>
      <c r="EDT42" s="214"/>
      <c r="EDU42" s="214"/>
      <c r="EDV42" s="214"/>
      <c r="EDW42" s="214"/>
      <c r="EDX42" s="214"/>
      <c r="EDY42" s="214"/>
      <c r="EDZ42" s="214"/>
      <c r="EEA42" s="214"/>
      <c r="EEB42" s="214"/>
      <c r="EEC42" s="214"/>
      <c r="EED42" s="214"/>
      <c r="EEE42" s="214"/>
      <c r="EEF42" s="214"/>
      <c r="EEG42" s="214"/>
      <c r="EEH42" s="214"/>
      <c r="EEI42" s="214"/>
      <c r="EEJ42" s="214"/>
      <c r="EEK42" s="214"/>
      <c r="EEL42" s="214"/>
      <c r="EEM42" s="214"/>
      <c r="EEN42" s="214"/>
      <c r="EEO42" s="214"/>
      <c r="EEP42" s="214"/>
      <c r="EEQ42" s="214"/>
      <c r="EER42" s="214"/>
      <c r="EES42" s="214"/>
      <c r="EET42" s="214"/>
      <c r="EEU42" s="214"/>
      <c r="EEV42" s="214"/>
      <c r="EEW42" s="214"/>
      <c r="EEX42" s="214"/>
      <c r="EEY42" s="214"/>
      <c r="EEZ42" s="214"/>
      <c r="EFA42" s="214"/>
      <c r="EFB42" s="214"/>
      <c r="EFC42" s="214"/>
      <c r="EFD42" s="214"/>
      <c r="EFE42" s="214"/>
      <c r="EFF42" s="214"/>
      <c r="EFG42" s="214"/>
      <c r="EFH42" s="214"/>
      <c r="EFI42" s="214"/>
      <c r="EFJ42" s="214"/>
      <c r="EFK42" s="214"/>
      <c r="EFL42" s="214"/>
      <c r="EFM42" s="214"/>
      <c r="EFN42" s="214"/>
      <c r="EFO42" s="214"/>
      <c r="EFP42" s="214"/>
      <c r="EFQ42" s="214"/>
      <c r="EFR42" s="214"/>
      <c r="EFS42" s="214"/>
      <c r="EFT42" s="214"/>
      <c r="EFU42" s="214"/>
      <c r="EFV42" s="214"/>
      <c r="EFW42" s="214"/>
      <c r="EFX42" s="214"/>
      <c r="EFY42" s="214"/>
      <c r="EFZ42" s="214"/>
      <c r="EGA42" s="214"/>
      <c r="EGB42" s="214"/>
      <c r="EGC42" s="214"/>
      <c r="EGD42" s="214"/>
      <c r="EGE42" s="214"/>
      <c r="EGF42" s="214"/>
      <c r="EGG42" s="214"/>
      <c r="EGH42" s="214"/>
      <c r="EGI42" s="214"/>
      <c r="EGJ42" s="214"/>
      <c r="EGK42" s="214"/>
      <c r="EGL42" s="214"/>
      <c r="EGM42" s="214"/>
      <c r="EGN42" s="214"/>
      <c r="EGO42" s="214"/>
      <c r="EGP42" s="214"/>
      <c r="EGQ42" s="214"/>
      <c r="EGR42" s="214"/>
      <c r="EGS42" s="214"/>
      <c r="EGT42" s="214"/>
      <c r="EGU42" s="214"/>
      <c r="EGV42" s="214"/>
      <c r="EGW42" s="214"/>
      <c r="EGX42" s="214"/>
      <c r="EGY42" s="214"/>
      <c r="EGZ42" s="214"/>
      <c r="EHA42" s="214"/>
      <c r="EHB42" s="214"/>
      <c r="EHC42" s="214"/>
      <c r="EHD42" s="214"/>
      <c r="EHE42" s="214"/>
      <c r="EHF42" s="214"/>
      <c r="EHG42" s="214"/>
      <c r="EHH42" s="214"/>
      <c r="EHI42" s="214"/>
      <c r="EHJ42" s="214"/>
      <c r="EHK42" s="214"/>
      <c r="EHL42" s="214"/>
      <c r="EHM42" s="214"/>
      <c r="EHN42" s="214"/>
      <c r="EHO42" s="214"/>
      <c r="EHP42" s="214"/>
      <c r="EHQ42" s="214"/>
      <c r="EHR42" s="214"/>
      <c r="EHS42" s="214"/>
      <c r="EHT42" s="214"/>
      <c r="EHU42" s="214"/>
      <c r="EHV42" s="214"/>
      <c r="EHW42" s="214"/>
      <c r="EHX42" s="214"/>
      <c r="EHY42" s="214"/>
      <c r="EHZ42" s="214"/>
      <c r="EIA42" s="214"/>
      <c r="EIB42" s="214"/>
      <c r="EIC42" s="214"/>
      <c r="EID42" s="214"/>
      <c r="EIE42" s="214"/>
      <c r="EIF42" s="214"/>
      <c r="EIG42" s="214"/>
      <c r="EIH42" s="214"/>
      <c r="EII42" s="214"/>
      <c r="EIJ42" s="214"/>
      <c r="EIK42" s="214"/>
      <c r="EIL42" s="214"/>
      <c r="EIM42" s="214"/>
      <c r="EIN42" s="214"/>
      <c r="EIO42" s="214"/>
      <c r="EIP42" s="214"/>
      <c r="EIQ42" s="214"/>
      <c r="EIR42" s="214"/>
      <c r="EIS42" s="214"/>
      <c r="EIT42" s="214"/>
      <c r="EIU42" s="214"/>
      <c r="EIV42" s="214"/>
      <c r="EIW42" s="214"/>
      <c r="EIX42" s="214"/>
      <c r="EIY42" s="214"/>
      <c r="EIZ42" s="214"/>
      <c r="EJA42" s="214"/>
      <c r="EJB42" s="214"/>
      <c r="EJC42" s="214"/>
      <c r="EJD42" s="214"/>
      <c r="EJE42" s="214"/>
      <c r="EJF42" s="214"/>
      <c r="EJG42" s="214"/>
      <c r="EJH42" s="214"/>
      <c r="EJI42" s="214"/>
      <c r="EJJ42" s="214"/>
      <c r="EJK42" s="214"/>
      <c r="EJL42" s="214"/>
      <c r="EJM42" s="214"/>
      <c r="EJN42" s="214"/>
      <c r="EJO42" s="214"/>
      <c r="EJP42" s="214"/>
      <c r="EJQ42" s="214"/>
      <c r="EJR42" s="214"/>
      <c r="EJS42" s="214"/>
      <c r="EJT42" s="214"/>
      <c r="EJU42" s="214"/>
      <c r="EJV42" s="214"/>
      <c r="EJW42" s="214"/>
      <c r="EJX42" s="214"/>
      <c r="EJY42" s="214"/>
      <c r="EJZ42" s="214"/>
      <c r="EKA42" s="214"/>
      <c r="EKB42" s="214"/>
      <c r="EKC42" s="214"/>
      <c r="EKD42" s="214"/>
      <c r="EKE42" s="214"/>
      <c r="EKF42" s="214"/>
      <c r="EKG42" s="214"/>
      <c r="EKH42" s="214"/>
      <c r="EKI42" s="214"/>
      <c r="EKJ42" s="214"/>
      <c r="EKK42" s="214"/>
      <c r="EKL42" s="214"/>
      <c r="EKM42" s="214"/>
      <c r="EKN42" s="214"/>
      <c r="EKO42" s="214"/>
      <c r="EKP42" s="214"/>
      <c r="EKQ42" s="214"/>
      <c r="EKR42" s="214"/>
      <c r="EKS42" s="214"/>
      <c r="EKT42" s="214"/>
      <c r="EKU42" s="214"/>
      <c r="EKV42" s="214"/>
      <c r="EKW42" s="214"/>
      <c r="EKX42" s="214"/>
      <c r="EKY42" s="214"/>
      <c r="EKZ42" s="214"/>
      <c r="ELA42" s="214"/>
      <c r="ELB42" s="214"/>
      <c r="ELC42" s="214"/>
      <c r="ELD42" s="214"/>
      <c r="ELE42" s="214"/>
      <c r="ELF42" s="214"/>
      <c r="ELG42" s="214"/>
      <c r="ELH42" s="214"/>
      <c r="ELI42" s="214"/>
      <c r="ELJ42" s="214"/>
      <c r="ELK42" s="214"/>
      <c r="ELL42" s="214"/>
      <c r="ELM42" s="214"/>
      <c r="ELN42" s="214"/>
      <c r="ELO42" s="214"/>
      <c r="ELP42" s="214"/>
      <c r="ELQ42" s="214"/>
      <c r="ELR42" s="214"/>
      <c r="ELS42" s="214"/>
      <c r="ELT42" s="214"/>
      <c r="ELU42" s="214"/>
      <c r="ELV42" s="214"/>
      <c r="ELW42" s="214"/>
      <c r="ELX42" s="214"/>
      <c r="ELY42" s="214"/>
      <c r="ELZ42" s="214"/>
      <c r="EMA42" s="214"/>
      <c r="EMB42" s="214"/>
      <c r="EMC42" s="214"/>
      <c r="EMD42" s="214"/>
      <c r="EME42" s="214"/>
      <c r="EMF42" s="214"/>
      <c r="EMG42" s="214"/>
      <c r="EMH42" s="214"/>
      <c r="EMI42" s="214"/>
      <c r="EMJ42" s="214"/>
      <c r="EMK42" s="214"/>
      <c r="EML42" s="214"/>
      <c r="EMM42" s="214"/>
      <c r="EMN42" s="214"/>
      <c r="EMO42" s="214"/>
      <c r="EMP42" s="214"/>
      <c r="EMQ42" s="214"/>
      <c r="EMR42" s="214"/>
      <c r="EMS42" s="214"/>
      <c r="EMT42" s="214"/>
      <c r="EMU42" s="214"/>
      <c r="EMV42" s="214"/>
      <c r="EMW42" s="214"/>
      <c r="EMX42" s="214"/>
      <c r="EMY42" s="214"/>
      <c r="EMZ42" s="214"/>
      <c r="ENA42" s="214"/>
      <c r="ENB42" s="214"/>
      <c r="ENC42" s="214"/>
      <c r="END42" s="214"/>
      <c r="ENE42" s="214"/>
      <c r="ENF42" s="214"/>
      <c r="ENG42" s="214"/>
      <c r="ENH42" s="214"/>
      <c r="ENI42" s="214"/>
      <c r="ENJ42" s="214"/>
      <c r="ENK42" s="214"/>
      <c r="ENL42" s="214"/>
      <c r="ENM42" s="214"/>
      <c r="ENN42" s="214"/>
      <c r="ENO42" s="214"/>
      <c r="ENP42" s="214"/>
      <c r="ENQ42" s="214"/>
      <c r="ENR42" s="214"/>
      <c r="ENS42" s="214"/>
      <c r="ENT42" s="214"/>
      <c r="ENU42" s="214"/>
      <c r="ENV42" s="214"/>
      <c r="ENW42" s="214"/>
      <c r="ENX42" s="214"/>
      <c r="ENY42" s="214"/>
      <c r="ENZ42" s="214"/>
      <c r="EOA42" s="214"/>
      <c r="EOB42" s="214"/>
      <c r="EOC42" s="214"/>
      <c r="EOD42" s="214"/>
      <c r="EOE42" s="214"/>
      <c r="EOF42" s="214"/>
      <c r="EOG42" s="214"/>
      <c r="EOH42" s="214"/>
      <c r="EOI42" s="214"/>
      <c r="EOJ42" s="214"/>
      <c r="EOK42" s="214"/>
      <c r="EOL42" s="214"/>
      <c r="EOM42" s="214"/>
      <c r="EON42" s="214"/>
      <c r="EOO42" s="214"/>
      <c r="EOP42" s="214"/>
      <c r="EOQ42" s="214"/>
      <c r="EOR42" s="214"/>
      <c r="EOS42" s="214"/>
      <c r="EOT42" s="214"/>
      <c r="EOU42" s="214"/>
      <c r="EOV42" s="214"/>
      <c r="EOW42" s="214"/>
      <c r="EOX42" s="214"/>
      <c r="EOY42" s="214"/>
      <c r="EOZ42" s="214"/>
      <c r="EPA42" s="214"/>
      <c r="EPB42" s="214"/>
      <c r="EPC42" s="214"/>
      <c r="EPD42" s="214"/>
      <c r="EPE42" s="214"/>
      <c r="EPF42" s="214"/>
      <c r="EPG42" s="214"/>
      <c r="EPH42" s="214"/>
      <c r="EPI42" s="214"/>
      <c r="EPJ42" s="214"/>
      <c r="EPK42" s="214"/>
      <c r="EPL42" s="214"/>
      <c r="EPM42" s="214"/>
      <c r="EPN42" s="214"/>
      <c r="EPO42" s="214"/>
      <c r="EPP42" s="214"/>
      <c r="EPQ42" s="214"/>
      <c r="EPR42" s="214"/>
      <c r="EPS42" s="214"/>
      <c r="EPT42" s="214"/>
      <c r="EPU42" s="214"/>
      <c r="EPV42" s="214"/>
      <c r="EPW42" s="214"/>
      <c r="EPX42" s="214"/>
      <c r="EPY42" s="214"/>
      <c r="EPZ42" s="214"/>
      <c r="EQA42" s="214"/>
      <c r="EQB42" s="214"/>
      <c r="EQC42" s="214"/>
      <c r="EQD42" s="214"/>
      <c r="EQE42" s="214"/>
      <c r="EQF42" s="214"/>
      <c r="EQG42" s="214"/>
      <c r="EQH42" s="214"/>
      <c r="EQI42" s="214"/>
      <c r="EQJ42" s="214"/>
      <c r="EQK42" s="214"/>
      <c r="EQL42" s="214"/>
      <c r="EQM42" s="214"/>
      <c r="EQN42" s="214"/>
      <c r="EQO42" s="214"/>
      <c r="EQP42" s="214"/>
      <c r="EQQ42" s="214"/>
      <c r="EQR42" s="214"/>
      <c r="EQS42" s="214"/>
      <c r="EQT42" s="214"/>
      <c r="EQU42" s="214"/>
      <c r="EQV42" s="214"/>
      <c r="EQW42" s="214"/>
      <c r="EQX42" s="214"/>
      <c r="EQY42" s="214"/>
      <c r="EQZ42" s="214"/>
      <c r="ERA42" s="214"/>
      <c r="ERB42" s="214"/>
      <c r="ERC42" s="214"/>
      <c r="ERD42" s="214"/>
      <c r="ERE42" s="214"/>
      <c r="ERF42" s="214"/>
      <c r="ERG42" s="214"/>
      <c r="ERH42" s="214"/>
      <c r="ERI42" s="214"/>
      <c r="ERJ42" s="214"/>
      <c r="ERK42" s="214"/>
      <c r="ERL42" s="214"/>
      <c r="ERM42" s="214"/>
      <c r="ERN42" s="214"/>
      <c r="ERO42" s="214"/>
      <c r="ERP42" s="214"/>
      <c r="ERQ42" s="214"/>
      <c r="ERR42" s="214"/>
      <c r="ERS42" s="214"/>
      <c r="ERT42" s="214"/>
      <c r="ERU42" s="214"/>
      <c r="ERV42" s="214"/>
      <c r="ERW42" s="214"/>
      <c r="ERX42" s="214"/>
      <c r="ERY42" s="214"/>
      <c r="ERZ42" s="214"/>
      <c r="ESA42" s="214"/>
      <c r="ESB42" s="214"/>
      <c r="ESC42" s="214"/>
      <c r="ESD42" s="214"/>
      <c r="ESE42" s="214"/>
      <c r="ESF42" s="214"/>
      <c r="ESG42" s="214"/>
      <c r="ESH42" s="214"/>
      <c r="ESI42" s="214"/>
      <c r="ESJ42" s="214"/>
      <c r="ESK42" s="214"/>
      <c r="ESL42" s="214"/>
      <c r="ESM42" s="214"/>
      <c r="ESN42" s="214"/>
      <c r="ESO42" s="214"/>
      <c r="ESP42" s="214"/>
      <c r="ESQ42" s="214"/>
      <c r="ESR42" s="214"/>
      <c r="ESS42" s="214"/>
      <c r="EST42" s="214"/>
      <c r="ESU42" s="214"/>
      <c r="ESV42" s="214"/>
      <c r="ESW42" s="214"/>
      <c r="ESX42" s="214"/>
      <c r="ESY42" s="214"/>
      <c r="ESZ42" s="214"/>
      <c r="ETA42" s="214"/>
      <c r="ETB42" s="214"/>
      <c r="ETC42" s="214"/>
      <c r="ETD42" s="214"/>
      <c r="ETE42" s="214"/>
      <c r="ETF42" s="214"/>
      <c r="ETG42" s="214"/>
      <c r="ETH42" s="214"/>
      <c r="ETI42" s="214"/>
      <c r="ETJ42" s="214"/>
      <c r="ETK42" s="214"/>
      <c r="ETL42" s="214"/>
      <c r="ETM42" s="214"/>
      <c r="ETN42" s="214"/>
      <c r="ETO42" s="214"/>
      <c r="ETP42" s="214"/>
      <c r="ETQ42" s="214"/>
      <c r="ETR42" s="214"/>
      <c r="ETS42" s="214"/>
      <c r="ETT42" s="214"/>
      <c r="ETU42" s="214"/>
      <c r="ETV42" s="214"/>
      <c r="ETW42" s="214"/>
      <c r="ETX42" s="214"/>
      <c r="ETY42" s="214"/>
      <c r="ETZ42" s="214"/>
      <c r="EUA42" s="214"/>
      <c r="EUB42" s="214"/>
      <c r="EUC42" s="214"/>
      <c r="EUD42" s="214"/>
      <c r="EUE42" s="214"/>
      <c r="EUF42" s="214"/>
      <c r="EUG42" s="214"/>
      <c r="EUH42" s="214"/>
      <c r="EUI42" s="214"/>
      <c r="EUJ42" s="214"/>
      <c r="EUK42" s="214"/>
      <c r="EUL42" s="214"/>
      <c r="EUM42" s="214"/>
      <c r="EUN42" s="214"/>
      <c r="EUO42" s="214"/>
      <c r="EUP42" s="214"/>
      <c r="EUQ42" s="214"/>
      <c r="EUR42" s="214"/>
      <c r="EUS42" s="214"/>
      <c r="EUT42" s="214"/>
      <c r="EUU42" s="214"/>
      <c r="EUV42" s="214"/>
      <c r="EUW42" s="214"/>
      <c r="EUX42" s="214"/>
      <c r="EUY42" s="214"/>
      <c r="EUZ42" s="214"/>
      <c r="EVA42" s="214"/>
      <c r="EVB42" s="214"/>
      <c r="EVC42" s="214"/>
      <c r="EVD42" s="214"/>
      <c r="EVE42" s="214"/>
      <c r="EVF42" s="214"/>
      <c r="EVG42" s="214"/>
      <c r="EVH42" s="214"/>
      <c r="EVI42" s="214"/>
      <c r="EVJ42" s="214"/>
      <c r="EVK42" s="214"/>
      <c r="EVL42" s="214"/>
      <c r="EVM42" s="214"/>
      <c r="EVN42" s="214"/>
      <c r="EVO42" s="214"/>
      <c r="EVP42" s="214"/>
      <c r="EVQ42" s="214"/>
      <c r="EVR42" s="214"/>
      <c r="EVS42" s="214"/>
      <c r="EVT42" s="214"/>
      <c r="EVU42" s="214"/>
      <c r="EVV42" s="214"/>
      <c r="EVW42" s="214"/>
      <c r="EVX42" s="214"/>
      <c r="EVY42" s="214"/>
      <c r="EVZ42" s="214"/>
      <c r="EWA42" s="214"/>
      <c r="EWB42" s="214"/>
      <c r="EWC42" s="214"/>
      <c r="EWD42" s="214"/>
      <c r="EWE42" s="214"/>
      <c r="EWF42" s="214"/>
      <c r="EWG42" s="214"/>
      <c r="EWH42" s="214"/>
      <c r="EWI42" s="214"/>
      <c r="EWJ42" s="214"/>
      <c r="EWK42" s="214"/>
      <c r="EWL42" s="214"/>
      <c r="EWM42" s="214"/>
      <c r="EWN42" s="214"/>
      <c r="EWO42" s="214"/>
      <c r="EWP42" s="214"/>
      <c r="EWQ42" s="214"/>
      <c r="EWR42" s="214"/>
      <c r="EWS42" s="214"/>
      <c r="EWT42" s="214"/>
      <c r="EWU42" s="214"/>
      <c r="EWV42" s="214"/>
      <c r="EWW42" s="214"/>
      <c r="EWX42" s="214"/>
      <c r="EWY42" s="214"/>
      <c r="EWZ42" s="214"/>
      <c r="EXA42" s="214"/>
      <c r="EXB42" s="214"/>
      <c r="EXC42" s="214"/>
      <c r="EXD42" s="214"/>
      <c r="EXE42" s="214"/>
      <c r="EXF42" s="214"/>
      <c r="EXG42" s="214"/>
      <c r="EXH42" s="214"/>
      <c r="EXI42" s="214"/>
      <c r="EXJ42" s="214"/>
      <c r="EXK42" s="214"/>
      <c r="EXL42" s="214"/>
      <c r="EXM42" s="214"/>
      <c r="EXN42" s="214"/>
      <c r="EXO42" s="214"/>
      <c r="EXP42" s="214"/>
      <c r="EXQ42" s="214"/>
      <c r="EXR42" s="214"/>
      <c r="EXS42" s="214"/>
      <c r="EXT42" s="214"/>
      <c r="EXU42" s="214"/>
      <c r="EXV42" s="214"/>
      <c r="EXW42" s="214"/>
      <c r="EXX42" s="214"/>
      <c r="EXY42" s="214"/>
      <c r="EXZ42" s="214"/>
      <c r="EYA42" s="214"/>
      <c r="EYB42" s="214"/>
      <c r="EYC42" s="214"/>
      <c r="EYD42" s="214"/>
      <c r="EYE42" s="214"/>
      <c r="EYF42" s="214"/>
      <c r="EYG42" s="214"/>
      <c r="EYH42" s="214"/>
      <c r="EYI42" s="214"/>
      <c r="EYJ42" s="214"/>
      <c r="EYK42" s="214"/>
      <c r="EYL42" s="214"/>
      <c r="EYM42" s="214"/>
      <c r="EYN42" s="214"/>
      <c r="EYO42" s="214"/>
      <c r="EYP42" s="214"/>
      <c r="EYQ42" s="214"/>
      <c r="EYR42" s="214"/>
      <c r="EYS42" s="214"/>
      <c r="EYT42" s="214"/>
      <c r="EYU42" s="214"/>
      <c r="EYV42" s="214"/>
      <c r="EYW42" s="214"/>
      <c r="EYX42" s="214"/>
      <c r="EYY42" s="214"/>
      <c r="EYZ42" s="214"/>
      <c r="EZA42" s="214"/>
      <c r="EZB42" s="214"/>
      <c r="EZC42" s="214"/>
      <c r="EZD42" s="214"/>
      <c r="EZE42" s="214"/>
      <c r="EZF42" s="214"/>
      <c r="EZG42" s="214"/>
      <c r="EZH42" s="214"/>
      <c r="EZI42" s="214"/>
      <c r="EZJ42" s="214"/>
      <c r="EZK42" s="214"/>
      <c r="EZL42" s="214"/>
      <c r="EZM42" s="214"/>
      <c r="EZN42" s="214"/>
      <c r="EZO42" s="214"/>
      <c r="EZP42" s="214"/>
      <c r="EZQ42" s="214"/>
      <c r="EZR42" s="214"/>
      <c r="EZS42" s="214"/>
      <c r="EZT42" s="214"/>
      <c r="EZU42" s="214"/>
      <c r="EZV42" s="214"/>
      <c r="EZW42" s="214"/>
      <c r="EZX42" s="214"/>
      <c r="EZY42" s="214"/>
      <c r="EZZ42" s="214"/>
      <c r="FAA42" s="214"/>
      <c r="FAB42" s="214"/>
      <c r="FAC42" s="214"/>
      <c r="FAD42" s="214"/>
      <c r="FAE42" s="214"/>
      <c r="FAF42" s="214"/>
      <c r="FAG42" s="214"/>
      <c r="FAH42" s="214"/>
      <c r="FAI42" s="214"/>
      <c r="FAJ42" s="214"/>
      <c r="FAK42" s="214"/>
      <c r="FAL42" s="214"/>
      <c r="FAM42" s="214"/>
      <c r="FAN42" s="214"/>
      <c r="FAO42" s="214"/>
      <c r="FAP42" s="214"/>
      <c r="FAQ42" s="214"/>
      <c r="FAR42" s="214"/>
      <c r="FAS42" s="214"/>
      <c r="FAT42" s="214"/>
      <c r="FAU42" s="214"/>
      <c r="FAV42" s="214"/>
      <c r="FAW42" s="214"/>
      <c r="FAX42" s="214"/>
      <c r="FAY42" s="214"/>
      <c r="FAZ42" s="214"/>
      <c r="FBA42" s="214"/>
      <c r="FBB42" s="214"/>
      <c r="FBC42" s="214"/>
      <c r="FBD42" s="214"/>
      <c r="FBE42" s="214"/>
      <c r="FBF42" s="214"/>
      <c r="FBG42" s="214"/>
      <c r="FBH42" s="214"/>
      <c r="FBI42" s="214"/>
      <c r="FBJ42" s="214"/>
      <c r="FBK42" s="214"/>
      <c r="FBL42" s="214"/>
      <c r="FBM42" s="214"/>
      <c r="FBN42" s="214"/>
      <c r="FBO42" s="214"/>
      <c r="FBP42" s="214"/>
      <c r="FBQ42" s="214"/>
      <c r="FBR42" s="214"/>
      <c r="FBS42" s="214"/>
      <c r="FBT42" s="214"/>
      <c r="FBU42" s="214"/>
      <c r="FBV42" s="214"/>
      <c r="FBW42" s="214"/>
      <c r="FBX42" s="214"/>
      <c r="FBY42" s="214"/>
      <c r="FBZ42" s="214"/>
      <c r="FCA42" s="214"/>
      <c r="FCB42" s="214"/>
      <c r="FCC42" s="214"/>
      <c r="FCD42" s="214"/>
      <c r="FCE42" s="214"/>
      <c r="FCF42" s="214"/>
      <c r="FCG42" s="214"/>
      <c r="FCH42" s="214"/>
      <c r="FCI42" s="214"/>
      <c r="FCJ42" s="214"/>
      <c r="FCK42" s="214"/>
      <c r="FCL42" s="214"/>
      <c r="FCM42" s="214"/>
      <c r="FCN42" s="214"/>
      <c r="FCO42" s="214"/>
      <c r="FCP42" s="214"/>
      <c r="FCQ42" s="214"/>
      <c r="FCR42" s="214"/>
      <c r="FCS42" s="214"/>
      <c r="FCT42" s="214"/>
      <c r="FCU42" s="214"/>
      <c r="FCV42" s="214"/>
      <c r="FCW42" s="214"/>
      <c r="FCX42" s="214"/>
      <c r="FCY42" s="214"/>
      <c r="FCZ42" s="214"/>
      <c r="FDA42" s="214"/>
      <c r="FDB42" s="214"/>
      <c r="FDC42" s="214"/>
      <c r="FDD42" s="214"/>
      <c r="FDE42" s="214"/>
      <c r="FDF42" s="214"/>
      <c r="FDG42" s="214"/>
      <c r="FDH42" s="214"/>
      <c r="FDI42" s="214"/>
      <c r="FDJ42" s="214"/>
      <c r="FDK42" s="214"/>
      <c r="FDL42" s="214"/>
      <c r="FDM42" s="214"/>
      <c r="FDN42" s="214"/>
      <c r="FDO42" s="214"/>
      <c r="FDP42" s="214"/>
      <c r="FDQ42" s="214"/>
      <c r="FDR42" s="214"/>
      <c r="FDS42" s="214"/>
      <c r="FDT42" s="214"/>
      <c r="FDU42" s="214"/>
      <c r="FDV42" s="214"/>
      <c r="FDW42" s="214"/>
      <c r="FDX42" s="214"/>
      <c r="FDY42" s="214"/>
      <c r="FDZ42" s="214"/>
      <c r="FEA42" s="214"/>
      <c r="FEB42" s="214"/>
      <c r="FEC42" s="214"/>
      <c r="FED42" s="214"/>
      <c r="FEE42" s="214"/>
      <c r="FEF42" s="214"/>
      <c r="FEG42" s="214"/>
      <c r="FEH42" s="214"/>
      <c r="FEI42" s="214"/>
      <c r="FEJ42" s="214"/>
      <c r="FEK42" s="214"/>
      <c r="FEL42" s="214"/>
      <c r="FEM42" s="214"/>
      <c r="FEN42" s="214"/>
      <c r="FEO42" s="214"/>
      <c r="FEP42" s="214"/>
      <c r="FEQ42" s="214"/>
      <c r="FER42" s="214"/>
      <c r="FES42" s="214"/>
      <c r="FET42" s="214"/>
      <c r="FEU42" s="214"/>
      <c r="FEV42" s="214"/>
      <c r="FEW42" s="214"/>
      <c r="FEX42" s="214"/>
      <c r="FEY42" s="214"/>
      <c r="FEZ42" s="214"/>
      <c r="FFA42" s="214"/>
      <c r="FFB42" s="214"/>
      <c r="FFC42" s="214"/>
      <c r="FFD42" s="214"/>
      <c r="FFE42" s="214"/>
      <c r="FFF42" s="214"/>
      <c r="FFG42" s="214"/>
      <c r="FFH42" s="214"/>
      <c r="FFI42" s="214"/>
      <c r="FFJ42" s="214"/>
      <c r="FFK42" s="214"/>
      <c r="FFL42" s="214"/>
      <c r="FFM42" s="214"/>
      <c r="FFN42" s="214"/>
      <c r="FFO42" s="214"/>
      <c r="FFP42" s="214"/>
      <c r="FFQ42" s="214"/>
      <c r="FFR42" s="214"/>
      <c r="FFS42" s="214"/>
      <c r="FFT42" s="214"/>
      <c r="FFU42" s="214"/>
      <c r="FFV42" s="214"/>
      <c r="FFW42" s="214"/>
      <c r="FFX42" s="214"/>
      <c r="FFY42" s="214"/>
      <c r="FFZ42" s="214"/>
      <c r="FGA42" s="214"/>
      <c r="FGB42" s="214"/>
      <c r="FGC42" s="214"/>
      <c r="FGD42" s="214"/>
      <c r="FGE42" s="214"/>
      <c r="FGF42" s="214"/>
      <c r="FGG42" s="214"/>
      <c r="FGH42" s="214"/>
      <c r="FGI42" s="214"/>
      <c r="FGJ42" s="214"/>
      <c r="FGK42" s="214"/>
      <c r="FGL42" s="214"/>
      <c r="FGM42" s="214"/>
      <c r="FGN42" s="214"/>
      <c r="FGO42" s="214"/>
      <c r="FGP42" s="214"/>
      <c r="FGQ42" s="214"/>
      <c r="FGR42" s="214"/>
      <c r="FGS42" s="214"/>
      <c r="FGT42" s="214"/>
      <c r="FGU42" s="214"/>
      <c r="FGV42" s="214"/>
      <c r="FGW42" s="214"/>
      <c r="FGX42" s="214"/>
      <c r="FGY42" s="214"/>
      <c r="FGZ42" s="214"/>
      <c r="FHA42" s="214"/>
      <c r="FHB42" s="214"/>
      <c r="FHC42" s="214"/>
      <c r="FHD42" s="214"/>
      <c r="FHE42" s="214"/>
      <c r="FHF42" s="214"/>
      <c r="FHG42" s="214"/>
      <c r="FHH42" s="214"/>
      <c r="FHI42" s="214"/>
      <c r="FHJ42" s="214"/>
      <c r="FHK42" s="214"/>
      <c r="FHL42" s="214"/>
      <c r="FHM42" s="214"/>
      <c r="FHN42" s="214"/>
      <c r="FHO42" s="214"/>
      <c r="FHP42" s="214"/>
      <c r="FHQ42" s="214"/>
      <c r="FHR42" s="214"/>
      <c r="FHS42" s="214"/>
      <c r="FHT42" s="214"/>
      <c r="FHU42" s="214"/>
      <c r="FHV42" s="214"/>
      <c r="FHW42" s="214"/>
      <c r="FHX42" s="214"/>
      <c r="FHY42" s="214"/>
      <c r="FHZ42" s="214"/>
      <c r="FIA42" s="214"/>
      <c r="FIB42" s="214"/>
      <c r="FIC42" s="214"/>
      <c r="FID42" s="214"/>
      <c r="FIE42" s="214"/>
      <c r="FIF42" s="214"/>
      <c r="FIG42" s="214"/>
      <c r="FIH42" s="214"/>
      <c r="FII42" s="214"/>
      <c r="FIJ42" s="214"/>
      <c r="FIK42" s="214"/>
      <c r="FIL42" s="214"/>
      <c r="FIM42" s="214"/>
      <c r="FIN42" s="214"/>
      <c r="FIO42" s="214"/>
      <c r="FIP42" s="214"/>
      <c r="FIQ42" s="214"/>
      <c r="FIR42" s="214"/>
      <c r="FIS42" s="214"/>
      <c r="FIT42" s="214"/>
      <c r="FIU42" s="214"/>
      <c r="FIV42" s="214"/>
      <c r="FIW42" s="214"/>
      <c r="FIX42" s="214"/>
      <c r="FIY42" s="214"/>
      <c r="FIZ42" s="214"/>
      <c r="FJA42" s="214"/>
      <c r="FJB42" s="214"/>
      <c r="FJC42" s="214"/>
      <c r="FJD42" s="214"/>
      <c r="FJE42" s="214"/>
      <c r="FJF42" s="214"/>
      <c r="FJG42" s="214"/>
      <c r="FJH42" s="214"/>
      <c r="FJI42" s="214"/>
      <c r="FJJ42" s="214"/>
      <c r="FJK42" s="214"/>
      <c r="FJL42" s="214"/>
      <c r="FJM42" s="214"/>
      <c r="FJN42" s="214"/>
      <c r="FJO42" s="214"/>
      <c r="FJP42" s="214"/>
      <c r="FJQ42" s="214"/>
      <c r="FJR42" s="214"/>
      <c r="FJS42" s="214"/>
      <c r="FJT42" s="214"/>
      <c r="FJU42" s="214"/>
      <c r="FJV42" s="214"/>
      <c r="FJW42" s="214"/>
      <c r="FJX42" s="214"/>
      <c r="FJY42" s="214"/>
      <c r="FJZ42" s="214"/>
      <c r="FKA42" s="214"/>
      <c r="FKB42" s="214"/>
      <c r="FKC42" s="214"/>
      <c r="FKD42" s="214"/>
      <c r="FKE42" s="214"/>
      <c r="FKF42" s="214"/>
      <c r="FKG42" s="214"/>
      <c r="FKH42" s="214"/>
      <c r="FKI42" s="214"/>
      <c r="FKJ42" s="214"/>
      <c r="FKK42" s="214"/>
      <c r="FKL42" s="214"/>
      <c r="FKM42" s="214"/>
      <c r="FKN42" s="214"/>
      <c r="FKO42" s="214"/>
      <c r="FKP42" s="214"/>
      <c r="FKQ42" s="214"/>
      <c r="FKR42" s="214"/>
      <c r="FKS42" s="214"/>
      <c r="FKT42" s="214"/>
      <c r="FKU42" s="214"/>
      <c r="FKV42" s="214"/>
      <c r="FKW42" s="214"/>
      <c r="FKX42" s="214"/>
      <c r="FKY42" s="214"/>
      <c r="FKZ42" s="214"/>
      <c r="FLA42" s="214"/>
      <c r="FLB42" s="214"/>
      <c r="FLC42" s="214"/>
      <c r="FLD42" s="214"/>
      <c r="FLE42" s="214"/>
      <c r="FLF42" s="214"/>
      <c r="FLG42" s="214"/>
      <c r="FLH42" s="214"/>
      <c r="FLI42" s="214"/>
      <c r="FLJ42" s="214"/>
      <c r="FLK42" s="214"/>
      <c r="FLL42" s="214"/>
      <c r="FLM42" s="214"/>
      <c r="FLN42" s="214"/>
      <c r="FLO42" s="214"/>
      <c r="FLP42" s="214"/>
      <c r="FLQ42" s="214"/>
      <c r="FLR42" s="214"/>
      <c r="FLS42" s="214"/>
      <c r="FLT42" s="214"/>
      <c r="FLU42" s="214"/>
      <c r="FLV42" s="214"/>
      <c r="FLW42" s="214"/>
      <c r="FLX42" s="214"/>
      <c r="FLY42" s="214"/>
      <c r="FLZ42" s="214"/>
      <c r="FMA42" s="214"/>
      <c r="FMB42" s="214"/>
      <c r="FMC42" s="214"/>
      <c r="FMD42" s="214"/>
      <c r="FME42" s="214"/>
      <c r="FMF42" s="214"/>
      <c r="FMG42" s="214"/>
      <c r="FMH42" s="214"/>
      <c r="FMI42" s="214"/>
      <c r="FMJ42" s="214"/>
      <c r="FMK42" s="214"/>
      <c r="FML42" s="214"/>
      <c r="FMM42" s="214"/>
      <c r="FMN42" s="214"/>
      <c r="FMO42" s="214"/>
      <c r="FMP42" s="214"/>
      <c r="FMQ42" s="214"/>
      <c r="FMR42" s="214"/>
      <c r="FMS42" s="214"/>
      <c r="FMT42" s="214"/>
      <c r="FMU42" s="214"/>
      <c r="FMV42" s="214"/>
      <c r="FMW42" s="214"/>
      <c r="FMX42" s="214"/>
      <c r="FMY42" s="214"/>
      <c r="FMZ42" s="214"/>
      <c r="FNA42" s="214"/>
      <c r="FNB42" s="214"/>
      <c r="FNC42" s="214"/>
      <c r="FND42" s="214"/>
      <c r="FNE42" s="214"/>
      <c r="FNF42" s="214"/>
      <c r="FNG42" s="214"/>
      <c r="FNH42" s="214"/>
      <c r="FNI42" s="214"/>
      <c r="FNJ42" s="214"/>
      <c r="FNK42" s="214"/>
      <c r="FNL42" s="214"/>
      <c r="FNM42" s="214"/>
      <c r="FNN42" s="214"/>
      <c r="FNO42" s="214"/>
      <c r="FNP42" s="214"/>
      <c r="FNQ42" s="214"/>
      <c r="FNR42" s="214"/>
      <c r="FNS42" s="214"/>
      <c r="FNT42" s="214"/>
      <c r="FNU42" s="214"/>
      <c r="FNV42" s="214"/>
      <c r="FNW42" s="214"/>
      <c r="FNX42" s="214"/>
      <c r="FNY42" s="214"/>
      <c r="FNZ42" s="214"/>
      <c r="FOA42" s="214"/>
      <c r="FOB42" s="214"/>
      <c r="FOC42" s="214"/>
      <c r="FOD42" s="214"/>
      <c r="FOE42" s="214"/>
      <c r="FOF42" s="214"/>
      <c r="FOG42" s="214"/>
      <c r="FOH42" s="214"/>
      <c r="FOI42" s="214"/>
      <c r="FOJ42" s="214"/>
      <c r="FOK42" s="214"/>
      <c r="FOL42" s="214"/>
      <c r="FOM42" s="214"/>
      <c r="FON42" s="214"/>
      <c r="FOO42" s="214"/>
      <c r="FOP42" s="214"/>
      <c r="FOQ42" s="214"/>
      <c r="FOR42" s="214"/>
      <c r="FOS42" s="214"/>
      <c r="FOT42" s="214"/>
      <c r="FOU42" s="214"/>
      <c r="FOV42" s="214"/>
      <c r="FOW42" s="214"/>
      <c r="FOX42" s="214"/>
      <c r="FOY42" s="214"/>
      <c r="FOZ42" s="214"/>
      <c r="FPA42" s="214"/>
      <c r="FPB42" s="214"/>
      <c r="FPC42" s="214"/>
      <c r="FPD42" s="214"/>
      <c r="FPE42" s="214"/>
      <c r="FPF42" s="214"/>
      <c r="FPG42" s="214"/>
      <c r="FPH42" s="214"/>
      <c r="FPI42" s="214"/>
      <c r="FPJ42" s="214"/>
      <c r="FPK42" s="214"/>
      <c r="FPL42" s="214"/>
      <c r="FPM42" s="214"/>
      <c r="FPN42" s="214"/>
      <c r="FPO42" s="214"/>
      <c r="FPP42" s="214"/>
      <c r="FPQ42" s="214"/>
      <c r="FPR42" s="214"/>
      <c r="FPS42" s="214"/>
      <c r="FPT42" s="214"/>
      <c r="FPU42" s="214"/>
      <c r="FPV42" s="214"/>
      <c r="FPW42" s="214"/>
      <c r="FPX42" s="214"/>
      <c r="FPY42" s="214"/>
      <c r="FPZ42" s="214"/>
      <c r="FQA42" s="214"/>
      <c r="FQB42" s="214"/>
      <c r="FQC42" s="214"/>
      <c r="FQD42" s="214"/>
      <c r="FQE42" s="214"/>
      <c r="FQF42" s="214"/>
      <c r="FQG42" s="214"/>
      <c r="FQH42" s="214"/>
      <c r="FQI42" s="214"/>
      <c r="FQJ42" s="214"/>
      <c r="FQK42" s="214"/>
      <c r="FQL42" s="214"/>
      <c r="FQM42" s="214"/>
      <c r="FQN42" s="214"/>
      <c r="FQO42" s="214"/>
      <c r="FQP42" s="214"/>
      <c r="FQQ42" s="214"/>
      <c r="FQR42" s="214"/>
      <c r="FQS42" s="214"/>
      <c r="FQT42" s="214"/>
      <c r="FQU42" s="214"/>
      <c r="FQV42" s="214"/>
      <c r="FQW42" s="214"/>
      <c r="FQX42" s="214"/>
      <c r="FQY42" s="214"/>
      <c r="FQZ42" s="214"/>
      <c r="FRA42" s="214"/>
      <c r="FRB42" s="214"/>
      <c r="FRC42" s="214"/>
      <c r="FRD42" s="214"/>
      <c r="FRE42" s="214"/>
      <c r="FRF42" s="214"/>
      <c r="FRG42" s="214"/>
      <c r="FRH42" s="214"/>
      <c r="FRI42" s="214"/>
      <c r="FRJ42" s="214"/>
      <c r="FRK42" s="214"/>
      <c r="FRL42" s="214"/>
      <c r="FRM42" s="214"/>
      <c r="FRN42" s="214"/>
      <c r="FRO42" s="214"/>
      <c r="FRP42" s="214"/>
      <c r="FRQ42" s="214"/>
      <c r="FRR42" s="214"/>
      <c r="FRS42" s="214"/>
      <c r="FRT42" s="214"/>
      <c r="FRU42" s="214"/>
      <c r="FRV42" s="214"/>
      <c r="FRW42" s="214"/>
      <c r="FRX42" s="214"/>
      <c r="FRY42" s="214"/>
      <c r="FRZ42" s="214"/>
      <c r="FSA42" s="214"/>
      <c r="FSB42" s="214"/>
      <c r="FSC42" s="214"/>
      <c r="FSD42" s="214"/>
      <c r="FSE42" s="214"/>
      <c r="FSF42" s="214"/>
      <c r="FSG42" s="214"/>
      <c r="FSH42" s="214"/>
      <c r="FSI42" s="214"/>
      <c r="FSJ42" s="214"/>
      <c r="FSK42" s="214"/>
      <c r="FSL42" s="214"/>
      <c r="FSM42" s="214"/>
      <c r="FSN42" s="214"/>
      <c r="FSO42" s="214"/>
      <c r="FSP42" s="214"/>
      <c r="FSQ42" s="214"/>
      <c r="FSR42" s="214"/>
      <c r="FSS42" s="214"/>
      <c r="FST42" s="214"/>
      <c r="FSU42" s="214"/>
      <c r="FSV42" s="214"/>
      <c r="FSW42" s="214"/>
      <c r="FSX42" s="214"/>
      <c r="FSY42" s="214"/>
      <c r="FSZ42" s="214"/>
      <c r="FTA42" s="214"/>
      <c r="FTB42" s="214"/>
      <c r="FTC42" s="214"/>
      <c r="FTD42" s="214"/>
      <c r="FTE42" s="214"/>
      <c r="FTF42" s="214"/>
      <c r="FTG42" s="214"/>
      <c r="FTH42" s="214"/>
      <c r="FTI42" s="214"/>
      <c r="FTJ42" s="214"/>
      <c r="FTK42" s="214"/>
      <c r="FTL42" s="214"/>
      <c r="FTM42" s="214"/>
      <c r="FTN42" s="214"/>
      <c r="FTO42" s="214"/>
      <c r="FTP42" s="214"/>
      <c r="FTQ42" s="214"/>
      <c r="FTR42" s="214"/>
      <c r="FTS42" s="214"/>
      <c r="FTT42" s="214"/>
      <c r="FTU42" s="214"/>
      <c r="FTV42" s="214"/>
      <c r="FTW42" s="214"/>
      <c r="FTX42" s="214"/>
      <c r="FTY42" s="214"/>
      <c r="FTZ42" s="214"/>
      <c r="FUA42" s="214"/>
      <c r="FUB42" s="214"/>
      <c r="FUC42" s="214"/>
      <c r="FUD42" s="214"/>
      <c r="FUE42" s="214"/>
      <c r="FUF42" s="214"/>
      <c r="FUG42" s="214"/>
      <c r="FUH42" s="214"/>
      <c r="FUI42" s="214"/>
      <c r="FUJ42" s="214"/>
      <c r="FUK42" s="214"/>
      <c r="FUL42" s="214"/>
      <c r="FUM42" s="214"/>
      <c r="FUN42" s="214"/>
      <c r="FUO42" s="214"/>
      <c r="FUP42" s="214"/>
      <c r="FUQ42" s="214"/>
      <c r="FUR42" s="214"/>
      <c r="FUS42" s="214"/>
      <c r="FUT42" s="214"/>
      <c r="FUU42" s="214"/>
      <c r="FUV42" s="214"/>
      <c r="FUW42" s="214"/>
      <c r="FUX42" s="214"/>
      <c r="FUY42" s="214"/>
      <c r="FUZ42" s="214"/>
      <c r="FVA42" s="214"/>
      <c r="FVB42" s="214"/>
      <c r="FVC42" s="214"/>
      <c r="FVD42" s="214"/>
      <c r="FVE42" s="214"/>
      <c r="FVF42" s="214"/>
      <c r="FVG42" s="214"/>
      <c r="FVH42" s="214"/>
      <c r="FVI42" s="214"/>
      <c r="FVJ42" s="214"/>
      <c r="FVK42" s="214"/>
      <c r="FVL42" s="214"/>
      <c r="FVM42" s="214"/>
      <c r="FVN42" s="214"/>
      <c r="FVO42" s="214"/>
      <c r="FVP42" s="214"/>
      <c r="FVQ42" s="214"/>
      <c r="FVR42" s="214"/>
      <c r="FVS42" s="214"/>
      <c r="FVT42" s="214"/>
      <c r="FVU42" s="214"/>
      <c r="FVV42" s="214"/>
      <c r="FVW42" s="214"/>
      <c r="FVX42" s="214"/>
      <c r="FVY42" s="214"/>
      <c r="FVZ42" s="214"/>
      <c r="FWA42" s="214"/>
      <c r="FWB42" s="214"/>
      <c r="FWC42" s="214"/>
      <c r="FWD42" s="214"/>
      <c r="FWE42" s="214"/>
      <c r="FWF42" s="214"/>
      <c r="FWG42" s="214"/>
      <c r="FWH42" s="214"/>
      <c r="FWI42" s="214"/>
      <c r="FWJ42" s="214"/>
      <c r="FWK42" s="214"/>
      <c r="FWL42" s="214"/>
      <c r="FWM42" s="214"/>
      <c r="FWN42" s="214"/>
      <c r="FWO42" s="214"/>
      <c r="FWP42" s="214"/>
      <c r="FWQ42" s="214"/>
      <c r="FWR42" s="214"/>
      <c r="FWS42" s="214"/>
      <c r="FWT42" s="214"/>
      <c r="FWU42" s="214"/>
      <c r="FWV42" s="214"/>
      <c r="FWW42" s="214"/>
      <c r="FWX42" s="214"/>
      <c r="FWY42" s="214"/>
      <c r="FWZ42" s="214"/>
      <c r="FXA42" s="214"/>
      <c r="FXB42" s="214"/>
      <c r="FXC42" s="214"/>
      <c r="FXD42" s="214"/>
      <c r="FXE42" s="214"/>
      <c r="FXF42" s="214"/>
      <c r="FXG42" s="214"/>
      <c r="FXH42" s="214"/>
      <c r="FXI42" s="214"/>
      <c r="FXJ42" s="214"/>
      <c r="FXK42" s="214"/>
      <c r="FXL42" s="214"/>
      <c r="FXM42" s="214"/>
      <c r="FXN42" s="214"/>
      <c r="FXO42" s="214"/>
      <c r="FXP42" s="214"/>
      <c r="FXQ42" s="214"/>
      <c r="FXR42" s="214"/>
      <c r="FXS42" s="214"/>
      <c r="FXT42" s="214"/>
      <c r="FXU42" s="214"/>
      <c r="FXV42" s="214"/>
      <c r="FXW42" s="214"/>
      <c r="FXX42" s="214"/>
      <c r="FXY42" s="214"/>
      <c r="FXZ42" s="214"/>
      <c r="FYA42" s="214"/>
      <c r="FYB42" s="214"/>
      <c r="FYC42" s="214"/>
      <c r="FYD42" s="214"/>
      <c r="FYE42" s="214"/>
      <c r="FYF42" s="214"/>
      <c r="FYG42" s="214"/>
      <c r="FYH42" s="214"/>
      <c r="FYI42" s="214"/>
      <c r="FYJ42" s="214"/>
      <c r="FYK42" s="214"/>
      <c r="FYL42" s="214"/>
      <c r="FYM42" s="214"/>
      <c r="FYN42" s="214"/>
      <c r="FYO42" s="214"/>
      <c r="FYP42" s="214"/>
      <c r="FYQ42" s="214"/>
      <c r="FYR42" s="214"/>
      <c r="FYS42" s="214"/>
      <c r="FYT42" s="214"/>
      <c r="FYU42" s="214"/>
      <c r="FYV42" s="214"/>
      <c r="FYW42" s="214"/>
      <c r="FYX42" s="214"/>
      <c r="FYY42" s="214"/>
      <c r="FYZ42" s="214"/>
      <c r="FZA42" s="214"/>
      <c r="FZB42" s="214"/>
      <c r="FZC42" s="214"/>
      <c r="FZD42" s="214"/>
      <c r="FZE42" s="214"/>
      <c r="FZF42" s="214"/>
      <c r="FZG42" s="214"/>
      <c r="FZH42" s="214"/>
      <c r="FZI42" s="214"/>
      <c r="FZJ42" s="214"/>
      <c r="FZK42" s="214"/>
      <c r="FZL42" s="214"/>
      <c r="FZM42" s="214"/>
      <c r="FZN42" s="214"/>
      <c r="FZO42" s="214"/>
      <c r="FZP42" s="214"/>
      <c r="FZQ42" s="214"/>
      <c r="FZR42" s="214"/>
      <c r="FZS42" s="214"/>
      <c r="FZT42" s="214"/>
      <c r="FZU42" s="214"/>
      <c r="FZV42" s="214"/>
      <c r="FZW42" s="214"/>
      <c r="FZX42" s="214"/>
      <c r="FZY42" s="214"/>
      <c r="FZZ42" s="214"/>
      <c r="GAA42" s="214"/>
      <c r="GAB42" s="214"/>
      <c r="GAC42" s="214"/>
      <c r="GAD42" s="214"/>
      <c r="GAE42" s="214"/>
      <c r="GAF42" s="214"/>
      <c r="GAG42" s="214"/>
      <c r="GAH42" s="214"/>
      <c r="GAI42" s="214"/>
      <c r="GAJ42" s="214"/>
      <c r="GAK42" s="214"/>
      <c r="GAL42" s="214"/>
      <c r="GAM42" s="214"/>
      <c r="GAN42" s="214"/>
      <c r="GAO42" s="214"/>
      <c r="GAP42" s="214"/>
      <c r="GAQ42" s="214"/>
      <c r="GAR42" s="214"/>
      <c r="GAS42" s="214"/>
      <c r="GAT42" s="214"/>
      <c r="GAU42" s="214"/>
      <c r="GAV42" s="214"/>
      <c r="GAW42" s="214"/>
      <c r="GAX42" s="214"/>
      <c r="GAY42" s="214"/>
      <c r="GAZ42" s="214"/>
      <c r="GBA42" s="214"/>
      <c r="GBB42" s="214"/>
      <c r="GBC42" s="214"/>
      <c r="GBD42" s="214"/>
      <c r="GBE42" s="214"/>
      <c r="GBF42" s="214"/>
      <c r="GBG42" s="214"/>
      <c r="GBH42" s="214"/>
      <c r="GBI42" s="214"/>
      <c r="GBJ42" s="214"/>
      <c r="GBK42" s="214"/>
      <c r="GBL42" s="214"/>
      <c r="GBM42" s="214"/>
      <c r="GBN42" s="214"/>
      <c r="GBO42" s="214"/>
      <c r="GBP42" s="214"/>
      <c r="GBQ42" s="214"/>
      <c r="GBR42" s="214"/>
      <c r="GBS42" s="214"/>
      <c r="GBT42" s="214"/>
      <c r="GBU42" s="214"/>
      <c r="GBV42" s="214"/>
      <c r="GBW42" s="214"/>
      <c r="GBX42" s="214"/>
      <c r="GBY42" s="214"/>
      <c r="GBZ42" s="214"/>
      <c r="GCA42" s="214"/>
      <c r="GCB42" s="214"/>
      <c r="GCC42" s="214"/>
      <c r="GCD42" s="214"/>
      <c r="GCE42" s="214"/>
      <c r="GCF42" s="214"/>
      <c r="GCG42" s="214"/>
      <c r="GCH42" s="214"/>
      <c r="GCI42" s="214"/>
      <c r="GCJ42" s="214"/>
      <c r="GCK42" s="214"/>
      <c r="GCL42" s="214"/>
      <c r="GCM42" s="214"/>
      <c r="GCN42" s="214"/>
      <c r="GCO42" s="214"/>
      <c r="GCP42" s="214"/>
      <c r="GCQ42" s="214"/>
      <c r="GCR42" s="214"/>
      <c r="GCS42" s="214"/>
      <c r="GCT42" s="214"/>
      <c r="GCU42" s="214"/>
      <c r="GCV42" s="214"/>
      <c r="GCW42" s="214"/>
      <c r="GCX42" s="214"/>
      <c r="GCY42" s="214"/>
      <c r="GCZ42" s="214"/>
      <c r="GDA42" s="214"/>
      <c r="GDB42" s="214"/>
      <c r="GDC42" s="214"/>
      <c r="GDD42" s="214"/>
      <c r="GDE42" s="214"/>
      <c r="GDF42" s="214"/>
      <c r="GDG42" s="214"/>
      <c r="GDH42" s="214"/>
      <c r="GDI42" s="214"/>
      <c r="GDJ42" s="214"/>
      <c r="GDK42" s="214"/>
      <c r="GDL42" s="214"/>
      <c r="GDM42" s="214"/>
      <c r="GDN42" s="214"/>
      <c r="GDO42" s="214"/>
      <c r="GDP42" s="214"/>
      <c r="GDQ42" s="214"/>
      <c r="GDR42" s="214"/>
      <c r="GDS42" s="214"/>
      <c r="GDT42" s="214"/>
      <c r="GDU42" s="214"/>
      <c r="GDV42" s="214"/>
      <c r="GDW42" s="214"/>
      <c r="GDX42" s="214"/>
      <c r="GDY42" s="214"/>
      <c r="GDZ42" s="214"/>
      <c r="GEA42" s="214"/>
      <c r="GEB42" s="214"/>
      <c r="GEC42" s="214"/>
      <c r="GED42" s="214"/>
      <c r="GEE42" s="214"/>
      <c r="GEF42" s="214"/>
      <c r="GEG42" s="214"/>
      <c r="GEH42" s="214"/>
      <c r="GEI42" s="214"/>
      <c r="GEJ42" s="214"/>
      <c r="GEK42" s="214"/>
      <c r="GEL42" s="214"/>
      <c r="GEM42" s="214"/>
      <c r="GEN42" s="214"/>
      <c r="GEO42" s="214"/>
      <c r="GEP42" s="214"/>
      <c r="GEQ42" s="214"/>
      <c r="GER42" s="214"/>
      <c r="GES42" s="214"/>
      <c r="GET42" s="214"/>
      <c r="GEU42" s="214"/>
      <c r="GEV42" s="214"/>
      <c r="GEW42" s="214"/>
      <c r="GEX42" s="214"/>
      <c r="GEY42" s="214"/>
      <c r="GEZ42" s="214"/>
      <c r="GFA42" s="214"/>
      <c r="GFB42" s="214"/>
      <c r="GFC42" s="214"/>
      <c r="GFD42" s="214"/>
      <c r="GFE42" s="214"/>
      <c r="GFF42" s="214"/>
      <c r="GFG42" s="214"/>
      <c r="GFH42" s="214"/>
      <c r="GFI42" s="214"/>
      <c r="GFJ42" s="214"/>
      <c r="GFK42" s="214"/>
      <c r="GFL42" s="214"/>
      <c r="GFM42" s="214"/>
      <c r="GFN42" s="214"/>
      <c r="GFO42" s="214"/>
      <c r="GFP42" s="214"/>
      <c r="GFQ42" s="214"/>
      <c r="GFR42" s="214"/>
      <c r="GFS42" s="214"/>
      <c r="GFT42" s="214"/>
      <c r="GFU42" s="214"/>
      <c r="GFV42" s="214"/>
      <c r="GFW42" s="214"/>
      <c r="GFX42" s="214"/>
      <c r="GFY42" s="214"/>
      <c r="GFZ42" s="214"/>
      <c r="GGA42" s="214"/>
      <c r="GGB42" s="214"/>
      <c r="GGC42" s="214"/>
      <c r="GGD42" s="214"/>
      <c r="GGE42" s="214"/>
      <c r="GGF42" s="214"/>
      <c r="GGG42" s="214"/>
      <c r="GGH42" s="214"/>
      <c r="GGI42" s="214"/>
      <c r="GGJ42" s="214"/>
      <c r="GGK42" s="214"/>
      <c r="GGL42" s="214"/>
      <c r="GGM42" s="214"/>
      <c r="GGN42" s="214"/>
      <c r="GGO42" s="214"/>
      <c r="GGP42" s="214"/>
      <c r="GGQ42" s="214"/>
      <c r="GGR42" s="214"/>
      <c r="GGS42" s="214"/>
      <c r="GGT42" s="214"/>
      <c r="GGU42" s="214"/>
      <c r="GGV42" s="214"/>
      <c r="GGW42" s="214"/>
      <c r="GGX42" s="214"/>
      <c r="GGY42" s="214"/>
      <c r="GGZ42" s="214"/>
      <c r="GHA42" s="214"/>
      <c r="GHB42" s="214"/>
      <c r="GHC42" s="214"/>
      <c r="GHD42" s="214"/>
      <c r="GHE42" s="214"/>
      <c r="GHF42" s="214"/>
      <c r="GHG42" s="214"/>
      <c r="GHH42" s="214"/>
      <c r="GHI42" s="214"/>
      <c r="GHJ42" s="214"/>
      <c r="GHK42" s="214"/>
      <c r="GHL42" s="214"/>
      <c r="GHM42" s="214"/>
      <c r="GHN42" s="214"/>
      <c r="GHO42" s="214"/>
      <c r="GHP42" s="214"/>
      <c r="GHQ42" s="214"/>
      <c r="GHR42" s="214"/>
      <c r="GHS42" s="214"/>
      <c r="GHT42" s="214"/>
      <c r="GHU42" s="214"/>
      <c r="GHV42" s="214"/>
      <c r="GHW42" s="214"/>
      <c r="GHX42" s="214"/>
      <c r="GHY42" s="214"/>
      <c r="GHZ42" s="214"/>
      <c r="GIA42" s="214"/>
      <c r="GIB42" s="214"/>
      <c r="GIC42" s="214"/>
      <c r="GID42" s="214"/>
      <c r="GIE42" s="214"/>
      <c r="GIF42" s="214"/>
      <c r="GIG42" s="214"/>
      <c r="GIH42" s="214"/>
      <c r="GII42" s="214"/>
      <c r="GIJ42" s="214"/>
      <c r="GIK42" s="214"/>
      <c r="GIL42" s="214"/>
      <c r="GIM42" s="214"/>
      <c r="GIN42" s="214"/>
      <c r="GIO42" s="214"/>
      <c r="GIP42" s="214"/>
      <c r="GIQ42" s="214"/>
      <c r="GIR42" s="214"/>
      <c r="GIS42" s="214"/>
      <c r="GIT42" s="214"/>
      <c r="GIU42" s="214"/>
      <c r="GIV42" s="214"/>
      <c r="GIW42" s="214"/>
      <c r="GIX42" s="214"/>
      <c r="GIY42" s="214"/>
      <c r="GIZ42" s="214"/>
      <c r="GJA42" s="214"/>
      <c r="GJB42" s="214"/>
      <c r="GJC42" s="214"/>
      <c r="GJD42" s="214"/>
      <c r="GJE42" s="214"/>
      <c r="GJF42" s="214"/>
      <c r="GJG42" s="214"/>
      <c r="GJH42" s="214"/>
      <c r="GJI42" s="214"/>
      <c r="GJJ42" s="214"/>
      <c r="GJK42" s="214"/>
      <c r="GJL42" s="214"/>
      <c r="GJM42" s="214"/>
      <c r="GJN42" s="214"/>
      <c r="GJO42" s="214"/>
      <c r="GJP42" s="214"/>
      <c r="GJQ42" s="214"/>
      <c r="GJR42" s="214"/>
      <c r="GJS42" s="214"/>
      <c r="GJT42" s="214"/>
      <c r="GJU42" s="214"/>
      <c r="GJV42" s="214"/>
      <c r="GJW42" s="214"/>
      <c r="GJX42" s="214"/>
      <c r="GJY42" s="214"/>
      <c r="GJZ42" s="214"/>
      <c r="GKA42" s="214"/>
      <c r="GKB42" s="214"/>
      <c r="GKC42" s="214"/>
      <c r="GKD42" s="214"/>
      <c r="GKE42" s="214"/>
      <c r="GKF42" s="214"/>
      <c r="GKG42" s="214"/>
      <c r="GKH42" s="214"/>
      <c r="GKI42" s="214"/>
      <c r="GKJ42" s="214"/>
      <c r="GKK42" s="214"/>
      <c r="GKL42" s="214"/>
      <c r="GKM42" s="214"/>
      <c r="GKN42" s="214"/>
      <c r="GKO42" s="214"/>
      <c r="GKP42" s="214"/>
      <c r="GKQ42" s="214"/>
      <c r="GKR42" s="214"/>
      <c r="GKS42" s="214"/>
      <c r="GKT42" s="214"/>
      <c r="GKU42" s="214"/>
      <c r="GKV42" s="214"/>
      <c r="GKW42" s="214"/>
      <c r="GKX42" s="214"/>
      <c r="GKY42" s="214"/>
      <c r="GKZ42" s="214"/>
      <c r="GLA42" s="214"/>
      <c r="GLB42" s="214"/>
      <c r="GLC42" s="214"/>
      <c r="GLD42" s="214"/>
      <c r="GLE42" s="214"/>
      <c r="GLF42" s="214"/>
      <c r="GLG42" s="214"/>
      <c r="GLH42" s="214"/>
      <c r="GLI42" s="214"/>
      <c r="GLJ42" s="214"/>
      <c r="GLK42" s="214"/>
      <c r="GLL42" s="214"/>
      <c r="GLM42" s="214"/>
      <c r="GLN42" s="214"/>
      <c r="GLO42" s="214"/>
      <c r="GLP42" s="214"/>
      <c r="GLQ42" s="214"/>
      <c r="GLR42" s="214"/>
      <c r="GLS42" s="214"/>
      <c r="GLT42" s="214"/>
      <c r="GLU42" s="214"/>
      <c r="GLV42" s="214"/>
      <c r="GLW42" s="214"/>
      <c r="GLX42" s="214"/>
      <c r="GLY42" s="214"/>
      <c r="GLZ42" s="214"/>
      <c r="GMA42" s="214"/>
      <c r="GMB42" s="214"/>
      <c r="GMC42" s="214"/>
      <c r="GMD42" s="214"/>
      <c r="GME42" s="214"/>
      <c r="GMF42" s="214"/>
      <c r="GMG42" s="214"/>
      <c r="GMH42" s="214"/>
      <c r="GMI42" s="214"/>
      <c r="GMJ42" s="214"/>
      <c r="GMK42" s="214"/>
      <c r="GML42" s="214"/>
      <c r="GMM42" s="214"/>
      <c r="GMN42" s="214"/>
      <c r="GMO42" s="214"/>
      <c r="GMP42" s="214"/>
      <c r="GMQ42" s="214"/>
      <c r="GMR42" s="214"/>
      <c r="GMS42" s="214"/>
      <c r="GMT42" s="214"/>
      <c r="GMU42" s="214"/>
      <c r="GMV42" s="214"/>
      <c r="GMW42" s="214"/>
      <c r="GMX42" s="214"/>
      <c r="GMY42" s="214"/>
      <c r="GMZ42" s="214"/>
      <c r="GNA42" s="214"/>
      <c r="GNB42" s="214"/>
      <c r="GNC42" s="214"/>
      <c r="GND42" s="214"/>
      <c r="GNE42" s="214"/>
      <c r="GNF42" s="214"/>
      <c r="GNG42" s="214"/>
      <c r="GNH42" s="214"/>
      <c r="GNI42" s="214"/>
      <c r="GNJ42" s="214"/>
      <c r="GNK42" s="214"/>
      <c r="GNL42" s="214"/>
      <c r="GNM42" s="214"/>
      <c r="GNN42" s="214"/>
      <c r="GNO42" s="214"/>
      <c r="GNP42" s="214"/>
      <c r="GNQ42" s="214"/>
      <c r="GNR42" s="214"/>
      <c r="GNS42" s="214"/>
      <c r="GNT42" s="214"/>
      <c r="GNU42" s="214"/>
      <c r="GNV42" s="214"/>
      <c r="GNW42" s="214"/>
      <c r="GNX42" s="214"/>
      <c r="GNY42" s="214"/>
      <c r="GNZ42" s="214"/>
      <c r="GOA42" s="214"/>
      <c r="GOB42" s="214"/>
      <c r="GOC42" s="214"/>
      <c r="GOD42" s="214"/>
      <c r="GOE42" s="214"/>
      <c r="GOF42" s="214"/>
      <c r="GOG42" s="214"/>
      <c r="GOH42" s="214"/>
      <c r="GOI42" s="214"/>
      <c r="GOJ42" s="214"/>
      <c r="GOK42" s="214"/>
      <c r="GOL42" s="214"/>
      <c r="GOM42" s="214"/>
      <c r="GON42" s="214"/>
      <c r="GOO42" s="214"/>
      <c r="GOP42" s="214"/>
      <c r="GOQ42" s="214"/>
      <c r="GOR42" s="214"/>
      <c r="GOS42" s="214"/>
      <c r="GOT42" s="214"/>
      <c r="GOU42" s="214"/>
      <c r="GOV42" s="214"/>
      <c r="GOW42" s="214"/>
      <c r="GOX42" s="214"/>
      <c r="GOY42" s="214"/>
      <c r="GOZ42" s="214"/>
      <c r="GPA42" s="214"/>
      <c r="GPB42" s="214"/>
      <c r="GPC42" s="214"/>
      <c r="GPD42" s="214"/>
      <c r="GPE42" s="214"/>
      <c r="GPF42" s="214"/>
      <c r="GPG42" s="214"/>
      <c r="GPH42" s="214"/>
      <c r="GPI42" s="214"/>
      <c r="GPJ42" s="214"/>
      <c r="GPK42" s="214"/>
      <c r="GPL42" s="214"/>
      <c r="GPM42" s="214"/>
      <c r="GPN42" s="214"/>
      <c r="GPO42" s="214"/>
      <c r="GPP42" s="214"/>
      <c r="GPQ42" s="214"/>
      <c r="GPR42" s="214"/>
      <c r="GPS42" s="214"/>
      <c r="GPT42" s="214"/>
      <c r="GPU42" s="214"/>
      <c r="GPV42" s="214"/>
      <c r="GPW42" s="214"/>
      <c r="GPX42" s="214"/>
      <c r="GPY42" s="214"/>
      <c r="GPZ42" s="214"/>
      <c r="GQA42" s="214"/>
      <c r="GQB42" s="214"/>
      <c r="GQC42" s="214"/>
      <c r="GQD42" s="214"/>
      <c r="GQE42" s="214"/>
      <c r="GQF42" s="214"/>
      <c r="GQG42" s="214"/>
      <c r="GQH42" s="214"/>
      <c r="GQI42" s="214"/>
      <c r="GQJ42" s="214"/>
      <c r="GQK42" s="214"/>
      <c r="GQL42" s="214"/>
      <c r="GQM42" s="214"/>
      <c r="GQN42" s="214"/>
      <c r="GQO42" s="214"/>
      <c r="GQP42" s="214"/>
      <c r="GQQ42" s="214"/>
      <c r="GQR42" s="214"/>
      <c r="GQS42" s="214"/>
      <c r="GQT42" s="214"/>
      <c r="GQU42" s="214"/>
      <c r="GQV42" s="214"/>
      <c r="GQW42" s="214"/>
      <c r="GQX42" s="214"/>
      <c r="GQY42" s="214"/>
      <c r="GQZ42" s="214"/>
      <c r="GRA42" s="214"/>
      <c r="GRB42" s="214"/>
      <c r="GRC42" s="214"/>
      <c r="GRD42" s="214"/>
      <c r="GRE42" s="214"/>
      <c r="GRF42" s="214"/>
      <c r="GRG42" s="214"/>
      <c r="GRH42" s="214"/>
      <c r="GRI42" s="214"/>
      <c r="GRJ42" s="214"/>
      <c r="GRK42" s="214"/>
      <c r="GRL42" s="214"/>
      <c r="GRM42" s="214"/>
      <c r="GRN42" s="214"/>
      <c r="GRO42" s="214"/>
      <c r="GRP42" s="214"/>
      <c r="GRQ42" s="214"/>
      <c r="GRR42" s="214"/>
      <c r="GRS42" s="214"/>
      <c r="GRT42" s="214"/>
      <c r="GRU42" s="214"/>
      <c r="GRV42" s="214"/>
      <c r="GRW42" s="214"/>
      <c r="GRX42" s="214"/>
      <c r="GRY42" s="214"/>
      <c r="GRZ42" s="214"/>
      <c r="GSA42" s="214"/>
      <c r="GSB42" s="214"/>
      <c r="GSC42" s="214"/>
      <c r="GSD42" s="214"/>
      <c r="GSE42" s="214"/>
      <c r="GSF42" s="214"/>
      <c r="GSG42" s="214"/>
      <c r="GSH42" s="214"/>
      <c r="GSI42" s="214"/>
      <c r="GSJ42" s="214"/>
      <c r="GSK42" s="214"/>
      <c r="GSL42" s="214"/>
      <c r="GSM42" s="214"/>
      <c r="GSN42" s="214"/>
      <c r="GSO42" s="214"/>
      <c r="GSP42" s="214"/>
      <c r="GSQ42" s="214"/>
      <c r="GSR42" s="214"/>
      <c r="GSS42" s="214"/>
      <c r="GST42" s="214"/>
      <c r="GSU42" s="214"/>
      <c r="GSV42" s="214"/>
      <c r="GSW42" s="214"/>
      <c r="GSX42" s="214"/>
      <c r="GSY42" s="214"/>
      <c r="GSZ42" s="214"/>
      <c r="GTA42" s="214"/>
      <c r="GTB42" s="214"/>
      <c r="GTC42" s="214"/>
      <c r="GTD42" s="214"/>
      <c r="GTE42" s="214"/>
      <c r="GTF42" s="214"/>
      <c r="GTG42" s="214"/>
      <c r="GTH42" s="214"/>
      <c r="GTI42" s="214"/>
      <c r="GTJ42" s="214"/>
      <c r="GTK42" s="214"/>
      <c r="GTL42" s="214"/>
      <c r="GTM42" s="214"/>
      <c r="GTN42" s="214"/>
      <c r="GTO42" s="214"/>
      <c r="GTP42" s="214"/>
      <c r="GTQ42" s="214"/>
      <c r="GTR42" s="214"/>
      <c r="GTS42" s="214"/>
      <c r="GTT42" s="214"/>
      <c r="GTU42" s="214"/>
      <c r="GTV42" s="214"/>
      <c r="GTW42" s="214"/>
      <c r="GTX42" s="214"/>
      <c r="GTY42" s="214"/>
      <c r="GTZ42" s="214"/>
      <c r="GUA42" s="214"/>
      <c r="GUB42" s="214"/>
      <c r="GUC42" s="214"/>
      <c r="GUD42" s="214"/>
      <c r="GUE42" s="214"/>
      <c r="GUF42" s="214"/>
      <c r="GUG42" s="214"/>
      <c r="GUH42" s="214"/>
      <c r="GUI42" s="214"/>
      <c r="GUJ42" s="214"/>
      <c r="GUK42" s="214"/>
      <c r="GUL42" s="214"/>
      <c r="GUM42" s="214"/>
      <c r="GUN42" s="214"/>
      <c r="GUO42" s="214"/>
      <c r="GUP42" s="214"/>
      <c r="GUQ42" s="214"/>
      <c r="GUR42" s="214"/>
      <c r="GUS42" s="214"/>
      <c r="GUT42" s="214"/>
      <c r="GUU42" s="214"/>
      <c r="GUV42" s="214"/>
      <c r="GUW42" s="214"/>
      <c r="GUX42" s="214"/>
      <c r="GUY42" s="214"/>
      <c r="GUZ42" s="214"/>
      <c r="GVA42" s="214"/>
      <c r="GVB42" s="214"/>
      <c r="GVC42" s="214"/>
      <c r="GVD42" s="214"/>
      <c r="GVE42" s="214"/>
      <c r="GVF42" s="214"/>
      <c r="GVG42" s="214"/>
      <c r="GVH42" s="214"/>
      <c r="GVI42" s="214"/>
      <c r="GVJ42" s="214"/>
      <c r="GVK42" s="214"/>
      <c r="GVL42" s="214"/>
      <c r="GVM42" s="214"/>
      <c r="GVN42" s="214"/>
      <c r="GVO42" s="214"/>
      <c r="GVP42" s="214"/>
      <c r="GVQ42" s="214"/>
      <c r="GVR42" s="214"/>
      <c r="GVS42" s="214"/>
      <c r="GVT42" s="214"/>
      <c r="GVU42" s="214"/>
      <c r="GVV42" s="214"/>
      <c r="GVW42" s="214"/>
      <c r="GVX42" s="214"/>
      <c r="GVY42" s="214"/>
      <c r="GVZ42" s="214"/>
      <c r="GWA42" s="214"/>
      <c r="GWB42" s="214"/>
      <c r="GWC42" s="214"/>
      <c r="GWD42" s="214"/>
      <c r="GWE42" s="214"/>
      <c r="GWF42" s="214"/>
      <c r="GWG42" s="214"/>
      <c r="GWH42" s="214"/>
      <c r="GWI42" s="214"/>
      <c r="GWJ42" s="214"/>
      <c r="GWK42" s="214"/>
      <c r="GWL42" s="214"/>
      <c r="GWM42" s="214"/>
      <c r="GWN42" s="214"/>
      <c r="GWO42" s="214"/>
      <c r="GWP42" s="214"/>
      <c r="GWQ42" s="214"/>
      <c r="GWR42" s="214"/>
      <c r="GWS42" s="214"/>
      <c r="GWT42" s="214"/>
      <c r="GWU42" s="214"/>
      <c r="GWV42" s="214"/>
      <c r="GWW42" s="214"/>
      <c r="GWX42" s="214"/>
      <c r="GWY42" s="214"/>
      <c r="GWZ42" s="214"/>
      <c r="GXA42" s="214"/>
      <c r="GXB42" s="214"/>
      <c r="GXC42" s="214"/>
      <c r="GXD42" s="214"/>
      <c r="GXE42" s="214"/>
      <c r="GXF42" s="214"/>
      <c r="GXG42" s="214"/>
      <c r="GXH42" s="214"/>
      <c r="GXI42" s="214"/>
      <c r="GXJ42" s="214"/>
      <c r="GXK42" s="214"/>
      <c r="GXL42" s="214"/>
      <c r="GXM42" s="214"/>
      <c r="GXN42" s="214"/>
      <c r="GXO42" s="214"/>
      <c r="GXP42" s="214"/>
      <c r="GXQ42" s="214"/>
      <c r="GXR42" s="214"/>
      <c r="GXS42" s="214"/>
      <c r="GXT42" s="214"/>
      <c r="GXU42" s="214"/>
      <c r="GXV42" s="214"/>
      <c r="GXW42" s="214"/>
      <c r="GXX42" s="214"/>
      <c r="GXY42" s="214"/>
      <c r="GXZ42" s="214"/>
      <c r="GYA42" s="214"/>
      <c r="GYB42" s="214"/>
      <c r="GYC42" s="214"/>
      <c r="GYD42" s="214"/>
      <c r="GYE42" s="214"/>
      <c r="GYF42" s="214"/>
      <c r="GYG42" s="214"/>
      <c r="GYH42" s="214"/>
      <c r="GYI42" s="214"/>
      <c r="GYJ42" s="214"/>
      <c r="GYK42" s="214"/>
      <c r="GYL42" s="214"/>
      <c r="GYM42" s="214"/>
      <c r="GYN42" s="214"/>
      <c r="GYO42" s="214"/>
      <c r="GYP42" s="214"/>
      <c r="GYQ42" s="214"/>
      <c r="GYR42" s="214"/>
      <c r="GYS42" s="214"/>
      <c r="GYT42" s="214"/>
      <c r="GYU42" s="214"/>
      <c r="GYV42" s="214"/>
      <c r="GYW42" s="214"/>
      <c r="GYX42" s="214"/>
      <c r="GYY42" s="214"/>
      <c r="GYZ42" s="214"/>
      <c r="GZA42" s="214"/>
      <c r="GZB42" s="214"/>
      <c r="GZC42" s="214"/>
      <c r="GZD42" s="214"/>
      <c r="GZE42" s="214"/>
      <c r="GZF42" s="214"/>
      <c r="GZG42" s="214"/>
      <c r="GZH42" s="214"/>
      <c r="GZI42" s="214"/>
      <c r="GZJ42" s="214"/>
      <c r="GZK42" s="214"/>
      <c r="GZL42" s="214"/>
      <c r="GZM42" s="214"/>
      <c r="GZN42" s="214"/>
      <c r="GZO42" s="214"/>
      <c r="GZP42" s="214"/>
      <c r="GZQ42" s="214"/>
      <c r="GZR42" s="214"/>
      <c r="GZS42" s="214"/>
      <c r="GZT42" s="214"/>
      <c r="GZU42" s="214"/>
      <c r="GZV42" s="214"/>
      <c r="GZW42" s="214"/>
      <c r="GZX42" s="214"/>
      <c r="GZY42" s="214"/>
      <c r="GZZ42" s="214"/>
      <c r="HAA42" s="214"/>
      <c r="HAB42" s="214"/>
      <c r="HAC42" s="214"/>
      <c r="HAD42" s="214"/>
      <c r="HAE42" s="214"/>
      <c r="HAF42" s="214"/>
      <c r="HAG42" s="214"/>
      <c r="HAH42" s="214"/>
      <c r="HAI42" s="214"/>
      <c r="HAJ42" s="214"/>
      <c r="HAK42" s="214"/>
      <c r="HAL42" s="214"/>
      <c r="HAM42" s="214"/>
      <c r="HAN42" s="214"/>
      <c r="HAO42" s="214"/>
      <c r="HAP42" s="214"/>
      <c r="HAQ42" s="214"/>
      <c r="HAR42" s="214"/>
      <c r="HAS42" s="214"/>
      <c r="HAT42" s="214"/>
      <c r="HAU42" s="214"/>
      <c r="HAV42" s="214"/>
      <c r="HAW42" s="214"/>
      <c r="HAX42" s="214"/>
      <c r="HAY42" s="214"/>
      <c r="HAZ42" s="214"/>
      <c r="HBA42" s="214"/>
      <c r="HBB42" s="214"/>
      <c r="HBC42" s="214"/>
      <c r="HBD42" s="214"/>
      <c r="HBE42" s="214"/>
      <c r="HBF42" s="214"/>
      <c r="HBG42" s="214"/>
      <c r="HBH42" s="214"/>
      <c r="HBI42" s="214"/>
      <c r="HBJ42" s="214"/>
      <c r="HBK42" s="214"/>
      <c r="HBL42" s="214"/>
      <c r="HBM42" s="214"/>
      <c r="HBN42" s="214"/>
      <c r="HBO42" s="214"/>
      <c r="HBP42" s="214"/>
      <c r="HBQ42" s="214"/>
      <c r="HBR42" s="214"/>
      <c r="HBS42" s="214"/>
      <c r="HBT42" s="214"/>
      <c r="HBU42" s="214"/>
      <c r="HBV42" s="214"/>
      <c r="HBW42" s="214"/>
      <c r="HBX42" s="214"/>
      <c r="HBY42" s="214"/>
      <c r="HBZ42" s="214"/>
      <c r="HCA42" s="214"/>
      <c r="HCB42" s="214"/>
      <c r="HCC42" s="214"/>
      <c r="HCD42" s="214"/>
      <c r="HCE42" s="214"/>
      <c r="HCF42" s="214"/>
      <c r="HCG42" s="214"/>
      <c r="HCH42" s="214"/>
      <c r="HCI42" s="214"/>
      <c r="HCJ42" s="214"/>
      <c r="HCK42" s="214"/>
      <c r="HCL42" s="214"/>
      <c r="HCM42" s="214"/>
      <c r="HCN42" s="214"/>
      <c r="HCO42" s="214"/>
      <c r="HCP42" s="214"/>
      <c r="HCQ42" s="214"/>
      <c r="HCR42" s="214"/>
      <c r="HCS42" s="214"/>
      <c r="HCT42" s="214"/>
      <c r="HCU42" s="214"/>
      <c r="HCV42" s="214"/>
      <c r="HCW42" s="214"/>
      <c r="HCX42" s="214"/>
      <c r="HCY42" s="214"/>
      <c r="HCZ42" s="214"/>
      <c r="HDA42" s="214"/>
      <c r="HDB42" s="214"/>
      <c r="HDC42" s="214"/>
      <c r="HDD42" s="214"/>
      <c r="HDE42" s="214"/>
      <c r="HDF42" s="214"/>
      <c r="HDG42" s="214"/>
      <c r="HDH42" s="214"/>
      <c r="HDI42" s="214"/>
      <c r="HDJ42" s="214"/>
      <c r="HDK42" s="214"/>
      <c r="HDL42" s="214"/>
      <c r="HDM42" s="214"/>
      <c r="HDN42" s="214"/>
      <c r="HDO42" s="214"/>
      <c r="HDP42" s="214"/>
      <c r="HDQ42" s="214"/>
      <c r="HDR42" s="214"/>
      <c r="HDS42" s="214"/>
      <c r="HDT42" s="214"/>
      <c r="HDU42" s="214"/>
      <c r="HDV42" s="214"/>
      <c r="HDW42" s="214"/>
      <c r="HDX42" s="214"/>
      <c r="HDY42" s="214"/>
      <c r="HDZ42" s="214"/>
      <c r="HEA42" s="214"/>
      <c r="HEB42" s="214"/>
      <c r="HEC42" s="214"/>
      <c r="HED42" s="214"/>
      <c r="HEE42" s="214"/>
      <c r="HEF42" s="214"/>
      <c r="HEG42" s="214"/>
      <c r="HEH42" s="214"/>
      <c r="HEI42" s="214"/>
      <c r="HEJ42" s="214"/>
      <c r="HEK42" s="214"/>
      <c r="HEL42" s="214"/>
      <c r="HEM42" s="214"/>
      <c r="HEN42" s="214"/>
      <c r="HEO42" s="214"/>
      <c r="HEP42" s="214"/>
      <c r="HEQ42" s="214"/>
      <c r="HER42" s="214"/>
      <c r="HES42" s="214"/>
      <c r="HET42" s="214"/>
      <c r="HEU42" s="214"/>
      <c r="HEV42" s="214"/>
      <c r="HEW42" s="214"/>
      <c r="HEX42" s="214"/>
      <c r="HEY42" s="214"/>
      <c r="HEZ42" s="214"/>
      <c r="HFA42" s="214"/>
      <c r="HFB42" s="214"/>
      <c r="HFC42" s="214"/>
      <c r="HFD42" s="214"/>
      <c r="HFE42" s="214"/>
      <c r="HFF42" s="214"/>
      <c r="HFG42" s="214"/>
      <c r="HFH42" s="214"/>
      <c r="HFI42" s="214"/>
      <c r="HFJ42" s="214"/>
      <c r="HFK42" s="214"/>
      <c r="HFL42" s="214"/>
      <c r="HFM42" s="214"/>
      <c r="HFN42" s="214"/>
      <c r="HFO42" s="214"/>
      <c r="HFP42" s="214"/>
      <c r="HFQ42" s="214"/>
      <c r="HFR42" s="214"/>
      <c r="HFS42" s="214"/>
      <c r="HFT42" s="214"/>
      <c r="HFU42" s="214"/>
      <c r="HFV42" s="214"/>
      <c r="HFW42" s="214"/>
      <c r="HFX42" s="214"/>
      <c r="HFY42" s="214"/>
      <c r="HFZ42" s="214"/>
      <c r="HGA42" s="214"/>
      <c r="HGB42" s="214"/>
      <c r="HGC42" s="214"/>
      <c r="HGD42" s="214"/>
      <c r="HGE42" s="214"/>
      <c r="HGF42" s="214"/>
      <c r="HGG42" s="214"/>
      <c r="HGH42" s="214"/>
      <c r="HGI42" s="214"/>
      <c r="HGJ42" s="214"/>
      <c r="HGK42" s="214"/>
      <c r="HGL42" s="214"/>
      <c r="HGM42" s="214"/>
      <c r="HGN42" s="214"/>
      <c r="HGO42" s="214"/>
      <c r="HGP42" s="214"/>
      <c r="HGQ42" s="214"/>
      <c r="HGR42" s="214"/>
      <c r="HGS42" s="214"/>
      <c r="HGT42" s="214"/>
      <c r="HGU42" s="214"/>
      <c r="HGV42" s="214"/>
      <c r="HGW42" s="214"/>
      <c r="HGX42" s="214"/>
      <c r="HGY42" s="214"/>
      <c r="HGZ42" s="214"/>
      <c r="HHA42" s="214"/>
      <c r="HHB42" s="214"/>
      <c r="HHC42" s="214"/>
      <c r="HHD42" s="214"/>
      <c r="HHE42" s="214"/>
      <c r="HHF42" s="214"/>
      <c r="HHG42" s="214"/>
      <c r="HHH42" s="214"/>
      <c r="HHI42" s="214"/>
      <c r="HHJ42" s="214"/>
      <c r="HHK42" s="214"/>
      <c r="HHL42" s="214"/>
      <c r="HHM42" s="214"/>
      <c r="HHN42" s="214"/>
      <c r="HHO42" s="214"/>
      <c r="HHP42" s="214"/>
      <c r="HHQ42" s="214"/>
      <c r="HHR42" s="214"/>
      <c r="HHS42" s="214"/>
      <c r="HHT42" s="214"/>
      <c r="HHU42" s="214"/>
      <c r="HHV42" s="214"/>
      <c r="HHW42" s="214"/>
      <c r="HHX42" s="214"/>
      <c r="HHY42" s="214"/>
      <c r="HHZ42" s="214"/>
      <c r="HIA42" s="214"/>
      <c r="HIB42" s="214"/>
      <c r="HIC42" s="214"/>
      <c r="HID42" s="214"/>
      <c r="HIE42" s="214"/>
      <c r="HIF42" s="214"/>
      <c r="HIG42" s="214"/>
      <c r="HIH42" s="214"/>
      <c r="HII42" s="214"/>
      <c r="HIJ42" s="214"/>
      <c r="HIK42" s="214"/>
      <c r="HIL42" s="214"/>
      <c r="HIM42" s="214"/>
      <c r="HIN42" s="214"/>
      <c r="HIO42" s="214"/>
      <c r="HIP42" s="214"/>
      <c r="HIQ42" s="214"/>
      <c r="HIR42" s="214"/>
      <c r="HIS42" s="214"/>
      <c r="HIT42" s="214"/>
      <c r="HIU42" s="214"/>
      <c r="HIV42" s="214"/>
      <c r="HIW42" s="214"/>
      <c r="HIX42" s="214"/>
      <c r="HIY42" s="214"/>
      <c r="HIZ42" s="214"/>
      <c r="HJA42" s="214"/>
      <c r="HJB42" s="214"/>
      <c r="HJC42" s="214"/>
      <c r="HJD42" s="214"/>
      <c r="HJE42" s="214"/>
      <c r="HJF42" s="214"/>
      <c r="HJG42" s="214"/>
      <c r="HJH42" s="214"/>
      <c r="HJI42" s="214"/>
      <c r="HJJ42" s="214"/>
      <c r="HJK42" s="214"/>
      <c r="HJL42" s="214"/>
      <c r="HJM42" s="214"/>
      <c r="HJN42" s="214"/>
      <c r="HJO42" s="214"/>
      <c r="HJP42" s="214"/>
      <c r="HJQ42" s="214"/>
      <c r="HJR42" s="214"/>
      <c r="HJS42" s="214"/>
      <c r="HJT42" s="214"/>
      <c r="HJU42" s="214"/>
      <c r="HJV42" s="214"/>
      <c r="HJW42" s="214"/>
      <c r="HJX42" s="214"/>
      <c r="HJY42" s="214"/>
      <c r="HJZ42" s="214"/>
      <c r="HKA42" s="214"/>
      <c r="HKB42" s="214"/>
      <c r="HKC42" s="214"/>
      <c r="HKD42" s="214"/>
      <c r="HKE42" s="214"/>
      <c r="HKF42" s="214"/>
      <c r="HKG42" s="214"/>
      <c r="HKH42" s="214"/>
      <c r="HKI42" s="214"/>
      <c r="HKJ42" s="214"/>
      <c r="HKK42" s="214"/>
      <c r="HKL42" s="214"/>
      <c r="HKM42" s="214"/>
      <c r="HKN42" s="214"/>
      <c r="HKO42" s="214"/>
      <c r="HKP42" s="214"/>
      <c r="HKQ42" s="214"/>
      <c r="HKR42" s="214"/>
      <c r="HKS42" s="214"/>
      <c r="HKT42" s="214"/>
      <c r="HKU42" s="214"/>
      <c r="HKV42" s="214"/>
      <c r="HKW42" s="214"/>
      <c r="HKX42" s="214"/>
      <c r="HKY42" s="214"/>
      <c r="HKZ42" s="214"/>
      <c r="HLA42" s="214"/>
      <c r="HLB42" s="214"/>
      <c r="HLC42" s="214"/>
      <c r="HLD42" s="214"/>
      <c r="HLE42" s="214"/>
      <c r="HLF42" s="214"/>
      <c r="HLG42" s="214"/>
      <c r="HLH42" s="214"/>
      <c r="HLI42" s="214"/>
      <c r="HLJ42" s="214"/>
      <c r="HLK42" s="214"/>
      <c r="HLL42" s="214"/>
      <c r="HLM42" s="214"/>
      <c r="HLN42" s="214"/>
      <c r="HLO42" s="214"/>
      <c r="HLP42" s="214"/>
      <c r="HLQ42" s="214"/>
      <c r="HLR42" s="214"/>
      <c r="HLS42" s="214"/>
      <c r="HLT42" s="214"/>
      <c r="HLU42" s="214"/>
      <c r="HLV42" s="214"/>
      <c r="HLW42" s="214"/>
      <c r="HLX42" s="214"/>
      <c r="HLY42" s="214"/>
      <c r="HLZ42" s="214"/>
      <c r="HMA42" s="214"/>
      <c r="HMB42" s="214"/>
      <c r="HMC42" s="214"/>
      <c r="HMD42" s="214"/>
      <c r="HME42" s="214"/>
      <c r="HMF42" s="214"/>
      <c r="HMG42" s="214"/>
      <c r="HMH42" s="214"/>
      <c r="HMI42" s="214"/>
      <c r="HMJ42" s="214"/>
      <c r="HMK42" s="214"/>
      <c r="HML42" s="214"/>
      <c r="HMM42" s="214"/>
      <c r="HMN42" s="214"/>
      <c r="HMO42" s="214"/>
      <c r="HMP42" s="214"/>
      <c r="HMQ42" s="214"/>
      <c r="HMR42" s="214"/>
      <c r="HMS42" s="214"/>
      <c r="HMT42" s="214"/>
      <c r="HMU42" s="214"/>
      <c r="HMV42" s="214"/>
      <c r="HMW42" s="214"/>
      <c r="HMX42" s="214"/>
      <c r="HMY42" s="214"/>
      <c r="HMZ42" s="214"/>
      <c r="HNA42" s="214"/>
      <c r="HNB42" s="214"/>
      <c r="HNC42" s="214"/>
      <c r="HND42" s="214"/>
      <c r="HNE42" s="214"/>
      <c r="HNF42" s="214"/>
      <c r="HNG42" s="214"/>
      <c r="HNH42" s="214"/>
      <c r="HNI42" s="214"/>
      <c r="HNJ42" s="214"/>
      <c r="HNK42" s="214"/>
      <c r="HNL42" s="214"/>
      <c r="HNM42" s="214"/>
      <c r="HNN42" s="214"/>
      <c r="HNO42" s="214"/>
      <c r="HNP42" s="214"/>
      <c r="HNQ42" s="214"/>
      <c r="HNR42" s="214"/>
      <c r="HNS42" s="214"/>
      <c r="HNT42" s="214"/>
      <c r="HNU42" s="214"/>
      <c r="HNV42" s="214"/>
      <c r="HNW42" s="214"/>
      <c r="HNX42" s="214"/>
      <c r="HNY42" s="214"/>
      <c r="HNZ42" s="214"/>
      <c r="HOA42" s="214"/>
      <c r="HOB42" s="214"/>
      <c r="HOC42" s="214"/>
      <c r="HOD42" s="214"/>
      <c r="HOE42" s="214"/>
      <c r="HOF42" s="214"/>
      <c r="HOG42" s="214"/>
      <c r="HOH42" s="214"/>
      <c r="HOI42" s="214"/>
      <c r="HOJ42" s="214"/>
      <c r="HOK42" s="214"/>
      <c r="HOL42" s="214"/>
      <c r="HOM42" s="214"/>
      <c r="HON42" s="214"/>
      <c r="HOO42" s="214"/>
      <c r="HOP42" s="214"/>
      <c r="HOQ42" s="214"/>
      <c r="HOR42" s="214"/>
      <c r="HOS42" s="214"/>
      <c r="HOT42" s="214"/>
      <c r="HOU42" s="214"/>
      <c r="HOV42" s="214"/>
      <c r="HOW42" s="214"/>
      <c r="HOX42" s="214"/>
      <c r="HOY42" s="214"/>
      <c r="HOZ42" s="214"/>
      <c r="HPA42" s="214"/>
      <c r="HPB42" s="214"/>
      <c r="HPC42" s="214"/>
      <c r="HPD42" s="214"/>
      <c r="HPE42" s="214"/>
      <c r="HPF42" s="214"/>
      <c r="HPG42" s="214"/>
      <c r="HPH42" s="214"/>
      <c r="HPI42" s="214"/>
      <c r="HPJ42" s="214"/>
      <c r="HPK42" s="214"/>
      <c r="HPL42" s="214"/>
      <c r="HPM42" s="214"/>
      <c r="HPN42" s="214"/>
      <c r="HPO42" s="214"/>
      <c r="HPP42" s="214"/>
      <c r="HPQ42" s="214"/>
      <c r="HPR42" s="214"/>
      <c r="HPS42" s="214"/>
      <c r="HPT42" s="214"/>
      <c r="HPU42" s="214"/>
      <c r="HPV42" s="214"/>
      <c r="HPW42" s="214"/>
      <c r="HPX42" s="214"/>
      <c r="HPY42" s="214"/>
      <c r="HPZ42" s="214"/>
      <c r="HQA42" s="214"/>
      <c r="HQB42" s="214"/>
      <c r="HQC42" s="214"/>
      <c r="HQD42" s="214"/>
      <c r="HQE42" s="214"/>
      <c r="HQF42" s="214"/>
      <c r="HQG42" s="214"/>
      <c r="HQH42" s="214"/>
      <c r="HQI42" s="214"/>
      <c r="HQJ42" s="214"/>
      <c r="HQK42" s="214"/>
      <c r="HQL42" s="214"/>
      <c r="HQM42" s="214"/>
      <c r="HQN42" s="214"/>
      <c r="HQO42" s="214"/>
      <c r="HQP42" s="214"/>
      <c r="HQQ42" s="214"/>
      <c r="HQR42" s="214"/>
      <c r="HQS42" s="214"/>
      <c r="HQT42" s="214"/>
      <c r="HQU42" s="214"/>
      <c r="HQV42" s="214"/>
      <c r="HQW42" s="214"/>
      <c r="HQX42" s="214"/>
      <c r="HQY42" s="214"/>
      <c r="HQZ42" s="214"/>
      <c r="HRA42" s="214"/>
      <c r="HRB42" s="214"/>
      <c r="HRC42" s="214"/>
      <c r="HRD42" s="214"/>
      <c r="HRE42" s="214"/>
      <c r="HRF42" s="214"/>
      <c r="HRG42" s="214"/>
      <c r="HRH42" s="214"/>
      <c r="HRI42" s="214"/>
      <c r="HRJ42" s="214"/>
      <c r="HRK42" s="214"/>
      <c r="HRL42" s="214"/>
      <c r="HRM42" s="214"/>
      <c r="HRN42" s="214"/>
      <c r="HRO42" s="214"/>
      <c r="HRP42" s="214"/>
      <c r="HRQ42" s="214"/>
      <c r="HRR42" s="214"/>
      <c r="HRS42" s="214"/>
      <c r="HRT42" s="214"/>
      <c r="HRU42" s="214"/>
      <c r="HRV42" s="214"/>
      <c r="HRW42" s="214"/>
      <c r="HRX42" s="214"/>
      <c r="HRY42" s="214"/>
      <c r="HRZ42" s="214"/>
      <c r="HSA42" s="214"/>
      <c r="HSB42" s="214"/>
      <c r="HSC42" s="214"/>
      <c r="HSD42" s="214"/>
      <c r="HSE42" s="214"/>
      <c r="HSF42" s="214"/>
      <c r="HSG42" s="214"/>
      <c r="HSH42" s="214"/>
      <c r="HSI42" s="214"/>
      <c r="HSJ42" s="214"/>
      <c r="HSK42" s="214"/>
      <c r="HSL42" s="214"/>
      <c r="HSM42" s="214"/>
      <c r="HSN42" s="214"/>
      <c r="HSO42" s="214"/>
      <c r="HSP42" s="214"/>
      <c r="HSQ42" s="214"/>
      <c r="HSR42" s="214"/>
      <c r="HSS42" s="214"/>
      <c r="HST42" s="214"/>
      <c r="HSU42" s="214"/>
      <c r="HSV42" s="214"/>
      <c r="HSW42" s="214"/>
      <c r="HSX42" s="214"/>
      <c r="HSY42" s="214"/>
      <c r="HSZ42" s="214"/>
      <c r="HTA42" s="214"/>
      <c r="HTB42" s="214"/>
      <c r="HTC42" s="214"/>
      <c r="HTD42" s="214"/>
      <c r="HTE42" s="214"/>
      <c r="HTF42" s="214"/>
      <c r="HTG42" s="214"/>
      <c r="HTH42" s="214"/>
      <c r="HTI42" s="214"/>
      <c r="HTJ42" s="214"/>
      <c r="HTK42" s="214"/>
      <c r="HTL42" s="214"/>
      <c r="HTM42" s="214"/>
      <c r="HTN42" s="214"/>
      <c r="HTO42" s="214"/>
      <c r="HTP42" s="214"/>
      <c r="HTQ42" s="214"/>
      <c r="HTR42" s="214"/>
      <c r="HTS42" s="214"/>
      <c r="HTT42" s="214"/>
      <c r="HTU42" s="214"/>
      <c r="HTV42" s="214"/>
      <c r="HTW42" s="214"/>
      <c r="HTX42" s="214"/>
      <c r="HTY42" s="214"/>
      <c r="HTZ42" s="214"/>
      <c r="HUA42" s="214"/>
      <c r="HUB42" s="214"/>
      <c r="HUC42" s="214"/>
      <c r="HUD42" s="214"/>
      <c r="HUE42" s="214"/>
      <c r="HUF42" s="214"/>
      <c r="HUG42" s="214"/>
      <c r="HUH42" s="214"/>
      <c r="HUI42" s="214"/>
      <c r="HUJ42" s="214"/>
      <c r="HUK42" s="214"/>
      <c r="HUL42" s="214"/>
      <c r="HUM42" s="214"/>
      <c r="HUN42" s="214"/>
      <c r="HUO42" s="214"/>
      <c r="HUP42" s="214"/>
      <c r="HUQ42" s="214"/>
      <c r="HUR42" s="214"/>
      <c r="HUS42" s="214"/>
      <c r="HUT42" s="214"/>
      <c r="HUU42" s="214"/>
      <c r="HUV42" s="214"/>
      <c r="HUW42" s="214"/>
      <c r="HUX42" s="214"/>
      <c r="HUY42" s="214"/>
      <c r="HUZ42" s="214"/>
      <c r="HVA42" s="214"/>
      <c r="HVB42" s="214"/>
      <c r="HVC42" s="214"/>
      <c r="HVD42" s="214"/>
      <c r="HVE42" s="214"/>
      <c r="HVF42" s="214"/>
      <c r="HVG42" s="214"/>
      <c r="HVH42" s="214"/>
      <c r="HVI42" s="214"/>
      <c r="HVJ42" s="214"/>
      <c r="HVK42" s="214"/>
      <c r="HVL42" s="214"/>
      <c r="HVM42" s="214"/>
      <c r="HVN42" s="214"/>
      <c r="HVO42" s="214"/>
      <c r="HVP42" s="214"/>
      <c r="HVQ42" s="214"/>
      <c r="HVR42" s="214"/>
      <c r="HVS42" s="214"/>
      <c r="HVT42" s="214"/>
      <c r="HVU42" s="214"/>
      <c r="HVV42" s="214"/>
      <c r="HVW42" s="214"/>
      <c r="HVX42" s="214"/>
      <c r="HVY42" s="214"/>
      <c r="HVZ42" s="214"/>
      <c r="HWA42" s="214"/>
      <c r="HWB42" s="214"/>
      <c r="HWC42" s="214"/>
      <c r="HWD42" s="214"/>
      <c r="HWE42" s="214"/>
      <c r="HWF42" s="214"/>
      <c r="HWG42" s="214"/>
      <c r="HWH42" s="214"/>
      <c r="HWI42" s="214"/>
      <c r="HWJ42" s="214"/>
      <c r="HWK42" s="214"/>
      <c r="HWL42" s="214"/>
      <c r="HWM42" s="214"/>
      <c r="HWN42" s="214"/>
      <c r="HWO42" s="214"/>
      <c r="HWP42" s="214"/>
      <c r="HWQ42" s="214"/>
      <c r="HWR42" s="214"/>
      <c r="HWS42" s="214"/>
      <c r="HWT42" s="214"/>
      <c r="HWU42" s="214"/>
      <c r="HWV42" s="214"/>
      <c r="HWW42" s="214"/>
      <c r="HWX42" s="214"/>
      <c r="HWY42" s="214"/>
      <c r="HWZ42" s="214"/>
      <c r="HXA42" s="214"/>
      <c r="HXB42" s="214"/>
      <c r="HXC42" s="214"/>
      <c r="HXD42" s="214"/>
      <c r="HXE42" s="214"/>
      <c r="HXF42" s="214"/>
      <c r="HXG42" s="214"/>
      <c r="HXH42" s="214"/>
      <c r="HXI42" s="214"/>
      <c r="HXJ42" s="214"/>
      <c r="HXK42" s="214"/>
      <c r="HXL42" s="214"/>
      <c r="HXM42" s="214"/>
      <c r="HXN42" s="214"/>
      <c r="HXO42" s="214"/>
      <c r="HXP42" s="214"/>
      <c r="HXQ42" s="214"/>
      <c r="HXR42" s="214"/>
      <c r="HXS42" s="214"/>
      <c r="HXT42" s="214"/>
      <c r="HXU42" s="214"/>
      <c r="HXV42" s="214"/>
      <c r="HXW42" s="214"/>
      <c r="HXX42" s="214"/>
      <c r="HXY42" s="214"/>
      <c r="HXZ42" s="214"/>
      <c r="HYA42" s="214"/>
      <c r="HYB42" s="214"/>
      <c r="HYC42" s="214"/>
      <c r="HYD42" s="214"/>
      <c r="HYE42" s="214"/>
      <c r="HYF42" s="214"/>
      <c r="HYG42" s="214"/>
      <c r="HYH42" s="214"/>
      <c r="HYI42" s="214"/>
      <c r="HYJ42" s="214"/>
      <c r="HYK42" s="214"/>
      <c r="HYL42" s="214"/>
      <c r="HYM42" s="214"/>
      <c r="HYN42" s="214"/>
      <c r="HYO42" s="214"/>
      <c r="HYP42" s="214"/>
      <c r="HYQ42" s="214"/>
      <c r="HYR42" s="214"/>
      <c r="HYS42" s="214"/>
      <c r="HYT42" s="214"/>
      <c r="HYU42" s="214"/>
      <c r="HYV42" s="214"/>
      <c r="HYW42" s="214"/>
      <c r="HYX42" s="214"/>
      <c r="HYY42" s="214"/>
      <c r="HYZ42" s="214"/>
      <c r="HZA42" s="214"/>
      <c r="HZB42" s="214"/>
      <c r="HZC42" s="214"/>
      <c r="HZD42" s="214"/>
      <c r="HZE42" s="214"/>
      <c r="HZF42" s="214"/>
      <c r="HZG42" s="214"/>
      <c r="HZH42" s="214"/>
      <c r="HZI42" s="214"/>
      <c r="HZJ42" s="214"/>
      <c r="HZK42" s="214"/>
      <c r="HZL42" s="214"/>
      <c r="HZM42" s="214"/>
      <c r="HZN42" s="214"/>
      <c r="HZO42" s="214"/>
      <c r="HZP42" s="214"/>
      <c r="HZQ42" s="214"/>
      <c r="HZR42" s="214"/>
      <c r="HZS42" s="214"/>
      <c r="HZT42" s="214"/>
      <c r="HZU42" s="214"/>
      <c r="HZV42" s="214"/>
      <c r="HZW42" s="214"/>
      <c r="HZX42" s="214"/>
      <c r="HZY42" s="214"/>
      <c r="HZZ42" s="214"/>
      <c r="IAA42" s="214"/>
      <c r="IAB42" s="214"/>
      <c r="IAC42" s="214"/>
      <c r="IAD42" s="214"/>
      <c r="IAE42" s="214"/>
      <c r="IAF42" s="214"/>
      <c r="IAG42" s="214"/>
      <c r="IAH42" s="214"/>
      <c r="IAI42" s="214"/>
      <c r="IAJ42" s="214"/>
      <c r="IAK42" s="214"/>
      <c r="IAL42" s="214"/>
      <c r="IAM42" s="214"/>
      <c r="IAN42" s="214"/>
      <c r="IAO42" s="214"/>
      <c r="IAP42" s="214"/>
      <c r="IAQ42" s="214"/>
      <c r="IAR42" s="214"/>
      <c r="IAS42" s="214"/>
      <c r="IAT42" s="214"/>
      <c r="IAU42" s="214"/>
      <c r="IAV42" s="214"/>
      <c r="IAW42" s="214"/>
      <c r="IAX42" s="214"/>
      <c r="IAY42" s="214"/>
      <c r="IAZ42" s="214"/>
      <c r="IBA42" s="214"/>
      <c r="IBB42" s="214"/>
      <c r="IBC42" s="214"/>
      <c r="IBD42" s="214"/>
      <c r="IBE42" s="214"/>
      <c r="IBF42" s="214"/>
      <c r="IBG42" s="214"/>
      <c r="IBH42" s="214"/>
      <c r="IBI42" s="214"/>
      <c r="IBJ42" s="214"/>
      <c r="IBK42" s="214"/>
      <c r="IBL42" s="214"/>
      <c r="IBM42" s="214"/>
      <c r="IBN42" s="214"/>
      <c r="IBO42" s="214"/>
      <c r="IBP42" s="214"/>
      <c r="IBQ42" s="214"/>
      <c r="IBR42" s="214"/>
      <c r="IBS42" s="214"/>
      <c r="IBT42" s="214"/>
      <c r="IBU42" s="214"/>
      <c r="IBV42" s="214"/>
      <c r="IBW42" s="214"/>
      <c r="IBX42" s="214"/>
      <c r="IBY42" s="214"/>
      <c r="IBZ42" s="214"/>
      <c r="ICA42" s="214"/>
      <c r="ICB42" s="214"/>
      <c r="ICC42" s="214"/>
      <c r="ICD42" s="214"/>
      <c r="ICE42" s="214"/>
      <c r="ICF42" s="214"/>
      <c r="ICG42" s="214"/>
      <c r="ICH42" s="214"/>
      <c r="ICI42" s="214"/>
      <c r="ICJ42" s="214"/>
      <c r="ICK42" s="214"/>
      <c r="ICL42" s="214"/>
      <c r="ICM42" s="214"/>
      <c r="ICN42" s="214"/>
      <c r="ICO42" s="214"/>
      <c r="ICP42" s="214"/>
      <c r="ICQ42" s="214"/>
      <c r="ICR42" s="214"/>
      <c r="ICS42" s="214"/>
      <c r="ICT42" s="214"/>
      <c r="ICU42" s="214"/>
      <c r="ICV42" s="214"/>
      <c r="ICW42" s="214"/>
      <c r="ICX42" s="214"/>
      <c r="ICY42" s="214"/>
      <c r="ICZ42" s="214"/>
      <c r="IDA42" s="214"/>
      <c r="IDB42" s="214"/>
      <c r="IDC42" s="214"/>
      <c r="IDD42" s="214"/>
      <c r="IDE42" s="214"/>
      <c r="IDF42" s="214"/>
      <c r="IDG42" s="214"/>
      <c r="IDH42" s="214"/>
      <c r="IDI42" s="214"/>
      <c r="IDJ42" s="214"/>
      <c r="IDK42" s="214"/>
      <c r="IDL42" s="214"/>
      <c r="IDM42" s="214"/>
      <c r="IDN42" s="214"/>
      <c r="IDO42" s="214"/>
      <c r="IDP42" s="214"/>
      <c r="IDQ42" s="214"/>
      <c r="IDR42" s="214"/>
      <c r="IDS42" s="214"/>
      <c r="IDT42" s="214"/>
      <c r="IDU42" s="214"/>
      <c r="IDV42" s="214"/>
      <c r="IDW42" s="214"/>
      <c r="IDX42" s="214"/>
      <c r="IDY42" s="214"/>
      <c r="IDZ42" s="214"/>
      <c r="IEA42" s="214"/>
      <c r="IEB42" s="214"/>
      <c r="IEC42" s="214"/>
      <c r="IED42" s="214"/>
      <c r="IEE42" s="214"/>
      <c r="IEF42" s="214"/>
      <c r="IEG42" s="214"/>
      <c r="IEH42" s="214"/>
      <c r="IEI42" s="214"/>
      <c r="IEJ42" s="214"/>
      <c r="IEK42" s="214"/>
      <c r="IEL42" s="214"/>
      <c r="IEM42" s="214"/>
      <c r="IEN42" s="214"/>
      <c r="IEO42" s="214"/>
      <c r="IEP42" s="214"/>
      <c r="IEQ42" s="214"/>
      <c r="IER42" s="214"/>
      <c r="IES42" s="214"/>
      <c r="IET42" s="214"/>
      <c r="IEU42" s="214"/>
      <c r="IEV42" s="214"/>
      <c r="IEW42" s="214"/>
      <c r="IEX42" s="214"/>
      <c r="IEY42" s="214"/>
      <c r="IEZ42" s="214"/>
      <c r="IFA42" s="214"/>
      <c r="IFB42" s="214"/>
      <c r="IFC42" s="214"/>
      <c r="IFD42" s="214"/>
      <c r="IFE42" s="214"/>
      <c r="IFF42" s="214"/>
      <c r="IFG42" s="214"/>
      <c r="IFH42" s="214"/>
      <c r="IFI42" s="214"/>
      <c r="IFJ42" s="214"/>
      <c r="IFK42" s="214"/>
      <c r="IFL42" s="214"/>
      <c r="IFM42" s="214"/>
      <c r="IFN42" s="214"/>
      <c r="IFO42" s="214"/>
      <c r="IFP42" s="214"/>
      <c r="IFQ42" s="214"/>
      <c r="IFR42" s="214"/>
      <c r="IFS42" s="214"/>
      <c r="IFT42" s="214"/>
      <c r="IFU42" s="214"/>
      <c r="IFV42" s="214"/>
      <c r="IFW42" s="214"/>
      <c r="IFX42" s="214"/>
      <c r="IFY42" s="214"/>
      <c r="IFZ42" s="214"/>
      <c r="IGA42" s="214"/>
      <c r="IGB42" s="214"/>
      <c r="IGC42" s="214"/>
      <c r="IGD42" s="214"/>
      <c r="IGE42" s="214"/>
      <c r="IGF42" s="214"/>
      <c r="IGG42" s="214"/>
      <c r="IGH42" s="214"/>
      <c r="IGI42" s="214"/>
      <c r="IGJ42" s="214"/>
      <c r="IGK42" s="214"/>
      <c r="IGL42" s="214"/>
      <c r="IGM42" s="214"/>
      <c r="IGN42" s="214"/>
      <c r="IGO42" s="214"/>
      <c r="IGP42" s="214"/>
      <c r="IGQ42" s="214"/>
      <c r="IGR42" s="214"/>
      <c r="IGS42" s="214"/>
      <c r="IGT42" s="214"/>
      <c r="IGU42" s="214"/>
      <c r="IGV42" s="214"/>
      <c r="IGW42" s="214"/>
      <c r="IGX42" s="214"/>
      <c r="IGY42" s="214"/>
      <c r="IGZ42" s="214"/>
      <c r="IHA42" s="214"/>
      <c r="IHB42" s="214"/>
      <c r="IHC42" s="214"/>
      <c r="IHD42" s="214"/>
      <c r="IHE42" s="214"/>
      <c r="IHF42" s="214"/>
      <c r="IHG42" s="214"/>
      <c r="IHH42" s="214"/>
      <c r="IHI42" s="214"/>
      <c r="IHJ42" s="214"/>
      <c r="IHK42" s="214"/>
      <c r="IHL42" s="214"/>
      <c r="IHM42" s="214"/>
      <c r="IHN42" s="214"/>
      <c r="IHO42" s="214"/>
      <c r="IHP42" s="214"/>
      <c r="IHQ42" s="214"/>
      <c r="IHR42" s="214"/>
      <c r="IHS42" s="214"/>
      <c r="IHT42" s="214"/>
      <c r="IHU42" s="214"/>
      <c r="IHV42" s="214"/>
      <c r="IHW42" s="214"/>
      <c r="IHX42" s="214"/>
      <c r="IHY42" s="214"/>
      <c r="IHZ42" s="214"/>
      <c r="IIA42" s="214"/>
      <c r="IIB42" s="214"/>
      <c r="IIC42" s="214"/>
      <c r="IID42" s="214"/>
      <c r="IIE42" s="214"/>
      <c r="IIF42" s="214"/>
      <c r="IIG42" s="214"/>
      <c r="IIH42" s="214"/>
      <c r="III42" s="214"/>
      <c r="IIJ42" s="214"/>
      <c r="IIK42" s="214"/>
      <c r="IIL42" s="214"/>
      <c r="IIM42" s="214"/>
      <c r="IIN42" s="214"/>
      <c r="IIO42" s="214"/>
      <c r="IIP42" s="214"/>
      <c r="IIQ42" s="214"/>
      <c r="IIR42" s="214"/>
      <c r="IIS42" s="214"/>
      <c r="IIT42" s="214"/>
      <c r="IIU42" s="214"/>
      <c r="IIV42" s="214"/>
      <c r="IIW42" s="214"/>
      <c r="IIX42" s="214"/>
      <c r="IIY42" s="214"/>
      <c r="IIZ42" s="214"/>
      <c r="IJA42" s="214"/>
      <c r="IJB42" s="214"/>
      <c r="IJC42" s="214"/>
      <c r="IJD42" s="214"/>
      <c r="IJE42" s="214"/>
      <c r="IJF42" s="214"/>
      <c r="IJG42" s="214"/>
      <c r="IJH42" s="214"/>
      <c r="IJI42" s="214"/>
      <c r="IJJ42" s="214"/>
      <c r="IJK42" s="214"/>
      <c r="IJL42" s="214"/>
      <c r="IJM42" s="214"/>
      <c r="IJN42" s="214"/>
      <c r="IJO42" s="214"/>
      <c r="IJP42" s="214"/>
      <c r="IJQ42" s="214"/>
      <c r="IJR42" s="214"/>
      <c r="IJS42" s="214"/>
      <c r="IJT42" s="214"/>
      <c r="IJU42" s="214"/>
      <c r="IJV42" s="214"/>
      <c r="IJW42" s="214"/>
      <c r="IJX42" s="214"/>
      <c r="IJY42" s="214"/>
      <c r="IJZ42" s="214"/>
      <c r="IKA42" s="214"/>
      <c r="IKB42" s="214"/>
      <c r="IKC42" s="214"/>
      <c r="IKD42" s="214"/>
      <c r="IKE42" s="214"/>
      <c r="IKF42" s="214"/>
      <c r="IKG42" s="214"/>
      <c r="IKH42" s="214"/>
      <c r="IKI42" s="214"/>
      <c r="IKJ42" s="214"/>
      <c r="IKK42" s="214"/>
      <c r="IKL42" s="214"/>
      <c r="IKM42" s="214"/>
      <c r="IKN42" s="214"/>
      <c r="IKO42" s="214"/>
      <c r="IKP42" s="214"/>
      <c r="IKQ42" s="214"/>
      <c r="IKR42" s="214"/>
      <c r="IKS42" s="214"/>
      <c r="IKT42" s="214"/>
      <c r="IKU42" s="214"/>
      <c r="IKV42" s="214"/>
      <c r="IKW42" s="214"/>
      <c r="IKX42" s="214"/>
      <c r="IKY42" s="214"/>
      <c r="IKZ42" s="214"/>
      <c r="ILA42" s="214"/>
      <c r="ILB42" s="214"/>
      <c r="ILC42" s="214"/>
      <c r="ILD42" s="214"/>
      <c r="ILE42" s="214"/>
      <c r="ILF42" s="214"/>
      <c r="ILG42" s="214"/>
      <c r="ILH42" s="214"/>
      <c r="ILI42" s="214"/>
      <c r="ILJ42" s="214"/>
      <c r="ILK42" s="214"/>
      <c r="ILL42" s="214"/>
      <c r="ILM42" s="214"/>
      <c r="ILN42" s="214"/>
      <c r="ILO42" s="214"/>
      <c r="ILP42" s="214"/>
      <c r="ILQ42" s="214"/>
      <c r="ILR42" s="214"/>
      <c r="ILS42" s="214"/>
      <c r="ILT42" s="214"/>
      <c r="ILU42" s="214"/>
      <c r="ILV42" s="214"/>
      <c r="ILW42" s="214"/>
      <c r="ILX42" s="214"/>
      <c r="ILY42" s="214"/>
      <c r="ILZ42" s="214"/>
      <c r="IMA42" s="214"/>
      <c r="IMB42" s="214"/>
      <c r="IMC42" s="214"/>
      <c r="IMD42" s="214"/>
      <c r="IME42" s="214"/>
      <c r="IMF42" s="214"/>
      <c r="IMG42" s="214"/>
      <c r="IMH42" s="214"/>
      <c r="IMI42" s="214"/>
      <c r="IMJ42" s="214"/>
      <c r="IMK42" s="214"/>
      <c r="IML42" s="214"/>
      <c r="IMM42" s="214"/>
      <c r="IMN42" s="214"/>
      <c r="IMO42" s="214"/>
      <c r="IMP42" s="214"/>
      <c r="IMQ42" s="214"/>
      <c r="IMR42" s="214"/>
      <c r="IMS42" s="214"/>
      <c r="IMT42" s="214"/>
      <c r="IMU42" s="214"/>
      <c r="IMV42" s="214"/>
      <c r="IMW42" s="214"/>
      <c r="IMX42" s="214"/>
      <c r="IMY42" s="214"/>
      <c r="IMZ42" s="214"/>
      <c r="INA42" s="214"/>
      <c r="INB42" s="214"/>
      <c r="INC42" s="214"/>
      <c r="IND42" s="214"/>
      <c r="INE42" s="214"/>
      <c r="INF42" s="214"/>
      <c r="ING42" s="214"/>
      <c r="INH42" s="214"/>
      <c r="INI42" s="214"/>
      <c r="INJ42" s="214"/>
      <c r="INK42" s="214"/>
      <c r="INL42" s="214"/>
      <c r="INM42" s="214"/>
      <c r="INN42" s="214"/>
      <c r="INO42" s="214"/>
      <c r="INP42" s="214"/>
      <c r="INQ42" s="214"/>
      <c r="INR42" s="214"/>
      <c r="INS42" s="214"/>
      <c r="INT42" s="214"/>
      <c r="INU42" s="214"/>
      <c r="INV42" s="214"/>
      <c r="INW42" s="214"/>
      <c r="INX42" s="214"/>
      <c r="INY42" s="214"/>
      <c r="INZ42" s="214"/>
      <c r="IOA42" s="214"/>
      <c r="IOB42" s="214"/>
      <c r="IOC42" s="214"/>
      <c r="IOD42" s="214"/>
      <c r="IOE42" s="214"/>
      <c r="IOF42" s="214"/>
      <c r="IOG42" s="214"/>
      <c r="IOH42" s="214"/>
      <c r="IOI42" s="214"/>
      <c r="IOJ42" s="214"/>
      <c r="IOK42" s="214"/>
      <c r="IOL42" s="214"/>
      <c r="IOM42" s="214"/>
      <c r="ION42" s="214"/>
      <c r="IOO42" s="214"/>
      <c r="IOP42" s="214"/>
      <c r="IOQ42" s="214"/>
      <c r="IOR42" s="214"/>
      <c r="IOS42" s="214"/>
      <c r="IOT42" s="214"/>
      <c r="IOU42" s="214"/>
      <c r="IOV42" s="214"/>
      <c r="IOW42" s="214"/>
      <c r="IOX42" s="214"/>
      <c r="IOY42" s="214"/>
      <c r="IOZ42" s="214"/>
      <c r="IPA42" s="214"/>
      <c r="IPB42" s="214"/>
      <c r="IPC42" s="214"/>
      <c r="IPD42" s="214"/>
      <c r="IPE42" s="214"/>
      <c r="IPF42" s="214"/>
      <c r="IPG42" s="214"/>
      <c r="IPH42" s="214"/>
      <c r="IPI42" s="214"/>
      <c r="IPJ42" s="214"/>
      <c r="IPK42" s="214"/>
      <c r="IPL42" s="214"/>
      <c r="IPM42" s="214"/>
      <c r="IPN42" s="214"/>
      <c r="IPO42" s="214"/>
      <c r="IPP42" s="214"/>
      <c r="IPQ42" s="214"/>
      <c r="IPR42" s="214"/>
      <c r="IPS42" s="214"/>
      <c r="IPT42" s="214"/>
      <c r="IPU42" s="214"/>
      <c r="IPV42" s="214"/>
      <c r="IPW42" s="214"/>
      <c r="IPX42" s="214"/>
      <c r="IPY42" s="214"/>
      <c r="IPZ42" s="214"/>
      <c r="IQA42" s="214"/>
      <c r="IQB42" s="214"/>
      <c r="IQC42" s="214"/>
      <c r="IQD42" s="214"/>
      <c r="IQE42" s="214"/>
      <c r="IQF42" s="214"/>
      <c r="IQG42" s="214"/>
      <c r="IQH42" s="214"/>
      <c r="IQI42" s="214"/>
      <c r="IQJ42" s="214"/>
      <c r="IQK42" s="214"/>
      <c r="IQL42" s="214"/>
      <c r="IQM42" s="214"/>
      <c r="IQN42" s="214"/>
      <c r="IQO42" s="214"/>
      <c r="IQP42" s="214"/>
      <c r="IQQ42" s="214"/>
      <c r="IQR42" s="214"/>
      <c r="IQS42" s="214"/>
      <c r="IQT42" s="214"/>
      <c r="IQU42" s="214"/>
      <c r="IQV42" s="214"/>
      <c r="IQW42" s="214"/>
      <c r="IQX42" s="214"/>
      <c r="IQY42" s="214"/>
      <c r="IQZ42" s="214"/>
      <c r="IRA42" s="214"/>
      <c r="IRB42" s="214"/>
      <c r="IRC42" s="214"/>
      <c r="IRD42" s="214"/>
      <c r="IRE42" s="214"/>
      <c r="IRF42" s="214"/>
      <c r="IRG42" s="214"/>
      <c r="IRH42" s="214"/>
      <c r="IRI42" s="214"/>
      <c r="IRJ42" s="214"/>
      <c r="IRK42" s="214"/>
      <c r="IRL42" s="214"/>
      <c r="IRM42" s="214"/>
      <c r="IRN42" s="214"/>
      <c r="IRO42" s="214"/>
      <c r="IRP42" s="214"/>
      <c r="IRQ42" s="214"/>
      <c r="IRR42" s="214"/>
      <c r="IRS42" s="214"/>
      <c r="IRT42" s="214"/>
      <c r="IRU42" s="214"/>
      <c r="IRV42" s="214"/>
      <c r="IRW42" s="214"/>
      <c r="IRX42" s="214"/>
      <c r="IRY42" s="214"/>
      <c r="IRZ42" s="214"/>
      <c r="ISA42" s="214"/>
      <c r="ISB42" s="214"/>
      <c r="ISC42" s="214"/>
      <c r="ISD42" s="214"/>
      <c r="ISE42" s="214"/>
      <c r="ISF42" s="214"/>
      <c r="ISG42" s="214"/>
      <c r="ISH42" s="214"/>
      <c r="ISI42" s="214"/>
      <c r="ISJ42" s="214"/>
      <c r="ISK42" s="214"/>
      <c r="ISL42" s="214"/>
      <c r="ISM42" s="214"/>
      <c r="ISN42" s="214"/>
      <c r="ISO42" s="214"/>
      <c r="ISP42" s="214"/>
      <c r="ISQ42" s="214"/>
      <c r="ISR42" s="214"/>
      <c r="ISS42" s="214"/>
      <c r="IST42" s="214"/>
      <c r="ISU42" s="214"/>
      <c r="ISV42" s="214"/>
      <c r="ISW42" s="214"/>
      <c r="ISX42" s="214"/>
      <c r="ISY42" s="214"/>
      <c r="ISZ42" s="214"/>
      <c r="ITA42" s="214"/>
      <c r="ITB42" s="214"/>
      <c r="ITC42" s="214"/>
      <c r="ITD42" s="214"/>
      <c r="ITE42" s="214"/>
      <c r="ITF42" s="214"/>
      <c r="ITG42" s="214"/>
      <c r="ITH42" s="214"/>
      <c r="ITI42" s="214"/>
      <c r="ITJ42" s="214"/>
      <c r="ITK42" s="214"/>
      <c r="ITL42" s="214"/>
      <c r="ITM42" s="214"/>
      <c r="ITN42" s="214"/>
      <c r="ITO42" s="214"/>
      <c r="ITP42" s="214"/>
      <c r="ITQ42" s="214"/>
      <c r="ITR42" s="214"/>
      <c r="ITS42" s="214"/>
      <c r="ITT42" s="214"/>
      <c r="ITU42" s="214"/>
      <c r="ITV42" s="214"/>
      <c r="ITW42" s="214"/>
      <c r="ITX42" s="214"/>
      <c r="ITY42" s="214"/>
      <c r="ITZ42" s="214"/>
      <c r="IUA42" s="214"/>
      <c r="IUB42" s="214"/>
      <c r="IUC42" s="214"/>
      <c r="IUD42" s="214"/>
      <c r="IUE42" s="214"/>
      <c r="IUF42" s="214"/>
      <c r="IUG42" s="214"/>
      <c r="IUH42" s="214"/>
      <c r="IUI42" s="214"/>
      <c r="IUJ42" s="214"/>
      <c r="IUK42" s="214"/>
      <c r="IUL42" s="214"/>
      <c r="IUM42" s="214"/>
      <c r="IUN42" s="214"/>
      <c r="IUO42" s="214"/>
      <c r="IUP42" s="214"/>
      <c r="IUQ42" s="214"/>
      <c r="IUR42" s="214"/>
      <c r="IUS42" s="214"/>
      <c r="IUT42" s="214"/>
      <c r="IUU42" s="214"/>
      <c r="IUV42" s="214"/>
      <c r="IUW42" s="214"/>
      <c r="IUX42" s="214"/>
      <c r="IUY42" s="214"/>
      <c r="IUZ42" s="214"/>
      <c r="IVA42" s="214"/>
      <c r="IVB42" s="214"/>
      <c r="IVC42" s="214"/>
      <c r="IVD42" s="214"/>
      <c r="IVE42" s="214"/>
      <c r="IVF42" s="214"/>
      <c r="IVG42" s="214"/>
      <c r="IVH42" s="214"/>
      <c r="IVI42" s="214"/>
      <c r="IVJ42" s="214"/>
      <c r="IVK42" s="214"/>
      <c r="IVL42" s="214"/>
      <c r="IVM42" s="214"/>
      <c r="IVN42" s="214"/>
      <c r="IVO42" s="214"/>
      <c r="IVP42" s="214"/>
      <c r="IVQ42" s="214"/>
      <c r="IVR42" s="214"/>
      <c r="IVS42" s="214"/>
      <c r="IVT42" s="214"/>
      <c r="IVU42" s="214"/>
      <c r="IVV42" s="214"/>
      <c r="IVW42" s="214"/>
      <c r="IVX42" s="214"/>
      <c r="IVY42" s="214"/>
      <c r="IVZ42" s="214"/>
      <c r="IWA42" s="214"/>
      <c r="IWB42" s="214"/>
      <c r="IWC42" s="214"/>
      <c r="IWD42" s="214"/>
      <c r="IWE42" s="214"/>
      <c r="IWF42" s="214"/>
      <c r="IWG42" s="214"/>
      <c r="IWH42" s="214"/>
      <c r="IWI42" s="214"/>
      <c r="IWJ42" s="214"/>
      <c r="IWK42" s="214"/>
      <c r="IWL42" s="214"/>
      <c r="IWM42" s="214"/>
      <c r="IWN42" s="214"/>
      <c r="IWO42" s="214"/>
      <c r="IWP42" s="214"/>
      <c r="IWQ42" s="214"/>
      <c r="IWR42" s="214"/>
      <c r="IWS42" s="214"/>
      <c r="IWT42" s="214"/>
      <c r="IWU42" s="214"/>
      <c r="IWV42" s="214"/>
      <c r="IWW42" s="214"/>
      <c r="IWX42" s="214"/>
      <c r="IWY42" s="214"/>
      <c r="IWZ42" s="214"/>
      <c r="IXA42" s="214"/>
      <c r="IXB42" s="214"/>
      <c r="IXC42" s="214"/>
      <c r="IXD42" s="214"/>
      <c r="IXE42" s="214"/>
      <c r="IXF42" s="214"/>
      <c r="IXG42" s="214"/>
      <c r="IXH42" s="214"/>
      <c r="IXI42" s="214"/>
      <c r="IXJ42" s="214"/>
      <c r="IXK42" s="214"/>
      <c r="IXL42" s="214"/>
      <c r="IXM42" s="214"/>
      <c r="IXN42" s="214"/>
      <c r="IXO42" s="214"/>
      <c r="IXP42" s="214"/>
      <c r="IXQ42" s="214"/>
      <c r="IXR42" s="214"/>
      <c r="IXS42" s="214"/>
      <c r="IXT42" s="214"/>
      <c r="IXU42" s="214"/>
      <c r="IXV42" s="214"/>
      <c r="IXW42" s="214"/>
      <c r="IXX42" s="214"/>
      <c r="IXY42" s="214"/>
      <c r="IXZ42" s="214"/>
      <c r="IYA42" s="214"/>
      <c r="IYB42" s="214"/>
      <c r="IYC42" s="214"/>
      <c r="IYD42" s="214"/>
      <c r="IYE42" s="214"/>
      <c r="IYF42" s="214"/>
      <c r="IYG42" s="214"/>
      <c r="IYH42" s="214"/>
      <c r="IYI42" s="214"/>
      <c r="IYJ42" s="214"/>
      <c r="IYK42" s="214"/>
      <c r="IYL42" s="214"/>
      <c r="IYM42" s="214"/>
      <c r="IYN42" s="214"/>
      <c r="IYO42" s="214"/>
      <c r="IYP42" s="214"/>
      <c r="IYQ42" s="214"/>
      <c r="IYR42" s="214"/>
      <c r="IYS42" s="214"/>
      <c r="IYT42" s="214"/>
      <c r="IYU42" s="214"/>
      <c r="IYV42" s="214"/>
      <c r="IYW42" s="214"/>
      <c r="IYX42" s="214"/>
      <c r="IYY42" s="214"/>
      <c r="IYZ42" s="214"/>
      <c r="IZA42" s="214"/>
      <c r="IZB42" s="214"/>
      <c r="IZC42" s="214"/>
      <c r="IZD42" s="214"/>
      <c r="IZE42" s="214"/>
      <c r="IZF42" s="214"/>
      <c r="IZG42" s="214"/>
      <c r="IZH42" s="214"/>
      <c r="IZI42" s="214"/>
      <c r="IZJ42" s="214"/>
      <c r="IZK42" s="214"/>
      <c r="IZL42" s="214"/>
      <c r="IZM42" s="214"/>
      <c r="IZN42" s="214"/>
      <c r="IZO42" s="214"/>
      <c r="IZP42" s="214"/>
      <c r="IZQ42" s="214"/>
      <c r="IZR42" s="214"/>
      <c r="IZS42" s="214"/>
      <c r="IZT42" s="214"/>
      <c r="IZU42" s="214"/>
      <c r="IZV42" s="214"/>
      <c r="IZW42" s="214"/>
      <c r="IZX42" s="214"/>
      <c r="IZY42" s="214"/>
      <c r="IZZ42" s="214"/>
      <c r="JAA42" s="214"/>
      <c r="JAB42" s="214"/>
      <c r="JAC42" s="214"/>
      <c r="JAD42" s="214"/>
      <c r="JAE42" s="214"/>
      <c r="JAF42" s="214"/>
      <c r="JAG42" s="214"/>
      <c r="JAH42" s="214"/>
      <c r="JAI42" s="214"/>
      <c r="JAJ42" s="214"/>
      <c r="JAK42" s="214"/>
      <c r="JAL42" s="214"/>
      <c r="JAM42" s="214"/>
      <c r="JAN42" s="214"/>
      <c r="JAO42" s="214"/>
      <c r="JAP42" s="214"/>
      <c r="JAQ42" s="214"/>
      <c r="JAR42" s="214"/>
      <c r="JAS42" s="214"/>
      <c r="JAT42" s="214"/>
      <c r="JAU42" s="214"/>
      <c r="JAV42" s="214"/>
      <c r="JAW42" s="214"/>
      <c r="JAX42" s="214"/>
      <c r="JAY42" s="214"/>
      <c r="JAZ42" s="214"/>
      <c r="JBA42" s="214"/>
      <c r="JBB42" s="214"/>
      <c r="JBC42" s="214"/>
      <c r="JBD42" s="214"/>
      <c r="JBE42" s="214"/>
      <c r="JBF42" s="214"/>
      <c r="JBG42" s="214"/>
      <c r="JBH42" s="214"/>
      <c r="JBI42" s="214"/>
      <c r="JBJ42" s="214"/>
      <c r="JBK42" s="214"/>
      <c r="JBL42" s="214"/>
      <c r="JBM42" s="214"/>
      <c r="JBN42" s="214"/>
      <c r="JBO42" s="214"/>
      <c r="JBP42" s="214"/>
      <c r="JBQ42" s="214"/>
      <c r="JBR42" s="214"/>
      <c r="JBS42" s="214"/>
      <c r="JBT42" s="214"/>
      <c r="JBU42" s="214"/>
      <c r="JBV42" s="214"/>
      <c r="JBW42" s="214"/>
      <c r="JBX42" s="214"/>
      <c r="JBY42" s="214"/>
      <c r="JBZ42" s="214"/>
      <c r="JCA42" s="214"/>
      <c r="JCB42" s="214"/>
      <c r="JCC42" s="214"/>
      <c r="JCD42" s="214"/>
      <c r="JCE42" s="214"/>
      <c r="JCF42" s="214"/>
      <c r="JCG42" s="214"/>
      <c r="JCH42" s="214"/>
      <c r="JCI42" s="214"/>
      <c r="JCJ42" s="214"/>
      <c r="JCK42" s="214"/>
      <c r="JCL42" s="214"/>
      <c r="JCM42" s="214"/>
      <c r="JCN42" s="214"/>
      <c r="JCO42" s="214"/>
      <c r="JCP42" s="214"/>
      <c r="JCQ42" s="214"/>
      <c r="JCR42" s="214"/>
      <c r="JCS42" s="214"/>
      <c r="JCT42" s="214"/>
      <c r="JCU42" s="214"/>
      <c r="JCV42" s="214"/>
      <c r="JCW42" s="214"/>
      <c r="JCX42" s="214"/>
      <c r="JCY42" s="214"/>
      <c r="JCZ42" s="214"/>
      <c r="JDA42" s="214"/>
      <c r="JDB42" s="214"/>
      <c r="JDC42" s="214"/>
      <c r="JDD42" s="214"/>
      <c r="JDE42" s="214"/>
      <c r="JDF42" s="214"/>
      <c r="JDG42" s="214"/>
      <c r="JDH42" s="214"/>
      <c r="JDI42" s="214"/>
      <c r="JDJ42" s="214"/>
      <c r="JDK42" s="214"/>
      <c r="JDL42" s="214"/>
      <c r="JDM42" s="214"/>
      <c r="JDN42" s="214"/>
      <c r="JDO42" s="214"/>
      <c r="JDP42" s="214"/>
      <c r="JDQ42" s="214"/>
      <c r="JDR42" s="214"/>
      <c r="JDS42" s="214"/>
      <c r="JDT42" s="214"/>
      <c r="JDU42" s="214"/>
      <c r="JDV42" s="214"/>
      <c r="JDW42" s="214"/>
      <c r="JDX42" s="214"/>
      <c r="JDY42" s="214"/>
      <c r="JDZ42" s="214"/>
      <c r="JEA42" s="214"/>
      <c r="JEB42" s="214"/>
      <c r="JEC42" s="214"/>
      <c r="JED42" s="214"/>
      <c r="JEE42" s="214"/>
      <c r="JEF42" s="214"/>
      <c r="JEG42" s="214"/>
      <c r="JEH42" s="214"/>
      <c r="JEI42" s="214"/>
      <c r="JEJ42" s="214"/>
      <c r="JEK42" s="214"/>
      <c r="JEL42" s="214"/>
      <c r="JEM42" s="214"/>
      <c r="JEN42" s="214"/>
      <c r="JEO42" s="214"/>
      <c r="JEP42" s="214"/>
      <c r="JEQ42" s="214"/>
      <c r="JER42" s="214"/>
      <c r="JES42" s="214"/>
      <c r="JET42" s="214"/>
      <c r="JEU42" s="214"/>
      <c r="JEV42" s="214"/>
      <c r="JEW42" s="214"/>
      <c r="JEX42" s="214"/>
      <c r="JEY42" s="214"/>
      <c r="JEZ42" s="214"/>
      <c r="JFA42" s="214"/>
      <c r="JFB42" s="214"/>
      <c r="JFC42" s="214"/>
      <c r="JFD42" s="214"/>
      <c r="JFE42" s="214"/>
      <c r="JFF42" s="214"/>
      <c r="JFG42" s="214"/>
      <c r="JFH42" s="214"/>
      <c r="JFI42" s="214"/>
      <c r="JFJ42" s="214"/>
      <c r="JFK42" s="214"/>
      <c r="JFL42" s="214"/>
      <c r="JFM42" s="214"/>
      <c r="JFN42" s="214"/>
      <c r="JFO42" s="214"/>
      <c r="JFP42" s="214"/>
      <c r="JFQ42" s="214"/>
      <c r="JFR42" s="214"/>
      <c r="JFS42" s="214"/>
      <c r="JFT42" s="214"/>
      <c r="JFU42" s="214"/>
      <c r="JFV42" s="214"/>
      <c r="JFW42" s="214"/>
      <c r="JFX42" s="214"/>
      <c r="JFY42" s="214"/>
      <c r="JFZ42" s="214"/>
      <c r="JGA42" s="214"/>
      <c r="JGB42" s="214"/>
      <c r="JGC42" s="214"/>
      <c r="JGD42" s="214"/>
      <c r="JGE42" s="214"/>
      <c r="JGF42" s="214"/>
      <c r="JGG42" s="214"/>
      <c r="JGH42" s="214"/>
      <c r="JGI42" s="214"/>
      <c r="JGJ42" s="214"/>
      <c r="JGK42" s="214"/>
      <c r="JGL42" s="214"/>
      <c r="JGM42" s="214"/>
      <c r="JGN42" s="214"/>
      <c r="JGO42" s="214"/>
      <c r="JGP42" s="214"/>
      <c r="JGQ42" s="214"/>
      <c r="JGR42" s="214"/>
      <c r="JGS42" s="214"/>
      <c r="JGT42" s="214"/>
      <c r="JGU42" s="214"/>
      <c r="JGV42" s="214"/>
      <c r="JGW42" s="214"/>
      <c r="JGX42" s="214"/>
      <c r="JGY42" s="214"/>
      <c r="JGZ42" s="214"/>
      <c r="JHA42" s="214"/>
      <c r="JHB42" s="214"/>
      <c r="JHC42" s="214"/>
      <c r="JHD42" s="214"/>
      <c r="JHE42" s="214"/>
      <c r="JHF42" s="214"/>
      <c r="JHG42" s="214"/>
      <c r="JHH42" s="214"/>
      <c r="JHI42" s="214"/>
      <c r="JHJ42" s="214"/>
      <c r="JHK42" s="214"/>
      <c r="JHL42" s="214"/>
      <c r="JHM42" s="214"/>
      <c r="JHN42" s="214"/>
      <c r="JHO42" s="214"/>
      <c r="JHP42" s="214"/>
      <c r="JHQ42" s="214"/>
      <c r="JHR42" s="214"/>
      <c r="JHS42" s="214"/>
      <c r="JHT42" s="214"/>
      <c r="JHU42" s="214"/>
      <c r="JHV42" s="214"/>
      <c r="JHW42" s="214"/>
      <c r="JHX42" s="214"/>
      <c r="JHY42" s="214"/>
      <c r="JHZ42" s="214"/>
      <c r="JIA42" s="214"/>
      <c r="JIB42" s="214"/>
      <c r="JIC42" s="214"/>
      <c r="JID42" s="214"/>
      <c r="JIE42" s="214"/>
      <c r="JIF42" s="214"/>
      <c r="JIG42" s="214"/>
      <c r="JIH42" s="214"/>
      <c r="JII42" s="214"/>
      <c r="JIJ42" s="214"/>
      <c r="JIK42" s="214"/>
      <c r="JIL42" s="214"/>
      <c r="JIM42" s="214"/>
      <c r="JIN42" s="214"/>
      <c r="JIO42" s="214"/>
      <c r="JIP42" s="214"/>
      <c r="JIQ42" s="214"/>
      <c r="JIR42" s="214"/>
      <c r="JIS42" s="214"/>
      <c r="JIT42" s="214"/>
      <c r="JIU42" s="214"/>
      <c r="JIV42" s="214"/>
      <c r="JIW42" s="214"/>
      <c r="JIX42" s="214"/>
      <c r="JIY42" s="214"/>
      <c r="JIZ42" s="214"/>
      <c r="JJA42" s="214"/>
      <c r="JJB42" s="214"/>
      <c r="JJC42" s="214"/>
      <c r="JJD42" s="214"/>
      <c r="JJE42" s="214"/>
      <c r="JJF42" s="214"/>
      <c r="JJG42" s="214"/>
      <c r="JJH42" s="214"/>
      <c r="JJI42" s="214"/>
      <c r="JJJ42" s="214"/>
      <c r="JJK42" s="214"/>
      <c r="JJL42" s="214"/>
      <c r="JJM42" s="214"/>
      <c r="JJN42" s="214"/>
      <c r="JJO42" s="214"/>
      <c r="JJP42" s="214"/>
      <c r="JJQ42" s="214"/>
      <c r="JJR42" s="214"/>
      <c r="JJS42" s="214"/>
      <c r="JJT42" s="214"/>
      <c r="JJU42" s="214"/>
      <c r="JJV42" s="214"/>
      <c r="JJW42" s="214"/>
      <c r="JJX42" s="214"/>
      <c r="JJY42" s="214"/>
      <c r="JJZ42" s="214"/>
      <c r="JKA42" s="214"/>
      <c r="JKB42" s="214"/>
      <c r="JKC42" s="214"/>
      <c r="JKD42" s="214"/>
      <c r="JKE42" s="214"/>
      <c r="JKF42" s="214"/>
      <c r="JKG42" s="214"/>
      <c r="JKH42" s="214"/>
      <c r="JKI42" s="214"/>
      <c r="JKJ42" s="214"/>
      <c r="JKK42" s="214"/>
      <c r="JKL42" s="214"/>
      <c r="JKM42" s="214"/>
      <c r="JKN42" s="214"/>
      <c r="JKO42" s="214"/>
      <c r="JKP42" s="214"/>
      <c r="JKQ42" s="214"/>
      <c r="JKR42" s="214"/>
      <c r="JKS42" s="214"/>
      <c r="JKT42" s="214"/>
      <c r="JKU42" s="214"/>
      <c r="JKV42" s="214"/>
      <c r="JKW42" s="214"/>
      <c r="JKX42" s="214"/>
      <c r="JKY42" s="214"/>
      <c r="JKZ42" s="214"/>
      <c r="JLA42" s="214"/>
      <c r="JLB42" s="214"/>
      <c r="JLC42" s="214"/>
      <c r="JLD42" s="214"/>
      <c r="JLE42" s="214"/>
      <c r="JLF42" s="214"/>
      <c r="JLG42" s="214"/>
      <c r="JLH42" s="214"/>
      <c r="JLI42" s="214"/>
      <c r="JLJ42" s="214"/>
      <c r="JLK42" s="214"/>
      <c r="JLL42" s="214"/>
      <c r="JLM42" s="214"/>
      <c r="JLN42" s="214"/>
      <c r="JLO42" s="214"/>
      <c r="JLP42" s="214"/>
      <c r="JLQ42" s="214"/>
      <c r="JLR42" s="214"/>
      <c r="JLS42" s="214"/>
      <c r="JLT42" s="214"/>
      <c r="JLU42" s="214"/>
      <c r="JLV42" s="214"/>
      <c r="JLW42" s="214"/>
      <c r="JLX42" s="214"/>
      <c r="JLY42" s="214"/>
      <c r="JLZ42" s="214"/>
      <c r="JMA42" s="214"/>
      <c r="JMB42" s="214"/>
      <c r="JMC42" s="214"/>
      <c r="JMD42" s="214"/>
      <c r="JME42" s="214"/>
      <c r="JMF42" s="214"/>
      <c r="JMG42" s="214"/>
      <c r="JMH42" s="214"/>
      <c r="JMI42" s="214"/>
      <c r="JMJ42" s="214"/>
      <c r="JMK42" s="214"/>
      <c r="JML42" s="214"/>
      <c r="JMM42" s="214"/>
      <c r="JMN42" s="214"/>
      <c r="JMO42" s="214"/>
      <c r="JMP42" s="214"/>
      <c r="JMQ42" s="214"/>
      <c r="JMR42" s="214"/>
      <c r="JMS42" s="214"/>
      <c r="JMT42" s="214"/>
      <c r="JMU42" s="214"/>
      <c r="JMV42" s="214"/>
      <c r="JMW42" s="214"/>
      <c r="JMX42" s="214"/>
      <c r="JMY42" s="214"/>
      <c r="JMZ42" s="214"/>
      <c r="JNA42" s="214"/>
      <c r="JNB42" s="214"/>
      <c r="JNC42" s="214"/>
      <c r="JND42" s="214"/>
      <c r="JNE42" s="214"/>
      <c r="JNF42" s="214"/>
      <c r="JNG42" s="214"/>
      <c r="JNH42" s="214"/>
      <c r="JNI42" s="214"/>
      <c r="JNJ42" s="214"/>
      <c r="JNK42" s="214"/>
      <c r="JNL42" s="214"/>
      <c r="JNM42" s="214"/>
      <c r="JNN42" s="214"/>
      <c r="JNO42" s="214"/>
      <c r="JNP42" s="214"/>
      <c r="JNQ42" s="214"/>
      <c r="JNR42" s="214"/>
      <c r="JNS42" s="214"/>
      <c r="JNT42" s="214"/>
      <c r="JNU42" s="214"/>
      <c r="JNV42" s="214"/>
      <c r="JNW42" s="214"/>
      <c r="JNX42" s="214"/>
      <c r="JNY42" s="214"/>
      <c r="JNZ42" s="214"/>
      <c r="JOA42" s="214"/>
      <c r="JOB42" s="214"/>
      <c r="JOC42" s="214"/>
      <c r="JOD42" s="214"/>
      <c r="JOE42" s="214"/>
      <c r="JOF42" s="214"/>
      <c r="JOG42" s="214"/>
      <c r="JOH42" s="214"/>
      <c r="JOI42" s="214"/>
      <c r="JOJ42" s="214"/>
      <c r="JOK42" s="214"/>
      <c r="JOL42" s="214"/>
      <c r="JOM42" s="214"/>
      <c r="JON42" s="214"/>
      <c r="JOO42" s="214"/>
      <c r="JOP42" s="214"/>
      <c r="JOQ42" s="214"/>
      <c r="JOR42" s="214"/>
      <c r="JOS42" s="214"/>
      <c r="JOT42" s="214"/>
      <c r="JOU42" s="214"/>
      <c r="JOV42" s="214"/>
      <c r="JOW42" s="214"/>
      <c r="JOX42" s="214"/>
      <c r="JOY42" s="214"/>
      <c r="JOZ42" s="214"/>
      <c r="JPA42" s="214"/>
      <c r="JPB42" s="214"/>
      <c r="JPC42" s="214"/>
      <c r="JPD42" s="214"/>
      <c r="JPE42" s="214"/>
      <c r="JPF42" s="214"/>
      <c r="JPG42" s="214"/>
      <c r="JPH42" s="214"/>
      <c r="JPI42" s="214"/>
      <c r="JPJ42" s="214"/>
      <c r="JPK42" s="214"/>
      <c r="JPL42" s="214"/>
      <c r="JPM42" s="214"/>
      <c r="JPN42" s="214"/>
      <c r="JPO42" s="214"/>
      <c r="JPP42" s="214"/>
      <c r="JPQ42" s="214"/>
      <c r="JPR42" s="214"/>
      <c r="JPS42" s="214"/>
      <c r="JPT42" s="214"/>
      <c r="JPU42" s="214"/>
      <c r="JPV42" s="214"/>
      <c r="JPW42" s="214"/>
      <c r="JPX42" s="214"/>
      <c r="JPY42" s="214"/>
      <c r="JPZ42" s="214"/>
      <c r="JQA42" s="214"/>
      <c r="JQB42" s="214"/>
      <c r="JQC42" s="214"/>
      <c r="JQD42" s="214"/>
      <c r="JQE42" s="214"/>
      <c r="JQF42" s="214"/>
      <c r="JQG42" s="214"/>
      <c r="JQH42" s="214"/>
      <c r="JQI42" s="214"/>
      <c r="JQJ42" s="214"/>
      <c r="JQK42" s="214"/>
      <c r="JQL42" s="214"/>
      <c r="JQM42" s="214"/>
      <c r="JQN42" s="214"/>
      <c r="JQO42" s="214"/>
      <c r="JQP42" s="214"/>
      <c r="JQQ42" s="214"/>
      <c r="JQR42" s="214"/>
      <c r="JQS42" s="214"/>
      <c r="JQT42" s="214"/>
      <c r="JQU42" s="214"/>
      <c r="JQV42" s="214"/>
      <c r="JQW42" s="214"/>
      <c r="JQX42" s="214"/>
      <c r="JQY42" s="214"/>
      <c r="JQZ42" s="214"/>
      <c r="JRA42" s="214"/>
      <c r="JRB42" s="214"/>
      <c r="JRC42" s="214"/>
      <c r="JRD42" s="214"/>
      <c r="JRE42" s="214"/>
      <c r="JRF42" s="214"/>
      <c r="JRG42" s="214"/>
      <c r="JRH42" s="214"/>
      <c r="JRI42" s="214"/>
      <c r="JRJ42" s="214"/>
      <c r="JRK42" s="214"/>
      <c r="JRL42" s="214"/>
      <c r="JRM42" s="214"/>
      <c r="JRN42" s="214"/>
      <c r="JRO42" s="214"/>
      <c r="JRP42" s="214"/>
      <c r="JRQ42" s="214"/>
      <c r="JRR42" s="214"/>
      <c r="JRS42" s="214"/>
      <c r="JRT42" s="214"/>
      <c r="JRU42" s="214"/>
      <c r="JRV42" s="214"/>
      <c r="JRW42" s="214"/>
      <c r="JRX42" s="214"/>
      <c r="JRY42" s="214"/>
      <c r="JRZ42" s="214"/>
      <c r="JSA42" s="214"/>
      <c r="JSB42" s="214"/>
      <c r="JSC42" s="214"/>
      <c r="JSD42" s="214"/>
      <c r="JSE42" s="214"/>
      <c r="JSF42" s="214"/>
      <c r="JSG42" s="214"/>
      <c r="JSH42" s="214"/>
      <c r="JSI42" s="214"/>
      <c r="JSJ42" s="214"/>
      <c r="JSK42" s="214"/>
      <c r="JSL42" s="214"/>
      <c r="JSM42" s="214"/>
      <c r="JSN42" s="214"/>
      <c r="JSO42" s="214"/>
      <c r="JSP42" s="214"/>
      <c r="JSQ42" s="214"/>
      <c r="JSR42" s="214"/>
      <c r="JSS42" s="214"/>
      <c r="JST42" s="214"/>
      <c r="JSU42" s="214"/>
      <c r="JSV42" s="214"/>
      <c r="JSW42" s="214"/>
      <c r="JSX42" s="214"/>
      <c r="JSY42" s="214"/>
      <c r="JSZ42" s="214"/>
      <c r="JTA42" s="214"/>
      <c r="JTB42" s="214"/>
      <c r="JTC42" s="214"/>
      <c r="JTD42" s="214"/>
      <c r="JTE42" s="214"/>
      <c r="JTF42" s="214"/>
      <c r="JTG42" s="214"/>
      <c r="JTH42" s="214"/>
      <c r="JTI42" s="214"/>
      <c r="JTJ42" s="214"/>
      <c r="JTK42" s="214"/>
      <c r="JTL42" s="214"/>
      <c r="JTM42" s="214"/>
      <c r="JTN42" s="214"/>
      <c r="JTO42" s="214"/>
      <c r="JTP42" s="214"/>
      <c r="JTQ42" s="214"/>
      <c r="JTR42" s="214"/>
      <c r="JTS42" s="214"/>
      <c r="JTT42" s="214"/>
      <c r="JTU42" s="214"/>
      <c r="JTV42" s="214"/>
      <c r="JTW42" s="214"/>
      <c r="JTX42" s="214"/>
      <c r="JTY42" s="214"/>
      <c r="JTZ42" s="214"/>
      <c r="JUA42" s="214"/>
      <c r="JUB42" s="214"/>
      <c r="JUC42" s="214"/>
      <c r="JUD42" s="214"/>
      <c r="JUE42" s="214"/>
      <c r="JUF42" s="214"/>
      <c r="JUG42" s="214"/>
      <c r="JUH42" s="214"/>
      <c r="JUI42" s="214"/>
      <c r="JUJ42" s="214"/>
      <c r="JUK42" s="214"/>
      <c r="JUL42" s="214"/>
      <c r="JUM42" s="214"/>
      <c r="JUN42" s="214"/>
      <c r="JUO42" s="214"/>
      <c r="JUP42" s="214"/>
      <c r="JUQ42" s="214"/>
      <c r="JUR42" s="214"/>
      <c r="JUS42" s="214"/>
      <c r="JUT42" s="214"/>
      <c r="JUU42" s="214"/>
      <c r="JUV42" s="214"/>
      <c r="JUW42" s="214"/>
      <c r="JUX42" s="214"/>
      <c r="JUY42" s="214"/>
      <c r="JUZ42" s="214"/>
      <c r="JVA42" s="214"/>
      <c r="JVB42" s="214"/>
      <c r="JVC42" s="214"/>
      <c r="JVD42" s="214"/>
      <c r="JVE42" s="214"/>
      <c r="JVF42" s="214"/>
      <c r="JVG42" s="214"/>
      <c r="JVH42" s="214"/>
      <c r="JVI42" s="214"/>
      <c r="JVJ42" s="214"/>
      <c r="JVK42" s="214"/>
      <c r="JVL42" s="214"/>
      <c r="JVM42" s="214"/>
      <c r="JVN42" s="214"/>
      <c r="JVO42" s="214"/>
      <c r="JVP42" s="214"/>
      <c r="JVQ42" s="214"/>
      <c r="JVR42" s="214"/>
      <c r="JVS42" s="214"/>
      <c r="JVT42" s="214"/>
      <c r="JVU42" s="214"/>
      <c r="JVV42" s="214"/>
      <c r="JVW42" s="214"/>
      <c r="JVX42" s="214"/>
      <c r="JVY42" s="214"/>
      <c r="JVZ42" s="214"/>
      <c r="JWA42" s="214"/>
      <c r="JWB42" s="214"/>
      <c r="JWC42" s="214"/>
      <c r="JWD42" s="214"/>
      <c r="JWE42" s="214"/>
      <c r="JWF42" s="214"/>
      <c r="JWG42" s="214"/>
      <c r="JWH42" s="214"/>
      <c r="JWI42" s="214"/>
      <c r="JWJ42" s="214"/>
      <c r="JWK42" s="214"/>
      <c r="JWL42" s="214"/>
      <c r="JWM42" s="214"/>
      <c r="JWN42" s="214"/>
      <c r="JWO42" s="214"/>
      <c r="JWP42" s="214"/>
      <c r="JWQ42" s="214"/>
      <c r="JWR42" s="214"/>
      <c r="JWS42" s="214"/>
      <c r="JWT42" s="214"/>
      <c r="JWU42" s="214"/>
      <c r="JWV42" s="214"/>
      <c r="JWW42" s="214"/>
      <c r="JWX42" s="214"/>
      <c r="JWY42" s="214"/>
      <c r="JWZ42" s="214"/>
      <c r="JXA42" s="214"/>
      <c r="JXB42" s="214"/>
      <c r="JXC42" s="214"/>
      <c r="JXD42" s="214"/>
      <c r="JXE42" s="214"/>
      <c r="JXF42" s="214"/>
      <c r="JXG42" s="214"/>
      <c r="JXH42" s="214"/>
      <c r="JXI42" s="214"/>
      <c r="JXJ42" s="214"/>
      <c r="JXK42" s="214"/>
      <c r="JXL42" s="214"/>
      <c r="JXM42" s="214"/>
      <c r="JXN42" s="214"/>
      <c r="JXO42" s="214"/>
      <c r="JXP42" s="214"/>
      <c r="JXQ42" s="214"/>
      <c r="JXR42" s="214"/>
      <c r="JXS42" s="214"/>
      <c r="JXT42" s="214"/>
      <c r="JXU42" s="214"/>
      <c r="JXV42" s="214"/>
      <c r="JXW42" s="214"/>
      <c r="JXX42" s="214"/>
      <c r="JXY42" s="214"/>
      <c r="JXZ42" s="214"/>
      <c r="JYA42" s="214"/>
      <c r="JYB42" s="214"/>
      <c r="JYC42" s="214"/>
      <c r="JYD42" s="214"/>
      <c r="JYE42" s="214"/>
      <c r="JYF42" s="214"/>
      <c r="JYG42" s="214"/>
      <c r="JYH42" s="214"/>
      <c r="JYI42" s="214"/>
      <c r="JYJ42" s="214"/>
      <c r="JYK42" s="214"/>
      <c r="JYL42" s="214"/>
      <c r="JYM42" s="214"/>
      <c r="JYN42" s="214"/>
      <c r="JYO42" s="214"/>
      <c r="JYP42" s="214"/>
      <c r="JYQ42" s="214"/>
      <c r="JYR42" s="214"/>
      <c r="JYS42" s="214"/>
      <c r="JYT42" s="214"/>
      <c r="JYU42" s="214"/>
      <c r="JYV42" s="214"/>
      <c r="JYW42" s="214"/>
      <c r="JYX42" s="214"/>
      <c r="JYY42" s="214"/>
      <c r="JYZ42" s="214"/>
      <c r="JZA42" s="214"/>
      <c r="JZB42" s="214"/>
      <c r="JZC42" s="214"/>
      <c r="JZD42" s="214"/>
      <c r="JZE42" s="214"/>
      <c r="JZF42" s="214"/>
      <c r="JZG42" s="214"/>
      <c r="JZH42" s="214"/>
      <c r="JZI42" s="214"/>
      <c r="JZJ42" s="214"/>
      <c r="JZK42" s="214"/>
      <c r="JZL42" s="214"/>
      <c r="JZM42" s="214"/>
      <c r="JZN42" s="214"/>
      <c r="JZO42" s="214"/>
      <c r="JZP42" s="214"/>
      <c r="JZQ42" s="214"/>
      <c r="JZR42" s="214"/>
      <c r="JZS42" s="214"/>
      <c r="JZT42" s="214"/>
      <c r="JZU42" s="214"/>
      <c r="JZV42" s="214"/>
      <c r="JZW42" s="214"/>
      <c r="JZX42" s="214"/>
      <c r="JZY42" s="214"/>
      <c r="JZZ42" s="214"/>
      <c r="KAA42" s="214"/>
      <c r="KAB42" s="214"/>
      <c r="KAC42" s="214"/>
      <c r="KAD42" s="214"/>
      <c r="KAE42" s="214"/>
      <c r="KAF42" s="214"/>
      <c r="KAG42" s="214"/>
      <c r="KAH42" s="214"/>
      <c r="KAI42" s="214"/>
      <c r="KAJ42" s="214"/>
      <c r="KAK42" s="214"/>
      <c r="KAL42" s="214"/>
      <c r="KAM42" s="214"/>
      <c r="KAN42" s="214"/>
      <c r="KAO42" s="214"/>
      <c r="KAP42" s="214"/>
      <c r="KAQ42" s="214"/>
      <c r="KAR42" s="214"/>
      <c r="KAS42" s="214"/>
      <c r="KAT42" s="214"/>
      <c r="KAU42" s="214"/>
      <c r="KAV42" s="214"/>
      <c r="KAW42" s="214"/>
      <c r="KAX42" s="214"/>
      <c r="KAY42" s="214"/>
      <c r="KAZ42" s="214"/>
      <c r="KBA42" s="214"/>
      <c r="KBB42" s="214"/>
      <c r="KBC42" s="214"/>
      <c r="KBD42" s="214"/>
      <c r="KBE42" s="214"/>
      <c r="KBF42" s="214"/>
      <c r="KBG42" s="214"/>
      <c r="KBH42" s="214"/>
      <c r="KBI42" s="214"/>
      <c r="KBJ42" s="214"/>
      <c r="KBK42" s="214"/>
      <c r="KBL42" s="214"/>
      <c r="KBM42" s="214"/>
      <c r="KBN42" s="214"/>
      <c r="KBO42" s="214"/>
      <c r="KBP42" s="214"/>
      <c r="KBQ42" s="214"/>
      <c r="KBR42" s="214"/>
      <c r="KBS42" s="214"/>
      <c r="KBT42" s="214"/>
      <c r="KBU42" s="214"/>
      <c r="KBV42" s="214"/>
      <c r="KBW42" s="214"/>
      <c r="KBX42" s="214"/>
      <c r="KBY42" s="214"/>
      <c r="KBZ42" s="214"/>
      <c r="KCA42" s="214"/>
      <c r="KCB42" s="214"/>
      <c r="KCC42" s="214"/>
      <c r="KCD42" s="214"/>
      <c r="KCE42" s="214"/>
      <c r="KCF42" s="214"/>
      <c r="KCG42" s="214"/>
      <c r="KCH42" s="214"/>
      <c r="KCI42" s="214"/>
      <c r="KCJ42" s="214"/>
      <c r="KCK42" s="214"/>
      <c r="KCL42" s="214"/>
      <c r="KCM42" s="214"/>
      <c r="KCN42" s="214"/>
      <c r="KCO42" s="214"/>
      <c r="KCP42" s="214"/>
      <c r="KCQ42" s="214"/>
      <c r="KCR42" s="214"/>
      <c r="KCS42" s="214"/>
      <c r="KCT42" s="214"/>
      <c r="KCU42" s="214"/>
      <c r="KCV42" s="214"/>
      <c r="KCW42" s="214"/>
      <c r="KCX42" s="214"/>
      <c r="KCY42" s="214"/>
      <c r="KCZ42" s="214"/>
      <c r="KDA42" s="214"/>
      <c r="KDB42" s="214"/>
      <c r="KDC42" s="214"/>
      <c r="KDD42" s="214"/>
      <c r="KDE42" s="214"/>
      <c r="KDF42" s="214"/>
      <c r="KDG42" s="214"/>
      <c r="KDH42" s="214"/>
      <c r="KDI42" s="214"/>
      <c r="KDJ42" s="214"/>
      <c r="KDK42" s="214"/>
      <c r="KDL42" s="214"/>
      <c r="KDM42" s="214"/>
      <c r="KDN42" s="214"/>
      <c r="KDO42" s="214"/>
      <c r="KDP42" s="214"/>
      <c r="KDQ42" s="214"/>
      <c r="KDR42" s="214"/>
      <c r="KDS42" s="214"/>
      <c r="KDT42" s="214"/>
      <c r="KDU42" s="214"/>
      <c r="KDV42" s="214"/>
      <c r="KDW42" s="214"/>
      <c r="KDX42" s="214"/>
      <c r="KDY42" s="214"/>
      <c r="KDZ42" s="214"/>
      <c r="KEA42" s="214"/>
      <c r="KEB42" s="214"/>
      <c r="KEC42" s="214"/>
      <c r="KED42" s="214"/>
      <c r="KEE42" s="214"/>
      <c r="KEF42" s="214"/>
      <c r="KEG42" s="214"/>
      <c r="KEH42" s="214"/>
      <c r="KEI42" s="214"/>
      <c r="KEJ42" s="214"/>
      <c r="KEK42" s="214"/>
      <c r="KEL42" s="214"/>
      <c r="KEM42" s="214"/>
      <c r="KEN42" s="214"/>
      <c r="KEO42" s="214"/>
      <c r="KEP42" s="214"/>
      <c r="KEQ42" s="214"/>
      <c r="KER42" s="214"/>
      <c r="KES42" s="214"/>
      <c r="KET42" s="214"/>
      <c r="KEU42" s="214"/>
      <c r="KEV42" s="214"/>
      <c r="KEW42" s="214"/>
      <c r="KEX42" s="214"/>
      <c r="KEY42" s="214"/>
      <c r="KEZ42" s="214"/>
      <c r="KFA42" s="214"/>
      <c r="KFB42" s="214"/>
      <c r="KFC42" s="214"/>
      <c r="KFD42" s="214"/>
      <c r="KFE42" s="214"/>
      <c r="KFF42" s="214"/>
      <c r="KFG42" s="214"/>
      <c r="KFH42" s="214"/>
      <c r="KFI42" s="214"/>
      <c r="KFJ42" s="214"/>
      <c r="KFK42" s="214"/>
      <c r="KFL42" s="214"/>
      <c r="KFM42" s="214"/>
      <c r="KFN42" s="214"/>
      <c r="KFO42" s="214"/>
      <c r="KFP42" s="214"/>
      <c r="KFQ42" s="214"/>
      <c r="KFR42" s="214"/>
      <c r="KFS42" s="214"/>
      <c r="KFT42" s="214"/>
      <c r="KFU42" s="214"/>
      <c r="KFV42" s="214"/>
      <c r="KFW42" s="214"/>
      <c r="KFX42" s="214"/>
      <c r="KFY42" s="214"/>
      <c r="KFZ42" s="214"/>
      <c r="KGA42" s="214"/>
      <c r="KGB42" s="214"/>
      <c r="KGC42" s="214"/>
      <c r="KGD42" s="214"/>
      <c r="KGE42" s="214"/>
      <c r="KGF42" s="214"/>
      <c r="KGG42" s="214"/>
      <c r="KGH42" s="214"/>
      <c r="KGI42" s="214"/>
      <c r="KGJ42" s="214"/>
      <c r="KGK42" s="214"/>
      <c r="KGL42" s="214"/>
      <c r="KGM42" s="214"/>
      <c r="KGN42" s="214"/>
      <c r="KGO42" s="214"/>
      <c r="KGP42" s="214"/>
      <c r="KGQ42" s="214"/>
      <c r="KGR42" s="214"/>
      <c r="KGS42" s="214"/>
      <c r="KGT42" s="214"/>
      <c r="KGU42" s="214"/>
      <c r="KGV42" s="214"/>
      <c r="KGW42" s="214"/>
      <c r="KGX42" s="214"/>
      <c r="KGY42" s="214"/>
      <c r="KGZ42" s="214"/>
      <c r="KHA42" s="214"/>
      <c r="KHB42" s="214"/>
      <c r="KHC42" s="214"/>
      <c r="KHD42" s="214"/>
      <c r="KHE42" s="214"/>
      <c r="KHF42" s="214"/>
      <c r="KHG42" s="214"/>
      <c r="KHH42" s="214"/>
      <c r="KHI42" s="214"/>
      <c r="KHJ42" s="214"/>
      <c r="KHK42" s="214"/>
      <c r="KHL42" s="214"/>
      <c r="KHM42" s="214"/>
      <c r="KHN42" s="214"/>
      <c r="KHO42" s="214"/>
      <c r="KHP42" s="214"/>
      <c r="KHQ42" s="214"/>
      <c r="KHR42" s="214"/>
      <c r="KHS42" s="214"/>
      <c r="KHT42" s="214"/>
      <c r="KHU42" s="214"/>
      <c r="KHV42" s="214"/>
      <c r="KHW42" s="214"/>
      <c r="KHX42" s="214"/>
      <c r="KHY42" s="214"/>
      <c r="KHZ42" s="214"/>
      <c r="KIA42" s="214"/>
      <c r="KIB42" s="214"/>
      <c r="KIC42" s="214"/>
      <c r="KID42" s="214"/>
      <c r="KIE42" s="214"/>
      <c r="KIF42" s="214"/>
      <c r="KIG42" s="214"/>
      <c r="KIH42" s="214"/>
      <c r="KII42" s="214"/>
      <c r="KIJ42" s="214"/>
      <c r="KIK42" s="214"/>
      <c r="KIL42" s="214"/>
      <c r="KIM42" s="214"/>
      <c r="KIN42" s="214"/>
      <c r="KIO42" s="214"/>
      <c r="KIP42" s="214"/>
      <c r="KIQ42" s="214"/>
      <c r="KIR42" s="214"/>
      <c r="KIS42" s="214"/>
      <c r="KIT42" s="214"/>
      <c r="KIU42" s="214"/>
      <c r="KIV42" s="214"/>
      <c r="KIW42" s="214"/>
      <c r="KIX42" s="214"/>
      <c r="KIY42" s="214"/>
      <c r="KIZ42" s="214"/>
      <c r="KJA42" s="214"/>
      <c r="KJB42" s="214"/>
      <c r="KJC42" s="214"/>
      <c r="KJD42" s="214"/>
      <c r="KJE42" s="214"/>
      <c r="KJF42" s="214"/>
      <c r="KJG42" s="214"/>
      <c r="KJH42" s="214"/>
      <c r="KJI42" s="214"/>
      <c r="KJJ42" s="214"/>
      <c r="KJK42" s="214"/>
      <c r="KJL42" s="214"/>
      <c r="KJM42" s="214"/>
      <c r="KJN42" s="214"/>
      <c r="KJO42" s="214"/>
      <c r="KJP42" s="214"/>
      <c r="KJQ42" s="214"/>
      <c r="KJR42" s="214"/>
      <c r="KJS42" s="214"/>
      <c r="KJT42" s="214"/>
      <c r="KJU42" s="214"/>
      <c r="KJV42" s="214"/>
      <c r="KJW42" s="214"/>
      <c r="KJX42" s="214"/>
      <c r="KJY42" s="214"/>
      <c r="KJZ42" s="214"/>
      <c r="KKA42" s="214"/>
      <c r="KKB42" s="214"/>
      <c r="KKC42" s="214"/>
      <c r="KKD42" s="214"/>
      <c r="KKE42" s="214"/>
      <c r="KKF42" s="214"/>
      <c r="KKG42" s="214"/>
      <c r="KKH42" s="214"/>
      <c r="KKI42" s="214"/>
      <c r="KKJ42" s="214"/>
      <c r="KKK42" s="214"/>
      <c r="KKL42" s="214"/>
      <c r="KKM42" s="214"/>
      <c r="KKN42" s="214"/>
      <c r="KKO42" s="214"/>
      <c r="KKP42" s="214"/>
      <c r="KKQ42" s="214"/>
      <c r="KKR42" s="214"/>
      <c r="KKS42" s="214"/>
      <c r="KKT42" s="214"/>
      <c r="KKU42" s="214"/>
      <c r="KKV42" s="214"/>
      <c r="KKW42" s="214"/>
      <c r="KKX42" s="214"/>
      <c r="KKY42" s="214"/>
      <c r="KKZ42" s="214"/>
      <c r="KLA42" s="214"/>
      <c r="KLB42" s="214"/>
      <c r="KLC42" s="214"/>
      <c r="KLD42" s="214"/>
      <c r="KLE42" s="214"/>
      <c r="KLF42" s="214"/>
      <c r="KLG42" s="214"/>
      <c r="KLH42" s="214"/>
      <c r="KLI42" s="214"/>
      <c r="KLJ42" s="214"/>
      <c r="KLK42" s="214"/>
      <c r="KLL42" s="214"/>
      <c r="KLM42" s="214"/>
      <c r="KLN42" s="214"/>
      <c r="KLO42" s="214"/>
      <c r="KLP42" s="214"/>
      <c r="KLQ42" s="214"/>
      <c r="KLR42" s="214"/>
      <c r="KLS42" s="214"/>
      <c r="KLT42" s="214"/>
      <c r="KLU42" s="214"/>
      <c r="KLV42" s="214"/>
      <c r="KLW42" s="214"/>
      <c r="KLX42" s="214"/>
      <c r="KLY42" s="214"/>
      <c r="KLZ42" s="214"/>
      <c r="KMA42" s="214"/>
      <c r="KMB42" s="214"/>
      <c r="KMC42" s="214"/>
      <c r="KMD42" s="214"/>
      <c r="KME42" s="214"/>
      <c r="KMF42" s="214"/>
      <c r="KMG42" s="214"/>
      <c r="KMH42" s="214"/>
      <c r="KMI42" s="214"/>
      <c r="KMJ42" s="214"/>
      <c r="KMK42" s="214"/>
      <c r="KML42" s="214"/>
      <c r="KMM42" s="214"/>
      <c r="KMN42" s="214"/>
      <c r="KMO42" s="214"/>
      <c r="KMP42" s="214"/>
      <c r="KMQ42" s="214"/>
      <c r="KMR42" s="214"/>
      <c r="KMS42" s="214"/>
      <c r="KMT42" s="214"/>
      <c r="KMU42" s="214"/>
      <c r="KMV42" s="214"/>
      <c r="KMW42" s="214"/>
      <c r="KMX42" s="214"/>
      <c r="KMY42" s="214"/>
      <c r="KMZ42" s="214"/>
      <c r="KNA42" s="214"/>
      <c r="KNB42" s="214"/>
      <c r="KNC42" s="214"/>
      <c r="KND42" s="214"/>
      <c r="KNE42" s="214"/>
      <c r="KNF42" s="214"/>
      <c r="KNG42" s="214"/>
      <c r="KNH42" s="214"/>
      <c r="KNI42" s="214"/>
      <c r="KNJ42" s="214"/>
      <c r="KNK42" s="214"/>
      <c r="KNL42" s="214"/>
      <c r="KNM42" s="214"/>
      <c r="KNN42" s="214"/>
      <c r="KNO42" s="214"/>
      <c r="KNP42" s="214"/>
      <c r="KNQ42" s="214"/>
      <c r="KNR42" s="214"/>
      <c r="KNS42" s="214"/>
      <c r="KNT42" s="214"/>
      <c r="KNU42" s="214"/>
      <c r="KNV42" s="214"/>
      <c r="KNW42" s="214"/>
      <c r="KNX42" s="214"/>
      <c r="KNY42" s="214"/>
      <c r="KNZ42" s="214"/>
      <c r="KOA42" s="214"/>
      <c r="KOB42" s="214"/>
      <c r="KOC42" s="214"/>
      <c r="KOD42" s="214"/>
      <c r="KOE42" s="214"/>
      <c r="KOF42" s="214"/>
      <c r="KOG42" s="214"/>
      <c r="KOH42" s="214"/>
      <c r="KOI42" s="214"/>
      <c r="KOJ42" s="214"/>
      <c r="KOK42" s="214"/>
      <c r="KOL42" s="214"/>
      <c r="KOM42" s="214"/>
      <c r="KON42" s="214"/>
      <c r="KOO42" s="214"/>
      <c r="KOP42" s="214"/>
      <c r="KOQ42" s="214"/>
      <c r="KOR42" s="214"/>
      <c r="KOS42" s="214"/>
      <c r="KOT42" s="214"/>
      <c r="KOU42" s="214"/>
      <c r="KOV42" s="214"/>
      <c r="KOW42" s="214"/>
      <c r="KOX42" s="214"/>
      <c r="KOY42" s="214"/>
      <c r="KOZ42" s="214"/>
      <c r="KPA42" s="214"/>
      <c r="KPB42" s="214"/>
      <c r="KPC42" s="214"/>
      <c r="KPD42" s="214"/>
      <c r="KPE42" s="214"/>
      <c r="KPF42" s="214"/>
      <c r="KPG42" s="214"/>
      <c r="KPH42" s="214"/>
      <c r="KPI42" s="214"/>
      <c r="KPJ42" s="214"/>
      <c r="KPK42" s="214"/>
      <c r="KPL42" s="214"/>
      <c r="KPM42" s="214"/>
      <c r="KPN42" s="214"/>
      <c r="KPO42" s="214"/>
      <c r="KPP42" s="214"/>
      <c r="KPQ42" s="214"/>
      <c r="KPR42" s="214"/>
      <c r="KPS42" s="214"/>
      <c r="KPT42" s="214"/>
      <c r="KPU42" s="214"/>
      <c r="KPV42" s="214"/>
      <c r="KPW42" s="214"/>
      <c r="KPX42" s="214"/>
      <c r="KPY42" s="214"/>
      <c r="KPZ42" s="214"/>
      <c r="KQA42" s="214"/>
      <c r="KQB42" s="214"/>
      <c r="KQC42" s="214"/>
      <c r="KQD42" s="214"/>
      <c r="KQE42" s="214"/>
      <c r="KQF42" s="214"/>
      <c r="KQG42" s="214"/>
      <c r="KQH42" s="214"/>
      <c r="KQI42" s="214"/>
      <c r="KQJ42" s="214"/>
      <c r="KQK42" s="214"/>
      <c r="KQL42" s="214"/>
      <c r="KQM42" s="214"/>
      <c r="KQN42" s="214"/>
      <c r="KQO42" s="214"/>
      <c r="KQP42" s="214"/>
      <c r="KQQ42" s="214"/>
      <c r="KQR42" s="214"/>
      <c r="KQS42" s="214"/>
      <c r="KQT42" s="214"/>
      <c r="KQU42" s="214"/>
      <c r="KQV42" s="214"/>
      <c r="KQW42" s="214"/>
      <c r="KQX42" s="214"/>
      <c r="KQY42" s="214"/>
      <c r="KQZ42" s="214"/>
      <c r="KRA42" s="214"/>
      <c r="KRB42" s="214"/>
      <c r="KRC42" s="214"/>
      <c r="KRD42" s="214"/>
      <c r="KRE42" s="214"/>
      <c r="KRF42" s="214"/>
      <c r="KRG42" s="214"/>
      <c r="KRH42" s="214"/>
      <c r="KRI42" s="214"/>
      <c r="KRJ42" s="214"/>
      <c r="KRK42" s="214"/>
      <c r="KRL42" s="214"/>
      <c r="KRM42" s="214"/>
      <c r="KRN42" s="214"/>
      <c r="KRO42" s="214"/>
      <c r="KRP42" s="214"/>
      <c r="KRQ42" s="214"/>
      <c r="KRR42" s="214"/>
      <c r="KRS42" s="214"/>
      <c r="KRT42" s="214"/>
      <c r="KRU42" s="214"/>
      <c r="KRV42" s="214"/>
      <c r="KRW42" s="214"/>
      <c r="KRX42" s="214"/>
      <c r="KRY42" s="214"/>
      <c r="KRZ42" s="214"/>
      <c r="KSA42" s="214"/>
      <c r="KSB42" s="214"/>
      <c r="KSC42" s="214"/>
      <c r="KSD42" s="214"/>
      <c r="KSE42" s="214"/>
      <c r="KSF42" s="214"/>
      <c r="KSG42" s="214"/>
      <c r="KSH42" s="214"/>
      <c r="KSI42" s="214"/>
      <c r="KSJ42" s="214"/>
      <c r="KSK42" s="214"/>
      <c r="KSL42" s="214"/>
      <c r="KSM42" s="214"/>
      <c r="KSN42" s="214"/>
      <c r="KSO42" s="214"/>
      <c r="KSP42" s="214"/>
      <c r="KSQ42" s="214"/>
      <c r="KSR42" s="214"/>
      <c r="KSS42" s="214"/>
      <c r="KST42" s="214"/>
      <c r="KSU42" s="214"/>
      <c r="KSV42" s="214"/>
      <c r="KSW42" s="214"/>
      <c r="KSX42" s="214"/>
      <c r="KSY42" s="214"/>
      <c r="KSZ42" s="214"/>
      <c r="KTA42" s="214"/>
      <c r="KTB42" s="214"/>
      <c r="KTC42" s="214"/>
      <c r="KTD42" s="214"/>
      <c r="KTE42" s="214"/>
      <c r="KTF42" s="214"/>
      <c r="KTG42" s="214"/>
      <c r="KTH42" s="214"/>
      <c r="KTI42" s="214"/>
      <c r="KTJ42" s="214"/>
      <c r="KTK42" s="214"/>
      <c r="KTL42" s="214"/>
      <c r="KTM42" s="214"/>
      <c r="KTN42" s="214"/>
      <c r="KTO42" s="214"/>
      <c r="KTP42" s="214"/>
      <c r="KTQ42" s="214"/>
      <c r="KTR42" s="214"/>
      <c r="KTS42" s="214"/>
      <c r="KTT42" s="214"/>
      <c r="KTU42" s="214"/>
      <c r="KTV42" s="214"/>
      <c r="KTW42" s="214"/>
      <c r="KTX42" s="214"/>
      <c r="KTY42" s="214"/>
      <c r="KTZ42" s="214"/>
      <c r="KUA42" s="214"/>
      <c r="KUB42" s="214"/>
      <c r="KUC42" s="214"/>
      <c r="KUD42" s="214"/>
      <c r="KUE42" s="214"/>
      <c r="KUF42" s="214"/>
      <c r="KUG42" s="214"/>
      <c r="KUH42" s="214"/>
      <c r="KUI42" s="214"/>
      <c r="KUJ42" s="214"/>
      <c r="KUK42" s="214"/>
      <c r="KUL42" s="214"/>
      <c r="KUM42" s="214"/>
      <c r="KUN42" s="214"/>
      <c r="KUO42" s="214"/>
      <c r="KUP42" s="214"/>
      <c r="KUQ42" s="214"/>
      <c r="KUR42" s="214"/>
      <c r="KUS42" s="214"/>
      <c r="KUT42" s="214"/>
      <c r="KUU42" s="214"/>
      <c r="KUV42" s="214"/>
      <c r="KUW42" s="214"/>
      <c r="KUX42" s="214"/>
      <c r="KUY42" s="214"/>
      <c r="KUZ42" s="214"/>
      <c r="KVA42" s="214"/>
      <c r="KVB42" s="214"/>
      <c r="KVC42" s="214"/>
      <c r="KVD42" s="214"/>
      <c r="KVE42" s="214"/>
      <c r="KVF42" s="214"/>
      <c r="KVG42" s="214"/>
      <c r="KVH42" s="214"/>
      <c r="KVI42" s="214"/>
      <c r="KVJ42" s="214"/>
      <c r="KVK42" s="214"/>
      <c r="KVL42" s="214"/>
      <c r="KVM42" s="214"/>
      <c r="KVN42" s="214"/>
      <c r="KVO42" s="214"/>
      <c r="KVP42" s="214"/>
      <c r="KVQ42" s="214"/>
      <c r="KVR42" s="214"/>
      <c r="KVS42" s="214"/>
      <c r="KVT42" s="214"/>
      <c r="KVU42" s="214"/>
      <c r="KVV42" s="214"/>
      <c r="KVW42" s="214"/>
      <c r="KVX42" s="214"/>
      <c r="KVY42" s="214"/>
      <c r="KVZ42" s="214"/>
      <c r="KWA42" s="214"/>
      <c r="KWB42" s="214"/>
      <c r="KWC42" s="214"/>
      <c r="KWD42" s="214"/>
      <c r="KWE42" s="214"/>
      <c r="KWF42" s="214"/>
      <c r="KWG42" s="214"/>
      <c r="KWH42" s="214"/>
      <c r="KWI42" s="214"/>
      <c r="KWJ42" s="214"/>
      <c r="KWK42" s="214"/>
      <c r="KWL42" s="214"/>
      <c r="KWM42" s="214"/>
      <c r="KWN42" s="214"/>
      <c r="KWO42" s="214"/>
      <c r="KWP42" s="214"/>
      <c r="KWQ42" s="214"/>
      <c r="KWR42" s="214"/>
      <c r="KWS42" s="214"/>
      <c r="KWT42" s="214"/>
      <c r="KWU42" s="214"/>
      <c r="KWV42" s="214"/>
      <c r="KWW42" s="214"/>
      <c r="KWX42" s="214"/>
      <c r="KWY42" s="214"/>
      <c r="KWZ42" s="214"/>
      <c r="KXA42" s="214"/>
      <c r="KXB42" s="214"/>
      <c r="KXC42" s="214"/>
      <c r="KXD42" s="214"/>
      <c r="KXE42" s="214"/>
      <c r="KXF42" s="214"/>
      <c r="KXG42" s="214"/>
      <c r="KXH42" s="214"/>
      <c r="KXI42" s="214"/>
      <c r="KXJ42" s="214"/>
      <c r="KXK42" s="214"/>
      <c r="KXL42" s="214"/>
      <c r="KXM42" s="214"/>
      <c r="KXN42" s="214"/>
      <c r="KXO42" s="214"/>
      <c r="KXP42" s="214"/>
      <c r="KXQ42" s="214"/>
      <c r="KXR42" s="214"/>
      <c r="KXS42" s="214"/>
      <c r="KXT42" s="214"/>
      <c r="KXU42" s="214"/>
      <c r="KXV42" s="214"/>
      <c r="KXW42" s="214"/>
      <c r="KXX42" s="214"/>
      <c r="KXY42" s="214"/>
      <c r="KXZ42" s="214"/>
      <c r="KYA42" s="214"/>
      <c r="KYB42" s="214"/>
      <c r="KYC42" s="214"/>
      <c r="KYD42" s="214"/>
      <c r="KYE42" s="214"/>
      <c r="KYF42" s="214"/>
      <c r="KYG42" s="214"/>
      <c r="KYH42" s="214"/>
      <c r="KYI42" s="214"/>
      <c r="KYJ42" s="214"/>
      <c r="KYK42" s="214"/>
      <c r="KYL42" s="214"/>
      <c r="KYM42" s="214"/>
      <c r="KYN42" s="214"/>
      <c r="KYO42" s="214"/>
      <c r="KYP42" s="214"/>
      <c r="KYQ42" s="214"/>
      <c r="KYR42" s="214"/>
      <c r="KYS42" s="214"/>
      <c r="KYT42" s="214"/>
      <c r="KYU42" s="214"/>
      <c r="KYV42" s="214"/>
      <c r="KYW42" s="214"/>
      <c r="KYX42" s="214"/>
      <c r="KYY42" s="214"/>
      <c r="KYZ42" s="214"/>
      <c r="KZA42" s="214"/>
      <c r="KZB42" s="214"/>
      <c r="KZC42" s="214"/>
      <c r="KZD42" s="214"/>
      <c r="KZE42" s="214"/>
      <c r="KZF42" s="214"/>
      <c r="KZG42" s="214"/>
      <c r="KZH42" s="214"/>
      <c r="KZI42" s="214"/>
      <c r="KZJ42" s="214"/>
      <c r="KZK42" s="214"/>
      <c r="KZL42" s="214"/>
      <c r="KZM42" s="214"/>
      <c r="KZN42" s="214"/>
      <c r="KZO42" s="214"/>
      <c r="KZP42" s="214"/>
      <c r="KZQ42" s="214"/>
      <c r="KZR42" s="214"/>
      <c r="KZS42" s="214"/>
      <c r="KZT42" s="214"/>
      <c r="KZU42" s="214"/>
      <c r="KZV42" s="214"/>
      <c r="KZW42" s="214"/>
      <c r="KZX42" s="214"/>
      <c r="KZY42" s="214"/>
      <c r="KZZ42" s="214"/>
      <c r="LAA42" s="214"/>
      <c r="LAB42" s="214"/>
      <c r="LAC42" s="214"/>
      <c r="LAD42" s="214"/>
      <c r="LAE42" s="214"/>
      <c r="LAF42" s="214"/>
      <c r="LAG42" s="214"/>
      <c r="LAH42" s="214"/>
      <c r="LAI42" s="214"/>
      <c r="LAJ42" s="214"/>
      <c r="LAK42" s="214"/>
      <c r="LAL42" s="214"/>
      <c r="LAM42" s="214"/>
      <c r="LAN42" s="214"/>
      <c r="LAO42" s="214"/>
      <c r="LAP42" s="214"/>
      <c r="LAQ42" s="214"/>
      <c r="LAR42" s="214"/>
      <c r="LAS42" s="214"/>
      <c r="LAT42" s="214"/>
      <c r="LAU42" s="214"/>
      <c r="LAV42" s="214"/>
      <c r="LAW42" s="214"/>
      <c r="LAX42" s="214"/>
      <c r="LAY42" s="214"/>
      <c r="LAZ42" s="214"/>
      <c r="LBA42" s="214"/>
      <c r="LBB42" s="214"/>
      <c r="LBC42" s="214"/>
      <c r="LBD42" s="214"/>
      <c r="LBE42" s="214"/>
      <c r="LBF42" s="214"/>
      <c r="LBG42" s="214"/>
      <c r="LBH42" s="214"/>
      <c r="LBI42" s="214"/>
      <c r="LBJ42" s="214"/>
      <c r="LBK42" s="214"/>
      <c r="LBL42" s="214"/>
      <c r="LBM42" s="214"/>
      <c r="LBN42" s="214"/>
      <c r="LBO42" s="214"/>
      <c r="LBP42" s="214"/>
      <c r="LBQ42" s="214"/>
      <c r="LBR42" s="214"/>
      <c r="LBS42" s="214"/>
      <c r="LBT42" s="214"/>
      <c r="LBU42" s="214"/>
      <c r="LBV42" s="214"/>
      <c r="LBW42" s="214"/>
      <c r="LBX42" s="214"/>
      <c r="LBY42" s="214"/>
      <c r="LBZ42" s="214"/>
      <c r="LCA42" s="214"/>
      <c r="LCB42" s="214"/>
      <c r="LCC42" s="214"/>
      <c r="LCD42" s="214"/>
      <c r="LCE42" s="214"/>
      <c r="LCF42" s="214"/>
      <c r="LCG42" s="214"/>
      <c r="LCH42" s="214"/>
      <c r="LCI42" s="214"/>
      <c r="LCJ42" s="214"/>
      <c r="LCK42" s="214"/>
      <c r="LCL42" s="214"/>
      <c r="LCM42" s="214"/>
      <c r="LCN42" s="214"/>
      <c r="LCO42" s="214"/>
      <c r="LCP42" s="214"/>
      <c r="LCQ42" s="214"/>
      <c r="LCR42" s="214"/>
      <c r="LCS42" s="214"/>
      <c r="LCT42" s="214"/>
      <c r="LCU42" s="214"/>
      <c r="LCV42" s="214"/>
      <c r="LCW42" s="214"/>
      <c r="LCX42" s="214"/>
      <c r="LCY42" s="214"/>
      <c r="LCZ42" s="214"/>
      <c r="LDA42" s="214"/>
      <c r="LDB42" s="214"/>
      <c r="LDC42" s="214"/>
      <c r="LDD42" s="214"/>
      <c r="LDE42" s="214"/>
      <c r="LDF42" s="214"/>
      <c r="LDG42" s="214"/>
      <c r="LDH42" s="214"/>
      <c r="LDI42" s="214"/>
      <c r="LDJ42" s="214"/>
      <c r="LDK42" s="214"/>
      <c r="LDL42" s="214"/>
      <c r="LDM42" s="214"/>
      <c r="LDN42" s="214"/>
      <c r="LDO42" s="214"/>
      <c r="LDP42" s="214"/>
      <c r="LDQ42" s="214"/>
      <c r="LDR42" s="214"/>
      <c r="LDS42" s="214"/>
      <c r="LDT42" s="214"/>
      <c r="LDU42" s="214"/>
      <c r="LDV42" s="214"/>
      <c r="LDW42" s="214"/>
      <c r="LDX42" s="214"/>
      <c r="LDY42" s="214"/>
      <c r="LDZ42" s="214"/>
      <c r="LEA42" s="214"/>
      <c r="LEB42" s="214"/>
      <c r="LEC42" s="214"/>
      <c r="LED42" s="214"/>
      <c r="LEE42" s="214"/>
      <c r="LEF42" s="214"/>
      <c r="LEG42" s="214"/>
      <c r="LEH42" s="214"/>
      <c r="LEI42" s="214"/>
      <c r="LEJ42" s="214"/>
      <c r="LEK42" s="214"/>
      <c r="LEL42" s="214"/>
      <c r="LEM42" s="214"/>
      <c r="LEN42" s="214"/>
      <c r="LEO42" s="214"/>
      <c r="LEP42" s="214"/>
      <c r="LEQ42" s="214"/>
      <c r="LER42" s="214"/>
      <c r="LES42" s="214"/>
      <c r="LET42" s="214"/>
      <c r="LEU42" s="214"/>
      <c r="LEV42" s="214"/>
      <c r="LEW42" s="214"/>
      <c r="LEX42" s="214"/>
      <c r="LEY42" s="214"/>
      <c r="LEZ42" s="214"/>
      <c r="LFA42" s="214"/>
      <c r="LFB42" s="214"/>
      <c r="LFC42" s="214"/>
      <c r="LFD42" s="214"/>
      <c r="LFE42" s="214"/>
      <c r="LFF42" s="214"/>
      <c r="LFG42" s="214"/>
      <c r="LFH42" s="214"/>
      <c r="LFI42" s="214"/>
      <c r="LFJ42" s="214"/>
      <c r="LFK42" s="214"/>
      <c r="LFL42" s="214"/>
      <c r="LFM42" s="214"/>
      <c r="LFN42" s="214"/>
      <c r="LFO42" s="214"/>
      <c r="LFP42" s="214"/>
      <c r="LFQ42" s="214"/>
      <c r="LFR42" s="214"/>
      <c r="LFS42" s="214"/>
      <c r="LFT42" s="214"/>
      <c r="LFU42" s="214"/>
      <c r="LFV42" s="214"/>
      <c r="LFW42" s="214"/>
      <c r="LFX42" s="214"/>
      <c r="LFY42" s="214"/>
      <c r="LFZ42" s="214"/>
      <c r="LGA42" s="214"/>
      <c r="LGB42" s="214"/>
      <c r="LGC42" s="214"/>
      <c r="LGD42" s="214"/>
      <c r="LGE42" s="214"/>
      <c r="LGF42" s="214"/>
      <c r="LGG42" s="214"/>
      <c r="LGH42" s="214"/>
      <c r="LGI42" s="214"/>
      <c r="LGJ42" s="214"/>
      <c r="LGK42" s="214"/>
      <c r="LGL42" s="214"/>
      <c r="LGM42" s="214"/>
      <c r="LGN42" s="214"/>
      <c r="LGO42" s="214"/>
      <c r="LGP42" s="214"/>
      <c r="LGQ42" s="214"/>
      <c r="LGR42" s="214"/>
      <c r="LGS42" s="214"/>
      <c r="LGT42" s="214"/>
      <c r="LGU42" s="214"/>
      <c r="LGV42" s="214"/>
      <c r="LGW42" s="214"/>
      <c r="LGX42" s="214"/>
      <c r="LGY42" s="214"/>
      <c r="LGZ42" s="214"/>
      <c r="LHA42" s="214"/>
      <c r="LHB42" s="214"/>
      <c r="LHC42" s="214"/>
      <c r="LHD42" s="214"/>
      <c r="LHE42" s="214"/>
      <c r="LHF42" s="214"/>
      <c r="LHG42" s="214"/>
      <c r="LHH42" s="214"/>
      <c r="LHI42" s="214"/>
      <c r="LHJ42" s="214"/>
      <c r="LHK42" s="214"/>
      <c r="LHL42" s="214"/>
      <c r="LHM42" s="214"/>
      <c r="LHN42" s="214"/>
      <c r="LHO42" s="214"/>
      <c r="LHP42" s="214"/>
      <c r="LHQ42" s="214"/>
      <c r="LHR42" s="214"/>
      <c r="LHS42" s="214"/>
      <c r="LHT42" s="214"/>
      <c r="LHU42" s="214"/>
      <c r="LHV42" s="214"/>
      <c r="LHW42" s="214"/>
      <c r="LHX42" s="214"/>
      <c r="LHY42" s="214"/>
      <c r="LHZ42" s="214"/>
      <c r="LIA42" s="214"/>
      <c r="LIB42" s="214"/>
      <c r="LIC42" s="214"/>
      <c r="LID42" s="214"/>
      <c r="LIE42" s="214"/>
      <c r="LIF42" s="214"/>
      <c r="LIG42" s="214"/>
      <c r="LIH42" s="214"/>
      <c r="LII42" s="214"/>
      <c r="LIJ42" s="214"/>
      <c r="LIK42" s="214"/>
      <c r="LIL42" s="214"/>
      <c r="LIM42" s="214"/>
      <c r="LIN42" s="214"/>
      <c r="LIO42" s="214"/>
      <c r="LIP42" s="214"/>
      <c r="LIQ42" s="214"/>
      <c r="LIR42" s="214"/>
      <c r="LIS42" s="214"/>
      <c r="LIT42" s="214"/>
      <c r="LIU42" s="214"/>
      <c r="LIV42" s="214"/>
      <c r="LIW42" s="214"/>
      <c r="LIX42" s="214"/>
      <c r="LIY42" s="214"/>
      <c r="LIZ42" s="214"/>
      <c r="LJA42" s="214"/>
      <c r="LJB42" s="214"/>
      <c r="LJC42" s="214"/>
      <c r="LJD42" s="214"/>
      <c r="LJE42" s="214"/>
      <c r="LJF42" s="214"/>
      <c r="LJG42" s="214"/>
      <c r="LJH42" s="214"/>
      <c r="LJI42" s="214"/>
      <c r="LJJ42" s="214"/>
      <c r="LJK42" s="214"/>
      <c r="LJL42" s="214"/>
      <c r="LJM42" s="214"/>
      <c r="LJN42" s="214"/>
      <c r="LJO42" s="214"/>
      <c r="LJP42" s="214"/>
      <c r="LJQ42" s="214"/>
      <c r="LJR42" s="214"/>
      <c r="LJS42" s="214"/>
      <c r="LJT42" s="214"/>
      <c r="LJU42" s="214"/>
      <c r="LJV42" s="214"/>
      <c r="LJW42" s="214"/>
      <c r="LJX42" s="214"/>
      <c r="LJY42" s="214"/>
      <c r="LJZ42" s="214"/>
      <c r="LKA42" s="214"/>
      <c r="LKB42" s="214"/>
      <c r="LKC42" s="214"/>
      <c r="LKD42" s="214"/>
      <c r="LKE42" s="214"/>
      <c r="LKF42" s="214"/>
      <c r="LKG42" s="214"/>
      <c r="LKH42" s="214"/>
      <c r="LKI42" s="214"/>
      <c r="LKJ42" s="214"/>
      <c r="LKK42" s="214"/>
      <c r="LKL42" s="214"/>
      <c r="LKM42" s="214"/>
      <c r="LKN42" s="214"/>
      <c r="LKO42" s="214"/>
      <c r="LKP42" s="214"/>
      <c r="LKQ42" s="214"/>
      <c r="LKR42" s="214"/>
      <c r="LKS42" s="214"/>
      <c r="LKT42" s="214"/>
      <c r="LKU42" s="214"/>
      <c r="LKV42" s="214"/>
      <c r="LKW42" s="214"/>
      <c r="LKX42" s="214"/>
      <c r="LKY42" s="214"/>
      <c r="LKZ42" s="214"/>
      <c r="LLA42" s="214"/>
      <c r="LLB42" s="214"/>
      <c r="LLC42" s="214"/>
      <c r="LLD42" s="214"/>
      <c r="LLE42" s="214"/>
      <c r="LLF42" s="214"/>
      <c r="LLG42" s="214"/>
      <c r="LLH42" s="214"/>
      <c r="LLI42" s="214"/>
      <c r="LLJ42" s="214"/>
      <c r="LLK42" s="214"/>
      <c r="LLL42" s="214"/>
      <c r="LLM42" s="214"/>
      <c r="LLN42" s="214"/>
      <c r="LLO42" s="214"/>
      <c r="LLP42" s="214"/>
      <c r="LLQ42" s="214"/>
      <c r="LLR42" s="214"/>
      <c r="LLS42" s="214"/>
      <c r="LLT42" s="214"/>
      <c r="LLU42" s="214"/>
      <c r="LLV42" s="214"/>
      <c r="LLW42" s="214"/>
      <c r="LLX42" s="214"/>
      <c r="LLY42" s="214"/>
      <c r="LLZ42" s="214"/>
      <c r="LMA42" s="214"/>
      <c r="LMB42" s="214"/>
      <c r="LMC42" s="214"/>
      <c r="LMD42" s="214"/>
      <c r="LME42" s="214"/>
      <c r="LMF42" s="214"/>
      <c r="LMG42" s="214"/>
      <c r="LMH42" s="214"/>
      <c r="LMI42" s="214"/>
      <c r="LMJ42" s="214"/>
      <c r="LMK42" s="214"/>
      <c r="LML42" s="214"/>
      <c r="LMM42" s="214"/>
      <c r="LMN42" s="214"/>
      <c r="LMO42" s="214"/>
      <c r="LMP42" s="214"/>
      <c r="LMQ42" s="214"/>
      <c r="LMR42" s="214"/>
      <c r="LMS42" s="214"/>
      <c r="LMT42" s="214"/>
      <c r="LMU42" s="214"/>
      <c r="LMV42" s="214"/>
      <c r="LMW42" s="214"/>
      <c r="LMX42" s="214"/>
      <c r="LMY42" s="214"/>
      <c r="LMZ42" s="214"/>
      <c r="LNA42" s="214"/>
      <c r="LNB42" s="214"/>
      <c r="LNC42" s="214"/>
      <c r="LND42" s="214"/>
      <c r="LNE42" s="214"/>
      <c r="LNF42" s="214"/>
      <c r="LNG42" s="214"/>
      <c r="LNH42" s="214"/>
      <c r="LNI42" s="214"/>
      <c r="LNJ42" s="214"/>
      <c r="LNK42" s="214"/>
      <c r="LNL42" s="214"/>
      <c r="LNM42" s="214"/>
      <c r="LNN42" s="214"/>
      <c r="LNO42" s="214"/>
      <c r="LNP42" s="214"/>
      <c r="LNQ42" s="214"/>
      <c r="LNR42" s="214"/>
      <c r="LNS42" s="214"/>
      <c r="LNT42" s="214"/>
      <c r="LNU42" s="214"/>
      <c r="LNV42" s="214"/>
      <c r="LNW42" s="214"/>
      <c r="LNX42" s="214"/>
      <c r="LNY42" s="214"/>
      <c r="LNZ42" s="214"/>
      <c r="LOA42" s="214"/>
      <c r="LOB42" s="214"/>
      <c r="LOC42" s="214"/>
      <c r="LOD42" s="214"/>
      <c r="LOE42" s="214"/>
      <c r="LOF42" s="214"/>
      <c r="LOG42" s="214"/>
      <c r="LOH42" s="214"/>
      <c r="LOI42" s="214"/>
      <c r="LOJ42" s="214"/>
      <c r="LOK42" s="214"/>
      <c r="LOL42" s="214"/>
      <c r="LOM42" s="214"/>
      <c r="LON42" s="214"/>
      <c r="LOO42" s="214"/>
      <c r="LOP42" s="214"/>
      <c r="LOQ42" s="214"/>
      <c r="LOR42" s="214"/>
      <c r="LOS42" s="214"/>
      <c r="LOT42" s="214"/>
      <c r="LOU42" s="214"/>
      <c r="LOV42" s="214"/>
      <c r="LOW42" s="214"/>
      <c r="LOX42" s="214"/>
      <c r="LOY42" s="214"/>
      <c r="LOZ42" s="214"/>
      <c r="LPA42" s="214"/>
      <c r="LPB42" s="214"/>
      <c r="LPC42" s="214"/>
      <c r="LPD42" s="214"/>
      <c r="LPE42" s="214"/>
      <c r="LPF42" s="214"/>
      <c r="LPG42" s="214"/>
      <c r="LPH42" s="214"/>
      <c r="LPI42" s="214"/>
      <c r="LPJ42" s="214"/>
      <c r="LPK42" s="214"/>
      <c r="LPL42" s="214"/>
      <c r="LPM42" s="214"/>
      <c r="LPN42" s="214"/>
      <c r="LPO42" s="214"/>
      <c r="LPP42" s="214"/>
      <c r="LPQ42" s="214"/>
      <c r="LPR42" s="214"/>
      <c r="LPS42" s="214"/>
      <c r="LPT42" s="214"/>
      <c r="LPU42" s="214"/>
      <c r="LPV42" s="214"/>
      <c r="LPW42" s="214"/>
      <c r="LPX42" s="214"/>
      <c r="LPY42" s="214"/>
      <c r="LPZ42" s="214"/>
      <c r="LQA42" s="214"/>
      <c r="LQB42" s="214"/>
      <c r="LQC42" s="214"/>
      <c r="LQD42" s="214"/>
      <c r="LQE42" s="214"/>
      <c r="LQF42" s="214"/>
      <c r="LQG42" s="214"/>
      <c r="LQH42" s="214"/>
      <c r="LQI42" s="214"/>
      <c r="LQJ42" s="214"/>
      <c r="LQK42" s="214"/>
      <c r="LQL42" s="214"/>
      <c r="LQM42" s="214"/>
      <c r="LQN42" s="214"/>
      <c r="LQO42" s="214"/>
      <c r="LQP42" s="214"/>
      <c r="LQQ42" s="214"/>
      <c r="LQR42" s="214"/>
      <c r="LQS42" s="214"/>
      <c r="LQT42" s="214"/>
      <c r="LQU42" s="214"/>
      <c r="LQV42" s="214"/>
      <c r="LQW42" s="214"/>
      <c r="LQX42" s="214"/>
      <c r="LQY42" s="214"/>
      <c r="LQZ42" s="214"/>
      <c r="LRA42" s="214"/>
      <c r="LRB42" s="214"/>
      <c r="LRC42" s="214"/>
      <c r="LRD42" s="214"/>
      <c r="LRE42" s="214"/>
      <c r="LRF42" s="214"/>
      <c r="LRG42" s="214"/>
      <c r="LRH42" s="214"/>
      <c r="LRI42" s="214"/>
      <c r="LRJ42" s="214"/>
      <c r="LRK42" s="214"/>
      <c r="LRL42" s="214"/>
      <c r="LRM42" s="214"/>
      <c r="LRN42" s="214"/>
      <c r="LRO42" s="214"/>
      <c r="LRP42" s="214"/>
      <c r="LRQ42" s="214"/>
      <c r="LRR42" s="214"/>
      <c r="LRS42" s="214"/>
      <c r="LRT42" s="214"/>
      <c r="LRU42" s="214"/>
      <c r="LRV42" s="214"/>
      <c r="LRW42" s="214"/>
      <c r="LRX42" s="214"/>
      <c r="LRY42" s="214"/>
      <c r="LRZ42" s="214"/>
      <c r="LSA42" s="214"/>
      <c r="LSB42" s="214"/>
      <c r="LSC42" s="214"/>
      <c r="LSD42" s="214"/>
      <c r="LSE42" s="214"/>
      <c r="LSF42" s="214"/>
      <c r="LSG42" s="214"/>
      <c r="LSH42" s="214"/>
      <c r="LSI42" s="214"/>
      <c r="LSJ42" s="214"/>
      <c r="LSK42" s="214"/>
      <c r="LSL42" s="214"/>
      <c r="LSM42" s="214"/>
      <c r="LSN42" s="214"/>
      <c r="LSO42" s="214"/>
      <c r="LSP42" s="214"/>
      <c r="LSQ42" s="214"/>
      <c r="LSR42" s="214"/>
      <c r="LSS42" s="214"/>
      <c r="LST42" s="214"/>
      <c r="LSU42" s="214"/>
      <c r="LSV42" s="214"/>
      <c r="LSW42" s="214"/>
      <c r="LSX42" s="214"/>
      <c r="LSY42" s="214"/>
      <c r="LSZ42" s="214"/>
      <c r="LTA42" s="214"/>
      <c r="LTB42" s="214"/>
      <c r="LTC42" s="214"/>
      <c r="LTD42" s="214"/>
      <c r="LTE42" s="214"/>
      <c r="LTF42" s="214"/>
      <c r="LTG42" s="214"/>
      <c r="LTH42" s="214"/>
      <c r="LTI42" s="214"/>
      <c r="LTJ42" s="214"/>
      <c r="LTK42" s="214"/>
      <c r="LTL42" s="214"/>
      <c r="LTM42" s="214"/>
      <c r="LTN42" s="214"/>
      <c r="LTO42" s="214"/>
      <c r="LTP42" s="214"/>
      <c r="LTQ42" s="214"/>
      <c r="LTR42" s="214"/>
      <c r="LTS42" s="214"/>
      <c r="LTT42" s="214"/>
      <c r="LTU42" s="214"/>
      <c r="LTV42" s="214"/>
      <c r="LTW42" s="214"/>
      <c r="LTX42" s="214"/>
      <c r="LTY42" s="214"/>
      <c r="LTZ42" s="214"/>
      <c r="LUA42" s="214"/>
      <c r="LUB42" s="214"/>
      <c r="LUC42" s="214"/>
      <c r="LUD42" s="214"/>
      <c r="LUE42" s="214"/>
      <c r="LUF42" s="214"/>
      <c r="LUG42" s="214"/>
      <c r="LUH42" s="214"/>
      <c r="LUI42" s="214"/>
      <c r="LUJ42" s="214"/>
      <c r="LUK42" s="214"/>
      <c r="LUL42" s="214"/>
      <c r="LUM42" s="214"/>
      <c r="LUN42" s="214"/>
      <c r="LUO42" s="214"/>
      <c r="LUP42" s="214"/>
      <c r="LUQ42" s="214"/>
      <c r="LUR42" s="214"/>
      <c r="LUS42" s="214"/>
      <c r="LUT42" s="214"/>
      <c r="LUU42" s="214"/>
      <c r="LUV42" s="214"/>
      <c r="LUW42" s="214"/>
      <c r="LUX42" s="214"/>
      <c r="LUY42" s="214"/>
      <c r="LUZ42" s="214"/>
      <c r="LVA42" s="214"/>
      <c r="LVB42" s="214"/>
      <c r="LVC42" s="214"/>
      <c r="LVD42" s="214"/>
      <c r="LVE42" s="214"/>
      <c r="LVF42" s="214"/>
      <c r="LVG42" s="214"/>
      <c r="LVH42" s="214"/>
      <c r="LVI42" s="214"/>
      <c r="LVJ42" s="214"/>
      <c r="LVK42" s="214"/>
      <c r="LVL42" s="214"/>
      <c r="LVM42" s="214"/>
      <c r="LVN42" s="214"/>
      <c r="LVO42" s="214"/>
      <c r="LVP42" s="214"/>
      <c r="LVQ42" s="214"/>
      <c r="LVR42" s="214"/>
      <c r="LVS42" s="214"/>
      <c r="LVT42" s="214"/>
      <c r="LVU42" s="214"/>
      <c r="LVV42" s="214"/>
      <c r="LVW42" s="214"/>
      <c r="LVX42" s="214"/>
      <c r="LVY42" s="214"/>
      <c r="LVZ42" s="214"/>
      <c r="LWA42" s="214"/>
      <c r="LWB42" s="214"/>
      <c r="LWC42" s="214"/>
      <c r="LWD42" s="214"/>
      <c r="LWE42" s="214"/>
      <c r="LWF42" s="214"/>
      <c r="LWG42" s="214"/>
      <c r="LWH42" s="214"/>
      <c r="LWI42" s="214"/>
      <c r="LWJ42" s="214"/>
      <c r="LWK42" s="214"/>
      <c r="LWL42" s="214"/>
      <c r="LWM42" s="214"/>
      <c r="LWN42" s="214"/>
      <c r="LWO42" s="214"/>
      <c r="LWP42" s="214"/>
      <c r="LWQ42" s="214"/>
      <c r="LWR42" s="214"/>
      <c r="LWS42" s="214"/>
      <c r="LWT42" s="214"/>
      <c r="LWU42" s="214"/>
      <c r="LWV42" s="214"/>
      <c r="LWW42" s="214"/>
      <c r="LWX42" s="214"/>
      <c r="LWY42" s="214"/>
      <c r="LWZ42" s="214"/>
      <c r="LXA42" s="214"/>
      <c r="LXB42" s="214"/>
      <c r="LXC42" s="214"/>
      <c r="LXD42" s="214"/>
      <c r="LXE42" s="214"/>
      <c r="LXF42" s="214"/>
      <c r="LXG42" s="214"/>
      <c r="LXH42" s="214"/>
      <c r="LXI42" s="214"/>
      <c r="LXJ42" s="214"/>
      <c r="LXK42" s="214"/>
      <c r="LXL42" s="214"/>
      <c r="LXM42" s="214"/>
      <c r="LXN42" s="214"/>
      <c r="LXO42" s="214"/>
      <c r="LXP42" s="214"/>
      <c r="LXQ42" s="214"/>
      <c r="LXR42" s="214"/>
      <c r="LXS42" s="214"/>
      <c r="LXT42" s="214"/>
      <c r="LXU42" s="214"/>
      <c r="LXV42" s="214"/>
      <c r="LXW42" s="214"/>
      <c r="LXX42" s="214"/>
      <c r="LXY42" s="214"/>
      <c r="LXZ42" s="214"/>
      <c r="LYA42" s="214"/>
      <c r="LYB42" s="214"/>
      <c r="LYC42" s="214"/>
      <c r="LYD42" s="214"/>
      <c r="LYE42" s="214"/>
      <c r="LYF42" s="214"/>
      <c r="LYG42" s="214"/>
      <c r="LYH42" s="214"/>
      <c r="LYI42" s="214"/>
      <c r="LYJ42" s="214"/>
      <c r="LYK42" s="214"/>
      <c r="LYL42" s="214"/>
      <c r="LYM42" s="214"/>
      <c r="LYN42" s="214"/>
      <c r="LYO42" s="214"/>
      <c r="LYP42" s="214"/>
      <c r="LYQ42" s="214"/>
      <c r="LYR42" s="214"/>
      <c r="LYS42" s="214"/>
      <c r="LYT42" s="214"/>
      <c r="LYU42" s="214"/>
      <c r="LYV42" s="214"/>
      <c r="LYW42" s="214"/>
      <c r="LYX42" s="214"/>
      <c r="LYY42" s="214"/>
      <c r="LYZ42" s="214"/>
      <c r="LZA42" s="214"/>
      <c r="LZB42" s="214"/>
      <c r="LZC42" s="214"/>
      <c r="LZD42" s="214"/>
      <c r="LZE42" s="214"/>
      <c r="LZF42" s="214"/>
      <c r="LZG42" s="214"/>
      <c r="LZH42" s="214"/>
      <c r="LZI42" s="214"/>
      <c r="LZJ42" s="214"/>
      <c r="LZK42" s="214"/>
      <c r="LZL42" s="214"/>
      <c r="LZM42" s="214"/>
      <c r="LZN42" s="214"/>
      <c r="LZO42" s="214"/>
      <c r="LZP42" s="214"/>
      <c r="LZQ42" s="214"/>
      <c r="LZR42" s="214"/>
      <c r="LZS42" s="214"/>
      <c r="LZT42" s="214"/>
      <c r="LZU42" s="214"/>
      <c r="LZV42" s="214"/>
      <c r="LZW42" s="214"/>
      <c r="LZX42" s="214"/>
      <c r="LZY42" s="214"/>
      <c r="LZZ42" s="214"/>
      <c r="MAA42" s="214"/>
      <c r="MAB42" s="214"/>
      <c r="MAC42" s="214"/>
      <c r="MAD42" s="214"/>
      <c r="MAE42" s="214"/>
      <c r="MAF42" s="214"/>
      <c r="MAG42" s="214"/>
      <c r="MAH42" s="214"/>
      <c r="MAI42" s="214"/>
      <c r="MAJ42" s="214"/>
      <c r="MAK42" s="214"/>
      <c r="MAL42" s="214"/>
      <c r="MAM42" s="214"/>
      <c r="MAN42" s="214"/>
      <c r="MAO42" s="214"/>
      <c r="MAP42" s="214"/>
      <c r="MAQ42" s="214"/>
      <c r="MAR42" s="214"/>
      <c r="MAS42" s="214"/>
      <c r="MAT42" s="214"/>
      <c r="MAU42" s="214"/>
      <c r="MAV42" s="214"/>
      <c r="MAW42" s="214"/>
      <c r="MAX42" s="214"/>
      <c r="MAY42" s="214"/>
      <c r="MAZ42" s="214"/>
      <c r="MBA42" s="214"/>
      <c r="MBB42" s="214"/>
      <c r="MBC42" s="214"/>
      <c r="MBD42" s="214"/>
      <c r="MBE42" s="214"/>
      <c r="MBF42" s="214"/>
      <c r="MBG42" s="214"/>
      <c r="MBH42" s="214"/>
      <c r="MBI42" s="214"/>
      <c r="MBJ42" s="214"/>
      <c r="MBK42" s="214"/>
      <c r="MBL42" s="214"/>
      <c r="MBM42" s="214"/>
      <c r="MBN42" s="214"/>
      <c r="MBO42" s="214"/>
      <c r="MBP42" s="214"/>
      <c r="MBQ42" s="214"/>
      <c r="MBR42" s="214"/>
      <c r="MBS42" s="214"/>
      <c r="MBT42" s="214"/>
      <c r="MBU42" s="214"/>
      <c r="MBV42" s="214"/>
      <c r="MBW42" s="214"/>
      <c r="MBX42" s="214"/>
      <c r="MBY42" s="214"/>
      <c r="MBZ42" s="214"/>
      <c r="MCA42" s="214"/>
      <c r="MCB42" s="214"/>
      <c r="MCC42" s="214"/>
      <c r="MCD42" s="214"/>
      <c r="MCE42" s="214"/>
      <c r="MCF42" s="214"/>
      <c r="MCG42" s="214"/>
      <c r="MCH42" s="214"/>
      <c r="MCI42" s="214"/>
      <c r="MCJ42" s="214"/>
      <c r="MCK42" s="214"/>
      <c r="MCL42" s="214"/>
      <c r="MCM42" s="214"/>
      <c r="MCN42" s="214"/>
      <c r="MCO42" s="214"/>
      <c r="MCP42" s="214"/>
      <c r="MCQ42" s="214"/>
      <c r="MCR42" s="214"/>
      <c r="MCS42" s="214"/>
      <c r="MCT42" s="214"/>
      <c r="MCU42" s="214"/>
      <c r="MCV42" s="214"/>
      <c r="MCW42" s="214"/>
      <c r="MCX42" s="214"/>
      <c r="MCY42" s="214"/>
      <c r="MCZ42" s="214"/>
      <c r="MDA42" s="214"/>
      <c r="MDB42" s="214"/>
      <c r="MDC42" s="214"/>
      <c r="MDD42" s="214"/>
      <c r="MDE42" s="214"/>
      <c r="MDF42" s="214"/>
      <c r="MDG42" s="214"/>
      <c r="MDH42" s="214"/>
      <c r="MDI42" s="214"/>
      <c r="MDJ42" s="214"/>
      <c r="MDK42" s="214"/>
      <c r="MDL42" s="214"/>
      <c r="MDM42" s="214"/>
      <c r="MDN42" s="214"/>
      <c r="MDO42" s="214"/>
      <c r="MDP42" s="214"/>
      <c r="MDQ42" s="214"/>
      <c r="MDR42" s="214"/>
      <c r="MDS42" s="214"/>
      <c r="MDT42" s="214"/>
      <c r="MDU42" s="214"/>
      <c r="MDV42" s="214"/>
      <c r="MDW42" s="214"/>
      <c r="MDX42" s="214"/>
      <c r="MDY42" s="214"/>
      <c r="MDZ42" s="214"/>
      <c r="MEA42" s="214"/>
      <c r="MEB42" s="214"/>
      <c r="MEC42" s="214"/>
      <c r="MED42" s="214"/>
      <c r="MEE42" s="214"/>
      <c r="MEF42" s="214"/>
      <c r="MEG42" s="214"/>
      <c r="MEH42" s="214"/>
      <c r="MEI42" s="214"/>
      <c r="MEJ42" s="214"/>
      <c r="MEK42" s="214"/>
      <c r="MEL42" s="214"/>
      <c r="MEM42" s="214"/>
      <c r="MEN42" s="214"/>
      <c r="MEO42" s="214"/>
      <c r="MEP42" s="214"/>
      <c r="MEQ42" s="214"/>
      <c r="MER42" s="214"/>
      <c r="MES42" s="214"/>
      <c r="MET42" s="214"/>
      <c r="MEU42" s="214"/>
      <c r="MEV42" s="214"/>
      <c r="MEW42" s="214"/>
      <c r="MEX42" s="214"/>
      <c r="MEY42" s="214"/>
      <c r="MEZ42" s="214"/>
      <c r="MFA42" s="214"/>
      <c r="MFB42" s="214"/>
      <c r="MFC42" s="214"/>
      <c r="MFD42" s="214"/>
      <c r="MFE42" s="214"/>
      <c r="MFF42" s="214"/>
      <c r="MFG42" s="214"/>
      <c r="MFH42" s="214"/>
      <c r="MFI42" s="214"/>
      <c r="MFJ42" s="214"/>
      <c r="MFK42" s="214"/>
      <c r="MFL42" s="214"/>
      <c r="MFM42" s="214"/>
      <c r="MFN42" s="214"/>
      <c r="MFO42" s="214"/>
      <c r="MFP42" s="214"/>
      <c r="MFQ42" s="214"/>
      <c r="MFR42" s="214"/>
      <c r="MFS42" s="214"/>
      <c r="MFT42" s="214"/>
      <c r="MFU42" s="214"/>
      <c r="MFV42" s="214"/>
      <c r="MFW42" s="214"/>
      <c r="MFX42" s="214"/>
      <c r="MFY42" s="214"/>
      <c r="MFZ42" s="214"/>
      <c r="MGA42" s="214"/>
      <c r="MGB42" s="214"/>
      <c r="MGC42" s="214"/>
      <c r="MGD42" s="214"/>
      <c r="MGE42" s="214"/>
      <c r="MGF42" s="214"/>
      <c r="MGG42" s="214"/>
      <c r="MGH42" s="214"/>
      <c r="MGI42" s="214"/>
      <c r="MGJ42" s="214"/>
      <c r="MGK42" s="214"/>
      <c r="MGL42" s="214"/>
      <c r="MGM42" s="214"/>
      <c r="MGN42" s="214"/>
      <c r="MGO42" s="214"/>
      <c r="MGP42" s="214"/>
      <c r="MGQ42" s="214"/>
      <c r="MGR42" s="214"/>
      <c r="MGS42" s="214"/>
      <c r="MGT42" s="214"/>
      <c r="MGU42" s="214"/>
      <c r="MGV42" s="214"/>
      <c r="MGW42" s="214"/>
      <c r="MGX42" s="214"/>
      <c r="MGY42" s="214"/>
      <c r="MGZ42" s="214"/>
      <c r="MHA42" s="214"/>
      <c r="MHB42" s="214"/>
      <c r="MHC42" s="214"/>
      <c r="MHD42" s="214"/>
      <c r="MHE42" s="214"/>
      <c r="MHF42" s="214"/>
      <c r="MHG42" s="214"/>
      <c r="MHH42" s="214"/>
      <c r="MHI42" s="214"/>
      <c r="MHJ42" s="214"/>
      <c r="MHK42" s="214"/>
      <c r="MHL42" s="214"/>
      <c r="MHM42" s="214"/>
      <c r="MHN42" s="214"/>
      <c r="MHO42" s="214"/>
      <c r="MHP42" s="214"/>
      <c r="MHQ42" s="214"/>
      <c r="MHR42" s="214"/>
      <c r="MHS42" s="214"/>
      <c r="MHT42" s="214"/>
      <c r="MHU42" s="214"/>
      <c r="MHV42" s="214"/>
      <c r="MHW42" s="214"/>
      <c r="MHX42" s="214"/>
      <c r="MHY42" s="214"/>
      <c r="MHZ42" s="214"/>
      <c r="MIA42" s="214"/>
      <c r="MIB42" s="214"/>
      <c r="MIC42" s="214"/>
      <c r="MID42" s="214"/>
      <c r="MIE42" s="214"/>
      <c r="MIF42" s="214"/>
      <c r="MIG42" s="214"/>
      <c r="MIH42" s="214"/>
      <c r="MII42" s="214"/>
      <c r="MIJ42" s="214"/>
      <c r="MIK42" s="214"/>
      <c r="MIL42" s="214"/>
      <c r="MIM42" s="214"/>
      <c r="MIN42" s="214"/>
      <c r="MIO42" s="214"/>
      <c r="MIP42" s="214"/>
      <c r="MIQ42" s="214"/>
      <c r="MIR42" s="214"/>
      <c r="MIS42" s="214"/>
      <c r="MIT42" s="214"/>
      <c r="MIU42" s="214"/>
      <c r="MIV42" s="214"/>
      <c r="MIW42" s="214"/>
      <c r="MIX42" s="214"/>
      <c r="MIY42" s="214"/>
      <c r="MIZ42" s="214"/>
      <c r="MJA42" s="214"/>
      <c r="MJB42" s="214"/>
      <c r="MJC42" s="214"/>
      <c r="MJD42" s="214"/>
      <c r="MJE42" s="214"/>
      <c r="MJF42" s="214"/>
      <c r="MJG42" s="214"/>
      <c r="MJH42" s="214"/>
      <c r="MJI42" s="214"/>
      <c r="MJJ42" s="214"/>
      <c r="MJK42" s="214"/>
      <c r="MJL42" s="214"/>
      <c r="MJM42" s="214"/>
      <c r="MJN42" s="214"/>
      <c r="MJO42" s="214"/>
      <c r="MJP42" s="214"/>
      <c r="MJQ42" s="214"/>
      <c r="MJR42" s="214"/>
      <c r="MJS42" s="214"/>
      <c r="MJT42" s="214"/>
      <c r="MJU42" s="214"/>
      <c r="MJV42" s="214"/>
      <c r="MJW42" s="214"/>
      <c r="MJX42" s="214"/>
      <c r="MJY42" s="214"/>
      <c r="MJZ42" s="214"/>
      <c r="MKA42" s="214"/>
      <c r="MKB42" s="214"/>
      <c r="MKC42" s="214"/>
      <c r="MKD42" s="214"/>
      <c r="MKE42" s="214"/>
      <c r="MKF42" s="214"/>
      <c r="MKG42" s="214"/>
      <c r="MKH42" s="214"/>
      <c r="MKI42" s="214"/>
      <c r="MKJ42" s="214"/>
      <c r="MKK42" s="214"/>
      <c r="MKL42" s="214"/>
      <c r="MKM42" s="214"/>
      <c r="MKN42" s="214"/>
      <c r="MKO42" s="214"/>
      <c r="MKP42" s="214"/>
      <c r="MKQ42" s="214"/>
      <c r="MKR42" s="214"/>
      <c r="MKS42" s="214"/>
      <c r="MKT42" s="214"/>
      <c r="MKU42" s="214"/>
      <c r="MKV42" s="214"/>
      <c r="MKW42" s="214"/>
      <c r="MKX42" s="214"/>
      <c r="MKY42" s="214"/>
      <c r="MKZ42" s="214"/>
      <c r="MLA42" s="214"/>
      <c r="MLB42" s="214"/>
      <c r="MLC42" s="214"/>
      <c r="MLD42" s="214"/>
      <c r="MLE42" s="214"/>
      <c r="MLF42" s="214"/>
      <c r="MLG42" s="214"/>
      <c r="MLH42" s="214"/>
      <c r="MLI42" s="214"/>
      <c r="MLJ42" s="214"/>
      <c r="MLK42" s="214"/>
      <c r="MLL42" s="214"/>
      <c r="MLM42" s="214"/>
      <c r="MLN42" s="214"/>
      <c r="MLO42" s="214"/>
      <c r="MLP42" s="214"/>
      <c r="MLQ42" s="214"/>
      <c r="MLR42" s="214"/>
      <c r="MLS42" s="214"/>
      <c r="MLT42" s="214"/>
      <c r="MLU42" s="214"/>
      <c r="MLV42" s="214"/>
      <c r="MLW42" s="214"/>
      <c r="MLX42" s="214"/>
      <c r="MLY42" s="214"/>
      <c r="MLZ42" s="214"/>
      <c r="MMA42" s="214"/>
      <c r="MMB42" s="214"/>
      <c r="MMC42" s="214"/>
      <c r="MMD42" s="214"/>
      <c r="MME42" s="214"/>
      <c r="MMF42" s="214"/>
      <c r="MMG42" s="214"/>
      <c r="MMH42" s="214"/>
      <c r="MMI42" s="214"/>
      <c r="MMJ42" s="214"/>
      <c r="MMK42" s="214"/>
      <c r="MML42" s="214"/>
      <c r="MMM42" s="214"/>
      <c r="MMN42" s="214"/>
      <c r="MMO42" s="214"/>
      <c r="MMP42" s="214"/>
      <c r="MMQ42" s="214"/>
      <c r="MMR42" s="214"/>
      <c r="MMS42" s="214"/>
      <c r="MMT42" s="214"/>
      <c r="MMU42" s="214"/>
      <c r="MMV42" s="214"/>
      <c r="MMW42" s="214"/>
      <c r="MMX42" s="214"/>
      <c r="MMY42" s="214"/>
      <c r="MMZ42" s="214"/>
      <c r="MNA42" s="214"/>
      <c r="MNB42" s="214"/>
      <c r="MNC42" s="214"/>
      <c r="MND42" s="214"/>
      <c r="MNE42" s="214"/>
      <c r="MNF42" s="214"/>
      <c r="MNG42" s="214"/>
      <c r="MNH42" s="214"/>
      <c r="MNI42" s="214"/>
      <c r="MNJ42" s="214"/>
      <c r="MNK42" s="214"/>
      <c r="MNL42" s="214"/>
      <c r="MNM42" s="214"/>
      <c r="MNN42" s="214"/>
      <c r="MNO42" s="214"/>
      <c r="MNP42" s="214"/>
      <c r="MNQ42" s="214"/>
      <c r="MNR42" s="214"/>
      <c r="MNS42" s="214"/>
      <c r="MNT42" s="214"/>
      <c r="MNU42" s="214"/>
      <c r="MNV42" s="214"/>
      <c r="MNW42" s="214"/>
      <c r="MNX42" s="214"/>
      <c r="MNY42" s="214"/>
      <c r="MNZ42" s="214"/>
      <c r="MOA42" s="214"/>
      <c r="MOB42" s="214"/>
      <c r="MOC42" s="214"/>
      <c r="MOD42" s="214"/>
      <c r="MOE42" s="214"/>
      <c r="MOF42" s="214"/>
      <c r="MOG42" s="214"/>
      <c r="MOH42" s="214"/>
      <c r="MOI42" s="214"/>
      <c r="MOJ42" s="214"/>
      <c r="MOK42" s="214"/>
      <c r="MOL42" s="214"/>
      <c r="MOM42" s="214"/>
      <c r="MON42" s="214"/>
      <c r="MOO42" s="214"/>
      <c r="MOP42" s="214"/>
      <c r="MOQ42" s="214"/>
      <c r="MOR42" s="214"/>
      <c r="MOS42" s="214"/>
      <c r="MOT42" s="214"/>
      <c r="MOU42" s="214"/>
      <c r="MOV42" s="214"/>
      <c r="MOW42" s="214"/>
      <c r="MOX42" s="214"/>
      <c r="MOY42" s="214"/>
      <c r="MOZ42" s="214"/>
      <c r="MPA42" s="214"/>
      <c r="MPB42" s="214"/>
      <c r="MPC42" s="214"/>
      <c r="MPD42" s="214"/>
      <c r="MPE42" s="214"/>
      <c r="MPF42" s="214"/>
      <c r="MPG42" s="214"/>
      <c r="MPH42" s="214"/>
      <c r="MPI42" s="214"/>
      <c r="MPJ42" s="214"/>
      <c r="MPK42" s="214"/>
      <c r="MPL42" s="214"/>
      <c r="MPM42" s="214"/>
      <c r="MPN42" s="214"/>
      <c r="MPO42" s="214"/>
      <c r="MPP42" s="214"/>
      <c r="MPQ42" s="214"/>
      <c r="MPR42" s="214"/>
      <c r="MPS42" s="214"/>
      <c r="MPT42" s="214"/>
      <c r="MPU42" s="214"/>
      <c r="MPV42" s="214"/>
      <c r="MPW42" s="214"/>
      <c r="MPX42" s="214"/>
      <c r="MPY42" s="214"/>
      <c r="MPZ42" s="214"/>
      <c r="MQA42" s="214"/>
      <c r="MQB42" s="214"/>
      <c r="MQC42" s="214"/>
      <c r="MQD42" s="214"/>
      <c r="MQE42" s="214"/>
      <c r="MQF42" s="214"/>
      <c r="MQG42" s="214"/>
      <c r="MQH42" s="214"/>
      <c r="MQI42" s="214"/>
      <c r="MQJ42" s="214"/>
      <c r="MQK42" s="214"/>
      <c r="MQL42" s="214"/>
      <c r="MQM42" s="214"/>
      <c r="MQN42" s="214"/>
      <c r="MQO42" s="214"/>
      <c r="MQP42" s="214"/>
      <c r="MQQ42" s="214"/>
      <c r="MQR42" s="214"/>
      <c r="MQS42" s="214"/>
      <c r="MQT42" s="214"/>
      <c r="MQU42" s="214"/>
      <c r="MQV42" s="214"/>
      <c r="MQW42" s="214"/>
      <c r="MQX42" s="214"/>
      <c r="MQY42" s="214"/>
      <c r="MQZ42" s="214"/>
      <c r="MRA42" s="214"/>
      <c r="MRB42" s="214"/>
      <c r="MRC42" s="214"/>
      <c r="MRD42" s="214"/>
      <c r="MRE42" s="214"/>
      <c r="MRF42" s="214"/>
      <c r="MRG42" s="214"/>
      <c r="MRH42" s="214"/>
      <c r="MRI42" s="214"/>
      <c r="MRJ42" s="214"/>
      <c r="MRK42" s="214"/>
      <c r="MRL42" s="214"/>
      <c r="MRM42" s="214"/>
      <c r="MRN42" s="214"/>
      <c r="MRO42" s="214"/>
      <c r="MRP42" s="214"/>
      <c r="MRQ42" s="214"/>
      <c r="MRR42" s="214"/>
      <c r="MRS42" s="214"/>
      <c r="MRT42" s="214"/>
      <c r="MRU42" s="214"/>
      <c r="MRV42" s="214"/>
      <c r="MRW42" s="214"/>
      <c r="MRX42" s="214"/>
      <c r="MRY42" s="214"/>
      <c r="MRZ42" s="214"/>
      <c r="MSA42" s="214"/>
      <c r="MSB42" s="214"/>
      <c r="MSC42" s="214"/>
      <c r="MSD42" s="214"/>
      <c r="MSE42" s="214"/>
      <c r="MSF42" s="214"/>
      <c r="MSG42" s="214"/>
      <c r="MSH42" s="214"/>
      <c r="MSI42" s="214"/>
      <c r="MSJ42" s="214"/>
      <c r="MSK42" s="214"/>
      <c r="MSL42" s="214"/>
      <c r="MSM42" s="214"/>
      <c r="MSN42" s="214"/>
      <c r="MSO42" s="214"/>
      <c r="MSP42" s="214"/>
      <c r="MSQ42" s="214"/>
      <c r="MSR42" s="214"/>
      <c r="MSS42" s="214"/>
      <c r="MST42" s="214"/>
      <c r="MSU42" s="214"/>
      <c r="MSV42" s="214"/>
      <c r="MSW42" s="214"/>
      <c r="MSX42" s="214"/>
      <c r="MSY42" s="214"/>
      <c r="MSZ42" s="214"/>
      <c r="MTA42" s="214"/>
      <c r="MTB42" s="214"/>
      <c r="MTC42" s="214"/>
      <c r="MTD42" s="214"/>
      <c r="MTE42" s="214"/>
      <c r="MTF42" s="214"/>
      <c r="MTG42" s="214"/>
      <c r="MTH42" s="214"/>
      <c r="MTI42" s="214"/>
      <c r="MTJ42" s="214"/>
      <c r="MTK42" s="214"/>
      <c r="MTL42" s="214"/>
      <c r="MTM42" s="214"/>
      <c r="MTN42" s="214"/>
      <c r="MTO42" s="214"/>
      <c r="MTP42" s="214"/>
      <c r="MTQ42" s="214"/>
      <c r="MTR42" s="214"/>
      <c r="MTS42" s="214"/>
      <c r="MTT42" s="214"/>
      <c r="MTU42" s="214"/>
      <c r="MTV42" s="214"/>
      <c r="MTW42" s="214"/>
      <c r="MTX42" s="214"/>
      <c r="MTY42" s="214"/>
      <c r="MTZ42" s="214"/>
      <c r="MUA42" s="214"/>
      <c r="MUB42" s="214"/>
      <c r="MUC42" s="214"/>
      <c r="MUD42" s="214"/>
      <c r="MUE42" s="214"/>
      <c r="MUF42" s="214"/>
      <c r="MUG42" s="214"/>
      <c r="MUH42" s="214"/>
      <c r="MUI42" s="214"/>
      <c r="MUJ42" s="214"/>
      <c r="MUK42" s="214"/>
      <c r="MUL42" s="214"/>
      <c r="MUM42" s="214"/>
      <c r="MUN42" s="214"/>
      <c r="MUO42" s="214"/>
      <c r="MUP42" s="214"/>
      <c r="MUQ42" s="214"/>
      <c r="MUR42" s="214"/>
      <c r="MUS42" s="214"/>
      <c r="MUT42" s="214"/>
      <c r="MUU42" s="214"/>
      <c r="MUV42" s="214"/>
      <c r="MUW42" s="214"/>
      <c r="MUX42" s="214"/>
      <c r="MUY42" s="214"/>
      <c r="MUZ42" s="214"/>
      <c r="MVA42" s="214"/>
      <c r="MVB42" s="214"/>
      <c r="MVC42" s="214"/>
      <c r="MVD42" s="214"/>
      <c r="MVE42" s="214"/>
      <c r="MVF42" s="214"/>
      <c r="MVG42" s="214"/>
      <c r="MVH42" s="214"/>
      <c r="MVI42" s="214"/>
      <c r="MVJ42" s="214"/>
      <c r="MVK42" s="214"/>
      <c r="MVL42" s="214"/>
      <c r="MVM42" s="214"/>
      <c r="MVN42" s="214"/>
      <c r="MVO42" s="214"/>
      <c r="MVP42" s="214"/>
      <c r="MVQ42" s="214"/>
      <c r="MVR42" s="214"/>
      <c r="MVS42" s="214"/>
      <c r="MVT42" s="214"/>
      <c r="MVU42" s="214"/>
      <c r="MVV42" s="214"/>
      <c r="MVW42" s="214"/>
      <c r="MVX42" s="214"/>
      <c r="MVY42" s="214"/>
      <c r="MVZ42" s="214"/>
      <c r="MWA42" s="214"/>
      <c r="MWB42" s="214"/>
      <c r="MWC42" s="214"/>
      <c r="MWD42" s="214"/>
      <c r="MWE42" s="214"/>
      <c r="MWF42" s="214"/>
      <c r="MWG42" s="214"/>
      <c r="MWH42" s="214"/>
      <c r="MWI42" s="214"/>
      <c r="MWJ42" s="214"/>
      <c r="MWK42" s="214"/>
      <c r="MWL42" s="214"/>
      <c r="MWM42" s="214"/>
      <c r="MWN42" s="214"/>
      <c r="MWO42" s="214"/>
      <c r="MWP42" s="214"/>
      <c r="MWQ42" s="214"/>
      <c r="MWR42" s="214"/>
      <c r="MWS42" s="214"/>
      <c r="MWT42" s="214"/>
      <c r="MWU42" s="214"/>
      <c r="MWV42" s="214"/>
      <c r="MWW42" s="214"/>
      <c r="MWX42" s="214"/>
      <c r="MWY42" s="214"/>
      <c r="MWZ42" s="214"/>
      <c r="MXA42" s="214"/>
      <c r="MXB42" s="214"/>
      <c r="MXC42" s="214"/>
      <c r="MXD42" s="214"/>
      <c r="MXE42" s="214"/>
      <c r="MXF42" s="214"/>
      <c r="MXG42" s="214"/>
      <c r="MXH42" s="214"/>
      <c r="MXI42" s="214"/>
      <c r="MXJ42" s="214"/>
      <c r="MXK42" s="214"/>
      <c r="MXL42" s="214"/>
      <c r="MXM42" s="214"/>
      <c r="MXN42" s="214"/>
      <c r="MXO42" s="214"/>
      <c r="MXP42" s="214"/>
      <c r="MXQ42" s="214"/>
      <c r="MXR42" s="214"/>
      <c r="MXS42" s="214"/>
      <c r="MXT42" s="214"/>
      <c r="MXU42" s="214"/>
      <c r="MXV42" s="214"/>
      <c r="MXW42" s="214"/>
      <c r="MXX42" s="214"/>
      <c r="MXY42" s="214"/>
      <c r="MXZ42" s="214"/>
      <c r="MYA42" s="214"/>
      <c r="MYB42" s="214"/>
      <c r="MYC42" s="214"/>
      <c r="MYD42" s="214"/>
      <c r="MYE42" s="214"/>
      <c r="MYF42" s="214"/>
      <c r="MYG42" s="214"/>
      <c r="MYH42" s="214"/>
      <c r="MYI42" s="214"/>
      <c r="MYJ42" s="214"/>
      <c r="MYK42" s="214"/>
      <c r="MYL42" s="214"/>
      <c r="MYM42" s="214"/>
      <c r="MYN42" s="214"/>
      <c r="MYO42" s="214"/>
      <c r="MYP42" s="214"/>
      <c r="MYQ42" s="214"/>
      <c r="MYR42" s="214"/>
      <c r="MYS42" s="214"/>
      <c r="MYT42" s="214"/>
      <c r="MYU42" s="214"/>
      <c r="MYV42" s="214"/>
      <c r="MYW42" s="214"/>
      <c r="MYX42" s="214"/>
      <c r="MYY42" s="214"/>
      <c r="MYZ42" s="214"/>
      <c r="MZA42" s="214"/>
      <c r="MZB42" s="214"/>
      <c r="MZC42" s="214"/>
      <c r="MZD42" s="214"/>
      <c r="MZE42" s="214"/>
      <c r="MZF42" s="214"/>
      <c r="MZG42" s="214"/>
      <c r="MZH42" s="214"/>
      <c r="MZI42" s="214"/>
      <c r="MZJ42" s="214"/>
      <c r="MZK42" s="214"/>
      <c r="MZL42" s="214"/>
      <c r="MZM42" s="214"/>
      <c r="MZN42" s="214"/>
      <c r="MZO42" s="214"/>
      <c r="MZP42" s="214"/>
      <c r="MZQ42" s="214"/>
      <c r="MZR42" s="214"/>
      <c r="MZS42" s="214"/>
      <c r="MZT42" s="214"/>
      <c r="MZU42" s="214"/>
      <c r="MZV42" s="214"/>
      <c r="MZW42" s="214"/>
      <c r="MZX42" s="214"/>
      <c r="MZY42" s="214"/>
      <c r="MZZ42" s="214"/>
      <c r="NAA42" s="214"/>
      <c r="NAB42" s="214"/>
      <c r="NAC42" s="214"/>
      <c r="NAD42" s="214"/>
      <c r="NAE42" s="214"/>
      <c r="NAF42" s="214"/>
      <c r="NAG42" s="214"/>
      <c r="NAH42" s="214"/>
      <c r="NAI42" s="214"/>
      <c r="NAJ42" s="214"/>
      <c r="NAK42" s="214"/>
      <c r="NAL42" s="214"/>
      <c r="NAM42" s="214"/>
      <c r="NAN42" s="214"/>
      <c r="NAO42" s="214"/>
      <c r="NAP42" s="214"/>
      <c r="NAQ42" s="214"/>
      <c r="NAR42" s="214"/>
      <c r="NAS42" s="214"/>
      <c r="NAT42" s="214"/>
      <c r="NAU42" s="214"/>
      <c r="NAV42" s="214"/>
      <c r="NAW42" s="214"/>
      <c r="NAX42" s="214"/>
      <c r="NAY42" s="214"/>
      <c r="NAZ42" s="214"/>
      <c r="NBA42" s="214"/>
      <c r="NBB42" s="214"/>
      <c r="NBC42" s="214"/>
      <c r="NBD42" s="214"/>
      <c r="NBE42" s="214"/>
      <c r="NBF42" s="214"/>
      <c r="NBG42" s="214"/>
      <c r="NBH42" s="214"/>
      <c r="NBI42" s="214"/>
      <c r="NBJ42" s="214"/>
      <c r="NBK42" s="214"/>
      <c r="NBL42" s="214"/>
      <c r="NBM42" s="214"/>
      <c r="NBN42" s="214"/>
      <c r="NBO42" s="214"/>
      <c r="NBP42" s="214"/>
      <c r="NBQ42" s="214"/>
      <c r="NBR42" s="214"/>
      <c r="NBS42" s="214"/>
      <c r="NBT42" s="214"/>
      <c r="NBU42" s="214"/>
      <c r="NBV42" s="214"/>
      <c r="NBW42" s="214"/>
      <c r="NBX42" s="214"/>
      <c r="NBY42" s="214"/>
      <c r="NBZ42" s="214"/>
      <c r="NCA42" s="214"/>
      <c r="NCB42" s="214"/>
      <c r="NCC42" s="214"/>
      <c r="NCD42" s="214"/>
      <c r="NCE42" s="214"/>
      <c r="NCF42" s="214"/>
      <c r="NCG42" s="214"/>
      <c r="NCH42" s="214"/>
      <c r="NCI42" s="214"/>
      <c r="NCJ42" s="214"/>
      <c r="NCK42" s="214"/>
      <c r="NCL42" s="214"/>
      <c r="NCM42" s="214"/>
      <c r="NCN42" s="214"/>
      <c r="NCO42" s="214"/>
      <c r="NCP42" s="214"/>
      <c r="NCQ42" s="214"/>
      <c r="NCR42" s="214"/>
      <c r="NCS42" s="214"/>
      <c r="NCT42" s="214"/>
      <c r="NCU42" s="214"/>
      <c r="NCV42" s="214"/>
      <c r="NCW42" s="214"/>
      <c r="NCX42" s="214"/>
      <c r="NCY42" s="214"/>
      <c r="NCZ42" s="214"/>
      <c r="NDA42" s="214"/>
      <c r="NDB42" s="214"/>
      <c r="NDC42" s="214"/>
      <c r="NDD42" s="214"/>
      <c r="NDE42" s="214"/>
      <c r="NDF42" s="214"/>
      <c r="NDG42" s="214"/>
      <c r="NDH42" s="214"/>
      <c r="NDI42" s="214"/>
      <c r="NDJ42" s="214"/>
      <c r="NDK42" s="214"/>
      <c r="NDL42" s="214"/>
      <c r="NDM42" s="214"/>
      <c r="NDN42" s="214"/>
      <c r="NDO42" s="214"/>
      <c r="NDP42" s="214"/>
      <c r="NDQ42" s="214"/>
      <c r="NDR42" s="214"/>
      <c r="NDS42" s="214"/>
      <c r="NDT42" s="214"/>
      <c r="NDU42" s="214"/>
      <c r="NDV42" s="214"/>
      <c r="NDW42" s="214"/>
      <c r="NDX42" s="214"/>
      <c r="NDY42" s="214"/>
      <c r="NDZ42" s="214"/>
      <c r="NEA42" s="214"/>
      <c r="NEB42" s="214"/>
      <c r="NEC42" s="214"/>
      <c r="NED42" s="214"/>
      <c r="NEE42" s="214"/>
      <c r="NEF42" s="214"/>
      <c r="NEG42" s="214"/>
      <c r="NEH42" s="214"/>
      <c r="NEI42" s="214"/>
      <c r="NEJ42" s="214"/>
      <c r="NEK42" s="214"/>
      <c r="NEL42" s="214"/>
      <c r="NEM42" s="214"/>
      <c r="NEN42" s="214"/>
      <c r="NEO42" s="214"/>
      <c r="NEP42" s="214"/>
      <c r="NEQ42" s="214"/>
      <c r="NER42" s="214"/>
      <c r="NES42" s="214"/>
      <c r="NET42" s="214"/>
      <c r="NEU42" s="214"/>
      <c r="NEV42" s="214"/>
      <c r="NEW42" s="214"/>
      <c r="NEX42" s="214"/>
      <c r="NEY42" s="214"/>
      <c r="NEZ42" s="214"/>
      <c r="NFA42" s="214"/>
      <c r="NFB42" s="214"/>
      <c r="NFC42" s="214"/>
      <c r="NFD42" s="214"/>
      <c r="NFE42" s="214"/>
      <c r="NFF42" s="214"/>
      <c r="NFG42" s="214"/>
      <c r="NFH42" s="214"/>
      <c r="NFI42" s="214"/>
      <c r="NFJ42" s="214"/>
      <c r="NFK42" s="214"/>
      <c r="NFL42" s="214"/>
      <c r="NFM42" s="214"/>
      <c r="NFN42" s="214"/>
      <c r="NFO42" s="214"/>
      <c r="NFP42" s="214"/>
      <c r="NFQ42" s="214"/>
      <c r="NFR42" s="214"/>
      <c r="NFS42" s="214"/>
      <c r="NFT42" s="214"/>
      <c r="NFU42" s="214"/>
      <c r="NFV42" s="214"/>
      <c r="NFW42" s="214"/>
      <c r="NFX42" s="214"/>
      <c r="NFY42" s="214"/>
      <c r="NFZ42" s="214"/>
      <c r="NGA42" s="214"/>
      <c r="NGB42" s="214"/>
      <c r="NGC42" s="214"/>
      <c r="NGD42" s="214"/>
      <c r="NGE42" s="214"/>
      <c r="NGF42" s="214"/>
      <c r="NGG42" s="214"/>
      <c r="NGH42" s="214"/>
      <c r="NGI42" s="214"/>
      <c r="NGJ42" s="214"/>
      <c r="NGK42" s="214"/>
      <c r="NGL42" s="214"/>
      <c r="NGM42" s="214"/>
      <c r="NGN42" s="214"/>
      <c r="NGO42" s="214"/>
      <c r="NGP42" s="214"/>
      <c r="NGQ42" s="214"/>
      <c r="NGR42" s="214"/>
      <c r="NGS42" s="214"/>
      <c r="NGT42" s="214"/>
      <c r="NGU42" s="214"/>
      <c r="NGV42" s="214"/>
      <c r="NGW42" s="214"/>
      <c r="NGX42" s="214"/>
      <c r="NGY42" s="214"/>
      <c r="NGZ42" s="214"/>
      <c r="NHA42" s="214"/>
      <c r="NHB42" s="214"/>
      <c r="NHC42" s="214"/>
      <c r="NHD42" s="214"/>
      <c r="NHE42" s="214"/>
      <c r="NHF42" s="214"/>
      <c r="NHG42" s="214"/>
      <c r="NHH42" s="214"/>
      <c r="NHI42" s="214"/>
      <c r="NHJ42" s="214"/>
      <c r="NHK42" s="214"/>
      <c r="NHL42" s="214"/>
      <c r="NHM42" s="214"/>
      <c r="NHN42" s="214"/>
      <c r="NHO42" s="214"/>
      <c r="NHP42" s="214"/>
      <c r="NHQ42" s="214"/>
      <c r="NHR42" s="214"/>
      <c r="NHS42" s="214"/>
      <c r="NHT42" s="214"/>
      <c r="NHU42" s="214"/>
      <c r="NHV42" s="214"/>
      <c r="NHW42" s="214"/>
      <c r="NHX42" s="214"/>
      <c r="NHY42" s="214"/>
      <c r="NHZ42" s="214"/>
      <c r="NIA42" s="214"/>
      <c r="NIB42" s="214"/>
      <c r="NIC42" s="214"/>
      <c r="NID42" s="214"/>
      <c r="NIE42" s="214"/>
      <c r="NIF42" s="214"/>
      <c r="NIG42" s="214"/>
      <c r="NIH42" s="214"/>
      <c r="NII42" s="214"/>
      <c r="NIJ42" s="214"/>
      <c r="NIK42" s="214"/>
      <c r="NIL42" s="214"/>
      <c r="NIM42" s="214"/>
      <c r="NIN42" s="214"/>
      <c r="NIO42" s="214"/>
      <c r="NIP42" s="214"/>
      <c r="NIQ42" s="214"/>
      <c r="NIR42" s="214"/>
      <c r="NIS42" s="214"/>
      <c r="NIT42" s="214"/>
      <c r="NIU42" s="214"/>
      <c r="NIV42" s="214"/>
      <c r="NIW42" s="214"/>
      <c r="NIX42" s="214"/>
      <c r="NIY42" s="214"/>
      <c r="NIZ42" s="214"/>
      <c r="NJA42" s="214"/>
      <c r="NJB42" s="214"/>
      <c r="NJC42" s="214"/>
      <c r="NJD42" s="214"/>
      <c r="NJE42" s="214"/>
      <c r="NJF42" s="214"/>
      <c r="NJG42" s="214"/>
      <c r="NJH42" s="214"/>
      <c r="NJI42" s="214"/>
      <c r="NJJ42" s="214"/>
      <c r="NJK42" s="214"/>
      <c r="NJL42" s="214"/>
      <c r="NJM42" s="214"/>
      <c r="NJN42" s="214"/>
      <c r="NJO42" s="214"/>
      <c r="NJP42" s="214"/>
      <c r="NJQ42" s="214"/>
      <c r="NJR42" s="214"/>
      <c r="NJS42" s="214"/>
      <c r="NJT42" s="214"/>
      <c r="NJU42" s="214"/>
      <c r="NJV42" s="214"/>
      <c r="NJW42" s="214"/>
      <c r="NJX42" s="214"/>
      <c r="NJY42" s="214"/>
      <c r="NJZ42" s="214"/>
      <c r="NKA42" s="214"/>
      <c r="NKB42" s="214"/>
      <c r="NKC42" s="214"/>
      <c r="NKD42" s="214"/>
      <c r="NKE42" s="214"/>
      <c r="NKF42" s="214"/>
      <c r="NKG42" s="214"/>
      <c r="NKH42" s="214"/>
      <c r="NKI42" s="214"/>
      <c r="NKJ42" s="214"/>
      <c r="NKK42" s="214"/>
      <c r="NKL42" s="214"/>
      <c r="NKM42" s="214"/>
      <c r="NKN42" s="214"/>
      <c r="NKO42" s="214"/>
      <c r="NKP42" s="214"/>
      <c r="NKQ42" s="214"/>
      <c r="NKR42" s="214"/>
      <c r="NKS42" s="214"/>
      <c r="NKT42" s="214"/>
      <c r="NKU42" s="214"/>
      <c r="NKV42" s="214"/>
      <c r="NKW42" s="214"/>
      <c r="NKX42" s="214"/>
      <c r="NKY42" s="214"/>
      <c r="NKZ42" s="214"/>
      <c r="NLA42" s="214"/>
      <c r="NLB42" s="214"/>
      <c r="NLC42" s="214"/>
      <c r="NLD42" s="214"/>
      <c r="NLE42" s="214"/>
      <c r="NLF42" s="214"/>
      <c r="NLG42" s="214"/>
      <c r="NLH42" s="214"/>
      <c r="NLI42" s="214"/>
      <c r="NLJ42" s="214"/>
      <c r="NLK42" s="214"/>
      <c r="NLL42" s="214"/>
      <c r="NLM42" s="214"/>
      <c r="NLN42" s="214"/>
      <c r="NLO42" s="214"/>
      <c r="NLP42" s="214"/>
      <c r="NLQ42" s="214"/>
      <c r="NLR42" s="214"/>
      <c r="NLS42" s="214"/>
      <c r="NLT42" s="214"/>
      <c r="NLU42" s="214"/>
      <c r="NLV42" s="214"/>
      <c r="NLW42" s="214"/>
      <c r="NLX42" s="214"/>
      <c r="NLY42" s="214"/>
      <c r="NLZ42" s="214"/>
      <c r="NMA42" s="214"/>
      <c r="NMB42" s="214"/>
      <c r="NMC42" s="214"/>
      <c r="NMD42" s="214"/>
      <c r="NME42" s="214"/>
      <c r="NMF42" s="214"/>
      <c r="NMG42" s="214"/>
      <c r="NMH42" s="214"/>
      <c r="NMI42" s="214"/>
      <c r="NMJ42" s="214"/>
      <c r="NMK42" s="214"/>
      <c r="NML42" s="214"/>
      <c r="NMM42" s="214"/>
      <c r="NMN42" s="214"/>
      <c r="NMO42" s="214"/>
      <c r="NMP42" s="214"/>
      <c r="NMQ42" s="214"/>
      <c r="NMR42" s="214"/>
      <c r="NMS42" s="214"/>
      <c r="NMT42" s="214"/>
      <c r="NMU42" s="214"/>
      <c r="NMV42" s="214"/>
      <c r="NMW42" s="214"/>
      <c r="NMX42" s="214"/>
      <c r="NMY42" s="214"/>
      <c r="NMZ42" s="214"/>
      <c r="NNA42" s="214"/>
      <c r="NNB42" s="214"/>
      <c r="NNC42" s="214"/>
      <c r="NND42" s="214"/>
      <c r="NNE42" s="214"/>
      <c r="NNF42" s="214"/>
      <c r="NNG42" s="214"/>
      <c r="NNH42" s="214"/>
      <c r="NNI42" s="214"/>
      <c r="NNJ42" s="214"/>
      <c r="NNK42" s="214"/>
      <c r="NNL42" s="214"/>
      <c r="NNM42" s="214"/>
      <c r="NNN42" s="214"/>
      <c r="NNO42" s="214"/>
      <c r="NNP42" s="214"/>
      <c r="NNQ42" s="214"/>
      <c r="NNR42" s="214"/>
      <c r="NNS42" s="214"/>
      <c r="NNT42" s="214"/>
      <c r="NNU42" s="214"/>
      <c r="NNV42" s="214"/>
      <c r="NNW42" s="214"/>
      <c r="NNX42" s="214"/>
      <c r="NNY42" s="214"/>
      <c r="NNZ42" s="214"/>
      <c r="NOA42" s="214"/>
      <c r="NOB42" s="214"/>
      <c r="NOC42" s="214"/>
      <c r="NOD42" s="214"/>
      <c r="NOE42" s="214"/>
      <c r="NOF42" s="214"/>
      <c r="NOG42" s="214"/>
      <c r="NOH42" s="214"/>
      <c r="NOI42" s="214"/>
      <c r="NOJ42" s="214"/>
      <c r="NOK42" s="214"/>
      <c r="NOL42" s="214"/>
      <c r="NOM42" s="214"/>
      <c r="NON42" s="214"/>
      <c r="NOO42" s="214"/>
      <c r="NOP42" s="214"/>
      <c r="NOQ42" s="214"/>
      <c r="NOR42" s="214"/>
      <c r="NOS42" s="214"/>
      <c r="NOT42" s="214"/>
      <c r="NOU42" s="214"/>
      <c r="NOV42" s="214"/>
      <c r="NOW42" s="214"/>
      <c r="NOX42" s="214"/>
      <c r="NOY42" s="214"/>
      <c r="NOZ42" s="214"/>
      <c r="NPA42" s="214"/>
      <c r="NPB42" s="214"/>
      <c r="NPC42" s="214"/>
      <c r="NPD42" s="214"/>
      <c r="NPE42" s="214"/>
      <c r="NPF42" s="214"/>
      <c r="NPG42" s="214"/>
      <c r="NPH42" s="214"/>
      <c r="NPI42" s="214"/>
      <c r="NPJ42" s="214"/>
      <c r="NPK42" s="214"/>
      <c r="NPL42" s="214"/>
      <c r="NPM42" s="214"/>
      <c r="NPN42" s="214"/>
      <c r="NPO42" s="214"/>
      <c r="NPP42" s="214"/>
      <c r="NPQ42" s="214"/>
      <c r="NPR42" s="214"/>
      <c r="NPS42" s="214"/>
      <c r="NPT42" s="214"/>
      <c r="NPU42" s="214"/>
      <c r="NPV42" s="214"/>
      <c r="NPW42" s="214"/>
      <c r="NPX42" s="214"/>
      <c r="NPY42" s="214"/>
      <c r="NPZ42" s="214"/>
      <c r="NQA42" s="214"/>
      <c r="NQB42" s="214"/>
      <c r="NQC42" s="214"/>
      <c r="NQD42" s="214"/>
      <c r="NQE42" s="214"/>
      <c r="NQF42" s="214"/>
      <c r="NQG42" s="214"/>
      <c r="NQH42" s="214"/>
      <c r="NQI42" s="214"/>
      <c r="NQJ42" s="214"/>
      <c r="NQK42" s="214"/>
      <c r="NQL42" s="214"/>
      <c r="NQM42" s="214"/>
      <c r="NQN42" s="214"/>
      <c r="NQO42" s="214"/>
      <c r="NQP42" s="214"/>
      <c r="NQQ42" s="214"/>
      <c r="NQR42" s="214"/>
      <c r="NQS42" s="214"/>
      <c r="NQT42" s="214"/>
      <c r="NQU42" s="214"/>
      <c r="NQV42" s="214"/>
      <c r="NQW42" s="214"/>
      <c r="NQX42" s="214"/>
      <c r="NQY42" s="214"/>
      <c r="NQZ42" s="214"/>
      <c r="NRA42" s="214"/>
      <c r="NRB42" s="214"/>
      <c r="NRC42" s="214"/>
      <c r="NRD42" s="214"/>
      <c r="NRE42" s="214"/>
      <c r="NRF42" s="214"/>
      <c r="NRG42" s="214"/>
      <c r="NRH42" s="214"/>
      <c r="NRI42" s="214"/>
      <c r="NRJ42" s="214"/>
      <c r="NRK42" s="214"/>
      <c r="NRL42" s="214"/>
      <c r="NRM42" s="214"/>
      <c r="NRN42" s="214"/>
      <c r="NRO42" s="214"/>
      <c r="NRP42" s="214"/>
      <c r="NRQ42" s="214"/>
      <c r="NRR42" s="214"/>
      <c r="NRS42" s="214"/>
      <c r="NRT42" s="214"/>
      <c r="NRU42" s="214"/>
      <c r="NRV42" s="214"/>
      <c r="NRW42" s="214"/>
      <c r="NRX42" s="214"/>
      <c r="NRY42" s="214"/>
      <c r="NRZ42" s="214"/>
      <c r="NSA42" s="214"/>
      <c r="NSB42" s="214"/>
      <c r="NSC42" s="214"/>
      <c r="NSD42" s="214"/>
      <c r="NSE42" s="214"/>
      <c r="NSF42" s="214"/>
      <c r="NSG42" s="214"/>
      <c r="NSH42" s="214"/>
      <c r="NSI42" s="214"/>
      <c r="NSJ42" s="214"/>
      <c r="NSK42" s="214"/>
      <c r="NSL42" s="214"/>
      <c r="NSM42" s="214"/>
      <c r="NSN42" s="214"/>
      <c r="NSO42" s="214"/>
      <c r="NSP42" s="214"/>
      <c r="NSQ42" s="214"/>
      <c r="NSR42" s="214"/>
      <c r="NSS42" s="214"/>
      <c r="NST42" s="214"/>
      <c r="NSU42" s="214"/>
      <c r="NSV42" s="214"/>
      <c r="NSW42" s="214"/>
      <c r="NSX42" s="214"/>
      <c r="NSY42" s="214"/>
      <c r="NSZ42" s="214"/>
      <c r="NTA42" s="214"/>
      <c r="NTB42" s="214"/>
      <c r="NTC42" s="214"/>
      <c r="NTD42" s="214"/>
      <c r="NTE42" s="214"/>
      <c r="NTF42" s="214"/>
      <c r="NTG42" s="214"/>
      <c r="NTH42" s="214"/>
      <c r="NTI42" s="214"/>
      <c r="NTJ42" s="214"/>
      <c r="NTK42" s="214"/>
      <c r="NTL42" s="214"/>
      <c r="NTM42" s="214"/>
      <c r="NTN42" s="214"/>
      <c r="NTO42" s="214"/>
      <c r="NTP42" s="214"/>
      <c r="NTQ42" s="214"/>
      <c r="NTR42" s="214"/>
      <c r="NTS42" s="214"/>
      <c r="NTT42" s="214"/>
      <c r="NTU42" s="214"/>
      <c r="NTV42" s="214"/>
      <c r="NTW42" s="214"/>
      <c r="NTX42" s="214"/>
      <c r="NTY42" s="214"/>
      <c r="NTZ42" s="214"/>
      <c r="NUA42" s="214"/>
      <c r="NUB42" s="214"/>
      <c r="NUC42" s="214"/>
      <c r="NUD42" s="214"/>
      <c r="NUE42" s="214"/>
      <c r="NUF42" s="214"/>
      <c r="NUG42" s="214"/>
      <c r="NUH42" s="214"/>
      <c r="NUI42" s="214"/>
      <c r="NUJ42" s="214"/>
      <c r="NUK42" s="214"/>
      <c r="NUL42" s="214"/>
      <c r="NUM42" s="214"/>
      <c r="NUN42" s="214"/>
      <c r="NUO42" s="214"/>
      <c r="NUP42" s="214"/>
      <c r="NUQ42" s="214"/>
      <c r="NUR42" s="214"/>
      <c r="NUS42" s="214"/>
      <c r="NUT42" s="214"/>
      <c r="NUU42" s="214"/>
      <c r="NUV42" s="214"/>
      <c r="NUW42" s="214"/>
      <c r="NUX42" s="214"/>
      <c r="NUY42" s="214"/>
      <c r="NUZ42" s="214"/>
      <c r="NVA42" s="214"/>
      <c r="NVB42" s="214"/>
      <c r="NVC42" s="214"/>
      <c r="NVD42" s="214"/>
      <c r="NVE42" s="214"/>
      <c r="NVF42" s="214"/>
      <c r="NVG42" s="214"/>
      <c r="NVH42" s="214"/>
      <c r="NVI42" s="214"/>
      <c r="NVJ42" s="214"/>
      <c r="NVK42" s="214"/>
      <c r="NVL42" s="214"/>
      <c r="NVM42" s="214"/>
      <c r="NVN42" s="214"/>
      <c r="NVO42" s="214"/>
      <c r="NVP42" s="214"/>
      <c r="NVQ42" s="214"/>
      <c r="NVR42" s="214"/>
      <c r="NVS42" s="214"/>
      <c r="NVT42" s="214"/>
      <c r="NVU42" s="214"/>
      <c r="NVV42" s="214"/>
      <c r="NVW42" s="214"/>
      <c r="NVX42" s="214"/>
      <c r="NVY42" s="214"/>
      <c r="NVZ42" s="214"/>
      <c r="NWA42" s="214"/>
      <c r="NWB42" s="214"/>
      <c r="NWC42" s="214"/>
      <c r="NWD42" s="214"/>
      <c r="NWE42" s="214"/>
      <c r="NWF42" s="214"/>
      <c r="NWG42" s="214"/>
      <c r="NWH42" s="214"/>
      <c r="NWI42" s="214"/>
      <c r="NWJ42" s="214"/>
      <c r="NWK42" s="214"/>
      <c r="NWL42" s="214"/>
      <c r="NWM42" s="214"/>
      <c r="NWN42" s="214"/>
      <c r="NWO42" s="214"/>
      <c r="NWP42" s="214"/>
      <c r="NWQ42" s="214"/>
      <c r="NWR42" s="214"/>
      <c r="NWS42" s="214"/>
      <c r="NWT42" s="214"/>
      <c r="NWU42" s="214"/>
      <c r="NWV42" s="214"/>
      <c r="NWW42" s="214"/>
      <c r="NWX42" s="214"/>
      <c r="NWY42" s="214"/>
      <c r="NWZ42" s="214"/>
      <c r="NXA42" s="214"/>
      <c r="NXB42" s="214"/>
      <c r="NXC42" s="214"/>
      <c r="NXD42" s="214"/>
      <c r="NXE42" s="214"/>
      <c r="NXF42" s="214"/>
      <c r="NXG42" s="214"/>
      <c r="NXH42" s="214"/>
      <c r="NXI42" s="214"/>
      <c r="NXJ42" s="214"/>
      <c r="NXK42" s="214"/>
      <c r="NXL42" s="214"/>
      <c r="NXM42" s="214"/>
      <c r="NXN42" s="214"/>
      <c r="NXO42" s="214"/>
      <c r="NXP42" s="214"/>
      <c r="NXQ42" s="214"/>
      <c r="NXR42" s="214"/>
      <c r="NXS42" s="214"/>
      <c r="NXT42" s="214"/>
      <c r="NXU42" s="214"/>
      <c r="NXV42" s="214"/>
      <c r="NXW42" s="214"/>
      <c r="NXX42" s="214"/>
      <c r="NXY42" s="214"/>
      <c r="NXZ42" s="214"/>
      <c r="NYA42" s="214"/>
      <c r="NYB42" s="214"/>
      <c r="NYC42" s="214"/>
      <c r="NYD42" s="214"/>
      <c r="NYE42" s="214"/>
      <c r="NYF42" s="214"/>
      <c r="NYG42" s="214"/>
      <c r="NYH42" s="214"/>
      <c r="NYI42" s="214"/>
      <c r="NYJ42" s="214"/>
      <c r="NYK42" s="214"/>
      <c r="NYL42" s="214"/>
      <c r="NYM42" s="214"/>
      <c r="NYN42" s="214"/>
      <c r="NYO42" s="214"/>
      <c r="NYP42" s="214"/>
      <c r="NYQ42" s="214"/>
      <c r="NYR42" s="214"/>
      <c r="NYS42" s="214"/>
      <c r="NYT42" s="214"/>
      <c r="NYU42" s="214"/>
      <c r="NYV42" s="214"/>
      <c r="NYW42" s="214"/>
      <c r="NYX42" s="214"/>
      <c r="NYY42" s="214"/>
      <c r="NYZ42" s="214"/>
      <c r="NZA42" s="214"/>
      <c r="NZB42" s="214"/>
      <c r="NZC42" s="214"/>
      <c r="NZD42" s="214"/>
      <c r="NZE42" s="214"/>
      <c r="NZF42" s="214"/>
      <c r="NZG42" s="214"/>
      <c r="NZH42" s="214"/>
      <c r="NZI42" s="214"/>
      <c r="NZJ42" s="214"/>
      <c r="NZK42" s="214"/>
      <c r="NZL42" s="214"/>
      <c r="NZM42" s="214"/>
      <c r="NZN42" s="214"/>
      <c r="NZO42" s="214"/>
      <c r="NZP42" s="214"/>
      <c r="NZQ42" s="214"/>
      <c r="NZR42" s="214"/>
      <c r="NZS42" s="214"/>
      <c r="NZT42" s="214"/>
      <c r="NZU42" s="214"/>
      <c r="NZV42" s="214"/>
      <c r="NZW42" s="214"/>
      <c r="NZX42" s="214"/>
      <c r="NZY42" s="214"/>
      <c r="NZZ42" s="214"/>
      <c r="OAA42" s="214"/>
      <c r="OAB42" s="214"/>
      <c r="OAC42" s="214"/>
      <c r="OAD42" s="214"/>
      <c r="OAE42" s="214"/>
      <c r="OAF42" s="214"/>
      <c r="OAG42" s="214"/>
      <c r="OAH42" s="214"/>
      <c r="OAI42" s="214"/>
      <c r="OAJ42" s="214"/>
      <c r="OAK42" s="214"/>
      <c r="OAL42" s="214"/>
      <c r="OAM42" s="214"/>
      <c r="OAN42" s="214"/>
      <c r="OAO42" s="214"/>
      <c r="OAP42" s="214"/>
      <c r="OAQ42" s="214"/>
      <c r="OAR42" s="214"/>
      <c r="OAS42" s="214"/>
      <c r="OAT42" s="214"/>
      <c r="OAU42" s="214"/>
      <c r="OAV42" s="214"/>
      <c r="OAW42" s="214"/>
      <c r="OAX42" s="214"/>
      <c r="OAY42" s="214"/>
      <c r="OAZ42" s="214"/>
      <c r="OBA42" s="214"/>
      <c r="OBB42" s="214"/>
      <c r="OBC42" s="214"/>
      <c r="OBD42" s="214"/>
      <c r="OBE42" s="214"/>
      <c r="OBF42" s="214"/>
      <c r="OBG42" s="214"/>
      <c r="OBH42" s="214"/>
      <c r="OBI42" s="214"/>
      <c r="OBJ42" s="214"/>
      <c r="OBK42" s="214"/>
      <c r="OBL42" s="214"/>
      <c r="OBM42" s="214"/>
      <c r="OBN42" s="214"/>
      <c r="OBO42" s="214"/>
      <c r="OBP42" s="214"/>
      <c r="OBQ42" s="214"/>
      <c r="OBR42" s="214"/>
      <c r="OBS42" s="214"/>
      <c r="OBT42" s="214"/>
      <c r="OBU42" s="214"/>
      <c r="OBV42" s="214"/>
      <c r="OBW42" s="214"/>
      <c r="OBX42" s="214"/>
      <c r="OBY42" s="214"/>
      <c r="OBZ42" s="214"/>
      <c r="OCA42" s="214"/>
      <c r="OCB42" s="214"/>
      <c r="OCC42" s="214"/>
      <c r="OCD42" s="214"/>
      <c r="OCE42" s="214"/>
      <c r="OCF42" s="214"/>
      <c r="OCG42" s="214"/>
      <c r="OCH42" s="214"/>
      <c r="OCI42" s="214"/>
      <c r="OCJ42" s="214"/>
      <c r="OCK42" s="214"/>
      <c r="OCL42" s="214"/>
      <c r="OCM42" s="214"/>
      <c r="OCN42" s="214"/>
      <c r="OCO42" s="214"/>
      <c r="OCP42" s="214"/>
      <c r="OCQ42" s="214"/>
      <c r="OCR42" s="214"/>
      <c r="OCS42" s="214"/>
      <c r="OCT42" s="214"/>
      <c r="OCU42" s="214"/>
      <c r="OCV42" s="214"/>
      <c r="OCW42" s="214"/>
      <c r="OCX42" s="214"/>
      <c r="OCY42" s="214"/>
      <c r="OCZ42" s="214"/>
      <c r="ODA42" s="214"/>
      <c r="ODB42" s="214"/>
      <c r="ODC42" s="214"/>
      <c r="ODD42" s="214"/>
      <c r="ODE42" s="214"/>
      <c r="ODF42" s="214"/>
      <c r="ODG42" s="214"/>
      <c r="ODH42" s="214"/>
      <c r="ODI42" s="214"/>
      <c r="ODJ42" s="214"/>
      <c r="ODK42" s="214"/>
      <c r="ODL42" s="214"/>
      <c r="ODM42" s="214"/>
      <c r="ODN42" s="214"/>
      <c r="ODO42" s="214"/>
      <c r="ODP42" s="214"/>
      <c r="ODQ42" s="214"/>
      <c r="ODR42" s="214"/>
      <c r="ODS42" s="214"/>
      <c r="ODT42" s="214"/>
      <c r="ODU42" s="214"/>
      <c r="ODV42" s="214"/>
      <c r="ODW42" s="214"/>
      <c r="ODX42" s="214"/>
      <c r="ODY42" s="214"/>
      <c r="ODZ42" s="214"/>
      <c r="OEA42" s="214"/>
      <c r="OEB42" s="214"/>
      <c r="OEC42" s="214"/>
      <c r="OED42" s="214"/>
      <c r="OEE42" s="214"/>
      <c r="OEF42" s="214"/>
      <c r="OEG42" s="214"/>
      <c r="OEH42" s="214"/>
      <c r="OEI42" s="214"/>
      <c r="OEJ42" s="214"/>
      <c r="OEK42" s="214"/>
      <c r="OEL42" s="214"/>
      <c r="OEM42" s="214"/>
      <c r="OEN42" s="214"/>
      <c r="OEO42" s="214"/>
      <c r="OEP42" s="214"/>
      <c r="OEQ42" s="214"/>
      <c r="OER42" s="214"/>
      <c r="OES42" s="214"/>
      <c r="OET42" s="214"/>
      <c r="OEU42" s="214"/>
      <c r="OEV42" s="214"/>
      <c r="OEW42" s="214"/>
      <c r="OEX42" s="214"/>
      <c r="OEY42" s="214"/>
      <c r="OEZ42" s="214"/>
      <c r="OFA42" s="214"/>
      <c r="OFB42" s="214"/>
      <c r="OFC42" s="214"/>
      <c r="OFD42" s="214"/>
      <c r="OFE42" s="214"/>
      <c r="OFF42" s="214"/>
      <c r="OFG42" s="214"/>
      <c r="OFH42" s="214"/>
      <c r="OFI42" s="214"/>
      <c r="OFJ42" s="214"/>
      <c r="OFK42" s="214"/>
      <c r="OFL42" s="214"/>
      <c r="OFM42" s="214"/>
      <c r="OFN42" s="214"/>
      <c r="OFO42" s="214"/>
      <c r="OFP42" s="214"/>
      <c r="OFQ42" s="214"/>
      <c r="OFR42" s="214"/>
      <c r="OFS42" s="214"/>
      <c r="OFT42" s="214"/>
      <c r="OFU42" s="214"/>
      <c r="OFV42" s="214"/>
      <c r="OFW42" s="214"/>
      <c r="OFX42" s="214"/>
      <c r="OFY42" s="214"/>
      <c r="OFZ42" s="214"/>
      <c r="OGA42" s="214"/>
      <c r="OGB42" s="214"/>
      <c r="OGC42" s="214"/>
      <c r="OGD42" s="214"/>
      <c r="OGE42" s="214"/>
      <c r="OGF42" s="214"/>
      <c r="OGG42" s="214"/>
      <c r="OGH42" s="214"/>
      <c r="OGI42" s="214"/>
      <c r="OGJ42" s="214"/>
      <c r="OGK42" s="214"/>
      <c r="OGL42" s="214"/>
      <c r="OGM42" s="214"/>
      <c r="OGN42" s="214"/>
      <c r="OGO42" s="214"/>
      <c r="OGP42" s="214"/>
      <c r="OGQ42" s="214"/>
      <c r="OGR42" s="214"/>
      <c r="OGS42" s="214"/>
      <c r="OGT42" s="214"/>
      <c r="OGU42" s="214"/>
      <c r="OGV42" s="214"/>
      <c r="OGW42" s="214"/>
      <c r="OGX42" s="214"/>
      <c r="OGY42" s="214"/>
      <c r="OGZ42" s="214"/>
      <c r="OHA42" s="214"/>
      <c r="OHB42" s="214"/>
      <c r="OHC42" s="214"/>
      <c r="OHD42" s="214"/>
      <c r="OHE42" s="214"/>
      <c r="OHF42" s="214"/>
      <c r="OHG42" s="214"/>
      <c r="OHH42" s="214"/>
      <c r="OHI42" s="214"/>
      <c r="OHJ42" s="214"/>
      <c r="OHK42" s="214"/>
      <c r="OHL42" s="214"/>
      <c r="OHM42" s="214"/>
      <c r="OHN42" s="214"/>
      <c r="OHO42" s="214"/>
      <c r="OHP42" s="214"/>
      <c r="OHQ42" s="214"/>
      <c r="OHR42" s="214"/>
      <c r="OHS42" s="214"/>
      <c r="OHT42" s="214"/>
      <c r="OHU42" s="214"/>
      <c r="OHV42" s="214"/>
      <c r="OHW42" s="214"/>
      <c r="OHX42" s="214"/>
      <c r="OHY42" s="214"/>
      <c r="OHZ42" s="214"/>
      <c r="OIA42" s="214"/>
      <c r="OIB42" s="214"/>
      <c r="OIC42" s="214"/>
      <c r="OID42" s="214"/>
      <c r="OIE42" s="214"/>
      <c r="OIF42" s="214"/>
      <c r="OIG42" s="214"/>
      <c r="OIH42" s="214"/>
      <c r="OII42" s="214"/>
      <c r="OIJ42" s="214"/>
      <c r="OIK42" s="214"/>
      <c r="OIL42" s="214"/>
      <c r="OIM42" s="214"/>
      <c r="OIN42" s="214"/>
      <c r="OIO42" s="214"/>
      <c r="OIP42" s="214"/>
      <c r="OIQ42" s="214"/>
      <c r="OIR42" s="214"/>
      <c r="OIS42" s="214"/>
      <c r="OIT42" s="214"/>
      <c r="OIU42" s="214"/>
      <c r="OIV42" s="214"/>
      <c r="OIW42" s="214"/>
      <c r="OIX42" s="214"/>
      <c r="OIY42" s="214"/>
      <c r="OIZ42" s="214"/>
      <c r="OJA42" s="214"/>
      <c r="OJB42" s="214"/>
      <c r="OJC42" s="214"/>
      <c r="OJD42" s="214"/>
      <c r="OJE42" s="214"/>
      <c r="OJF42" s="214"/>
      <c r="OJG42" s="214"/>
      <c r="OJH42" s="214"/>
      <c r="OJI42" s="214"/>
      <c r="OJJ42" s="214"/>
      <c r="OJK42" s="214"/>
      <c r="OJL42" s="214"/>
      <c r="OJM42" s="214"/>
      <c r="OJN42" s="214"/>
      <c r="OJO42" s="214"/>
      <c r="OJP42" s="214"/>
      <c r="OJQ42" s="214"/>
      <c r="OJR42" s="214"/>
      <c r="OJS42" s="214"/>
      <c r="OJT42" s="214"/>
      <c r="OJU42" s="214"/>
      <c r="OJV42" s="214"/>
      <c r="OJW42" s="214"/>
      <c r="OJX42" s="214"/>
      <c r="OJY42" s="214"/>
      <c r="OJZ42" s="214"/>
      <c r="OKA42" s="214"/>
      <c r="OKB42" s="214"/>
      <c r="OKC42" s="214"/>
      <c r="OKD42" s="214"/>
      <c r="OKE42" s="214"/>
      <c r="OKF42" s="214"/>
      <c r="OKG42" s="214"/>
      <c r="OKH42" s="214"/>
      <c r="OKI42" s="214"/>
      <c r="OKJ42" s="214"/>
      <c r="OKK42" s="214"/>
      <c r="OKL42" s="214"/>
      <c r="OKM42" s="214"/>
      <c r="OKN42" s="214"/>
      <c r="OKO42" s="214"/>
      <c r="OKP42" s="214"/>
      <c r="OKQ42" s="214"/>
      <c r="OKR42" s="214"/>
      <c r="OKS42" s="214"/>
      <c r="OKT42" s="214"/>
      <c r="OKU42" s="214"/>
      <c r="OKV42" s="214"/>
      <c r="OKW42" s="214"/>
      <c r="OKX42" s="214"/>
      <c r="OKY42" s="214"/>
      <c r="OKZ42" s="214"/>
      <c r="OLA42" s="214"/>
      <c r="OLB42" s="214"/>
      <c r="OLC42" s="214"/>
      <c r="OLD42" s="214"/>
      <c r="OLE42" s="214"/>
      <c r="OLF42" s="214"/>
      <c r="OLG42" s="214"/>
      <c r="OLH42" s="214"/>
      <c r="OLI42" s="214"/>
      <c r="OLJ42" s="214"/>
      <c r="OLK42" s="214"/>
      <c r="OLL42" s="214"/>
      <c r="OLM42" s="214"/>
      <c r="OLN42" s="214"/>
      <c r="OLO42" s="214"/>
      <c r="OLP42" s="214"/>
      <c r="OLQ42" s="214"/>
      <c r="OLR42" s="214"/>
      <c r="OLS42" s="214"/>
      <c r="OLT42" s="214"/>
      <c r="OLU42" s="214"/>
      <c r="OLV42" s="214"/>
      <c r="OLW42" s="214"/>
      <c r="OLX42" s="214"/>
      <c r="OLY42" s="214"/>
      <c r="OLZ42" s="214"/>
      <c r="OMA42" s="214"/>
      <c r="OMB42" s="214"/>
      <c r="OMC42" s="214"/>
      <c r="OMD42" s="214"/>
      <c r="OME42" s="214"/>
      <c r="OMF42" s="214"/>
      <c r="OMG42" s="214"/>
      <c r="OMH42" s="214"/>
      <c r="OMI42" s="214"/>
      <c r="OMJ42" s="214"/>
      <c r="OMK42" s="214"/>
      <c r="OML42" s="214"/>
      <c r="OMM42" s="214"/>
      <c r="OMN42" s="214"/>
      <c r="OMO42" s="214"/>
      <c r="OMP42" s="214"/>
      <c r="OMQ42" s="214"/>
      <c r="OMR42" s="214"/>
      <c r="OMS42" s="214"/>
      <c r="OMT42" s="214"/>
      <c r="OMU42" s="214"/>
      <c r="OMV42" s="214"/>
      <c r="OMW42" s="214"/>
      <c r="OMX42" s="214"/>
      <c r="OMY42" s="214"/>
      <c r="OMZ42" s="214"/>
      <c r="ONA42" s="214"/>
      <c r="ONB42" s="214"/>
      <c r="ONC42" s="214"/>
      <c r="OND42" s="214"/>
      <c r="ONE42" s="214"/>
      <c r="ONF42" s="214"/>
      <c r="ONG42" s="214"/>
      <c r="ONH42" s="214"/>
      <c r="ONI42" s="214"/>
      <c r="ONJ42" s="214"/>
      <c r="ONK42" s="214"/>
      <c r="ONL42" s="214"/>
      <c r="ONM42" s="214"/>
      <c r="ONN42" s="214"/>
      <c r="ONO42" s="214"/>
      <c r="ONP42" s="214"/>
      <c r="ONQ42" s="214"/>
      <c r="ONR42" s="214"/>
      <c r="ONS42" s="214"/>
      <c r="ONT42" s="214"/>
      <c r="ONU42" s="214"/>
      <c r="ONV42" s="214"/>
      <c r="ONW42" s="214"/>
      <c r="ONX42" s="214"/>
      <c r="ONY42" s="214"/>
      <c r="ONZ42" s="214"/>
      <c r="OOA42" s="214"/>
      <c r="OOB42" s="214"/>
      <c r="OOC42" s="214"/>
      <c r="OOD42" s="214"/>
      <c r="OOE42" s="214"/>
      <c r="OOF42" s="214"/>
      <c r="OOG42" s="214"/>
      <c r="OOH42" s="214"/>
      <c r="OOI42" s="214"/>
      <c r="OOJ42" s="214"/>
      <c r="OOK42" s="214"/>
      <c r="OOL42" s="214"/>
      <c r="OOM42" s="214"/>
      <c r="OON42" s="214"/>
      <c r="OOO42" s="214"/>
      <c r="OOP42" s="214"/>
      <c r="OOQ42" s="214"/>
      <c r="OOR42" s="214"/>
      <c r="OOS42" s="214"/>
      <c r="OOT42" s="214"/>
      <c r="OOU42" s="214"/>
      <c r="OOV42" s="214"/>
      <c r="OOW42" s="214"/>
      <c r="OOX42" s="214"/>
      <c r="OOY42" s="214"/>
      <c r="OOZ42" s="214"/>
      <c r="OPA42" s="214"/>
      <c r="OPB42" s="214"/>
      <c r="OPC42" s="214"/>
      <c r="OPD42" s="214"/>
      <c r="OPE42" s="214"/>
      <c r="OPF42" s="214"/>
      <c r="OPG42" s="214"/>
      <c r="OPH42" s="214"/>
      <c r="OPI42" s="214"/>
      <c r="OPJ42" s="214"/>
      <c r="OPK42" s="214"/>
      <c r="OPL42" s="214"/>
      <c r="OPM42" s="214"/>
      <c r="OPN42" s="214"/>
      <c r="OPO42" s="214"/>
      <c r="OPP42" s="214"/>
      <c r="OPQ42" s="214"/>
      <c r="OPR42" s="214"/>
      <c r="OPS42" s="214"/>
      <c r="OPT42" s="214"/>
      <c r="OPU42" s="214"/>
      <c r="OPV42" s="214"/>
      <c r="OPW42" s="214"/>
      <c r="OPX42" s="214"/>
      <c r="OPY42" s="214"/>
      <c r="OPZ42" s="214"/>
      <c r="OQA42" s="214"/>
      <c r="OQB42" s="214"/>
      <c r="OQC42" s="214"/>
      <c r="OQD42" s="214"/>
      <c r="OQE42" s="214"/>
      <c r="OQF42" s="214"/>
      <c r="OQG42" s="214"/>
      <c r="OQH42" s="214"/>
      <c r="OQI42" s="214"/>
      <c r="OQJ42" s="214"/>
      <c r="OQK42" s="214"/>
      <c r="OQL42" s="214"/>
      <c r="OQM42" s="214"/>
      <c r="OQN42" s="214"/>
      <c r="OQO42" s="214"/>
      <c r="OQP42" s="214"/>
      <c r="OQQ42" s="214"/>
      <c r="OQR42" s="214"/>
      <c r="OQS42" s="214"/>
      <c r="OQT42" s="214"/>
      <c r="OQU42" s="214"/>
      <c r="OQV42" s="214"/>
      <c r="OQW42" s="214"/>
      <c r="OQX42" s="214"/>
      <c r="OQY42" s="214"/>
      <c r="OQZ42" s="214"/>
      <c r="ORA42" s="214"/>
      <c r="ORB42" s="214"/>
      <c r="ORC42" s="214"/>
      <c r="ORD42" s="214"/>
      <c r="ORE42" s="214"/>
      <c r="ORF42" s="214"/>
      <c r="ORG42" s="214"/>
      <c r="ORH42" s="214"/>
      <c r="ORI42" s="214"/>
      <c r="ORJ42" s="214"/>
      <c r="ORK42" s="214"/>
      <c r="ORL42" s="214"/>
      <c r="ORM42" s="214"/>
      <c r="ORN42" s="214"/>
      <c r="ORO42" s="214"/>
      <c r="ORP42" s="214"/>
      <c r="ORQ42" s="214"/>
      <c r="ORR42" s="214"/>
      <c r="ORS42" s="214"/>
      <c r="ORT42" s="214"/>
      <c r="ORU42" s="214"/>
      <c r="ORV42" s="214"/>
      <c r="ORW42" s="214"/>
      <c r="ORX42" s="214"/>
      <c r="ORY42" s="214"/>
      <c r="ORZ42" s="214"/>
      <c r="OSA42" s="214"/>
      <c r="OSB42" s="214"/>
      <c r="OSC42" s="214"/>
      <c r="OSD42" s="214"/>
      <c r="OSE42" s="214"/>
      <c r="OSF42" s="214"/>
      <c r="OSG42" s="214"/>
      <c r="OSH42" s="214"/>
      <c r="OSI42" s="214"/>
      <c r="OSJ42" s="214"/>
      <c r="OSK42" s="214"/>
      <c r="OSL42" s="214"/>
      <c r="OSM42" s="214"/>
      <c r="OSN42" s="214"/>
      <c r="OSO42" s="214"/>
      <c r="OSP42" s="214"/>
      <c r="OSQ42" s="214"/>
      <c r="OSR42" s="214"/>
      <c r="OSS42" s="214"/>
      <c r="OST42" s="214"/>
      <c r="OSU42" s="214"/>
      <c r="OSV42" s="214"/>
      <c r="OSW42" s="214"/>
      <c r="OSX42" s="214"/>
      <c r="OSY42" s="214"/>
      <c r="OSZ42" s="214"/>
      <c r="OTA42" s="214"/>
      <c r="OTB42" s="214"/>
      <c r="OTC42" s="214"/>
      <c r="OTD42" s="214"/>
      <c r="OTE42" s="214"/>
      <c r="OTF42" s="214"/>
      <c r="OTG42" s="214"/>
      <c r="OTH42" s="214"/>
      <c r="OTI42" s="214"/>
      <c r="OTJ42" s="214"/>
      <c r="OTK42" s="214"/>
      <c r="OTL42" s="214"/>
      <c r="OTM42" s="214"/>
      <c r="OTN42" s="214"/>
      <c r="OTO42" s="214"/>
      <c r="OTP42" s="214"/>
      <c r="OTQ42" s="214"/>
      <c r="OTR42" s="214"/>
      <c r="OTS42" s="214"/>
      <c r="OTT42" s="214"/>
      <c r="OTU42" s="214"/>
      <c r="OTV42" s="214"/>
      <c r="OTW42" s="214"/>
      <c r="OTX42" s="214"/>
      <c r="OTY42" s="214"/>
      <c r="OTZ42" s="214"/>
      <c r="OUA42" s="214"/>
      <c r="OUB42" s="214"/>
      <c r="OUC42" s="214"/>
      <c r="OUD42" s="214"/>
      <c r="OUE42" s="214"/>
      <c r="OUF42" s="214"/>
      <c r="OUG42" s="214"/>
      <c r="OUH42" s="214"/>
      <c r="OUI42" s="214"/>
      <c r="OUJ42" s="214"/>
      <c r="OUK42" s="214"/>
      <c r="OUL42" s="214"/>
      <c r="OUM42" s="214"/>
      <c r="OUN42" s="214"/>
      <c r="OUO42" s="214"/>
      <c r="OUP42" s="214"/>
      <c r="OUQ42" s="214"/>
      <c r="OUR42" s="214"/>
      <c r="OUS42" s="214"/>
      <c r="OUT42" s="214"/>
      <c r="OUU42" s="214"/>
      <c r="OUV42" s="214"/>
      <c r="OUW42" s="214"/>
      <c r="OUX42" s="214"/>
      <c r="OUY42" s="214"/>
      <c r="OUZ42" s="214"/>
      <c r="OVA42" s="214"/>
      <c r="OVB42" s="214"/>
      <c r="OVC42" s="214"/>
      <c r="OVD42" s="214"/>
      <c r="OVE42" s="214"/>
      <c r="OVF42" s="214"/>
      <c r="OVG42" s="214"/>
      <c r="OVH42" s="214"/>
      <c r="OVI42" s="214"/>
      <c r="OVJ42" s="214"/>
      <c r="OVK42" s="214"/>
      <c r="OVL42" s="214"/>
      <c r="OVM42" s="214"/>
      <c r="OVN42" s="214"/>
      <c r="OVO42" s="214"/>
      <c r="OVP42" s="214"/>
      <c r="OVQ42" s="214"/>
      <c r="OVR42" s="214"/>
      <c r="OVS42" s="214"/>
      <c r="OVT42" s="214"/>
      <c r="OVU42" s="214"/>
      <c r="OVV42" s="214"/>
      <c r="OVW42" s="214"/>
      <c r="OVX42" s="214"/>
      <c r="OVY42" s="214"/>
      <c r="OVZ42" s="214"/>
      <c r="OWA42" s="214"/>
      <c r="OWB42" s="214"/>
      <c r="OWC42" s="214"/>
      <c r="OWD42" s="214"/>
      <c r="OWE42" s="214"/>
      <c r="OWF42" s="214"/>
      <c r="OWG42" s="214"/>
      <c r="OWH42" s="214"/>
      <c r="OWI42" s="214"/>
      <c r="OWJ42" s="214"/>
      <c r="OWK42" s="214"/>
      <c r="OWL42" s="214"/>
      <c r="OWM42" s="214"/>
      <c r="OWN42" s="214"/>
      <c r="OWO42" s="214"/>
      <c r="OWP42" s="214"/>
      <c r="OWQ42" s="214"/>
      <c r="OWR42" s="214"/>
      <c r="OWS42" s="214"/>
      <c r="OWT42" s="214"/>
      <c r="OWU42" s="214"/>
      <c r="OWV42" s="214"/>
      <c r="OWW42" s="214"/>
      <c r="OWX42" s="214"/>
      <c r="OWY42" s="214"/>
      <c r="OWZ42" s="214"/>
      <c r="OXA42" s="214"/>
      <c r="OXB42" s="214"/>
      <c r="OXC42" s="214"/>
      <c r="OXD42" s="214"/>
      <c r="OXE42" s="214"/>
      <c r="OXF42" s="214"/>
      <c r="OXG42" s="214"/>
      <c r="OXH42" s="214"/>
      <c r="OXI42" s="214"/>
      <c r="OXJ42" s="214"/>
      <c r="OXK42" s="214"/>
      <c r="OXL42" s="214"/>
      <c r="OXM42" s="214"/>
      <c r="OXN42" s="214"/>
      <c r="OXO42" s="214"/>
      <c r="OXP42" s="214"/>
      <c r="OXQ42" s="214"/>
      <c r="OXR42" s="214"/>
      <c r="OXS42" s="214"/>
      <c r="OXT42" s="214"/>
      <c r="OXU42" s="214"/>
      <c r="OXV42" s="214"/>
      <c r="OXW42" s="214"/>
      <c r="OXX42" s="214"/>
      <c r="OXY42" s="214"/>
      <c r="OXZ42" s="214"/>
      <c r="OYA42" s="214"/>
      <c r="OYB42" s="214"/>
      <c r="OYC42" s="214"/>
      <c r="OYD42" s="214"/>
      <c r="OYE42" s="214"/>
      <c r="OYF42" s="214"/>
      <c r="OYG42" s="214"/>
      <c r="OYH42" s="214"/>
      <c r="OYI42" s="214"/>
      <c r="OYJ42" s="214"/>
      <c r="OYK42" s="214"/>
      <c r="OYL42" s="214"/>
      <c r="OYM42" s="214"/>
      <c r="OYN42" s="214"/>
      <c r="OYO42" s="214"/>
      <c r="OYP42" s="214"/>
      <c r="OYQ42" s="214"/>
      <c r="OYR42" s="214"/>
      <c r="OYS42" s="214"/>
      <c r="OYT42" s="214"/>
      <c r="OYU42" s="214"/>
      <c r="OYV42" s="214"/>
      <c r="OYW42" s="214"/>
      <c r="OYX42" s="214"/>
      <c r="OYY42" s="214"/>
      <c r="OYZ42" s="214"/>
      <c r="OZA42" s="214"/>
      <c r="OZB42" s="214"/>
      <c r="OZC42" s="214"/>
      <c r="OZD42" s="214"/>
      <c r="OZE42" s="214"/>
      <c r="OZF42" s="214"/>
      <c r="OZG42" s="214"/>
      <c r="OZH42" s="214"/>
      <c r="OZI42" s="214"/>
      <c r="OZJ42" s="214"/>
      <c r="OZK42" s="214"/>
      <c r="OZL42" s="214"/>
      <c r="OZM42" s="214"/>
      <c r="OZN42" s="214"/>
      <c r="OZO42" s="214"/>
      <c r="OZP42" s="214"/>
      <c r="OZQ42" s="214"/>
      <c r="OZR42" s="214"/>
      <c r="OZS42" s="214"/>
      <c r="OZT42" s="214"/>
      <c r="OZU42" s="214"/>
      <c r="OZV42" s="214"/>
      <c r="OZW42" s="214"/>
      <c r="OZX42" s="214"/>
      <c r="OZY42" s="214"/>
      <c r="OZZ42" s="214"/>
      <c r="PAA42" s="214"/>
      <c r="PAB42" s="214"/>
      <c r="PAC42" s="214"/>
      <c r="PAD42" s="214"/>
      <c r="PAE42" s="214"/>
      <c r="PAF42" s="214"/>
      <c r="PAG42" s="214"/>
      <c r="PAH42" s="214"/>
      <c r="PAI42" s="214"/>
      <c r="PAJ42" s="214"/>
      <c r="PAK42" s="214"/>
      <c r="PAL42" s="214"/>
      <c r="PAM42" s="214"/>
      <c r="PAN42" s="214"/>
      <c r="PAO42" s="214"/>
      <c r="PAP42" s="214"/>
      <c r="PAQ42" s="214"/>
      <c r="PAR42" s="214"/>
      <c r="PAS42" s="214"/>
      <c r="PAT42" s="214"/>
      <c r="PAU42" s="214"/>
      <c r="PAV42" s="214"/>
      <c r="PAW42" s="214"/>
      <c r="PAX42" s="214"/>
      <c r="PAY42" s="214"/>
      <c r="PAZ42" s="214"/>
      <c r="PBA42" s="214"/>
      <c r="PBB42" s="214"/>
      <c r="PBC42" s="214"/>
      <c r="PBD42" s="214"/>
      <c r="PBE42" s="214"/>
      <c r="PBF42" s="214"/>
      <c r="PBG42" s="214"/>
      <c r="PBH42" s="214"/>
      <c r="PBI42" s="214"/>
      <c r="PBJ42" s="214"/>
      <c r="PBK42" s="214"/>
      <c r="PBL42" s="214"/>
      <c r="PBM42" s="214"/>
      <c r="PBN42" s="214"/>
      <c r="PBO42" s="214"/>
      <c r="PBP42" s="214"/>
      <c r="PBQ42" s="214"/>
      <c r="PBR42" s="214"/>
      <c r="PBS42" s="214"/>
      <c r="PBT42" s="214"/>
      <c r="PBU42" s="214"/>
      <c r="PBV42" s="214"/>
      <c r="PBW42" s="214"/>
      <c r="PBX42" s="214"/>
      <c r="PBY42" s="214"/>
      <c r="PBZ42" s="214"/>
      <c r="PCA42" s="214"/>
      <c r="PCB42" s="214"/>
      <c r="PCC42" s="214"/>
      <c r="PCD42" s="214"/>
      <c r="PCE42" s="214"/>
      <c r="PCF42" s="214"/>
      <c r="PCG42" s="214"/>
      <c r="PCH42" s="214"/>
      <c r="PCI42" s="214"/>
      <c r="PCJ42" s="214"/>
      <c r="PCK42" s="214"/>
      <c r="PCL42" s="214"/>
      <c r="PCM42" s="214"/>
      <c r="PCN42" s="214"/>
      <c r="PCO42" s="214"/>
      <c r="PCP42" s="214"/>
      <c r="PCQ42" s="214"/>
      <c r="PCR42" s="214"/>
      <c r="PCS42" s="214"/>
      <c r="PCT42" s="214"/>
      <c r="PCU42" s="214"/>
      <c r="PCV42" s="214"/>
      <c r="PCW42" s="214"/>
      <c r="PCX42" s="214"/>
      <c r="PCY42" s="214"/>
      <c r="PCZ42" s="214"/>
      <c r="PDA42" s="214"/>
      <c r="PDB42" s="214"/>
      <c r="PDC42" s="214"/>
      <c r="PDD42" s="214"/>
      <c r="PDE42" s="214"/>
      <c r="PDF42" s="214"/>
      <c r="PDG42" s="214"/>
      <c r="PDH42" s="214"/>
      <c r="PDI42" s="214"/>
      <c r="PDJ42" s="214"/>
      <c r="PDK42" s="214"/>
      <c r="PDL42" s="214"/>
      <c r="PDM42" s="214"/>
      <c r="PDN42" s="214"/>
      <c r="PDO42" s="214"/>
      <c r="PDP42" s="214"/>
      <c r="PDQ42" s="214"/>
      <c r="PDR42" s="214"/>
      <c r="PDS42" s="214"/>
      <c r="PDT42" s="214"/>
      <c r="PDU42" s="214"/>
      <c r="PDV42" s="214"/>
      <c r="PDW42" s="214"/>
      <c r="PDX42" s="214"/>
      <c r="PDY42" s="214"/>
      <c r="PDZ42" s="214"/>
      <c r="PEA42" s="214"/>
      <c r="PEB42" s="214"/>
      <c r="PEC42" s="214"/>
      <c r="PED42" s="214"/>
      <c r="PEE42" s="214"/>
      <c r="PEF42" s="214"/>
      <c r="PEG42" s="214"/>
      <c r="PEH42" s="214"/>
      <c r="PEI42" s="214"/>
      <c r="PEJ42" s="214"/>
      <c r="PEK42" s="214"/>
      <c r="PEL42" s="214"/>
      <c r="PEM42" s="214"/>
      <c r="PEN42" s="214"/>
      <c r="PEO42" s="214"/>
      <c r="PEP42" s="214"/>
      <c r="PEQ42" s="214"/>
      <c r="PER42" s="214"/>
      <c r="PES42" s="214"/>
      <c r="PET42" s="214"/>
      <c r="PEU42" s="214"/>
      <c r="PEV42" s="214"/>
      <c r="PEW42" s="214"/>
      <c r="PEX42" s="214"/>
      <c r="PEY42" s="214"/>
      <c r="PEZ42" s="214"/>
      <c r="PFA42" s="214"/>
      <c r="PFB42" s="214"/>
      <c r="PFC42" s="214"/>
      <c r="PFD42" s="214"/>
      <c r="PFE42" s="214"/>
      <c r="PFF42" s="214"/>
      <c r="PFG42" s="214"/>
      <c r="PFH42" s="214"/>
      <c r="PFI42" s="214"/>
      <c r="PFJ42" s="214"/>
      <c r="PFK42" s="214"/>
      <c r="PFL42" s="214"/>
      <c r="PFM42" s="214"/>
      <c r="PFN42" s="214"/>
      <c r="PFO42" s="214"/>
      <c r="PFP42" s="214"/>
      <c r="PFQ42" s="214"/>
      <c r="PFR42" s="214"/>
      <c r="PFS42" s="214"/>
      <c r="PFT42" s="214"/>
      <c r="PFU42" s="214"/>
      <c r="PFV42" s="214"/>
      <c r="PFW42" s="214"/>
      <c r="PFX42" s="214"/>
      <c r="PFY42" s="214"/>
      <c r="PFZ42" s="214"/>
      <c r="PGA42" s="214"/>
      <c r="PGB42" s="214"/>
      <c r="PGC42" s="214"/>
      <c r="PGD42" s="214"/>
      <c r="PGE42" s="214"/>
      <c r="PGF42" s="214"/>
      <c r="PGG42" s="214"/>
      <c r="PGH42" s="214"/>
      <c r="PGI42" s="214"/>
      <c r="PGJ42" s="214"/>
      <c r="PGK42" s="214"/>
      <c r="PGL42" s="214"/>
      <c r="PGM42" s="214"/>
      <c r="PGN42" s="214"/>
      <c r="PGO42" s="214"/>
      <c r="PGP42" s="214"/>
      <c r="PGQ42" s="214"/>
      <c r="PGR42" s="214"/>
      <c r="PGS42" s="214"/>
      <c r="PGT42" s="214"/>
      <c r="PGU42" s="214"/>
      <c r="PGV42" s="214"/>
      <c r="PGW42" s="214"/>
      <c r="PGX42" s="214"/>
      <c r="PGY42" s="214"/>
      <c r="PGZ42" s="214"/>
      <c r="PHA42" s="214"/>
      <c r="PHB42" s="214"/>
      <c r="PHC42" s="214"/>
      <c r="PHD42" s="214"/>
      <c r="PHE42" s="214"/>
      <c r="PHF42" s="214"/>
      <c r="PHG42" s="214"/>
      <c r="PHH42" s="214"/>
      <c r="PHI42" s="214"/>
      <c r="PHJ42" s="214"/>
      <c r="PHK42" s="214"/>
      <c r="PHL42" s="214"/>
      <c r="PHM42" s="214"/>
      <c r="PHN42" s="214"/>
      <c r="PHO42" s="214"/>
      <c r="PHP42" s="214"/>
      <c r="PHQ42" s="214"/>
      <c r="PHR42" s="214"/>
      <c r="PHS42" s="214"/>
      <c r="PHT42" s="214"/>
      <c r="PHU42" s="214"/>
      <c r="PHV42" s="214"/>
      <c r="PHW42" s="214"/>
      <c r="PHX42" s="214"/>
      <c r="PHY42" s="214"/>
      <c r="PHZ42" s="214"/>
      <c r="PIA42" s="214"/>
      <c r="PIB42" s="214"/>
      <c r="PIC42" s="214"/>
      <c r="PID42" s="214"/>
      <c r="PIE42" s="214"/>
      <c r="PIF42" s="214"/>
      <c r="PIG42" s="214"/>
      <c r="PIH42" s="214"/>
      <c r="PII42" s="214"/>
      <c r="PIJ42" s="214"/>
      <c r="PIK42" s="214"/>
      <c r="PIL42" s="214"/>
      <c r="PIM42" s="214"/>
      <c r="PIN42" s="214"/>
      <c r="PIO42" s="214"/>
      <c r="PIP42" s="214"/>
      <c r="PIQ42" s="214"/>
      <c r="PIR42" s="214"/>
      <c r="PIS42" s="214"/>
      <c r="PIT42" s="214"/>
      <c r="PIU42" s="214"/>
      <c r="PIV42" s="214"/>
      <c r="PIW42" s="214"/>
      <c r="PIX42" s="214"/>
      <c r="PIY42" s="214"/>
      <c r="PIZ42" s="214"/>
      <c r="PJA42" s="214"/>
      <c r="PJB42" s="214"/>
      <c r="PJC42" s="214"/>
      <c r="PJD42" s="214"/>
      <c r="PJE42" s="214"/>
      <c r="PJF42" s="214"/>
      <c r="PJG42" s="214"/>
      <c r="PJH42" s="214"/>
      <c r="PJI42" s="214"/>
      <c r="PJJ42" s="214"/>
      <c r="PJK42" s="214"/>
      <c r="PJL42" s="214"/>
      <c r="PJM42" s="214"/>
      <c r="PJN42" s="214"/>
      <c r="PJO42" s="214"/>
      <c r="PJP42" s="214"/>
      <c r="PJQ42" s="214"/>
      <c r="PJR42" s="214"/>
      <c r="PJS42" s="214"/>
      <c r="PJT42" s="214"/>
      <c r="PJU42" s="214"/>
      <c r="PJV42" s="214"/>
      <c r="PJW42" s="214"/>
      <c r="PJX42" s="214"/>
      <c r="PJY42" s="214"/>
      <c r="PJZ42" s="214"/>
      <c r="PKA42" s="214"/>
      <c r="PKB42" s="214"/>
      <c r="PKC42" s="214"/>
      <c r="PKD42" s="214"/>
      <c r="PKE42" s="214"/>
      <c r="PKF42" s="214"/>
      <c r="PKG42" s="214"/>
      <c r="PKH42" s="214"/>
      <c r="PKI42" s="214"/>
      <c r="PKJ42" s="214"/>
      <c r="PKK42" s="214"/>
      <c r="PKL42" s="214"/>
      <c r="PKM42" s="214"/>
      <c r="PKN42" s="214"/>
      <c r="PKO42" s="214"/>
      <c r="PKP42" s="214"/>
      <c r="PKQ42" s="214"/>
      <c r="PKR42" s="214"/>
      <c r="PKS42" s="214"/>
      <c r="PKT42" s="214"/>
      <c r="PKU42" s="214"/>
      <c r="PKV42" s="214"/>
      <c r="PKW42" s="214"/>
      <c r="PKX42" s="214"/>
      <c r="PKY42" s="214"/>
      <c r="PKZ42" s="214"/>
      <c r="PLA42" s="214"/>
      <c r="PLB42" s="214"/>
      <c r="PLC42" s="214"/>
      <c r="PLD42" s="214"/>
      <c r="PLE42" s="214"/>
      <c r="PLF42" s="214"/>
      <c r="PLG42" s="214"/>
      <c r="PLH42" s="214"/>
      <c r="PLI42" s="214"/>
      <c r="PLJ42" s="214"/>
      <c r="PLK42" s="214"/>
      <c r="PLL42" s="214"/>
      <c r="PLM42" s="214"/>
      <c r="PLN42" s="214"/>
      <c r="PLO42" s="214"/>
      <c r="PLP42" s="214"/>
      <c r="PLQ42" s="214"/>
      <c r="PLR42" s="214"/>
      <c r="PLS42" s="214"/>
      <c r="PLT42" s="214"/>
      <c r="PLU42" s="214"/>
      <c r="PLV42" s="214"/>
      <c r="PLW42" s="214"/>
      <c r="PLX42" s="214"/>
      <c r="PLY42" s="214"/>
      <c r="PLZ42" s="214"/>
      <c r="PMA42" s="214"/>
      <c r="PMB42" s="214"/>
      <c r="PMC42" s="214"/>
      <c r="PMD42" s="214"/>
      <c r="PME42" s="214"/>
      <c r="PMF42" s="214"/>
      <c r="PMG42" s="214"/>
      <c r="PMH42" s="214"/>
      <c r="PMI42" s="214"/>
      <c r="PMJ42" s="214"/>
      <c r="PMK42" s="214"/>
      <c r="PML42" s="214"/>
      <c r="PMM42" s="214"/>
      <c r="PMN42" s="214"/>
      <c r="PMO42" s="214"/>
      <c r="PMP42" s="214"/>
      <c r="PMQ42" s="214"/>
      <c r="PMR42" s="214"/>
      <c r="PMS42" s="214"/>
      <c r="PMT42" s="214"/>
      <c r="PMU42" s="214"/>
      <c r="PMV42" s="214"/>
      <c r="PMW42" s="214"/>
      <c r="PMX42" s="214"/>
      <c r="PMY42" s="214"/>
      <c r="PMZ42" s="214"/>
      <c r="PNA42" s="214"/>
      <c r="PNB42" s="214"/>
      <c r="PNC42" s="214"/>
      <c r="PND42" s="214"/>
      <c r="PNE42" s="214"/>
      <c r="PNF42" s="214"/>
      <c r="PNG42" s="214"/>
      <c r="PNH42" s="214"/>
      <c r="PNI42" s="214"/>
      <c r="PNJ42" s="214"/>
      <c r="PNK42" s="214"/>
      <c r="PNL42" s="214"/>
      <c r="PNM42" s="214"/>
      <c r="PNN42" s="214"/>
      <c r="PNO42" s="214"/>
      <c r="PNP42" s="214"/>
      <c r="PNQ42" s="214"/>
      <c r="PNR42" s="214"/>
      <c r="PNS42" s="214"/>
      <c r="PNT42" s="214"/>
      <c r="PNU42" s="214"/>
      <c r="PNV42" s="214"/>
      <c r="PNW42" s="214"/>
      <c r="PNX42" s="214"/>
      <c r="PNY42" s="214"/>
      <c r="PNZ42" s="214"/>
      <c r="POA42" s="214"/>
      <c r="POB42" s="214"/>
      <c r="POC42" s="214"/>
      <c r="POD42" s="214"/>
      <c r="POE42" s="214"/>
      <c r="POF42" s="214"/>
      <c r="POG42" s="214"/>
      <c r="POH42" s="214"/>
      <c r="POI42" s="214"/>
      <c r="POJ42" s="214"/>
      <c r="POK42" s="214"/>
      <c r="POL42" s="214"/>
      <c r="POM42" s="214"/>
      <c r="PON42" s="214"/>
      <c r="POO42" s="214"/>
      <c r="POP42" s="214"/>
      <c r="POQ42" s="214"/>
      <c r="POR42" s="214"/>
      <c r="POS42" s="214"/>
      <c r="POT42" s="214"/>
      <c r="POU42" s="214"/>
      <c r="POV42" s="214"/>
      <c r="POW42" s="214"/>
      <c r="POX42" s="214"/>
      <c r="POY42" s="214"/>
      <c r="POZ42" s="214"/>
      <c r="PPA42" s="214"/>
      <c r="PPB42" s="214"/>
      <c r="PPC42" s="214"/>
      <c r="PPD42" s="214"/>
      <c r="PPE42" s="214"/>
      <c r="PPF42" s="214"/>
      <c r="PPG42" s="214"/>
      <c r="PPH42" s="214"/>
      <c r="PPI42" s="214"/>
      <c r="PPJ42" s="214"/>
      <c r="PPK42" s="214"/>
      <c r="PPL42" s="214"/>
      <c r="PPM42" s="214"/>
      <c r="PPN42" s="214"/>
      <c r="PPO42" s="214"/>
      <c r="PPP42" s="214"/>
      <c r="PPQ42" s="214"/>
      <c r="PPR42" s="214"/>
      <c r="PPS42" s="214"/>
      <c r="PPT42" s="214"/>
      <c r="PPU42" s="214"/>
      <c r="PPV42" s="214"/>
      <c r="PPW42" s="214"/>
      <c r="PPX42" s="214"/>
      <c r="PPY42" s="214"/>
      <c r="PPZ42" s="214"/>
      <c r="PQA42" s="214"/>
      <c r="PQB42" s="214"/>
      <c r="PQC42" s="214"/>
      <c r="PQD42" s="214"/>
      <c r="PQE42" s="214"/>
      <c r="PQF42" s="214"/>
      <c r="PQG42" s="214"/>
      <c r="PQH42" s="214"/>
      <c r="PQI42" s="214"/>
      <c r="PQJ42" s="214"/>
      <c r="PQK42" s="214"/>
      <c r="PQL42" s="214"/>
      <c r="PQM42" s="214"/>
      <c r="PQN42" s="214"/>
      <c r="PQO42" s="214"/>
      <c r="PQP42" s="214"/>
      <c r="PQQ42" s="214"/>
      <c r="PQR42" s="214"/>
      <c r="PQS42" s="214"/>
      <c r="PQT42" s="214"/>
      <c r="PQU42" s="214"/>
      <c r="PQV42" s="214"/>
      <c r="PQW42" s="214"/>
      <c r="PQX42" s="214"/>
      <c r="PQY42" s="214"/>
      <c r="PQZ42" s="214"/>
      <c r="PRA42" s="214"/>
      <c r="PRB42" s="214"/>
      <c r="PRC42" s="214"/>
      <c r="PRD42" s="214"/>
      <c r="PRE42" s="214"/>
      <c r="PRF42" s="214"/>
      <c r="PRG42" s="214"/>
      <c r="PRH42" s="214"/>
      <c r="PRI42" s="214"/>
      <c r="PRJ42" s="214"/>
      <c r="PRK42" s="214"/>
      <c r="PRL42" s="214"/>
      <c r="PRM42" s="214"/>
      <c r="PRN42" s="214"/>
      <c r="PRO42" s="214"/>
      <c r="PRP42" s="214"/>
      <c r="PRQ42" s="214"/>
      <c r="PRR42" s="214"/>
      <c r="PRS42" s="214"/>
      <c r="PRT42" s="214"/>
      <c r="PRU42" s="214"/>
      <c r="PRV42" s="214"/>
      <c r="PRW42" s="214"/>
      <c r="PRX42" s="214"/>
      <c r="PRY42" s="214"/>
      <c r="PRZ42" s="214"/>
      <c r="PSA42" s="214"/>
      <c r="PSB42" s="214"/>
      <c r="PSC42" s="214"/>
      <c r="PSD42" s="214"/>
      <c r="PSE42" s="214"/>
      <c r="PSF42" s="214"/>
      <c r="PSG42" s="214"/>
      <c r="PSH42" s="214"/>
      <c r="PSI42" s="214"/>
      <c r="PSJ42" s="214"/>
      <c r="PSK42" s="214"/>
      <c r="PSL42" s="214"/>
      <c r="PSM42" s="214"/>
      <c r="PSN42" s="214"/>
      <c r="PSO42" s="214"/>
      <c r="PSP42" s="214"/>
      <c r="PSQ42" s="214"/>
      <c r="PSR42" s="214"/>
      <c r="PSS42" s="214"/>
      <c r="PST42" s="214"/>
      <c r="PSU42" s="214"/>
      <c r="PSV42" s="214"/>
      <c r="PSW42" s="214"/>
      <c r="PSX42" s="214"/>
      <c r="PSY42" s="214"/>
      <c r="PSZ42" s="214"/>
      <c r="PTA42" s="214"/>
      <c r="PTB42" s="214"/>
      <c r="PTC42" s="214"/>
      <c r="PTD42" s="214"/>
      <c r="PTE42" s="214"/>
      <c r="PTF42" s="214"/>
      <c r="PTG42" s="214"/>
      <c r="PTH42" s="214"/>
      <c r="PTI42" s="214"/>
      <c r="PTJ42" s="214"/>
      <c r="PTK42" s="214"/>
      <c r="PTL42" s="214"/>
      <c r="PTM42" s="214"/>
      <c r="PTN42" s="214"/>
      <c r="PTO42" s="214"/>
      <c r="PTP42" s="214"/>
      <c r="PTQ42" s="214"/>
      <c r="PTR42" s="214"/>
      <c r="PTS42" s="214"/>
      <c r="PTT42" s="214"/>
      <c r="PTU42" s="214"/>
      <c r="PTV42" s="214"/>
      <c r="PTW42" s="214"/>
      <c r="PTX42" s="214"/>
      <c r="PTY42" s="214"/>
      <c r="PTZ42" s="214"/>
      <c r="PUA42" s="214"/>
      <c r="PUB42" s="214"/>
      <c r="PUC42" s="214"/>
      <c r="PUD42" s="214"/>
      <c r="PUE42" s="214"/>
      <c r="PUF42" s="214"/>
      <c r="PUG42" s="214"/>
      <c r="PUH42" s="214"/>
      <c r="PUI42" s="214"/>
      <c r="PUJ42" s="214"/>
      <c r="PUK42" s="214"/>
      <c r="PUL42" s="214"/>
      <c r="PUM42" s="214"/>
      <c r="PUN42" s="214"/>
      <c r="PUO42" s="214"/>
      <c r="PUP42" s="214"/>
      <c r="PUQ42" s="214"/>
      <c r="PUR42" s="214"/>
      <c r="PUS42" s="214"/>
      <c r="PUT42" s="214"/>
      <c r="PUU42" s="214"/>
      <c r="PUV42" s="214"/>
      <c r="PUW42" s="214"/>
      <c r="PUX42" s="214"/>
      <c r="PUY42" s="214"/>
      <c r="PUZ42" s="214"/>
      <c r="PVA42" s="214"/>
      <c r="PVB42" s="214"/>
      <c r="PVC42" s="214"/>
      <c r="PVD42" s="214"/>
      <c r="PVE42" s="214"/>
      <c r="PVF42" s="214"/>
      <c r="PVG42" s="214"/>
      <c r="PVH42" s="214"/>
      <c r="PVI42" s="214"/>
      <c r="PVJ42" s="214"/>
      <c r="PVK42" s="214"/>
      <c r="PVL42" s="214"/>
      <c r="PVM42" s="214"/>
      <c r="PVN42" s="214"/>
      <c r="PVO42" s="214"/>
      <c r="PVP42" s="214"/>
      <c r="PVQ42" s="214"/>
      <c r="PVR42" s="214"/>
      <c r="PVS42" s="214"/>
      <c r="PVT42" s="214"/>
      <c r="PVU42" s="214"/>
      <c r="PVV42" s="214"/>
      <c r="PVW42" s="214"/>
      <c r="PVX42" s="214"/>
      <c r="PVY42" s="214"/>
      <c r="PVZ42" s="214"/>
      <c r="PWA42" s="214"/>
      <c r="PWB42" s="214"/>
      <c r="PWC42" s="214"/>
      <c r="PWD42" s="214"/>
      <c r="PWE42" s="214"/>
      <c r="PWF42" s="214"/>
      <c r="PWG42" s="214"/>
      <c r="PWH42" s="214"/>
      <c r="PWI42" s="214"/>
      <c r="PWJ42" s="214"/>
      <c r="PWK42" s="214"/>
      <c r="PWL42" s="214"/>
      <c r="PWM42" s="214"/>
      <c r="PWN42" s="214"/>
      <c r="PWO42" s="214"/>
      <c r="PWP42" s="214"/>
      <c r="PWQ42" s="214"/>
      <c r="PWR42" s="214"/>
      <c r="PWS42" s="214"/>
      <c r="PWT42" s="214"/>
      <c r="PWU42" s="214"/>
      <c r="PWV42" s="214"/>
      <c r="PWW42" s="214"/>
      <c r="PWX42" s="214"/>
      <c r="PWY42" s="214"/>
      <c r="PWZ42" s="214"/>
      <c r="PXA42" s="214"/>
      <c r="PXB42" s="214"/>
      <c r="PXC42" s="214"/>
      <c r="PXD42" s="214"/>
      <c r="PXE42" s="214"/>
      <c r="PXF42" s="214"/>
      <c r="PXG42" s="214"/>
      <c r="PXH42" s="214"/>
      <c r="PXI42" s="214"/>
      <c r="PXJ42" s="214"/>
      <c r="PXK42" s="214"/>
      <c r="PXL42" s="214"/>
      <c r="PXM42" s="214"/>
      <c r="PXN42" s="214"/>
      <c r="PXO42" s="214"/>
      <c r="PXP42" s="214"/>
      <c r="PXQ42" s="214"/>
      <c r="PXR42" s="214"/>
      <c r="PXS42" s="214"/>
      <c r="PXT42" s="214"/>
      <c r="PXU42" s="214"/>
      <c r="PXV42" s="214"/>
      <c r="PXW42" s="214"/>
      <c r="PXX42" s="214"/>
      <c r="PXY42" s="214"/>
      <c r="PXZ42" s="214"/>
      <c r="PYA42" s="214"/>
      <c r="PYB42" s="214"/>
      <c r="PYC42" s="214"/>
      <c r="PYD42" s="214"/>
      <c r="PYE42" s="214"/>
      <c r="PYF42" s="214"/>
      <c r="PYG42" s="214"/>
      <c r="PYH42" s="214"/>
      <c r="PYI42" s="214"/>
      <c r="PYJ42" s="214"/>
      <c r="PYK42" s="214"/>
      <c r="PYL42" s="214"/>
      <c r="PYM42" s="214"/>
      <c r="PYN42" s="214"/>
      <c r="PYO42" s="214"/>
      <c r="PYP42" s="214"/>
      <c r="PYQ42" s="214"/>
      <c r="PYR42" s="214"/>
      <c r="PYS42" s="214"/>
      <c r="PYT42" s="214"/>
      <c r="PYU42" s="214"/>
      <c r="PYV42" s="214"/>
      <c r="PYW42" s="214"/>
      <c r="PYX42" s="214"/>
      <c r="PYY42" s="214"/>
      <c r="PYZ42" s="214"/>
      <c r="PZA42" s="214"/>
      <c r="PZB42" s="214"/>
      <c r="PZC42" s="214"/>
      <c r="PZD42" s="214"/>
      <c r="PZE42" s="214"/>
      <c r="PZF42" s="214"/>
      <c r="PZG42" s="214"/>
      <c r="PZH42" s="214"/>
      <c r="PZI42" s="214"/>
      <c r="PZJ42" s="214"/>
      <c r="PZK42" s="214"/>
      <c r="PZL42" s="214"/>
      <c r="PZM42" s="214"/>
      <c r="PZN42" s="214"/>
      <c r="PZO42" s="214"/>
      <c r="PZP42" s="214"/>
      <c r="PZQ42" s="214"/>
      <c r="PZR42" s="214"/>
      <c r="PZS42" s="214"/>
      <c r="PZT42" s="214"/>
      <c r="PZU42" s="214"/>
      <c r="PZV42" s="214"/>
      <c r="PZW42" s="214"/>
      <c r="PZX42" s="214"/>
      <c r="PZY42" s="214"/>
      <c r="PZZ42" s="214"/>
      <c r="QAA42" s="214"/>
      <c r="QAB42" s="214"/>
      <c r="QAC42" s="214"/>
      <c r="QAD42" s="214"/>
      <c r="QAE42" s="214"/>
      <c r="QAF42" s="214"/>
      <c r="QAG42" s="214"/>
      <c r="QAH42" s="214"/>
      <c r="QAI42" s="214"/>
      <c r="QAJ42" s="214"/>
      <c r="QAK42" s="214"/>
      <c r="QAL42" s="214"/>
      <c r="QAM42" s="214"/>
      <c r="QAN42" s="214"/>
      <c r="QAO42" s="214"/>
      <c r="QAP42" s="214"/>
      <c r="QAQ42" s="214"/>
      <c r="QAR42" s="214"/>
      <c r="QAS42" s="214"/>
      <c r="QAT42" s="214"/>
      <c r="QAU42" s="214"/>
      <c r="QAV42" s="214"/>
      <c r="QAW42" s="214"/>
      <c r="QAX42" s="214"/>
      <c r="QAY42" s="214"/>
      <c r="QAZ42" s="214"/>
      <c r="QBA42" s="214"/>
      <c r="QBB42" s="214"/>
      <c r="QBC42" s="214"/>
      <c r="QBD42" s="214"/>
      <c r="QBE42" s="214"/>
      <c r="QBF42" s="214"/>
      <c r="QBG42" s="214"/>
      <c r="QBH42" s="214"/>
      <c r="QBI42" s="214"/>
      <c r="QBJ42" s="214"/>
      <c r="QBK42" s="214"/>
      <c r="QBL42" s="214"/>
      <c r="QBM42" s="214"/>
      <c r="QBN42" s="214"/>
      <c r="QBO42" s="214"/>
      <c r="QBP42" s="214"/>
      <c r="QBQ42" s="214"/>
      <c r="QBR42" s="214"/>
      <c r="QBS42" s="214"/>
      <c r="QBT42" s="214"/>
      <c r="QBU42" s="214"/>
      <c r="QBV42" s="214"/>
      <c r="QBW42" s="214"/>
      <c r="QBX42" s="214"/>
      <c r="QBY42" s="214"/>
      <c r="QBZ42" s="214"/>
      <c r="QCA42" s="214"/>
      <c r="QCB42" s="214"/>
      <c r="QCC42" s="214"/>
      <c r="QCD42" s="214"/>
      <c r="QCE42" s="214"/>
      <c r="QCF42" s="214"/>
      <c r="QCG42" s="214"/>
      <c r="QCH42" s="214"/>
      <c r="QCI42" s="214"/>
      <c r="QCJ42" s="214"/>
      <c r="QCK42" s="214"/>
      <c r="QCL42" s="214"/>
      <c r="QCM42" s="214"/>
      <c r="QCN42" s="214"/>
      <c r="QCO42" s="214"/>
      <c r="QCP42" s="214"/>
      <c r="QCQ42" s="214"/>
      <c r="QCR42" s="214"/>
      <c r="QCS42" s="214"/>
      <c r="QCT42" s="214"/>
      <c r="QCU42" s="214"/>
      <c r="QCV42" s="214"/>
      <c r="QCW42" s="214"/>
      <c r="QCX42" s="214"/>
      <c r="QCY42" s="214"/>
      <c r="QCZ42" s="214"/>
      <c r="QDA42" s="214"/>
      <c r="QDB42" s="214"/>
      <c r="QDC42" s="214"/>
      <c r="QDD42" s="214"/>
      <c r="QDE42" s="214"/>
      <c r="QDF42" s="214"/>
      <c r="QDG42" s="214"/>
      <c r="QDH42" s="214"/>
      <c r="QDI42" s="214"/>
      <c r="QDJ42" s="214"/>
      <c r="QDK42" s="214"/>
      <c r="QDL42" s="214"/>
      <c r="QDM42" s="214"/>
      <c r="QDN42" s="214"/>
      <c r="QDO42" s="214"/>
      <c r="QDP42" s="214"/>
      <c r="QDQ42" s="214"/>
      <c r="QDR42" s="214"/>
      <c r="QDS42" s="214"/>
      <c r="QDT42" s="214"/>
      <c r="QDU42" s="214"/>
      <c r="QDV42" s="214"/>
      <c r="QDW42" s="214"/>
      <c r="QDX42" s="214"/>
      <c r="QDY42" s="214"/>
      <c r="QDZ42" s="214"/>
      <c r="QEA42" s="214"/>
      <c r="QEB42" s="214"/>
      <c r="QEC42" s="214"/>
      <c r="QED42" s="214"/>
      <c r="QEE42" s="214"/>
      <c r="QEF42" s="214"/>
      <c r="QEG42" s="214"/>
      <c r="QEH42" s="214"/>
      <c r="QEI42" s="214"/>
      <c r="QEJ42" s="214"/>
      <c r="QEK42" s="214"/>
      <c r="QEL42" s="214"/>
      <c r="QEM42" s="214"/>
      <c r="QEN42" s="214"/>
      <c r="QEO42" s="214"/>
      <c r="QEP42" s="214"/>
      <c r="QEQ42" s="214"/>
      <c r="QER42" s="214"/>
      <c r="QES42" s="214"/>
      <c r="QET42" s="214"/>
      <c r="QEU42" s="214"/>
      <c r="QEV42" s="214"/>
      <c r="QEW42" s="214"/>
      <c r="QEX42" s="214"/>
      <c r="QEY42" s="214"/>
      <c r="QEZ42" s="214"/>
      <c r="QFA42" s="214"/>
      <c r="QFB42" s="214"/>
      <c r="QFC42" s="214"/>
      <c r="QFD42" s="214"/>
      <c r="QFE42" s="214"/>
      <c r="QFF42" s="214"/>
      <c r="QFG42" s="214"/>
      <c r="QFH42" s="214"/>
      <c r="QFI42" s="214"/>
      <c r="QFJ42" s="214"/>
      <c r="QFK42" s="214"/>
      <c r="QFL42" s="214"/>
      <c r="QFM42" s="214"/>
      <c r="QFN42" s="214"/>
      <c r="QFO42" s="214"/>
      <c r="QFP42" s="214"/>
      <c r="QFQ42" s="214"/>
      <c r="QFR42" s="214"/>
      <c r="QFS42" s="214"/>
      <c r="QFT42" s="214"/>
      <c r="QFU42" s="214"/>
      <c r="QFV42" s="214"/>
      <c r="QFW42" s="214"/>
      <c r="QFX42" s="214"/>
      <c r="QFY42" s="214"/>
      <c r="QFZ42" s="214"/>
      <c r="QGA42" s="214"/>
      <c r="QGB42" s="214"/>
      <c r="QGC42" s="214"/>
      <c r="QGD42" s="214"/>
      <c r="QGE42" s="214"/>
      <c r="QGF42" s="214"/>
      <c r="QGG42" s="214"/>
      <c r="QGH42" s="214"/>
      <c r="QGI42" s="214"/>
      <c r="QGJ42" s="214"/>
      <c r="QGK42" s="214"/>
      <c r="QGL42" s="214"/>
      <c r="QGM42" s="214"/>
      <c r="QGN42" s="214"/>
      <c r="QGO42" s="214"/>
      <c r="QGP42" s="214"/>
      <c r="QGQ42" s="214"/>
      <c r="QGR42" s="214"/>
      <c r="QGS42" s="214"/>
      <c r="QGT42" s="214"/>
      <c r="QGU42" s="214"/>
      <c r="QGV42" s="214"/>
      <c r="QGW42" s="214"/>
      <c r="QGX42" s="214"/>
      <c r="QGY42" s="214"/>
      <c r="QGZ42" s="214"/>
      <c r="QHA42" s="214"/>
      <c r="QHB42" s="214"/>
      <c r="QHC42" s="214"/>
      <c r="QHD42" s="214"/>
      <c r="QHE42" s="214"/>
      <c r="QHF42" s="214"/>
      <c r="QHG42" s="214"/>
      <c r="QHH42" s="214"/>
      <c r="QHI42" s="214"/>
      <c r="QHJ42" s="214"/>
      <c r="QHK42" s="214"/>
      <c r="QHL42" s="214"/>
      <c r="QHM42" s="214"/>
      <c r="QHN42" s="214"/>
      <c r="QHO42" s="214"/>
      <c r="QHP42" s="214"/>
      <c r="QHQ42" s="214"/>
      <c r="QHR42" s="214"/>
      <c r="QHS42" s="214"/>
      <c r="QHT42" s="214"/>
      <c r="QHU42" s="214"/>
      <c r="QHV42" s="214"/>
      <c r="QHW42" s="214"/>
      <c r="QHX42" s="214"/>
      <c r="QHY42" s="214"/>
      <c r="QHZ42" s="214"/>
      <c r="QIA42" s="214"/>
      <c r="QIB42" s="214"/>
      <c r="QIC42" s="214"/>
      <c r="QID42" s="214"/>
      <c r="QIE42" s="214"/>
      <c r="QIF42" s="214"/>
      <c r="QIG42" s="214"/>
      <c r="QIH42" s="214"/>
      <c r="QII42" s="214"/>
      <c r="QIJ42" s="214"/>
      <c r="QIK42" s="214"/>
      <c r="QIL42" s="214"/>
      <c r="QIM42" s="214"/>
      <c r="QIN42" s="214"/>
      <c r="QIO42" s="214"/>
      <c r="QIP42" s="214"/>
      <c r="QIQ42" s="214"/>
      <c r="QIR42" s="214"/>
      <c r="QIS42" s="214"/>
      <c r="QIT42" s="214"/>
      <c r="QIU42" s="214"/>
      <c r="QIV42" s="214"/>
      <c r="QIW42" s="214"/>
      <c r="QIX42" s="214"/>
      <c r="QIY42" s="214"/>
      <c r="QIZ42" s="214"/>
      <c r="QJA42" s="214"/>
      <c r="QJB42" s="214"/>
      <c r="QJC42" s="214"/>
      <c r="QJD42" s="214"/>
      <c r="QJE42" s="214"/>
      <c r="QJF42" s="214"/>
      <c r="QJG42" s="214"/>
      <c r="QJH42" s="214"/>
      <c r="QJI42" s="214"/>
      <c r="QJJ42" s="214"/>
      <c r="QJK42" s="214"/>
      <c r="QJL42" s="214"/>
      <c r="QJM42" s="214"/>
      <c r="QJN42" s="214"/>
      <c r="QJO42" s="214"/>
      <c r="QJP42" s="214"/>
      <c r="QJQ42" s="214"/>
      <c r="QJR42" s="214"/>
      <c r="QJS42" s="214"/>
      <c r="QJT42" s="214"/>
      <c r="QJU42" s="214"/>
      <c r="QJV42" s="214"/>
      <c r="QJW42" s="214"/>
      <c r="QJX42" s="214"/>
      <c r="QJY42" s="214"/>
      <c r="QJZ42" s="214"/>
      <c r="QKA42" s="214"/>
      <c r="QKB42" s="214"/>
      <c r="QKC42" s="214"/>
      <c r="QKD42" s="214"/>
      <c r="QKE42" s="214"/>
      <c r="QKF42" s="214"/>
      <c r="QKG42" s="214"/>
      <c r="QKH42" s="214"/>
      <c r="QKI42" s="214"/>
      <c r="QKJ42" s="214"/>
      <c r="QKK42" s="214"/>
      <c r="QKL42" s="214"/>
      <c r="QKM42" s="214"/>
      <c r="QKN42" s="214"/>
      <c r="QKO42" s="214"/>
      <c r="QKP42" s="214"/>
      <c r="QKQ42" s="214"/>
      <c r="QKR42" s="214"/>
      <c r="QKS42" s="214"/>
      <c r="QKT42" s="214"/>
      <c r="QKU42" s="214"/>
      <c r="QKV42" s="214"/>
      <c r="QKW42" s="214"/>
      <c r="QKX42" s="214"/>
      <c r="QKY42" s="214"/>
      <c r="QKZ42" s="214"/>
      <c r="QLA42" s="214"/>
      <c r="QLB42" s="214"/>
      <c r="QLC42" s="214"/>
      <c r="QLD42" s="214"/>
      <c r="QLE42" s="214"/>
      <c r="QLF42" s="214"/>
      <c r="QLG42" s="214"/>
      <c r="QLH42" s="214"/>
      <c r="QLI42" s="214"/>
      <c r="QLJ42" s="214"/>
      <c r="QLK42" s="214"/>
      <c r="QLL42" s="214"/>
      <c r="QLM42" s="214"/>
      <c r="QLN42" s="214"/>
      <c r="QLO42" s="214"/>
      <c r="QLP42" s="214"/>
      <c r="QLQ42" s="214"/>
      <c r="QLR42" s="214"/>
      <c r="QLS42" s="214"/>
      <c r="QLT42" s="214"/>
      <c r="QLU42" s="214"/>
      <c r="QLV42" s="214"/>
      <c r="QLW42" s="214"/>
      <c r="QLX42" s="214"/>
      <c r="QLY42" s="214"/>
      <c r="QLZ42" s="214"/>
      <c r="QMA42" s="214"/>
      <c r="QMB42" s="214"/>
      <c r="QMC42" s="214"/>
      <c r="QMD42" s="214"/>
      <c r="QME42" s="214"/>
      <c r="QMF42" s="214"/>
      <c r="QMG42" s="214"/>
      <c r="QMH42" s="214"/>
      <c r="QMI42" s="214"/>
      <c r="QMJ42" s="214"/>
      <c r="QMK42" s="214"/>
      <c r="QML42" s="214"/>
      <c r="QMM42" s="214"/>
      <c r="QMN42" s="214"/>
      <c r="QMO42" s="214"/>
      <c r="QMP42" s="214"/>
      <c r="QMQ42" s="214"/>
      <c r="QMR42" s="214"/>
      <c r="QMS42" s="214"/>
      <c r="QMT42" s="214"/>
      <c r="QMU42" s="214"/>
      <c r="QMV42" s="214"/>
      <c r="QMW42" s="214"/>
      <c r="QMX42" s="214"/>
      <c r="QMY42" s="214"/>
      <c r="QMZ42" s="214"/>
      <c r="QNA42" s="214"/>
      <c r="QNB42" s="214"/>
      <c r="QNC42" s="214"/>
      <c r="QND42" s="214"/>
      <c r="QNE42" s="214"/>
      <c r="QNF42" s="214"/>
      <c r="QNG42" s="214"/>
      <c r="QNH42" s="214"/>
      <c r="QNI42" s="214"/>
      <c r="QNJ42" s="214"/>
      <c r="QNK42" s="214"/>
      <c r="QNL42" s="214"/>
      <c r="QNM42" s="214"/>
      <c r="QNN42" s="214"/>
      <c r="QNO42" s="214"/>
      <c r="QNP42" s="214"/>
      <c r="QNQ42" s="214"/>
      <c r="QNR42" s="214"/>
      <c r="QNS42" s="214"/>
      <c r="QNT42" s="214"/>
      <c r="QNU42" s="214"/>
      <c r="QNV42" s="214"/>
      <c r="QNW42" s="214"/>
      <c r="QNX42" s="214"/>
      <c r="QNY42" s="214"/>
      <c r="QNZ42" s="214"/>
      <c r="QOA42" s="214"/>
      <c r="QOB42" s="214"/>
      <c r="QOC42" s="214"/>
      <c r="QOD42" s="214"/>
      <c r="QOE42" s="214"/>
      <c r="QOF42" s="214"/>
      <c r="QOG42" s="214"/>
      <c r="QOH42" s="214"/>
      <c r="QOI42" s="214"/>
      <c r="QOJ42" s="214"/>
      <c r="QOK42" s="214"/>
      <c r="QOL42" s="214"/>
      <c r="QOM42" s="214"/>
      <c r="QON42" s="214"/>
      <c r="QOO42" s="214"/>
      <c r="QOP42" s="214"/>
      <c r="QOQ42" s="214"/>
      <c r="QOR42" s="214"/>
      <c r="QOS42" s="214"/>
      <c r="QOT42" s="214"/>
      <c r="QOU42" s="214"/>
      <c r="QOV42" s="214"/>
      <c r="QOW42" s="214"/>
      <c r="QOX42" s="214"/>
      <c r="QOY42" s="214"/>
      <c r="QOZ42" s="214"/>
      <c r="QPA42" s="214"/>
      <c r="QPB42" s="214"/>
      <c r="QPC42" s="214"/>
      <c r="QPD42" s="214"/>
      <c r="QPE42" s="214"/>
      <c r="QPF42" s="214"/>
      <c r="QPG42" s="214"/>
      <c r="QPH42" s="214"/>
      <c r="QPI42" s="214"/>
      <c r="QPJ42" s="214"/>
      <c r="QPK42" s="214"/>
      <c r="QPL42" s="214"/>
      <c r="QPM42" s="214"/>
      <c r="QPN42" s="214"/>
      <c r="QPO42" s="214"/>
      <c r="QPP42" s="214"/>
      <c r="QPQ42" s="214"/>
      <c r="QPR42" s="214"/>
      <c r="QPS42" s="214"/>
      <c r="QPT42" s="214"/>
      <c r="QPU42" s="214"/>
      <c r="QPV42" s="214"/>
      <c r="QPW42" s="214"/>
      <c r="QPX42" s="214"/>
      <c r="QPY42" s="214"/>
      <c r="QPZ42" s="214"/>
      <c r="QQA42" s="214"/>
      <c r="QQB42" s="214"/>
      <c r="QQC42" s="214"/>
      <c r="QQD42" s="214"/>
      <c r="QQE42" s="214"/>
      <c r="QQF42" s="214"/>
      <c r="QQG42" s="214"/>
      <c r="QQH42" s="214"/>
      <c r="QQI42" s="214"/>
      <c r="QQJ42" s="214"/>
      <c r="QQK42" s="214"/>
      <c r="QQL42" s="214"/>
      <c r="QQM42" s="214"/>
      <c r="QQN42" s="214"/>
      <c r="QQO42" s="214"/>
      <c r="QQP42" s="214"/>
      <c r="QQQ42" s="214"/>
      <c r="QQR42" s="214"/>
      <c r="QQS42" s="214"/>
      <c r="QQT42" s="214"/>
      <c r="QQU42" s="214"/>
      <c r="QQV42" s="214"/>
      <c r="QQW42" s="214"/>
      <c r="QQX42" s="214"/>
      <c r="QQY42" s="214"/>
      <c r="QQZ42" s="214"/>
      <c r="QRA42" s="214"/>
      <c r="QRB42" s="214"/>
      <c r="QRC42" s="214"/>
      <c r="QRD42" s="214"/>
      <c r="QRE42" s="214"/>
      <c r="QRF42" s="214"/>
      <c r="QRG42" s="214"/>
      <c r="QRH42" s="214"/>
      <c r="QRI42" s="214"/>
      <c r="QRJ42" s="214"/>
      <c r="QRK42" s="214"/>
      <c r="QRL42" s="214"/>
      <c r="QRM42" s="214"/>
      <c r="QRN42" s="214"/>
      <c r="QRO42" s="214"/>
      <c r="QRP42" s="214"/>
      <c r="QRQ42" s="214"/>
      <c r="QRR42" s="214"/>
      <c r="QRS42" s="214"/>
      <c r="QRT42" s="214"/>
      <c r="QRU42" s="214"/>
      <c r="QRV42" s="214"/>
      <c r="QRW42" s="214"/>
      <c r="QRX42" s="214"/>
      <c r="QRY42" s="214"/>
      <c r="QRZ42" s="214"/>
      <c r="QSA42" s="214"/>
      <c r="QSB42" s="214"/>
      <c r="QSC42" s="214"/>
      <c r="QSD42" s="214"/>
      <c r="QSE42" s="214"/>
      <c r="QSF42" s="214"/>
      <c r="QSG42" s="214"/>
      <c r="QSH42" s="214"/>
      <c r="QSI42" s="214"/>
      <c r="QSJ42" s="214"/>
      <c r="QSK42" s="214"/>
      <c r="QSL42" s="214"/>
      <c r="QSM42" s="214"/>
      <c r="QSN42" s="214"/>
      <c r="QSO42" s="214"/>
      <c r="QSP42" s="214"/>
      <c r="QSQ42" s="214"/>
      <c r="QSR42" s="214"/>
      <c r="QSS42" s="214"/>
      <c r="QST42" s="214"/>
      <c r="QSU42" s="214"/>
      <c r="QSV42" s="214"/>
      <c r="QSW42" s="214"/>
      <c r="QSX42" s="214"/>
      <c r="QSY42" s="214"/>
      <c r="QSZ42" s="214"/>
      <c r="QTA42" s="214"/>
      <c r="QTB42" s="214"/>
      <c r="QTC42" s="214"/>
      <c r="QTD42" s="214"/>
      <c r="QTE42" s="214"/>
      <c r="QTF42" s="214"/>
      <c r="QTG42" s="214"/>
      <c r="QTH42" s="214"/>
      <c r="QTI42" s="214"/>
      <c r="QTJ42" s="214"/>
      <c r="QTK42" s="214"/>
      <c r="QTL42" s="214"/>
      <c r="QTM42" s="214"/>
      <c r="QTN42" s="214"/>
      <c r="QTO42" s="214"/>
      <c r="QTP42" s="214"/>
      <c r="QTQ42" s="214"/>
      <c r="QTR42" s="214"/>
      <c r="QTS42" s="214"/>
      <c r="QTT42" s="214"/>
      <c r="QTU42" s="214"/>
      <c r="QTV42" s="214"/>
      <c r="QTW42" s="214"/>
      <c r="QTX42" s="214"/>
      <c r="QTY42" s="214"/>
      <c r="QTZ42" s="214"/>
      <c r="QUA42" s="214"/>
      <c r="QUB42" s="214"/>
      <c r="QUC42" s="214"/>
      <c r="QUD42" s="214"/>
      <c r="QUE42" s="214"/>
      <c r="QUF42" s="214"/>
      <c r="QUG42" s="214"/>
      <c r="QUH42" s="214"/>
      <c r="QUI42" s="214"/>
      <c r="QUJ42" s="214"/>
      <c r="QUK42" s="214"/>
      <c r="QUL42" s="214"/>
      <c r="QUM42" s="214"/>
      <c r="QUN42" s="214"/>
      <c r="QUO42" s="214"/>
      <c r="QUP42" s="214"/>
      <c r="QUQ42" s="214"/>
      <c r="QUR42" s="214"/>
      <c r="QUS42" s="214"/>
      <c r="QUT42" s="214"/>
      <c r="QUU42" s="214"/>
      <c r="QUV42" s="214"/>
      <c r="QUW42" s="214"/>
      <c r="QUX42" s="214"/>
      <c r="QUY42" s="214"/>
      <c r="QUZ42" s="214"/>
      <c r="QVA42" s="214"/>
      <c r="QVB42" s="214"/>
      <c r="QVC42" s="214"/>
      <c r="QVD42" s="214"/>
      <c r="QVE42" s="214"/>
      <c r="QVF42" s="214"/>
      <c r="QVG42" s="214"/>
      <c r="QVH42" s="214"/>
      <c r="QVI42" s="214"/>
      <c r="QVJ42" s="214"/>
      <c r="QVK42" s="214"/>
      <c r="QVL42" s="214"/>
      <c r="QVM42" s="214"/>
      <c r="QVN42" s="214"/>
      <c r="QVO42" s="214"/>
      <c r="QVP42" s="214"/>
      <c r="QVQ42" s="214"/>
      <c r="QVR42" s="214"/>
      <c r="QVS42" s="214"/>
      <c r="QVT42" s="214"/>
      <c r="QVU42" s="214"/>
      <c r="QVV42" s="214"/>
      <c r="QVW42" s="214"/>
      <c r="QVX42" s="214"/>
      <c r="QVY42" s="214"/>
      <c r="QVZ42" s="214"/>
      <c r="QWA42" s="214"/>
      <c r="QWB42" s="214"/>
      <c r="QWC42" s="214"/>
      <c r="QWD42" s="214"/>
      <c r="QWE42" s="214"/>
      <c r="QWF42" s="214"/>
      <c r="QWG42" s="214"/>
      <c r="QWH42" s="214"/>
      <c r="QWI42" s="214"/>
      <c r="QWJ42" s="214"/>
      <c r="QWK42" s="214"/>
      <c r="QWL42" s="214"/>
      <c r="QWM42" s="214"/>
      <c r="QWN42" s="214"/>
      <c r="QWO42" s="214"/>
      <c r="QWP42" s="214"/>
      <c r="QWQ42" s="214"/>
      <c r="QWR42" s="214"/>
      <c r="QWS42" s="214"/>
      <c r="QWT42" s="214"/>
      <c r="QWU42" s="214"/>
      <c r="QWV42" s="214"/>
      <c r="QWW42" s="214"/>
      <c r="QWX42" s="214"/>
      <c r="QWY42" s="214"/>
      <c r="QWZ42" s="214"/>
      <c r="QXA42" s="214"/>
      <c r="QXB42" s="214"/>
      <c r="QXC42" s="214"/>
      <c r="QXD42" s="214"/>
      <c r="QXE42" s="214"/>
      <c r="QXF42" s="214"/>
      <c r="QXG42" s="214"/>
      <c r="QXH42" s="214"/>
      <c r="QXI42" s="214"/>
      <c r="QXJ42" s="214"/>
      <c r="QXK42" s="214"/>
      <c r="QXL42" s="214"/>
      <c r="QXM42" s="214"/>
      <c r="QXN42" s="214"/>
      <c r="QXO42" s="214"/>
      <c r="QXP42" s="214"/>
      <c r="QXQ42" s="214"/>
      <c r="QXR42" s="214"/>
      <c r="QXS42" s="214"/>
      <c r="QXT42" s="214"/>
      <c r="QXU42" s="214"/>
      <c r="QXV42" s="214"/>
      <c r="QXW42" s="214"/>
      <c r="QXX42" s="214"/>
      <c r="QXY42" s="214"/>
      <c r="QXZ42" s="214"/>
      <c r="QYA42" s="214"/>
      <c r="QYB42" s="214"/>
      <c r="QYC42" s="214"/>
      <c r="QYD42" s="214"/>
      <c r="QYE42" s="214"/>
      <c r="QYF42" s="214"/>
      <c r="QYG42" s="214"/>
      <c r="QYH42" s="214"/>
      <c r="QYI42" s="214"/>
      <c r="QYJ42" s="214"/>
      <c r="QYK42" s="214"/>
      <c r="QYL42" s="214"/>
      <c r="QYM42" s="214"/>
      <c r="QYN42" s="214"/>
      <c r="QYO42" s="214"/>
      <c r="QYP42" s="214"/>
      <c r="QYQ42" s="214"/>
      <c r="QYR42" s="214"/>
      <c r="QYS42" s="214"/>
      <c r="QYT42" s="214"/>
      <c r="QYU42" s="214"/>
      <c r="QYV42" s="214"/>
      <c r="QYW42" s="214"/>
      <c r="QYX42" s="214"/>
      <c r="QYY42" s="214"/>
      <c r="QYZ42" s="214"/>
      <c r="QZA42" s="214"/>
      <c r="QZB42" s="214"/>
      <c r="QZC42" s="214"/>
      <c r="QZD42" s="214"/>
      <c r="QZE42" s="214"/>
      <c r="QZF42" s="214"/>
      <c r="QZG42" s="214"/>
      <c r="QZH42" s="214"/>
      <c r="QZI42" s="214"/>
      <c r="QZJ42" s="214"/>
      <c r="QZK42" s="214"/>
      <c r="QZL42" s="214"/>
      <c r="QZM42" s="214"/>
      <c r="QZN42" s="214"/>
      <c r="QZO42" s="214"/>
      <c r="QZP42" s="214"/>
      <c r="QZQ42" s="214"/>
      <c r="QZR42" s="214"/>
      <c r="QZS42" s="214"/>
      <c r="QZT42" s="214"/>
      <c r="QZU42" s="214"/>
      <c r="QZV42" s="214"/>
      <c r="QZW42" s="214"/>
      <c r="QZX42" s="214"/>
      <c r="QZY42" s="214"/>
      <c r="QZZ42" s="214"/>
      <c r="RAA42" s="214"/>
      <c r="RAB42" s="214"/>
      <c r="RAC42" s="214"/>
      <c r="RAD42" s="214"/>
      <c r="RAE42" s="214"/>
      <c r="RAF42" s="214"/>
      <c r="RAG42" s="214"/>
      <c r="RAH42" s="214"/>
      <c r="RAI42" s="214"/>
      <c r="RAJ42" s="214"/>
      <c r="RAK42" s="214"/>
      <c r="RAL42" s="214"/>
      <c r="RAM42" s="214"/>
      <c r="RAN42" s="214"/>
      <c r="RAO42" s="214"/>
      <c r="RAP42" s="214"/>
      <c r="RAQ42" s="214"/>
      <c r="RAR42" s="214"/>
      <c r="RAS42" s="214"/>
      <c r="RAT42" s="214"/>
      <c r="RAU42" s="214"/>
      <c r="RAV42" s="214"/>
      <c r="RAW42" s="214"/>
      <c r="RAX42" s="214"/>
      <c r="RAY42" s="214"/>
      <c r="RAZ42" s="214"/>
      <c r="RBA42" s="214"/>
      <c r="RBB42" s="214"/>
      <c r="RBC42" s="214"/>
      <c r="RBD42" s="214"/>
      <c r="RBE42" s="214"/>
      <c r="RBF42" s="214"/>
      <c r="RBG42" s="214"/>
      <c r="RBH42" s="214"/>
      <c r="RBI42" s="214"/>
      <c r="RBJ42" s="214"/>
      <c r="RBK42" s="214"/>
      <c r="RBL42" s="214"/>
      <c r="RBM42" s="214"/>
      <c r="RBN42" s="214"/>
      <c r="RBO42" s="214"/>
      <c r="RBP42" s="214"/>
      <c r="RBQ42" s="214"/>
      <c r="RBR42" s="214"/>
      <c r="RBS42" s="214"/>
      <c r="RBT42" s="214"/>
      <c r="RBU42" s="214"/>
      <c r="RBV42" s="214"/>
      <c r="RBW42" s="214"/>
      <c r="RBX42" s="214"/>
      <c r="RBY42" s="214"/>
      <c r="RBZ42" s="214"/>
      <c r="RCA42" s="214"/>
      <c r="RCB42" s="214"/>
      <c r="RCC42" s="214"/>
      <c r="RCD42" s="214"/>
      <c r="RCE42" s="214"/>
      <c r="RCF42" s="214"/>
      <c r="RCG42" s="214"/>
      <c r="RCH42" s="214"/>
      <c r="RCI42" s="214"/>
      <c r="RCJ42" s="214"/>
      <c r="RCK42" s="214"/>
      <c r="RCL42" s="214"/>
      <c r="RCM42" s="214"/>
      <c r="RCN42" s="214"/>
      <c r="RCO42" s="214"/>
      <c r="RCP42" s="214"/>
      <c r="RCQ42" s="214"/>
      <c r="RCR42" s="214"/>
      <c r="RCS42" s="214"/>
      <c r="RCT42" s="214"/>
      <c r="RCU42" s="214"/>
      <c r="RCV42" s="214"/>
      <c r="RCW42" s="214"/>
      <c r="RCX42" s="214"/>
      <c r="RCY42" s="214"/>
      <c r="RCZ42" s="214"/>
      <c r="RDA42" s="214"/>
      <c r="RDB42" s="214"/>
      <c r="RDC42" s="214"/>
      <c r="RDD42" s="214"/>
      <c r="RDE42" s="214"/>
      <c r="RDF42" s="214"/>
      <c r="RDG42" s="214"/>
      <c r="RDH42" s="214"/>
      <c r="RDI42" s="214"/>
      <c r="RDJ42" s="214"/>
      <c r="RDK42" s="214"/>
      <c r="RDL42" s="214"/>
      <c r="RDM42" s="214"/>
      <c r="RDN42" s="214"/>
      <c r="RDO42" s="214"/>
      <c r="RDP42" s="214"/>
      <c r="RDQ42" s="214"/>
      <c r="RDR42" s="214"/>
      <c r="RDS42" s="214"/>
      <c r="RDT42" s="214"/>
      <c r="RDU42" s="214"/>
      <c r="RDV42" s="214"/>
      <c r="RDW42" s="214"/>
      <c r="RDX42" s="214"/>
      <c r="RDY42" s="214"/>
      <c r="RDZ42" s="214"/>
      <c r="REA42" s="214"/>
      <c r="REB42" s="214"/>
      <c r="REC42" s="214"/>
      <c r="RED42" s="214"/>
      <c r="REE42" s="214"/>
      <c r="REF42" s="214"/>
      <c r="REG42" s="214"/>
      <c r="REH42" s="214"/>
      <c r="REI42" s="214"/>
      <c r="REJ42" s="214"/>
      <c r="REK42" s="214"/>
      <c r="REL42" s="214"/>
      <c r="REM42" s="214"/>
      <c r="REN42" s="214"/>
      <c r="REO42" s="214"/>
      <c r="REP42" s="214"/>
      <c r="REQ42" s="214"/>
      <c r="RER42" s="214"/>
      <c r="RES42" s="214"/>
      <c r="RET42" s="214"/>
      <c r="REU42" s="214"/>
      <c r="REV42" s="214"/>
      <c r="REW42" s="214"/>
      <c r="REX42" s="214"/>
      <c r="REY42" s="214"/>
      <c r="REZ42" s="214"/>
      <c r="RFA42" s="214"/>
      <c r="RFB42" s="214"/>
      <c r="RFC42" s="214"/>
      <c r="RFD42" s="214"/>
      <c r="RFE42" s="214"/>
      <c r="RFF42" s="214"/>
      <c r="RFG42" s="214"/>
      <c r="RFH42" s="214"/>
      <c r="RFI42" s="214"/>
      <c r="RFJ42" s="214"/>
      <c r="RFK42" s="214"/>
      <c r="RFL42" s="214"/>
      <c r="RFM42" s="214"/>
      <c r="RFN42" s="214"/>
      <c r="RFO42" s="214"/>
      <c r="RFP42" s="214"/>
      <c r="RFQ42" s="214"/>
      <c r="RFR42" s="214"/>
      <c r="RFS42" s="214"/>
      <c r="RFT42" s="214"/>
      <c r="RFU42" s="214"/>
      <c r="RFV42" s="214"/>
      <c r="RFW42" s="214"/>
      <c r="RFX42" s="214"/>
      <c r="RFY42" s="214"/>
      <c r="RFZ42" s="214"/>
      <c r="RGA42" s="214"/>
      <c r="RGB42" s="214"/>
      <c r="RGC42" s="214"/>
      <c r="RGD42" s="214"/>
      <c r="RGE42" s="214"/>
      <c r="RGF42" s="214"/>
      <c r="RGG42" s="214"/>
      <c r="RGH42" s="214"/>
      <c r="RGI42" s="214"/>
      <c r="RGJ42" s="214"/>
      <c r="RGK42" s="214"/>
      <c r="RGL42" s="214"/>
      <c r="RGM42" s="214"/>
      <c r="RGN42" s="214"/>
      <c r="RGO42" s="214"/>
      <c r="RGP42" s="214"/>
      <c r="RGQ42" s="214"/>
      <c r="RGR42" s="214"/>
      <c r="RGS42" s="214"/>
      <c r="RGT42" s="214"/>
      <c r="RGU42" s="214"/>
      <c r="RGV42" s="214"/>
      <c r="RGW42" s="214"/>
      <c r="RGX42" s="214"/>
      <c r="RGY42" s="214"/>
      <c r="RGZ42" s="214"/>
      <c r="RHA42" s="214"/>
      <c r="RHB42" s="214"/>
      <c r="RHC42" s="214"/>
      <c r="RHD42" s="214"/>
      <c r="RHE42" s="214"/>
      <c r="RHF42" s="214"/>
      <c r="RHG42" s="214"/>
      <c r="RHH42" s="214"/>
      <c r="RHI42" s="214"/>
      <c r="RHJ42" s="214"/>
      <c r="RHK42" s="214"/>
      <c r="RHL42" s="214"/>
      <c r="RHM42" s="214"/>
      <c r="RHN42" s="214"/>
      <c r="RHO42" s="214"/>
      <c r="RHP42" s="214"/>
      <c r="RHQ42" s="214"/>
      <c r="RHR42" s="214"/>
      <c r="RHS42" s="214"/>
      <c r="RHT42" s="214"/>
      <c r="RHU42" s="214"/>
      <c r="RHV42" s="214"/>
      <c r="RHW42" s="214"/>
      <c r="RHX42" s="214"/>
      <c r="RHY42" s="214"/>
      <c r="RHZ42" s="214"/>
      <c r="RIA42" s="214"/>
      <c r="RIB42" s="214"/>
      <c r="RIC42" s="214"/>
      <c r="RID42" s="214"/>
      <c r="RIE42" s="214"/>
      <c r="RIF42" s="214"/>
      <c r="RIG42" s="214"/>
      <c r="RIH42" s="214"/>
      <c r="RII42" s="214"/>
      <c r="RIJ42" s="214"/>
      <c r="RIK42" s="214"/>
      <c r="RIL42" s="214"/>
      <c r="RIM42" s="214"/>
      <c r="RIN42" s="214"/>
      <c r="RIO42" s="214"/>
      <c r="RIP42" s="214"/>
      <c r="RIQ42" s="214"/>
      <c r="RIR42" s="214"/>
      <c r="RIS42" s="214"/>
      <c r="RIT42" s="214"/>
      <c r="RIU42" s="214"/>
      <c r="RIV42" s="214"/>
      <c r="RIW42" s="214"/>
      <c r="RIX42" s="214"/>
      <c r="RIY42" s="214"/>
      <c r="RIZ42" s="214"/>
      <c r="RJA42" s="214"/>
      <c r="RJB42" s="214"/>
      <c r="RJC42" s="214"/>
      <c r="RJD42" s="214"/>
      <c r="RJE42" s="214"/>
      <c r="RJF42" s="214"/>
      <c r="RJG42" s="214"/>
      <c r="RJH42" s="214"/>
      <c r="RJI42" s="214"/>
      <c r="RJJ42" s="214"/>
      <c r="RJK42" s="214"/>
      <c r="RJL42" s="214"/>
      <c r="RJM42" s="214"/>
      <c r="RJN42" s="214"/>
      <c r="RJO42" s="214"/>
      <c r="RJP42" s="214"/>
      <c r="RJQ42" s="214"/>
      <c r="RJR42" s="214"/>
      <c r="RJS42" s="214"/>
      <c r="RJT42" s="214"/>
      <c r="RJU42" s="214"/>
      <c r="RJV42" s="214"/>
      <c r="RJW42" s="214"/>
      <c r="RJX42" s="214"/>
      <c r="RJY42" s="214"/>
      <c r="RJZ42" s="214"/>
      <c r="RKA42" s="214"/>
      <c r="RKB42" s="214"/>
      <c r="RKC42" s="214"/>
      <c r="RKD42" s="214"/>
      <c r="RKE42" s="214"/>
      <c r="RKF42" s="214"/>
      <c r="RKG42" s="214"/>
      <c r="RKH42" s="214"/>
      <c r="RKI42" s="214"/>
      <c r="RKJ42" s="214"/>
      <c r="RKK42" s="214"/>
      <c r="RKL42" s="214"/>
      <c r="RKM42" s="214"/>
      <c r="RKN42" s="214"/>
      <c r="RKO42" s="214"/>
      <c r="RKP42" s="214"/>
      <c r="RKQ42" s="214"/>
      <c r="RKR42" s="214"/>
      <c r="RKS42" s="214"/>
      <c r="RKT42" s="214"/>
      <c r="RKU42" s="214"/>
      <c r="RKV42" s="214"/>
      <c r="RKW42" s="214"/>
      <c r="RKX42" s="214"/>
      <c r="RKY42" s="214"/>
      <c r="RKZ42" s="214"/>
      <c r="RLA42" s="214"/>
      <c r="RLB42" s="214"/>
      <c r="RLC42" s="214"/>
      <c r="RLD42" s="214"/>
      <c r="RLE42" s="214"/>
      <c r="RLF42" s="214"/>
      <c r="RLG42" s="214"/>
      <c r="RLH42" s="214"/>
      <c r="RLI42" s="214"/>
      <c r="RLJ42" s="214"/>
      <c r="RLK42" s="214"/>
      <c r="RLL42" s="214"/>
      <c r="RLM42" s="214"/>
      <c r="RLN42" s="214"/>
      <c r="RLO42" s="214"/>
      <c r="RLP42" s="214"/>
      <c r="RLQ42" s="214"/>
      <c r="RLR42" s="214"/>
      <c r="RLS42" s="214"/>
      <c r="RLT42" s="214"/>
      <c r="RLU42" s="214"/>
      <c r="RLV42" s="214"/>
      <c r="RLW42" s="214"/>
      <c r="RLX42" s="214"/>
      <c r="RLY42" s="214"/>
      <c r="RLZ42" s="214"/>
      <c r="RMA42" s="214"/>
      <c r="RMB42" s="214"/>
      <c r="RMC42" s="214"/>
      <c r="RMD42" s="214"/>
      <c r="RME42" s="214"/>
      <c r="RMF42" s="214"/>
      <c r="RMG42" s="214"/>
      <c r="RMH42" s="214"/>
      <c r="RMI42" s="214"/>
      <c r="RMJ42" s="214"/>
      <c r="RMK42" s="214"/>
      <c r="RML42" s="214"/>
      <c r="RMM42" s="214"/>
      <c r="RMN42" s="214"/>
      <c r="RMO42" s="214"/>
      <c r="RMP42" s="214"/>
      <c r="RMQ42" s="214"/>
      <c r="RMR42" s="214"/>
      <c r="RMS42" s="214"/>
      <c r="RMT42" s="214"/>
      <c r="RMU42" s="214"/>
      <c r="RMV42" s="214"/>
      <c r="RMW42" s="214"/>
      <c r="RMX42" s="214"/>
      <c r="RMY42" s="214"/>
      <c r="RMZ42" s="214"/>
      <c r="RNA42" s="214"/>
      <c r="RNB42" s="214"/>
      <c r="RNC42" s="214"/>
      <c r="RND42" s="214"/>
      <c r="RNE42" s="214"/>
      <c r="RNF42" s="214"/>
      <c r="RNG42" s="214"/>
      <c r="RNH42" s="214"/>
      <c r="RNI42" s="214"/>
      <c r="RNJ42" s="214"/>
      <c r="RNK42" s="214"/>
      <c r="RNL42" s="214"/>
      <c r="RNM42" s="214"/>
      <c r="RNN42" s="214"/>
      <c r="RNO42" s="214"/>
      <c r="RNP42" s="214"/>
      <c r="RNQ42" s="214"/>
      <c r="RNR42" s="214"/>
      <c r="RNS42" s="214"/>
      <c r="RNT42" s="214"/>
      <c r="RNU42" s="214"/>
      <c r="RNV42" s="214"/>
      <c r="RNW42" s="214"/>
      <c r="RNX42" s="214"/>
      <c r="RNY42" s="214"/>
      <c r="RNZ42" s="214"/>
      <c r="ROA42" s="214"/>
      <c r="ROB42" s="214"/>
      <c r="ROC42" s="214"/>
      <c r="ROD42" s="214"/>
      <c r="ROE42" s="214"/>
      <c r="ROF42" s="214"/>
      <c r="ROG42" s="214"/>
      <c r="ROH42" s="214"/>
      <c r="ROI42" s="214"/>
      <c r="ROJ42" s="214"/>
      <c r="ROK42" s="214"/>
      <c r="ROL42" s="214"/>
      <c r="ROM42" s="214"/>
      <c r="RON42" s="214"/>
      <c r="ROO42" s="214"/>
      <c r="ROP42" s="214"/>
      <c r="ROQ42" s="214"/>
      <c r="ROR42" s="214"/>
      <c r="ROS42" s="214"/>
      <c r="ROT42" s="214"/>
      <c r="ROU42" s="214"/>
      <c r="ROV42" s="214"/>
      <c r="ROW42" s="214"/>
      <c r="ROX42" s="214"/>
      <c r="ROY42" s="214"/>
      <c r="ROZ42" s="214"/>
      <c r="RPA42" s="214"/>
      <c r="RPB42" s="214"/>
      <c r="RPC42" s="214"/>
      <c r="RPD42" s="214"/>
      <c r="RPE42" s="214"/>
      <c r="RPF42" s="214"/>
      <c r="RPG42" s="214"/>
      <c r="RPH42" s="214"/>
      <c r="RPI42" s="214"/>
      <c r="RPJ42" s="214"/>
      <c r="RPK42" s="214"/>
      <c r="RPL42" s="214"/>
      <c r="RPM42" s="214"/>
      <c r="RPN42" s="214"/>
      <c r="RPO42" s="214"/>
      <c r="RPP42" s="214"/>
      <c r="RPQ42" s="214"/>
      <c r="RPR42" s="214"/>
      <c r="RPS42" s="214"/>
      <c r="RPT42" s="214"/>
      <c r="RPU42" s="214"/>
      <c r="RPV42" s="214"/>
      <c r="RPW42" s="214"/>
      <c r="RPX42" s="214"/>
      <c r="RPY42" s="214"/>
      <c r="RPZ42" s="214"/>
      <c r="RQA42" s="214"/>
      <c r="RQB42" s="214"/>
      <c r="RQC42" s="214"/>
      <c r="RQD42" s="214"/>
      <c r="RQE42" s="214"/>
      <c r="RQF42" s="214"/>
      <c r="RQG42" s="214"/>
      <c r="RQH42" s="214"/>
      <c r="RQI42" s="214"/>
      <c r="RQJ42" s="214"/>
      <c r="RQK42" s="214"/>
      <c r="RQL42" s="214"/>
      <c r="RQM42" s="214"/>
      <c r="RQN42" s="214"/>
      <c r="RQO42" s="214"/>
      <c r="RQP42" s="214"/>
      <c r="RQQ42" s="214"/>
      <c r="RQR42" s="214"/>
      <c r="RQS42" s="214"/>
      <c r="RQT42" s="214"/>
      <c r="RQU42" s="214"/>
      <c r="RQV42" s="214"/>
      <c r="RQW42" s="214"/>
      <c r="RQX42" s="214"/>
      <c r="RQY42" s="214"/>
      <c r="RQZ42" s="214"/>
      <c r="RRA42" s="214"/>
      <c r="RRB42" s="214"/>
      <c r="RRC42" s="214"/>
      <c r="RRD42" s="214"/>
      <c r="RRE42" s="214"/>
      <c r="RRF42" s="214"/>
      <c r="RRG42" s="214"/>
      <c r="RRH42" s="214"/>
      <c r="RRI42" s="214"/>
      <c r="RRJ42" s="214"/>
      <c r="RRK42" s="214"/>
      <c r="RRL42" s="214"/>
      <c r="RRM42" s="214"/>
      <c r="RRN42" s="214"/>
      <c r="RRO42" s="214"/>
      <c r="RRP42" s="214"/>
      <c r="RRQ42" s="214"/>
      <c r="RRR42" s="214"/>
      <c r="RRS42" s="214"/>
      <c r="RRT42" s="214"/>
      <c r="RRU42" s="214"/>
      <c r="RRV42" s="214"/>
      <c r="RRW42" s="214"/>
      <c r="RRX42" s="214"/>
      <c r="RRY42" s="214"/>
      <c r="RRZ42" s="214"/>
      <c r="RSA42" s="214"/>
      <c r="RSB42" s="214"/>
      <c r="RSC42" s="214"/>
      <c r="RSD42" s="214"/>
      <c r="RSE42" s="214"/>
      <c r="RSF42" s="214"/>
      <c r="RSG42" s="214"/>
      <c r="RSH42" s="214"/>
      <c r="RSI42" s="214"/>
      <c r="RSJ42" s="214"/>
      <c r="RSK42" s="214"/>
      <c r="RSL42" s="214"/>
      <c r="RSM42" s="214"/>
      <c r="RSN42" s="214"/>
      <c r="RSO42" s="214"/>
      <c r="RSP42" s="214"/>
      <c r="RSQ42" s="214"/>
      <c r="RSR42" s="214"/>
      <c r="RSS42" s="214"/>
      <c r="RST42" s="214"/>
      <c r="RSU42" s="214"/>
      <c r="RSV42" s="214"/>
      <c r="RSW42" s="214"/>
      <c r="RSX42" s="214"/>
      <c r="RSY42" s="214"/>
      <c r="RSZ42" s="214"/>
      <c r="RTA42" s="214"/>
      <c r="RTB42" s="214"/>
      <c r="RTC42" s="214"/>
      <c r="RTD42" s="214"/>
      <c r="RTE42" s="214"/>
      <c r="RTF42" s="214"/>
      <c r="RTG42" s="214"/>
      <c r="RTH42" s="214"/>
      <c r="RTI42" s="214"/>
      <c r="RTJ42" s="214"/>
      <c r="RTK42" s="214"/>
      <c r="RTL42" s="214"/>
      <c r="RTM42" s="214"/>
      <c r="RTN42" s="214"/>
      <c r="RTO42" s="214"/>
      <c r="RTP42" s="214"/>
      <c r="RTQ42" s="214"/>
      <c r="RTR42" s="214"/>
      <c r="RTS42" s="214"/>
      <c r="RTT42" s="214"/>
      <c r="RTU42" s="214"/>
      <c r="RTV42" s="214"/>
      <c r="RTW42" s="214"/>
      <c r="RTX42" s="214"/>
      <c r="RTY42" s="214"/>
      <c r="RTZ42" s="214"/>
      <c r="RUA42" s="214"/>
      <c r="RUB42" s="214"/>
      <c r="RUC42" s="214"/>
      <c r="RUD42" s="214"/>
      <c r="RUE42" s="214"/>
      <c r="RUF42" s="214"/>
      <c r="RUG42" s="214"/>
      <c r="RUH42" s="214"/>
      <c r="RUI42" s="214"/>
      <c r="RUJ42" s="214"/>
      <c r="RUK42" s="214"/>
      <c r="RUL42" s="214"/>
      <c r="RUM42" s="214"/>
      <c r="RUN42" s="214"/>
      <c r="RUO42" s="214"/>
      <c r="RUP42" s="214"/>
      <c r="RUQ42" s="214"/>
      <c r="RUR42" s="214"/>
      <c r="RUS42" s="214"/>
      <c r="RUT42" s="214"/>
      <c r="RUU42" s="214"/>
      <c r="RUV42" s="214"/>
      <c r="RUW42" s="214"/>
      <c r="RUX42" s="214"/>
      <c r="RUY42" s="214"/>
      <c r="RUZ42" s="214"/>
      <c r="RVA42" s="214"/>
      <c r="RVB42" s="214"/>
      <c r="RVC42" s="214"/>
      <c r="RVD42" s="214"/>
      <c r="RVE42" s="214"/>
      <c r="RVF42" s="214"/>
      <c r="RVG42" s="214"/>
      <c r="RVH42" s="214"/>
      <c r="RVI42" s="214"/>
      <c r="RVJ42" s="214"/>
      <c r="RVK42" s="214"/>
      <c r="RVL42" s="214"/>
      <c r="RVM42" s="214"/>
      <c r="RVN42" s="214"/>
      <c r="RVO42" s="214"/>
      <c r="RVP42" s="214"/>
      <c r="RVQ42" s="214"/>
      <c r="RVR42" s="214"/>
      <c r="RVS42" s="214"/>
      <c r="RVT42" s="214"/>
      <c r="RVU42" s="214"/>
      <c r="RVV42" s="214"/>
      <c r="RVW42" s="214"/>
      <c r="RVX42" s="214"/>
      <c r="RVY42" s="214"/>
      <c r="RVZ42" s="214"/>
      <c r="RWA42" s="214"/>
      <c r="RWB42" s="214"/>
      <c r="RWC42" s="214"/>
      <c r="RWD42" s="214"/>
      <c r="RWE42" s="214"/>
      <c r="RWF42" s="214"/>
      <c r="RWG42" s="214"/>
      <c r="RWH42" s="214"/>
      <c r="RWI42" s="214"/>
      <c r="RWJ42" s="214"/>
      <c r="RWK42" s="214"/>
      <c r="RWL42" s="214"/>
      <c r="RWM42" s="214"/>
      <c r="RWN42" s="214"/>
      <c r="RWO42" s="214"/>
      <c r="RWP42" s="214"/>
      <c r="RWQ42" s="214"/>
      <c r="RWR42" s="214"/>
      <c r="RWS42" s="214"/>
      <c r="RWT42" s="214"/>
      <c r="RWU42" s="214"/>
      <c r="RWV42" s="214"/>
      <c r="RWW42" s="214"/>
      <c r="RWX42" s="214"/>
      <c r="RWY42" s="214"/>
      <c r="RWZ42" s="214"/>
      <c r="RXA42" s="214"/>
      <c r="RXB42" s="214"/>
      <c r="RXC42" s="214"/>
      <c r="RXD42" s="214"/>
      <c r="RXE42" s="214"/>
      <c r="RXF42" s="214"/>
      <c r="RXG42" s="214"/>
      <c r="RXH42" s="214"/>
      <c r="RXI42" s="214"/>
      <c r="RXJ42" s="214"/>
      <c r="RXK42" s="214"/>
      <c r="RXL42" s="214"/>
      <c r="RXM42" s="214"/>
      <c r="RXN42" s="214"/>
      <c r="RXO42" s="214"/>
      <c r="RXP42" s="214"/>
      <c r="RXQ42" s="214"/>
      <c r="RXR42" s="214"/>
      <c r="RXS42" s="214"/>
      <c r="RXT42" s="214"/>
      <c r="RXU42" s="214"/>
      <c r="RXV42" s="214"/>
      <c r="RXW42" s="214"/>
      <c r="RXX42" s="214"/>
      <c r="RXY42" s="214"/>
      <c r="RXZ42" s="214"/>
      <c r="RYA42" s="214"/>
      <c r="RYB42" s="214"/>
      <c r="RYC42" s="214"/>
      <c r="RYD42" s="214"/>
      <c r="RYE42" s="214"/>
      <c r="RYF42" s="214"/>
      <c r="RYG42" s="214"/>
      <c r="RYH42" s="214"/>
      <c r="RYI42" s="214"/>
      <c r="RYJ42" s="214"/>
      <c r="RYK42" s="214"/>
      <c r="RYL42" s="214"/>
      <c r="RYM42" s="214"/>
      <c r="RYN42" s="214"/>
      <c r="RYO42" s="214"/>
      <c r="RYP42" s="214"/>
      <c r="RYQ42" s="214"/>
      <c r="RYR42" s="214"/>
      <c r="RYS42" s="214"/>
      <c r="RYT42" s="214"/>
      <c r="RYU42" s="214"/>
      <c r="RYV42" s="214"/>
      <c r="RYW42" s="214"/>
      <c r="RYX42" s="214"/>
      <c r="RYY42" s="214"/>
      <c r="RYZ42" s="214"/>
      <c r="RZA42" s="214"/>
      <c r="RZB42" s="214"/>
      <c r="RZC42" s="214"/>
      <c r="RZD42" s="214"/>
      <c r="RZE42" s="214"/>
      <c r="RZF42" s="214"/>
      <c r="RZG42" s="214"/>
      <c r="RZH42" s="214"/>
      <c r="RZI42" s="214"/>
      <c r="RZJ42" s="214"/>
      <c r="RZK42" s="214"/>
      <c r="RZL42" s="214"/>
      <c r="RZM42" s="214"/>
      <c r="RZN42" s="214"/>
      <c r="RZO42" s="214"/>
      <c r="RZP42" s="214"/>
      <c r="RZQ42" s="214"/>
      <c r="RZR42" s="214"/>
      <c r="RZS42" s="214"/>
      <c r="RZT42" s="214"/>
      <c r="RZU42" s="214"/>
      <c r="RZV42" s="214"/>
      <c r="RZW42" s="214"/>
      <c r="RZX42" s="214"/>
      <c r="RZY42" s="214"/>
      <c r="RZZ42" s="214"/>
      <c r="SAA42" s="214"/>
      <c r="SAB42" s="214"/>
      <c r="SAC42" s="214"/>
      <c r="SAD42" s="214"/>
      <c r="SAE42" s="214"/>
      <c r="SAF42" s="214"/>
      <c r="SAG42" s="214"/>
      <c r="SAH42" s="214"/>
      <c r="SAI42" s="214"/>
      <c r="SAJ42" s="214"/>
      <c r="SAK42" s="214"/>
      <c r="SAL42" s="214"/>
      <c r="SAM42" s="214"/>
      <c r="SAN42" s="214"/>
      <c r="SAO42" s="214"/>
      <c r="SAP42" s="214"/>
      <c r="SAQ42" s="214"/>
      <c r="SAR42" s="214"/>
      <c r="SAS42" s="214"/>
      <c r="SAT42" s="214"/>
      <c r="SAU42" s="214"/>
      <c r="SAV42" s="214"/>
      <c r="SAW42" s="214"/>
      <c r="SAX42" s="214"/>
      <c r="SAY42" s="214"/>
      <c r="SAZ42" s="214"/>
      <c r="SBA42" s="214"/>
      <c r="SBB42" s="214"/>
      <c r="SBC42" s="214"/>
      <c r="SBD42" s="214"/>
      <c r="SBE42" s="214"/>
      <c r="SBF42" s="214"/>
      <c r="SBG42" s="214"/>
      <c r="SBH42" s="214"/>
      <c r="SBI42" s="214"/>
      <c r="SBJ42" s="214"/>
      <c r="SBK42" s="214"/>
      <c r="SBL42" s="214"/>
      <c r="SBM42" s="214"/>
      <c r="SBN42" s="214"/>
      <c r="SBO42" s="214"/>
      <c r="SBP42" s="214"/>
      <c r="SBQ42" s="214"/>
      <c r="SBR42" s="214"/>
      <c r="SBS42" s="214"/>
      <c r="SBT42" s="214"/>
      <c r="SBU42" s="214"/>
      <c r="SBV42" s="214"/>
      <c r="SBW42" s="214"/>
      <c r="SBX42" s="214"/>
      <c r="SBY42" s="214"/>
      <c r="SBZ42" s="214"/>
      <c r="SCA42" s="214"/>
      <c r="SCB42" s="214"/>
      <c r="SCC42" s="214"/>
      <c r="SCD42" s="214"/>
      <c r="SCE42" s="214"/>
      <c r="SCF42" s="214"/>
      <c r="SCG42" s="214"/>
      <c r="SCH42" s="214"/>
      <c r="SCI42" s="214"/>
      <c r="SCJ42" s="214"/>
      <c r="SCK42" s="214"/>
      <c r="SCL42" s="214"/>
      <c r="SCM42" s="214"/>
      <c r="SCN42" s="214"/>
      <c r="SCO42" s="214"/>
      <c r="SCP42" s="214"/>
      <c r="SCQ42" s="214"/>
      <c r="SCR42" s="214"/>
      <c r="SCS42" s="214"/>
      <c r="SCT42" s="214"/>
      <c r="SCU42" s="214"/>
      <c r="SCV42" s="214"/>
      <c r="SCW42" s="214"/>
      <c r="SCX42" s="214"/>
      <c r="SCY42" s="214"/>
      <c r="SCZ42" s="214"/>
      <c r="SDA42" s="214"/>
      <c r="SDB42" s="214"/>
      <c r="SDC42" s="214"/>
      <c r="SDD42" s="214"/>
      <c r="SDE42" s="214"/>
      <c r="SDF42" s="214"/>
      <c r="SDG42" s="214"/>
      <c r="SDH42" s="214"/>
      <c r="SDI42" s="214"/>
      <c r="SDJ42" s="214"/>
      <c r="SDK42" s="214"/>
      <c r="SDL42" s="214"/>
      <c r="SDM42" s="214"/>
      <c r="SDN42" s="214"/>
      <c r="SDO42" s="214"/>
      <c r="SDP42" s="214"/>
      <c r="SDQ42" s="214"/>
      <c r="SDR42" s="214"/>
      <c r="SDS42" s="214"/>
      <c r="SDT42" s="214"/>
      <c r="SDU42" s="214"/>
      <c r="SDV42" s="214"/>
      <c r="SDW42" s="214"/>
      <c r="SDX42" s="214"/>
      <c r="SDY42" s="214"/>
      <c r="SDZ42" s="214"/>
      <c r="SEA42" s="214"/>
      <c r="SEB42" s="214"/>
      <c r="SEC42" s="214"/>
      <c r="SED42" s="214"/>
      <c r="SEE42" s="214"/>
      <c r="SEF42" s="214"/>
      <c r="SEG42" s="214"/>
      <c r="SEH42" s="214"/>
      <c r="SEI42" s="214"/>
      <c r="SEJ42" s="214"/>
      <c r="SEK42" s="214"/>
      <c r="SEL42" s="214"/>
      <c r="SEM42" s="214"/>
      <c r="SEN42" s="214"/>
      <c r="SEO42" s="214"/>
      <c r="SEP42" s="214"/>
      <c r="SEQ42" s="214"/>
      <c r="SER42" s="214"/>
      <c r="SES42" s="214"/>
      <c r="SET42" s="214"/>
      <c r="SEU42" s="214"/>
      <c r="SEV42" s="214"/>
      <c r="SEW42" s="214"/>
      <c r="SEX42" s="214"/>
      <c r="SEY42" s="214"/>
      <c r="SEZ42" s="214"/>
      <c r="SFA42" s="214"/>
      <c r="SFB42" s="214"/>
      <c r="SFC42" s="214"/>
      <c r="SFD42" s="214"/>
      <c r="SFE42" s="214"/>
      <c r="SFF42" s="214"/>
      <c r="SFG42" s="214"/>
      <c r="SFH42" s="214"/>
      <c r="SFI42" s="214"/>
      <c r="SFJ42" s="214"/>
      <c r="SFK42" s="214"/>
      <c r="SFL42" s="214"/>
      <c r="SFM42" s="214"/>
      <c r="SFN42" s="214"/>
      <c r="SFO42" s="214"/>
      <c r="SFP42" s="214"/>
      <c r="SFQ42" s="214"/>
      <c r="SFR42" s="214"/>
      <c r="SFS42" s="214"/>
      <c r="SFT42" s="214"/>
      <c r="SFU42" s="214"/>
      <c r="SFV42" s="214"/>
      <c r="SFW42" s="214"/>
      <c r="SFX42" s="214"/>
      <c r="SFY42" s="214"/>
      <c r="SFZ42" s="214"/>
      <c r="SGA42" s="214"/>
      <c r="SGB42" s="214"/>
      <c r="SGC42" s="214"/>
      <c r="SGD42" s="214"/>
      <c r="SGE42" s="214"/>
      <c r="SGF42" s="214"/>
      <c r="SGG42" s="214"/>
      <c r="SGH42" s="214"/>
      <c r="SGI42" s="214"/>
      <c r="SGJ42" s="214"/>
      <c r="SGK42" s="214"/>
      <c r="SGL42" s="214"/>
      <c r="SGM42" s="214"/>
      <c r="SGN42" s="214"/>
      <c r="SGO42" s="214"/>
      <c r="SGP42" s="214"/>
      <c r="SGQ42" s="214"/>
      <c r="SGR42" s="214"/>
      <c r="SGS42" s="214"/>
      <c r="SGT42" s="214"/>
      <c r="SGU42" s="214"/>
      <c r="SGV42" s="214"/>
      <c r="SGW42" s="214"/>
      <c r="SGX42" s="214"/>
      <c r="SGY42" s="214"/>
      <c r="SGZ42" s="214"/>
      <c r="SHA42" s="214"/>
      <c r="SHB42" s="214"/>
      <c r="SHC42" s="214"/>
      <c r="SHD42" s="214"/>
      <c r="SHE42" s="214"/>
      <c r="SHF42" s="214"/>
      <c r="SHG42" s="214"/>
      <c r="SHH42" s="214"/>
      <c r="SHI42" s="214"/>
      <c r="SHJ42" s="214"/>
      <c r="SHK42" s="214"/>
      <c r="SHL42" s="214"/>
      <c r="SHM42" s="214"/>
      <c r="SHN42" s="214"/>
      <c r="SHO42" s="214"/>
      <c r="SHP42" s="214"/>
      <c r="SHQ42" s="214"/>
      <c r="SHR42" s="214"/>
      <c r="SHS42" s="214"/>
      <c r="SHT42" s="214"/>
      <c r="SHU42" s="214"/>
      <c r="SHV42" s="214"/>
      <c r="SHW42" s="214"/>
      <c r="SHX42" s="214"/>
      <c r="SHY42" s="214"/>
      <c r="SHZ42" s="214"/>
      <c r="SIA42" s="214"/>
      <c r="SIB42" s="214"/>
      <c r="SIC42" s="214"/>
      <c r="SID42" s="214"/>
      <c r="SIE42" s="214"/>
      <c r="SIF42" s="214"/>
      <c r="SIG42" s="214"/>
      <c r="SIH42" s="214"/>
      <c r="SII42" s="214"/>
      <c r="SIJ42" s="214"/>
      <c r="SIK42" s="214"/>
      <c r="SIL42" s="214"/>
      <c r="SIM42" s="214"/>
      <c r="SIN42" s="214"/>
      <c r="SIO42" s="214"/>
      <c r="SIP42" s="214"/>
      <c r="SIQ42" s="214"/>
      <c r="SIR42" s="214"/>
      <c r="SIS42" s="214"/>
      <c r="SIT42" s="214"/>
      <c r="SIU42" s="214"/>
      <c r="SIV42" s="214"/>
      <c r="SIW42" s="214"/>
      <c r="SIX42" s="214"/>
      <c r="SIY42" s="214"/>
      <c r="SIZ42" s="214"/>
      <c r="SJA42" s="214"/>
      <c r="SJB42" s="214"/>
      <c r="SJC42" s="214"/>
      <c r="SJD42" s="214"/>
      <c r="SJE42" s="214"/>
      <c r="SJF42" s="214"/>
      <c r="SJG42" s="214"/>
      <c r="SJH42" s="214"/>
      <c r="SJI42" s="214"/>
      <c r="SJJ42" s="214"/>
      <c r="SJK42" s="214"/>
      <c r="SJL42" s="214"/>
      <c r="SJM42" s="214"/>
      <c r="SJN42" s="214"/>
      <c r="SJO42" s="214"/>
      <c r="SJP42" s="214"/>
      <c r="SJQ42" s="214"/>
      <c r="SJR42" s="214"/>
      <c r="SJS42" s="214"/>
      <c r="SJT42" s="214"/>
      <c r="SJU42" s="214"/>
      <c r="SJV42" s="214"/>
      <c r="SJW42" s="214"/>
      <c r="SJX42" s="214"/>
      <c r="SJY42" s="214"/>
      <c r="SJZ42" s="214"/>
      <c r="SKA42" s="214"/>
      <c r="SKB42" s="214"/>
      <c r="SKC42" s="214"/>
      <c r="SKD42" s="214"/>
      <c r="SKE42" s="214"/>
      <c r="SKF42" s="214"/>
      <c r="SKG42" s="214"/>
      <c r="SKH42" s="214"/>
      <c r="SKI42" s="214"/>
      <c r="SKJ42" s="214"/>
      <c r="SKK42" s="214"/>
      <c r="SKL42" s="214"/>
      <c r="SKM42" s="214"/>
      <c r="SKN42" s="214"/>
      <c r="SKO42" s="214"/>
      <c r="SKP42" s="214"/>
      <c r="SKQ42" s="214"/>
      <c r="SKR42" s="214"/>
      <c r="SKS42" s="214"/>
      <c r="SKT42" s="214"/>
      <c r="SKU42" s="214"/>
      <c r="SKV42" s="214"/>
      <c r="SKW42" s="214"/>
      <c r="SKX42" s="214"/>
      <c r="SKY42" s="214"/>
      <c r="SKZ42" s="214"/>
      <c r="SLA42" s="214"/>
      <c r="SLB42" s="214"/>
      <c r="SLC42" s="214"/>
      <c r="SLD42" s="214"/>
      <c r="SLE42" s="214"/>
      <c r="SLF42" s="214"/>
      <c r="SLG42" s="214"/>
      <c r="SLH42" s="214"/>
      <c r="SLI42" s="214"/>
      <c r="SLJ42" s="214"/>
      <c r="SLK42" s="214"/>
      <c r="SLL42" s="214"/>
      <c r="SLM42" s="214"/>
      <c r="SLN42" s="214"/>
      <c r="SLO42" s="214"/>
      <c r="SLP42" s="214"/>
      <c r="SLQ42" s="214"/>
      <c r="SLR42" s="214"/>
      <c r="SLS42" s="214"/>
      <c r="SLT42" s="214"/>
      <c r="SLU42" s="214"/>
      <c r="SLV42" s="214"/>
      <c r="SLW42" s="214"/>
      <c r="SLX42" s="214"/>
      <c r="SLY42" s="214"/>
      <c r="SLZ42" s="214"/>
      <c r="SMA42" s="214"/>
      <c r="SMB42" s="214"/>
      <c r="SMC42" s="214"/>
      <c r="SMD42" s="214"/>
      <c r="SME42" s="214"/>
      <c r="SMF42" s="214"/>
      <c r="SMG42" s="214"/>
      <c r="SMH42" s="214"/>
      <c r="SMI42" s="214"/>
      <c r="SMJ42" s="214"/>
      <c r="SMK42" s="214"/>
      <c r="SML42" s="214"/>
      <c r="SMM42" s="214"/>
      <c r="SMN42" s="214"/>
      <c r="SMO42" s="214"/>
      <c r="SMP42" s="214"/>
      <c r="SMQ42" s="214"/>
      <c r="SMR42" s="214"/>
      <c r="SMS42" s="214"/>
      <c r="SMT42" s="214"/>
      <c r="SMU42" s="214"/>
      <c r="SMV42" s="214"/>
      <c r="SMW42" s="214"/>
      <c r="SMX42" s="214"/>
      <c r="SMY42" s="214"/>
      <c r="SMZ42" s="214"/>
      <c r="SNA42" s="214"/>
      <c r="SNB42" s="214"/>
      <c r="SNC42" s="214"/>
      <c r="SND42" s="214"/>
      <c r="SNE42" s="214"/>
      <c r="SNF42" s="214"/>
      <c r="SNG42" s="214"/>
      <c r="SNH42" s="214"/>
      <c r="SNI42" s="214"/>
      <c r="SNJ42" s="214"/>
      <c r="SNK42" s="214"/>
      <c r="SNL42" s="214"/>
      <c r="SNM42" s="214"/>
      <c r="SNN42" s="214"/>
      <c r="SNO42" s="214"/>
      <c r="SNP42" s="214"/>
      <c r="SNQ42" s="214"/>
      <c r="SNR42" s="214"/>
      <c r="SNS42" s="214"/>
      <c r="SNT42" s="214"/>
      <c r="SNU42" s="214"/>
      <c r="SNV42" s="214"/>
      <c r="SNW42" s="214"/>
      <c r="SNX42" s="214"/>
      <c r="SNY42" s="214"/>
      <c r="SNZ42" s="214"/>
      <c r="SOA42" s="214"/>
      <c r="SOB42" s="214"/>
      <c r="SOC42" s="214"/>
      <c r="SOD42" s="214"/>
      <c r="SOE42" s="214"/>
      <c r="SOF42" s="214"/>
      <c r="SOG42" s="214"/>
      <c r="SOH42" s="214"/>
      <c r="SOI42" s="214"/>
      <c r="SOJ42" s="214"/>
      <c r="SOK42" s="214"/>
      <c r="SOL42" s="214"/>
      <c r="SOM42" s="214"/>
      <c r="SON42" s="214"/>
      <c r="SOO42" s="214"/>
      <c r="SOP42" s="214"/>
      <c r="SOQ42" s="214"/>
      <c r="SOR42" s="214"/>
      <c r="SOS42" s="214"/>
      <c r="SOT42" s="214"/>
      <c r="SOU42" s="214"/>
      <c r="SOV42" s="214"/>
      <c r="SOW42" s="214"/>
      <c r="SOX42" s="214"/>
      <c r="SOY42" s="214"/>
      <c r="SOZ42" s="214"/>
      <c r="SPA42" s="214"/>
      <c r="SPB42" s="214"/>
      <c r="SPC42" s="214"/>
      <c r="SPD42" s="214"/>
      <c r="SPE42" s="214"/>
      <c r="SPF42" s="214"/>
      <c r="SPG42" s="214"/>
      <c r="SPH42" s="214"/>
      <c r="SPI42" s="214"/>
      <c r="SPJ42" s="214"/>
      <c r="SPK42" s="214"/>
      <c r="SPL42" s="214"/>
      <c r="SPM42" s="214"/>
      <c r="SPN42" s="214"/>
      <c r="SPO42" s="214"/>
      <c r="SPP42" s="214"/>
      <c r="SPQ42" s="214"/>
      <c r="SPR42" s="214"/>
      <c r="SPS42" s="214"/>
      <c r="SPT42" s="214"/>
      <c r="SPU42" s="214"/>
      <c r="SPV42" s="214"/>
      <c r="SPW42" s="214"/>
      <c r="SPX42" s="214"/>
      <c r="SPY42" s="214"/>
      <c r="SPZ42" s="214"/>
      <c r="SQA42" s="214"/>
      <c r="SQB42" s="214"/>
      <c r="SQC42" s="214"/>
      <c r="SQD42" s="214"/>
      <c r="SQE42" s="214"/>
      <c r="SQF42" s="214"/>
      <c r="SQG42" s="214"/>
      <c r="SQH42" s="214"/>
      <c r="SQI42" s="214"/>
      <c r="SQJ42" s="214"/>
      <c r="SQK42" s="214"/>
      <c r="SQL42" s="214"/>
      <c r="SQM42" s="214"/>
      <c r="SQN42" s="214"/>
      <c r="SQO42" s="214"/>
      <c r="SQP42" s="214"/>
      <c r="SQQ42" s="214"/>
      <c r="SQR42" s="214"/>
      <c r="SQS42" s="214"/>
      <c r="SQT42" s="214"/>
      <c r="SQU42" s="214"/>
      <c r="SQV42" s="214"/>
      <c r="SQW42" s="214"/>
      <c r="SQX42" s="214"/>
      <c r="SQY42" s="214"/>
      <c r="SQZ42" s="214"/>
      <c r="SRA42" s="214"/>
      <c r="SRB42" s="214"/>
      <c r="SRC42" s="214"/>
      <c r="SRD42" s="214"/>
      <c r="SRE42" s="214"/>
      <c r="SRF42" s="214"/>
      <c r="SRG42" s="214"/>
      <c r="SRH42" s="214"/>
      <c r="SRI42" s="214"/>
      <c r="SRJ42" s="214"/>
      <c r="SRK42" s="214"/>
      <c r="SRL42" s="214"/>
      <c r="SRM42" s="214"/>
      <c r="SRN42" s="214"/>
      <c r="SRO42" s="214"/>
      <c r="SRP42" s="214"/>
      <c r="SRQ42" s="214"/>
      <c r="SRR42" s="214"/>
      <c r="SRS42" s="214"/>
      <c r="SRT42" s="214"/>
      <c r="SRU42" s="214"/>
      <c r="SRV42" s="214"/>
      <c r="SRW42" s="214"/>
      <c r="SRX42" s="214"/>
      <c r="SRY42" s="214"/>
      <c r="SRZ42" s="214"/>
      <c r="SSA42" s="214"/>
      <c r="SSB42" s="214"/>
      <c r="SSC42" s="214"/>
      <c r="SSD42" s="214"/>
      <c r="SSE42" s="214"/>
      <c r="SSF42" s="214"/>
      <c r="SSG42" s="214"/>
      <c r="SSH42" s="214"/>
      <c r="SSI42" s="214"/>
      <c r="SSJ42" s="214"/>
      <c r="SSK42" s="214"/>
      <c r="SSL42" s="214"/>
      <c r="SSM42" s="214"/>
      <c r="SSN42" s="214"/>
      <c r="SSO42" s="214"/>
      <c r="SSP42" s="214"/>
      <c r="SSQ42" s="214"/>
      <c r="SSR42" s="214"/>
      <c r="SSS42" s="214"/>
      <c r="SST42" s="214"/>
      <c r="SSU42" s="214"/>
      <c r="SSV42" s="214"/>
      <c r="SSW42" s="214"/>
      <c r="SSX42" s="214"/>
      <c r="SSY42" s="214"/>
      <c r="SSZ42" s="214"/>
      <c r="STA42" s="214"/>
      <c r="STB42" s="214"/>
      <c r="STC42" s="214"/>
      <c r="STD42" s="214"/>
      <c r="STE42" s="214"/>
      <c r="STF42" s="214"/>
      <c r="STG42" s="214"/>
      <c r="STH42" s="214"/>
      <c r="STI42" s="214"/>
      <c r="STJ42" s="214"/>
      <c r="STK42" s="214"/>
      <c r="STL42" s="214"/>
      <c r="STM42" s="214"/>
      <c r="STN42" s="214"/>
      <c r="STO42" s="214"/>
      <c r="STP42" s="214"/>
      <c r="STQ42" s="214"/>
      <c r="STR42" s="214"/>
      <c r="STS42" s="214"/>
      <c r="STT42" s="214"/>
      <c r="STU42" s="214"/>
      <c r="STV42" s="214"/>
      <c r="STW42" s="214"/>
      <c r="STX42" s="214"/>
      <c r="STY42" s="214"/>
      <c r="STZ42" s="214"/>
      <c r="SUA42" s="214"/>
      <c r="SUB42" s="214"/>
      <c r="SUC42" s="214"/>
      <c r="SUD42" s="214"/>
      <c r="SUE42" s="214"/>
      <c r="SUF42" s="214"/>
      <c r="SUG42" s="214"/>
      <c r="SUH42" s="214"/>
      <c r="SUI42" s="214"/>
      <c r="SUJ42" s="214"/>
      <c r="SUK42" s="214"/>
      <c r="SUL42" s="214"/>
      <c r="SUM42" s="214"/>
      <c r="SUN42" s="214"/>
      <c r="SUO42" s="214"/>
      <c r="SUP42" s="214"/>
      <c r="SUQ42" s="214"/>
      <c r="SUR42" s="214"/>
      <c r="SUS42" s="214"/>
      <c r="SUT42" s="214"/>
      <c r="SUU42" s="214"/>
      <c r="SUV42" s="214"/>
      <c r="SUW42" s="214"/>
      <c r="SUX42" s="214"/>
      <c r="SUY42" s="214"/>
      <c r="SUZ42" s="214"/>
      <c r="SVA42" s="214"/>
      <c r="SVB42" s="214"/>
      <c r="SVC42" s="214"/>
      <c r="SVD42" s="214"/>
      <c r="SVE42" s="214"/>
      <c r="SVF42" s="214"/>
      <c r="SVG42" s="214"/>
      <c r="SVH42" s="214"/>
      <c r="SVI42" s="214"/>
      <c r="SVJ42" s="214"/>
      <c r="SVK42" s="214"/>
      <c r="SVL42" s="214"/>
      <c r="SVM42" s="214"/>
      <c r="SVN42" s="214"/>
      <c r="SVO42" s="214"/>
      <c r="SVP42" s="214"/>
      <c r="SVQ42" s="214"/>
      <c r="SVR42" s="214"/>
      <c r="SVS42" s="214"/>
      <c r="SVT42" s="214"/>
      <c r="SVU42" s="214"/>
      <c r="SVV42" s="214"/>
      <c r="SVW42" s="214"/>
      <c r="SVX42" s="214"/>
      <c r="SVY42" s="214"/>
      <c r="SVZ42" s="214"/>
      <c r="SWA42" s="214"/>
      <c r="SWB42" s="214"/>
      <c r="SWC42" s="214"/>
      <c r="SWD42" s="214"/>
      <c r="SWE42" s="214"/>
      <c r="SWF42" s="214"/>
      <c r="SWG42" s="214"/>
      <c r="SWH42" s="214"/>
      <c r="SWI42" s="214"/>
      <c r="SWJ42" s="214"/>
      <c r="SWK42" s="214"/>
      <c r="SWL42" s="214"/>
      <c r="SWM42" s="214"/>
      <c r="SWN42" s="214"/>
      <c r="SWO42" s="214"/>
      <c r="SWP42" s="214"/>
      <c r="SWQ42" s="214"/>
      <c r="SWR42" s="214"/>
      <c r="SWS42" s="214"/>
      <c r="SWT42" s="214"/>
      <c r="SWU42" s="214"/>
      <c r="SWV42" s="214"/>
      <c r="SWW42" s="214"/>
      <c r="SWX42" s="214"/>
      <c r="SWY42" s="214"/>
      <c r="SWZ42" s="214"/>
      <c r="SXA42" s="214"/>
      <c r="SXB42" s="214"/>
      <c r="SXC42" s="214"/>
      <c r="SXD42" s="214"/>
      <c r="SXE42" s="214"/>
      <c r="SXF42" s="214"/>
      <c r="SXG42" s="214"/>
      <c r="SXH42" s="214"/>
      <c r="SXI42" s="214"/>
      <c r="SXJ42" s="214"/>
      <c r="SXK42" s="214"/>
      <c r="SXL42" s="214"/>
      <c r="SXM42" s="214"/>
      <c r="SXN42" s="214"/>
      <c r="SXO42" s="214"/>
      <c r="SXP42" s="214"/>
      <c r="SXQ42" s="214"/>
      <c r="SXR42" s="214"/>
      <c r="SXS42" s="214"/>
      <c r="SXT42" s="214"/>
      <c r="SXU42" s="214"/>
      <c r="SXV42" s="214"/>
      <c r="SXW42" s="214"/>
      <c r="SXX42" s="214"/>
      <c r="SXY42" s="214"/>
      <c r="SXZ42" s="214"/>
      <c r="SYA42" s="214"/>
      <c r="SYB42" s="214"/>
      <c r="SYC42" s="214"/>
      <c r="SYD42" s="214"/>
      <c r="SYE42" s="214"/>
      <c r="SYF42" s="214"/>
      <c r="SYG42" s="214"/>
      <c r="SYH42" s="214"/>
      <c r="SYI42" s="214"/>
      <c r="SYJ42" s="214"/>
      <c r="SYK42" s="214"/>
      <c r="SYL42" s="214"/>
      <c r="SYM42" s="214"/>
      <c r="SYN42" s="214"/>
      <c r="SYO42" s="214"/>
      <c r="SYP42" s="214"/>
      <c r="SYQ42" s="214"/>
      <c r="SYR42" s="214"/>
      <c r="SYS42" s="214"/>
      <c r="SYT42" s="214"/>
      <c r="SYU42" s="214"/>
      <c r="SYV42" s="214"/>
      <c r="SYW42" s="214"/>
      <c r="SYX42" s="214"/>
      <c r="SYY42" s="214"/>
      <c r="SYZ42" s="214"/>
      <c r="SZA42" s="214"/>
      <c r="SZB42" s="214"/>
      <c r="SZC42" s="214"/>
      <c r="SZD42" s="214"/>
      <c r="SZE42" s="214"/>
      <c r="SZF42" s="214"/>
      <c r="SZG42" s="214"/>
      <c r="SZH42" s="214"/>
      <c r="SZI42" s="214"/>
      <c r="SZJ42" s="214"/>
      <c r="SZK42" s="214"/>
      <c r="SZL42" s="214"/>
      <c r="SZM42" s="214"/>
      <c r="SZN42" s="214"/>
      <c r="SZO42" s="214"/>
      <c r="SZP42" s="214"/>
      <c r="SZQ42" s="214"/>
      <c r="SZR42" s="214"/>
      <c r="SZS42" s="214"/>
      <c r="SZT42" s="214"/>
      <c r="SZU42" s="214"/>
      <c r="SZV42" s="214"/>
      <c r="SZW42" s="214"/>
      <c r="SZX42" s="214"/>
      <c r="SZY42" s="214"/>
      <c r="SZZ42" s="214"/>
      <c r="TAA42" s="214"/>
      <c r="TAB42" s="214"/>
      <c r="TAC42" s="214"/>
      <c r="TAD42" s="214"/>
      <c r="TAE42" s="214"/>
      <c r="TAF42" s="214"/>
      <c r="TAG42" s="214"/>
      <c r="TAH42" s="214"/>
      <c r="TAI42" s="214"/>
      <c r="TAJ42" s="214"/>
      <c r="TAK42" s="214"/>
      <c r="TAL42" s="214"/>
      <c r="TAM42" s="214"/>
      <c r="TAN42" s="214"/>
      <c r="TAO42" s="214"/>
      <c r="TAP42" s="214"/>
      <c r="TAQ42" s="214"/>
      <c r="TAR42" s="214"/>
      <c r="TAS42" s="214"/>
      <c r="TAT42" s="214"/>
      <c r="TAU42" s="214"/>
      <c r="TAV42" s="214"/>
      <c r="TAW42" s="214"/>
      <c r="TAX42" s="214"/>
      <c r="TAY42" s="214"/>
      <c r="TAZ42" s="214"/>
      <c r="TBA42" s="214"/>
      <c r="TBB42" s="214"/>
      <c r="TBC42" s="214"/>
      <c r="TBD42" s="214"/>
      <c r="TBE42" s="214"/>
      <c r="TBF42" s="214"/>
      <c r="TBG42" s="214"/>
      <c r="TBH42" s="214"/>
      <c r="TBI42" s="214"/>
      <c r="TBJ42" s="214"/>
      <c r="TBK42" s="214"/>
      <c r="TBL42" s="214"/>
      <c r="TBM42" s="214"/>
      <c r="TBN42" s="214"/>
      <c r="TBO42" s="214"/>
      <c r="TBP42" s="214"/>
      <c r="TBQ42" s="214"/>
      <c r="TBR42" s="214"/>
      <c r="TBS42" s="214"/>
      <c r="TBT42" s="214"/>
      <c r="TBU42" s="214"/>
      <c r="TBV42" s="214"/>
      <c r="TBW42" s="214"/>
      <c r="TBX42" s="214"/>
      <c r="TBY42" s="214"/>
      <c r="TBZ42" s="214"/>
      <c r="TCA42" s="214"/>
      <c r="TCB42" s="214"/>
      <c r="TCC42" s="214"/>
      <c r="TCD42" s="214"/>
      <c r="TCE42" s="214"/>
      <c r="TCF42" s="214"/>
      <c r="TCG42" s="214"/>
      <c r="TCH42" s="214"/>
      <c r="TCI42" s="214"/>
      <c r="TCJ42" s="214"/>
      <c r="TCK42" s="214"/>
      <c r="TCL42" s="214"/>
      <c r="TCM42" s="214"/>
      <c r="TCN42" s="214"/>
      <c r="TCO42" s="214"/>
      <c r="TCP42" s="214"/>
      <c r="TCQ42" s="214"/>
      <c r="TCR42" s="214"/>
      <c r="TCS42" s="214"/>
      <c r="TCT42" s="214"/>
      <c r="TCU42" s="214"/>
      <c r="TCV42" s="214"/>
      <c r="TCW42" s="214"/>
      <c r="TCX42" s="214"/>
      <c r="TCY42" s="214"/>
      <c r="TCZ42" s="214"/>
      <c r="TDA42" s="214"/>
      <c r="TDB42" s="214"/>
      <c r="TDC42" s="214"/>
      <c r="TDD42" s="214"/>
      <c r="TDE42" s="214"/>
      <c r="TDF42" s="214"/>
      <c r="TDG42" s="214"/>
      <c r="TDH42" s="214"/>
      <c r="TDI42" s="214"/>
      <c r="TDJ42" s="214"/>
      <c r="TDK42" s="214"/>
      <c r="TDL42" s="214"/>
      <c r="TDM42" s="214"/>
      <c r="TDN42" s="214"/>
      <c r="TDO42" s="214"/>
      <c r="TDP42" s="214"/>
      <c r="TDQ42" s="214"/>
      <c r="TDR42" s="214"/>
      <c r="TDS42" s="214"/>
      <c r="TDT42" s="214"/>
      <c r="TDU42" s="214"/>
      <c r="TDV42" s="214"/>
      <c r="TDW42" s="214"/>
      <c r="TDX42" s="214"/>
      <c r="TDY42" s="214"/>
      <c r="TDZ42" s="214"/>
      <c r="TEA42" s="214"/>
      <c r="TEB42" s="214"/>
      <c r="TEC42" s="214"/>
      <c r="TED42" s="214"/>
      <c r="TEE42" s="214"/>
      <c r="TEF42" s="214"/>
      <c r="TEG42" s="214"/>
      <c r="TEH42" s="214"/>
      <c r="TEI42" s="214"/>
      <c r="TEJ42" s="214"/>
      <c r="TEK42" s="214"/>
      <c r="TEL42" s="214"/>
      <c r="TEM42" s="214"/>
      <c r="TEN42" s="214"/>
      <c r="TEO42" s="214"/>
      <c r="TEP42" s="214"/>
      <c r="TEQ42" s="214"/>
      <c r="TER42" s="214"/>
      <c r="TES42" s="214"/>
      <c r="TET42" s="214"/>
      <c r="TEU42" s="214"/>
      <c r="TEV42" s="214"/>
      <c r="TEW42" s="214"/>
      <c r="TEX42" s="214"/>
      <c r="TEY42" s="214"/>
      <c r="TEZ42" s="214"/>
      <c r="TFA42" s="214"/>
      <c r="TFB42" s="214"/>
      <c r="TFC42" s="214"/>
      <c r="TFD42" s="214"/>
      <c r="TFE42" s="214"/>
      <c r="TFF42" s="214"/>
      <c r="TFG42" s="214"/>
      <c r="TFH42" s="214"/>
      <c r="TFI42" s="214"/>
      <c r="TFJ42" s="214"/>
      <c r="TFK42" s="214"/>
      <c r="TFL42" s="214"/>
      <c r="TFM42" s="214"/>
      <c r="TFN42" s="214"/>
      <c r="TFO42" s="214"/>
      <c r="TFP42" s="214"/>
      <c r="TFQ42" s="214"/>
      <c r="TFR42" s="214"/>
      <c r="TFS42" s="214"/>
      <c r="TFT42" s="214"/>
      <c r="TFU42" s="214"/>
      <c r="TFV42" s="214"/>
      <c r="TFW42" s="214"/>
      <c r="TFX42" s="214"/>
      <c r="TFY42" s="214"/>
      <c r="TFZ42" s="214"/>
      <c r="TGA42" s="214"/>
      <c r="TGB42" s="214"/>
      <c r="TGC42" s="214"/>
      <c r="TGD42" s="214"/>
      <c r="TGE42" s="214"/>
      <c r="TGF42" s="214"/>
      <c r="TGG42" s="214"/>
      <c r="TGH42" s="214"/>
      <c r="TGI42" s="214"/>
      <c r="TGJ42" s="214"/>
      <c r="TGK42" s="214"/>
      <c r="TGL42" s="214"/>
      <c r="TGM42" s="214"/>
      <c r="TGN42" s="214"/>
      <c r="TGO42" s="214"/>
      <c r="TGP42" s="214"/>
      <c r="TGQ42" s="214"/>
      <c r="TGR42" s="214"/>
      <c r="TGS42" s="214"/>
      <c r="TGT42" s="214"/>
      <c r="TGU42" s="214"/>
      <c r="TGV42" s="214"/>
      <c r="TGW42" s="214"/>
      <c r="TGX42" s="214"/>
      <c r="TGY42" s="214"/>
      <c r="TGZ42" s="214"/>
      <c r="THA42" s="214"/>
      <c r="THB42" s="214"/>
      <c r="THC42" s="214"/>
      <c r="THD42" s="214"/>
      <c r="THE42" s="214"/>
      <c r="THF42" s="214"/>
      <c r="THG42" s="214"/>
      <c r="THH42" s="214"/>
      <c r="THI42" s="214"/>
      <c r="THJ42" s="214"/>
      <c r="THK42" s="214"/>
      <c r="THL42" s="214"/>
      <c r="THM42" s="214"/>
      <c r="THN42" s="214"/>
      <c r="THO42" s="214"/>
      <c r="THP42" s="214"/>
      <c r="THQ42" s="214"/>
      <c r="THR42" s="214"/>
      <c r="THS42" s="214"/>
      <c r="THT42" s="214"/>
      <c r="THU42" s="214"/>
      <c r="THV42" s="214"/>
      <c r="THW42" s="214"/>
      <c r="THX42" s="214"/>
      <c r="THY42" s="214"/>
      <c r="THZ42" s="214"/>
      <c r="TIA42" s="214"/>
      <c r="TIB42" s="214"/>
      <c r="TIC42" s="214"/>
      <c r="TID42" s="214"/>
      <c r="TIE42" s="214"/>
      <c r="TIF42" s="214"/>
      <c r="TIG42" s="214"/>
      <c r="TIH42" s="214"/>
      <c r="TII42" s="214"/>
      <c r="TIJ42" s="214"/>
      <c r="TIK42" s="214"/>
      <c r="TIL42" s="214"/>
      <c r="TIM42" s="214"/>
      <c r="TIN42" s="214"/>
      <c r="TIO42" s="214"/>
      <c r="TIP42" s="214"/>
      <c r="TIQ42" s="214"/>
      <c r="TIR42" s="214"/>
      <c r="TIS42" s="214"/>
      <c r="TIT42" s="214"/>
      <c r="TIU42" s="214"/>
      <c r="TIV42" s="214"/>
      <c r="TIW42" s="214"/>
      <c r="TIX42" s="214"/>
      <c r="TIY42" s="214"/>
      <c r="TIZ42" s="214"/>
      <c r="TJA42" s="214"/>
      <c r="TJB42" s="214"/>
      <c r="TJC42" s="214"/>
      <c r="TJD42" s="214"/>
      <c r="TJE42" s="214"/>
      <c r="TJF42" s="214"/>
      <c r="TJG42" s="214"/>
      <c r="TJH42" s="214"/>
      <c r="TJI42" s="214"/>
      <c r="TJJ42" s="214"/>
      <c r="TJK42" s="214"/>
      <c r="TJL42" s="214"/>
      <c r="TJM42" s="214"/>
      <c r="TJN42" s="214"/>
      <c r="TJO42" s="214"/>
      <c r="TJP42" s="214"/>
      <c r="TJQ42" s="214"/>
      <c r="TJR42" s="214"/>
      <c r="TJS42" s="214"/>
      <c r="TJT42" s="214"/>
      <c r="TJU42" s="214"/>
      <c r="TJV42" s="214"/>
      <c r="TJW42" s="214"/>
      <c r="TJX42" s="214"/>
      <c r="TJY42" s="214"/>
      <c r="TJZ42" s="214"/>
      <c r="TKA42" s="214"/>
      <c r="TKB42" s="214"/>
      <c r="TKC42" s="214"/>
      <c r="TKD42" s="214"/>
      <c r="TKE42" s="214"/>
      <c r="TKF42" s="214"/>
      <c r="TKG42" s="214"/>
      <c r="TKH42" s="214"/>
      <c r="TKI42" s="214"/>
      <c r="TKJ42" s="214"/>
      <c r="TKK42" s="214"/>
      <c r="TKL42" s="214"/>
      <c r="TKM42" s="214"/>
      <c r="TKN42" s="214"/>
      <c r="TKO42" s="214"/>
      <c r="TKP42" s="214"/>
      <c r="TKQ42" s="214"/>
      <c r="TKR42" s="214"/>
      <c r="TKS42" s="214"/>
      <c r="TKT42" s="214"/>
      <c r="TKU42" s="214"/>
      <c r="TKV42" s="214"/>
      <c r="TKW42" s="214"/>
      <c r="TKX42" s="214"/>
      <c r="TKY42" s="214"/>
      <c r="TKZ42" s="214"/>
      <c r="TLA42" s="214"/>
      <c r="TLB42" s="214"/>
      <c r="TLC42" s="214"/>
      <c r="TLD42" s="214"/>
      <c r="TLE42" s="214"/>
      <c r="TLF42" s="214"/>
      <c r="TLG42" s="214"/>
      <c r="TLH42" s="214"/>
      <c r="TLI42" s="214"/>
      <c r="TLJ42" s="214"/>
      <c r="TLK42" s="214"/>
      <c r="TLL42" s="214"/>
      <c r="TLM42" s="214"/>
      <c r="TLN42" s="214"/>
      <c r="TLO42" s="214"/>
      <c r="TLP42" s="214"/>
      <c r="TLQ42" s="214"/>
      <c r="TLR42" s="214"/>
      <c r="TLS42" s="214"/>
      <c r="TLT42" s="214"/>
      <c r="TLU42" s="214"/>
      <c r="TLV42" s="214"/>
      <c r="TLW42" s="214"/>
      <c r="TLX42" s="214"/>
      <c r="TLY42" s="214"/>
      <c r="TLZ42" s="214"/>
      <c r="TMA42" s="214"/>
      <c r="TMB42" s="214"/>
      <c r="TMC42" s="214"/>
      <c r="TMD42" s="214"/>
      <c r="TME42" s="214"/>
      <c r="TMF42" s="214"/>
      <c r="TMG42" s="214"/>
      <c r="TMH42" s="214"/>
      <c r="TMI42" s="214"/>
      <c r="TMJ42" s="214"/>
      <c r="TMK42" s="214"/>
      <c r="TML42" s="214"/>
      <c r="TMM42" s="214"/>
      <c r="TMN42" s="214"/>
      <c r="TMO42" s="214"/>
      <c r="TMP42" s="214"/>
      <c r="TMQ42" s="214"/>
      <c r="TMR42" s="214"/>
      <c r="TMS42" s="214"/>
      <c r="TMT42" s="214"/>
      <c r="TMU42" s="214"/>
      <c r="TMV42" s="214"/>
      <c r="TMW42" s="214"/>
      <c r="TMX42" s="214"/>
      <c r="TMY42" s="214"/>
      <c r="TMZ42" s="214"/>
      <c r="TNA42" s="214"/>
      <c r="TNB42" s="214"/>
      <c r="TNC42" s="214"/>
      <c r="TND42" s="214"/>
      <c r="TNE42" s="214"/>
      <c r="TNF42" s="214"/>
      <c r="TNG42" s="214"/>
      <c r="TNH42" s="214"/>
      <c r="TNI42" s="214"/>
      <c r="TNJ42" s="214"/>
      <c r="TNK42" s="214"/>
      <c r="TNL42" s="214"/>
      <c r="TNM42" s="214"/>
      <c r="TNN42" s="214"/>
      <c r="TNO42" s="214"/>
      <c r="TNP42" s="214"/>
      <c r="TNQ42" s="214"/>
      <c r="TNR42" s="214"/>
      <c r="TNS42" s="214"/>
      <c r="TNT42" s="214"/>
      <c r="TNU42" s="214"/>
      <c r="TNV42" s="214"/>
      <c r="TNW42" s="214"/>
      <c r="TNX42" s="214"/>
      <c r="TNY42" s="214"/>
      <c r="TNZ42" s="214"/>
      <c r="TOA42" s="214"/>
      <c r="TOB42" s="214"/>
      <c r="TOC42" s="214"/>
      <c r="TOD42" s="214"/>
      <c r="TOE42" s="214"/>
      <c r="TOF42" s="214"/>
      <c r="TOG42" s="214"/>
      <c r="TOH42" s="214"/>
      <c r="TOI42" s="214"/>
      <c r="TOJ42" s="214"/>
      <c r="TOK42" s="214"/>
      <c r="TOL42" s="214"/>
      <c r="TOM42" s="214"/>
      <c r="TON42" s="214"/>
      <c r="TOO42" s="214"/>
      <c r="TOP42" s="214"/>
      <c r="TOQ42" s="214"/>
      <c r="TOR42" s="214"/>
      <c r="TOS42" s="214"/>
      <c r="TOT42" s="214"/>
      <c r="TOU42" s="214"/>
      <c r="TOV42" s="214"/>
      <c r="TOW42" s="214"/>
      <c r="TOX42" s="214"/>
      <c r="TOY42" s="214"/>
      <c r="TOZ42" s="214"/>
      <c r="TPA42" s="214"/>
      <c r="TPB42" s="214"/>
      <c r="TPC42" s="214"/>
      <c r="TPD42" s="214"/>
      <c r="TPE42" s="214"/>
      <c r="TPF42" s="214"/>
      <c r="TPG42" s="214"/>
      <c r="TPH42" s="214"/>
      <c r="TPI42" s="214"/>
      <c r="TPJ42" s="214"/>
      <c r="TPK42" s="214"/>
      <c r="TPL42" s="214"/>
      <c r="TPM42" s="214"/>
      <c r="TPN42" s="214"/>
      <c r="TPO42" s="214"/>
      <c r="TPP42" s="214"/>
      <c r="TPQ42" s="214"/>
      <c r="TPR42" s="214"/>
      <c r="TPS42" s="214"/>
      <c r="TPT42" s="214"/>
      <c r="TPU42" s="214"/>
      <c r="TPV42" s="214"/>
      <c r="TPW42" s="214"/>
      <c r="TPX42" s="214"/>
      <c r="TPY42" s="214"/>
      <c r="TPZ42" s="214"/>
      <c r="TQA42" s="214"/>
      <c r="TQB42" s="214"/>
      <c r="TQC42" s="214"/>
      <c r="TQD42" s="214"/>
      <c r="TQE42" s="214"/>
      <c r="TQF42" s="214"/>
      <c r="TQG42" s="214"/>
      <c r="TQH42" s="214"/>
      <c r="TQI42" s="214"/>
      <c r="TQJ42" s="214"/>
      <c r="TQK42" s="214"/>
      <c r="TQL42" s="214"/>
      <c r="TQM42" s="214"/>
      <c r="TQN42" s="214"/>
      <c r="TQO42" s="214"/>
      <c r="TQP42" s="214"/>
      <c r="TQQ42" s="214"/>
      <c r="TQR42" s="214"/>
      <c r="TQS42" s="214"/>
      <c r="TQT42" s="214"/>
      <c r="TQU42" s="214"/>
      <c r="TQV42" s="214"/>
      <c r="TQW42" s="214"/>
      <c r="TQX42" s="214"/>
      <c r="TQY42" s="214"/>
      <c r="TQZ42" s="214"/>
      <c r="TRA42" s="214"/>
      <c r="TRB42" s="214"/>
      <c r="TRC42" s="214"/>
      <c r="TRD42" s="214"/>
      <c r="TRE42" s="214"/>
      <c r="TRF42" s="214"/>
      <c r="TRG42" s="214"/>
      <c r="TRH42" s="214"/>
      <c r="TRI42" s="214"/>
      <c r="TRJ42" s="214"/>
      <c r="TRK42" s="214"/>
      <c r="TRL42" s="214"/>
      <c r="TRM42" s="214"/>
      <c r="TRN42" s="214"/>
      <c r="TRO42" s="214"/>
      <c r="TRP42" s="214"/>
      <c r="TRQ42" s="214"/>
      <c r="TRR42" s="214"/>
      <c r="TRS42" s="214"/>
      <c r="TRT42" s="214"/>
      <c r="TRU42" s="214"/>
      <c r="TRV42" s="214"/>
      <c r="TRW42" s="214"/>
      <c r="TRX42" s="214"/>
      <c r="TRY42" s="214"/>
      <c r="TRZ42" s="214"/>
      <c r="TSA42" s="214"/>
      <c r="TSB42" s="214"/>
      <c r="TSC42" s="214"/>
      <c r="TSD42" s="214"/>
      <c r="TSE42" s="214"/>
      <c r="TSF42" s="214"/>
      <c r="TSG42" s="214"/>
      <c r="TSH42" s="214"/>
      <c r="TSI42" s="214"/>
      <c r="TSJ42" s="214"/>
      <c r="TSK42" s="214"/>
      <c r="TSL42" s="214"/>
      <c r="TSM42" s="214"/>
      <c r="TSN42" s="214"/>
      <c r="TSO42" s="214"/>
      <c r="TSP42" s="214"/>
      <c r="TSQ42" s="214"/>
      <c r="TSR42" s="214"/>
      <c r="TSS42" s="214"/>
      <c r="TST42" s="214"/>
      <c r="TSU42" s="214"/>
      <c r="TSV42" s="214"/>
      <c r="TSW42" s="214"/>
      <c r="TSX42" s="214"/>
      <c r="TSY42" s="214"/>
      <c r="TSZ42" s="214"/>
      <c r="TTA42" s="214"/>
      <c r="TTB42" s="214"/>
      <c r="TTC42" s="214"/>
      <c r="TTD42" s="214"/>
      <c r="TTE42" s="214"/>
      <c r="TTF42" s="214"/>
      <c r="TTG42" s="214"/>
      <c r="TTH42" s="214"/>
      <c r="TTI42" s="214"/>
      <c r="TTJ42" s="214"/>
      <c r="TTK42" s="214"/>
      <c r="TTL42" s="214"/>
      <c r="TTM42" s="214"/>
      <c r="TTN42" s="214"/>
      <c r="TTO42" s="214"/>
      <c r="TTP42" s="214"/>
      <c r="TTQ42" s="214"/>
      <c r="TTR42" s="214"/>
      <c r="TTS42" s="214"/>
      <c r="TTT42" s="214"/>
      <c r="TTU42" s="214"/>
      <c r="TTV42" s="214"/>
      <c r="TTW42" s="214"/>
      <c r="TTX42" s="214"/>
      <c r="TTY42" s="214"/>
      <c r="TTZ42" s="214"/>
      <c r="TUA42" s="214"/>
      <c r="TUB42" s="214"/>
      <c r="TUC42" s="214"/>
      <c r="TUD42" s="214"/>
      <c r="TUE42" s="214"/>
      <c r="TUF42" s="214"/>
      <c r="TUG42" s="214"/>
      <c r="TUH42" s="214"/>
      <c r="TUI42" s="214"/>
      <c r="TUJ42" s="214"/>
      <c r="TUK42" s="214"/>
      <c r="TUL42" s="214"/>
      <c r="TUM42" s="214"/>
      <c r="TUN42" s="214"/>
      <c r="TUO42" s="214"/>
      <c r="TUP42" s="214"/>
      <c r="TUQ42" s="214"/>
      <c r="TUR42" s="214"/>
      <c r="TUS42" s="214"/>
      <c r="TUT42" s="214"/>
      <c r="TUU42" s="214"/>
      <c r="TUV42" s="214"/>
      <c r="TUW42" s="214"/>
      <c r="TUX42" s="214"/>
      <c r="TUY42" s="214"/>
      <c r="TUZ42" s="214"/>
      <c r="TVA42" s="214"/>
      <c r="TVB42" s="214"/>
      <c r="TVC42" s="214"/>
      <c r="TVD42" s="214"/>
      <c r="TVE42" s="214"/>
      <c r="TVF42" s="214"/>
      <c r="TVG42" s="214"/>
      <c r="TVH42" s="214"/>
      <c r="TVI42" s="214"/>
      <c r="TVJ42" s="214"/>
      <c r="TVK42" s="214"/>
      <c r="TVL42" s="214"/>
      <c r="TVM42" s="214"/>
      <c r="TVN42" s="214"/>
      <c r="TVO42" s="214"/>
      <c r="TVP42" s="214"/>
      <c r="TVQ42" s="214"/>
      <c r="TVR42" s="214"/>
      <c r="TVS42" s="214"/>
      <c r="TVT42" s="214"/>
      <c r="TVU42" s="214"/>
      <c r="TVV42" s="214"/>
      <c r="TVW42" s="214"/>
      <c r="TVX42" s="214"/>
      <c r="TVY42" s="214"/>
      <c r="TVZ42" s="214"/>
      <c r="TWA42" s="214"/>
      <c r="TWB42" s="214"/>
      <c r="TWC42" s="214"/>
      <c r="TWD42" s="214"/>
      <c r="TWE42" s="214"/>
      <c r="TWF42" s="214"/>
      <c r="TWG42" s="214"/>
      <c r="TWH42" s="214"/>
      <c r="TWI42" s="214"/>
      <c r="TWJ42" s="214"/>
      <c r="TWK42" s="214"/>
      <c r="TWL42" s="214"/>
      <c r="TWM42" s="214"/>
      <c r="TWN42" s="214"/>
      <c r="TWO42" s="214"/>
      <c r="TWP42" s="214"/>
      <c r="TWQ42" s="214"/>
      <c r="TWR42" s="214"/>
      <c r="TWS42" s="214"/>
      <c r="TWT42" s="214"/>
      <c r="TWU42" s="214"/>
      <c r="TWV42" s="214"/>
      <c r="TWW42" s="214"/>
      <c r="TWX42" s="214"/>
      <c r="TWY42" s="214"/>
      <c r="TWZ42" s="214"/>
      <c r="TXA42" s="214"/>
      <c r="TXB42" s="214"/>
      <c r="TXC42" s="214"/>
      <c r="TXD42" s="214"/>
      <c r="TXE42" s="214"/>
      <c r="TXF42" s="214"/>
      <c r="TXG42" s="214"/>
      <c r="TXH42" s="214"/>
      <c r="TXI42" s="214"/>
      <c r="TXJ42" s="214"/>
      <c r="TXK42" s="214"/>
      <c r="TXL42" s="214"/>
      <c r="TXM42" s="214"/>
      <c r="TXN42" s="214"/>
      <c r="TXO42" s="214"/>
      <c r="TXP42" s="214"/>
      <c r="TXQ42" s="214"/>
      <c r="TXR42" s="214"/>
      <c r="TXS42" s="214"/>
      <c r="TXT42" s="214"/>
      <c r="TXU42" s="214"/>
      <c r="TXV42" s="214"/>
      <c r="TXW42" s="214"/>
      <c r="TXX42" s="214"/>
      <c r="TXY42" s="214"/>
      <c r="TXZ42" s="214"/>
      <c r="TYA42" s="214"/>
      <c r="TYB42" s="214"/>
      <c r="TYC42" s="214"/>
      <c r="TYD42" s="214"/>
      <c r="TYE42" s="214"/>
      <c r="TYF42" s="214"/>
      <c r="TYG42" s="214"/>
      <c r="TYH42" s="214"/>
      <c r="TYI42" s="214"/>
      <c r="TYJ42" s="214"/>
      <c r="TYK42" s="214"/>
      <c r="TYL42" s="214"/>
      <c r="TYM42" s="214"/>
      <c r="TYN42" s="214"/>
      <c r="TYO42" s="214"/>
      <c r="TYP42" s="214"/>
      <c r="TYQ42" s="214"/>
      <c r="TYR42" s="214"/>
      <c r="TYS42" s="214"/>
      <c r="TYT42" s="214"/>
      <c r="TYU42" s="214"/>
      <c r="TYV42" s="214"/>
      <c r="TYW42" s="214"/>
      <c r="TYX42" s="214"/>
      <c r="TYY42" s="214"/>
      <c r="TYZ42" s="214"/>
      <c r="TZA42" s="214"/>
      <c r="TZB42" s="214"/>
      <c r="TZC42" s="214"/>
      <c r="TZD42" s="214"/>
      <c r="TZE42" s="214"/>
      <c r="TZF42" s="214"/>
      <c r="TZG42" s="214"/>
      <c r="TZH42" s="214"/>
      <c r="TZI42" s="214"/>
      <c r="TZJ42" s="214"/>
      <c r="TZK42" s="214"/>
      <c r="TZL42" s="214"/>
      <c r="TZM42" s="214"/>
      <c r="TZN42" s="214"/>
      <c r="TZO42" s="214"/>
      <c r="TZP42" s="214"/>
      <c r="TZQ42" s="214"/>
      <c r="TZR42" s="214"/>
      <c r="TZS42" s="214"/>
      <c r="TZT42" s="214"/>
      <c r="TZU42" s="214"/>
      <c r="TZV42" s="214"/>
      <c r="TZW42" s="214"/>
      <c r="TZX42" s="214"/>
      <c r="TZY42" s="214"/>
      <c r="TZZ42" s="214"/>
      <c r="UAA42" s="214"/>
      <c r="UAB42" s="214"/>
      <c r="UAC42" s="214"/>
      <c r="UAD42" s="214"/>
      <c r="UAE42" s="214"/>
      <c r="UAF42" s="214"/>
      <c r="UAG42" s="214"/>
      <c r="UAH42" s="214"/>
      <c r="UAI42" s="214"/>
      <c r="UAJ42" s="214"/>
      <c r="UAK42" s="214"/>
      <c r="UAL42" s="214"/>
      <c r="UAM42" s="214"/>
      <c r="UAN42" s="214"/>
      <c r="UAO42" s="214"/>
      <c r="UAP42" s="214"/>
      <c r="UAQ42" s="214"/>
      <c r="UAR42" s="214"/>
      <c r="UAS42" s="214"/>
      <c r="UAT42" s="214"/>
      <c r="UAU42" s="214"/>
      <c r="UAV42" s="214"/>
      <c r="UAW42" s="214"/>
      <c r="UAX42" s="214"/>
      <c r="UAY42" s="214"/>
      <c r="UAZ42" s="214"/>
      <c r="UBA42" s="214"/>
      <c r="UBB42" s="214"/>
      <c r="UBC42" s="214"/>
      <c r="UBD42" s="214"/>
      <c r="UBE42" s="214"/>
      <c r="UBF42" s="214"/>
      <c r="UBG42" s="214"/>
      <c r="UBH42" s="214"/>
      <c r="UBI42" s="214"/>
      <c r="UBJ42" s="214"/>
      <c r="UBK42" s="214"/>
      <c r="UBL42" s="214"/>
      <c r="UBM42" s="214"/>
      <c r="UBN42" s="214"/>
      <c r="UBO42" s="214"/>
      <c r="UBP42" s="214"/>
      <c r="UBQ42" s="214"/>
      <c r="UBR42" s="214"/>
      <c r="UBS42" s="214"/>
      <c r="UBT42" s="214"/>
      <c r="UBU42" s="214"/>
      <c r="UBV42" s="214"/>
      <c r="UBW42" s="214"/>
      <c r="UBX42" s="214"/>
      <c r="UBY42" s="214"/>
      <c r="UBZ42" s="214"/>
      <c r="UCA42" s="214"/>
      <c r="UCB42" s="214"/>
      <c r="UCC42" s="214"/>
      <c r="UCD42" s="214"/>
      <c r="UCE42" s="214"/>
      <c r="UCF42" s="214"/>
      <c r="UCG42" s="214"/>
      <c r="UCH42" s="214"/>
      <c r="UCI42" s="214"/>
      <c r="UCJ42" s="214"/>
      <c r="UCK42" s="214"/>
      <c r="UCL42" s="214"/>
      <c r="UCM42" s="214"/>
      <c r="UCN42" s="214"/>
      <c r="UCO42" s="214"/>
      <c r="UCP42" s="214"/>
      <c r="UCQ42" s="214"/>
      <c r="UCR42" s="214"/>
      <c r="UCS42" s="214"/>
      <c r="UCT42" s="214"/>
      <c r="UCU42" s="214"/>
      <c r="UCV42" s="214"/>
      <c r="UCW42" s="214"/>
      <c r="UCX42" s="214"/>
      <c r="UCY42" s="214"/>
      <c r="UCZ42" s="214"/>
      <c r="UDA42" s="214"/>
      <c r="UDB42" s="214"/>
      <c r="UDC42" s="214"/>
      <c r="UDD42" s="214"/>
      <c r="UDE42" s="214"/>
      <c r="UDF42" s="214"/>
      <c r="UDG42" s="214"/>
      <c r="UDH42" s="214"/>
      <c r="UDI42" s="214"/>
      <c r="UDJ42" s="214"/>
      <c r="UDK42" s="214"/>
      <c r="UDL42" s="214"/>
      <c r="UDM42" s="214"/>
      <c r="UDN42" s="214"/>
      <c r="UDO42" s="214"/>
      <c r="UDP42" s="214"/>
      <c r="UDQ42" s="214"/>
      <c r="UDR42" s="214"/>
      <c r="UDS42" s="214"/>
      <c r="UDT42" s="214"/>
      <c r="UDU42" s="214"/>
      <c r="UDV42" s="214"/>
      <c r="UDW42" s="214"/>
      <c r="UDX42" s="214"/>
      <c r="UDY42" s="214"/>
      <c r="UDZ42" s="214"/>
      <c r="UEA42" s="214"/>
      <c r="UEB42" s="214"/>
      <c r="UEC42" s="214"/>
      <c r="UED42" s="214"/>
      <c r="UEE42" s="214"/>
      <c r="UEF42" s="214"/>
      <c r="UEG42" s="214"/>
      <c r="UEH42" s="214"/>
      <c r="UEI42" s="214"/>
      <c r="UEJ42" s="214"/>
      <c r="UEK42" s="214"/>
      <c r="UEL42" s="214"/>
      <c r="UEM42" s="214"/>
      <c r="UEN42" s="214"/>
      <c r="UEO42" s="214"/>
      <c r="UEP42" s="214"/>
      <c r="UEQ42" s="214"/>
      <c r="UER42" s="214"/>
      <c r="UES42" s="214"/>
      <c r="UET42" s="214"/>
      <c r="UEU42" s="214"/>
      <c r="UEV42" s="214"/>
      <c r="UEW42" s="214"/>
      <c r="UEX42" s="214"/>
      <c r="UEY42" s="214"/>
      <c r="UEZ42" s="214"/>
      <c r="UFA42" s="214"/>
      <c r="UFB42" s="214"/>
      <c r="UFC42" s="214"/>
      <c r="UFD42" s="214"/>
      <c r="UFE42" s="214"/>
      <c r="UFF42" s="214"/>
      <c r="UFG42" s="214"/>
      <c r="UFH42" s="214"/>
      <c r="UFI42" s="214"/>
      <c r="UFJ42" s="214"/>
      <c r="UFK42" s="214"/>
      <c r="UFL42" s="214"/>
      <c r="UFM42" s="214"/>
      <c r="UFN42" s="214"/>
      <c r="UFO42" s="214"/>
      <c r="UFP42" s="214"/>
      <c r="UFQ42" s="214"/>
      <c r="UFR42" s="214"/>
      <c r="UFS42" s="214"/>
      <c r="UFT42" s="214"/>
      <c r="UFU42" s="214"/>
      <c r="UFV42" s="214"/>
      <c r="UFW42" s="214"/>
      <c r="UFX42" s="214"/>
      <c r="UFY42" s="214"/>
      <c r="UFZ42" s="214"/>
      <c r="UGA42" s="214"/>
      <c r="UGB42" s="214"/>
      <c r="UGC42" s="214"/>
      <c r="UGD42" s="214"/>
      <c r="UGE42" s="214"/>
      <c r="UGF42" s="214"/>
      <c r="UGG42" s="214"/>
      <c r="UGH42" s="214"/>
      <c r="UGI42" s="214"/>
      <c r="UGJ42" s="214"/>
      <c r="UGK42" s="214"/>
      <c r="UGL42" s="214"/>
      <c r="UGM42" s="214"/>
      <c r="UGN42" s="214"/>
      <c r="UGO42" s="214"/>
      <c r="UGP42" s="214"/>
      <c r="UGQ42" s="214"/>
      <c r="UGR42" s="214"/>
      <c r="UGS42" s="214"/>
      <c r="UGT42" s="214"/>
      <c r="UGU42" s="214"/>
      <c r="UGV42" s="214"/>
      <c r="UGW42" s="214"/>
      <c r="UGX42" s="214"/>
      <c r="UGY42" s="214"/>
      <c r="UGZ42" s="214"/>
      <c r="UHA42" s="214"/>
      <c r="UHB42" s="214"/>
      <c r="UHC42" s="214"/>
      <c r="UHD42" s="214"/>
      <c r="UHE42" s="214"/>
      <c r="UHF42" s="214"/>
      <c r="UHG42" s="214"/>
      <c r="UHH42" s="214"/>
      <c r="UHI42" s="214"/>
      <c r="UHJ42" s="214"/>
      <c r="UHK42" s="214"/>
      <c r="UHL42" s="214"/>
      <c r="UHM42" s="214"/>
      <c r="UHN42" s="214"/>
      <c r="UHO42" s="214"/>
      <c r="UHP42" s="214"/>
      <c r="UHQ42" s="214"/>
      <c r="UHR42" s="214"/>
      <c r="UHS42" s="214"/>
      <c r="UHT42" s="214"/>
      <c r="UHU42" s="214"/>
      <c r="UHV42" s="214"/>
      <c r="UHW42" s="214"/>
      <c r="UHX42" s="214"/>
      <c r="UHY42" s="214"/>
      <c r="UHZ42" s="214"/>
      <c r="UIA42" s="214"/>
      <c r="UIB42" s="214"/>
      <c r="UIC42" s="214"/>
      <c r="UID42" s="214"/>
      <c r="UIE42" s="214"/>
      <c r="UIF42" s="214"/>
      <c r="UIG42" s="214"/>
      <c r="UIH42" s="214"/>
      <c r="UII42" s="214"/>
      <c r="UIJ42" s="214"/>
      <c r="UIK42" s="214"/>
      <c r="UIL42" s="214"/>
      <c r="UIM42" s="214"/>
      <c r="UIN42" s="214"/>
      <c r="UIO42" s="214"/>
      <c r="UIP42" s="214"/>
      <c r="UIQ42" s="214"/>
      <c r="UIR42" s="214"/>
      <c r="UIS42" s="214"/>
      <c r="UIT42" s="214"/>
      <c r="UIU42" s="214"/>
      <c r="UIV42" s="214"/>
      <c r="UIW42" s="214"/>
      <c r="UIX42" s="214"/>
      <c r="UIY42" s="214"/>
      <c r="UIZ42" s="214"/>
      <c r="UJA42" s="214"/>
      <c r="UJB42" s="214"/>
      <c r="UJC42" s="214"/>
      <c r="UJD42" s="214"/>
      <c r="UJE42" s="214"/>
      <c r="UJF42" s="214"/>
      <c r="UJG42" s="214"/>
      <c r="UJH42" s="214"/>
      <c r="UJI42" s="214"/>
      <c r="UJJ42" s="214"/>
      <c r="UJK42" s="214"/>
      <c r="UJL42" s="214"/>
      <c r="UJM42" s="214"/>
      <c r="UJN42" s="214"/>
      <c r="UJO42" s="214"/>
      <c r="UJP42" s="214"/>
      <c r="UJQ42" s="214"/>
      <c r="UJR42" s="214"/>
      <c r="UJS42" s="214"/>
      <c r="UJT42" s="214"/>
      <c r="UJU42" s="214"/>
      <c r="UJV42" s="214"/>
      <c r="UJW42" s="214"/>
      <c r="UJX42" s="214"/>
      <c r="UJY42" s="214"/>
      <c r="UJZ42" s="214"/>
      <c r="UKA42" s="214"/>
      <c r="UKB42" s="214"/>
      <c r="UKC42" s="214"/>
      <c r="UKD42" s="214"/>
      <c r="UKE42" s="214"/>
      <c r="UKF42" s="214"/>
      <c r="UKG42" s="214"/>
      <c r="UKH42" s="214"/>
      <c r="UKI42" s="214"/>
      <c r="UKJ42" s="214"/>
      <c r="UKK42" s="214"/>
      <c r="UKL42" s="214"/>
      <c r="UKM42" s="214"/>
      <c r="UKN42" s="214"/>
      <c r="UKO42" s="214"/>
      <c r="UKP42" s="214"/>
      <c r="UKQ42" s="214"/>
      <c r="UKR42" s="214"/>
      <c r="UKS42" s="214"/>
      <c r="UKT42" s="214"/>
      <c r="UKU42" s="214"/>
      <c r="UKV42" s="214"/>
      <c r="UKW42" s="214"/>
      <c r="UKX42" s="214"/>
      <c r="UKY42" s="214"/>
      <c r="UKZ42" s="214"/>
      <c r="ULA42" s="214"/>
      <c r="ULB42" s="214"/>
      <c r="ULC42" s="214"/>
      <c r="ULD42" s="214"/>
      <c r="ULE42" s="214"/>
      <c r="ULF42" s="214"/>
      <c r="ULG42" s="214"/>
      <c r="ULH42" s="214"/>
      <c r="ULI42" s="214"/>
      <c r="ULJ42" s="214"/>
      <c r="ULK42" s="214"/>
      <c r="ULL42" s="214"/>
      <c r="ULM42" s="214"/>
      <c r="ULN42" s="214"/>
      <c r="ULO42" s="214"/>
      <c r="ULP42" s="214"/>
      <c r="ULQ42" s="214"/>
      <c r="ULR42" s="214"/>
      <c r="ULS42" s="214"/>
      <c r="ULT42" s="214"/>
      <c r="ULU42" s="214"/>
      <c r="ULV42" s="214"/>
      <c r="ULW42" s="214"/>
      <c r="ULX42" s="214"/>
      <c r="ULY42" s="214"/>
      <c r="ULZ42" s="214"/>
      <c r="UMA42" s="214"/>
      <c r="UMB42" s="214"/>
      <c r="UMC42" s="214"/>
      <c r="UMD42" s="214"/>
      <c r="UME42" s="214"/>
      <c r="UMF42" s="214"/>
      <c r="UMG42" s="214"/>
      <c r="UMH42" s="214"/>
      <c r="UMI42" s="214"/>
      <c r="UMJ42" s="214"/>
      <c r="UMK42" s="214"/>
      <c r="UML42" s="214"/>
      <c r="UMM42" s="214"/>
      <c r="UMN42" s="214"/>
      <c r="UMO42" s="214"/>
      <c r="UMP42" s="214"/>
      <c r="UMQ42" s="214"/>
      <c r="UMR42" s="214"/>
      <c r="UMS42" s="214"/>
      <c r="UMT42" s="214"/>
      <c r="UMU42" s="214"/>
      <c r="UMV42" s="214"/>
      <c r="UMW42" s="214"/>
      <c r="UMX42" s="214"/>
      <c r="UMY42" s="214"/>
      <c r="UMZ42" s="214"/>
      <c r="UNA42" s="214"/>
      <c r="UNB42" s="214"/>
      <c r="UNC42" s="214"/>
      <c r="UND42" s="214"/>
      <c r="UNE42" s="214"/>
      <c r="UNF42" s="214"/>
      <c r="UNG42" s="214"/>
      <c r="UNH42" s="214"/>
      <c r="UNI42" s="214"/>
      <c r="UNJ42" s="214"/>
      <c r="UNK42" s="214"/>
      <c r="UNL42" s="214"/>
      <c r="UNM42" s="214"/>
      <c r="UNN42" s="214"/>
      <c r="UNO42" s="214"/>
      <c r="UNP42" s="214"/>
      <c r="UNQ42" s="214"/>
      <c r="UNR42" s="214"/>
      <c r="UNS42" s="214"/>
      <c r="UNT42" s="214"/>
      <c r="UNU42" s="214"/>
      <c r="UNV42" s="214"/>
      <c r="UNW42" s="214"/>
      <c r="UNX42" s="214"/>
      <c r="UNY42" s="214"/>
      <c r="UNZ42" s="214"/>
      <c r="UOA42" s="214"/>
      <c r="UOB42" s="214"/>
      <c r="UOC42" s="214"/>
      <c r="UOD42" s="214"/>
      <c r="UOE42" s="214"/>
      <c r="UOF42" s="214"/>
      <c r="UOG42" s="214"/>
      <c r="UOH42" s="214"/>
      <c r="UOI42" s="214"/>
      <c r="UOJ42" s="214"/>
      <c r="UOK42" s="214"/>
      <c r="UOL42" s="214"/>
      <c r="UOM42" s="214"/>
      <c r="UON42" s="214"/>
      <c r="UOO42" s="214"/>
      <c r="UOP42" s="214"/>
      <c r="UOQ42" s="214"/>
      <c r="UOR42" s="214"/>
      <c r="UOS42" s="214"/>
      <c r="UOT42" s="214"/>
      <c r="UOU42" s="214"/>
      <c r="UOV42" s="214"/>
      <c r="UOW42" s="214"/>
      <c r="UOX42" s="214"/>
      <c r="UOY42" s="214"/>
      <c r="UOZ42" s="214"/>
      <c r="UPA42" s="214"/>
      <c r="UPB42" s="214"/>
      <c r="UPC42" s="214"/>
      <c r="UPD42" s="214"/>
      <c r="UPE42" s="214"/>
      <c r="UPF42" s="214"/>
      <c r="UPG42" s="214"/>
      <c r="UPH42" s="214"/>
      <c r="UPI42" s="214"/>
      <c r="UPJ42" s="214"/>
      <c r="UPK42" s="214"/>
      <c r="UPL42" s="214"/>
      <c r="UPM42" s="214"/>
      <c r="UPN42" s="214"/>
      <c r="UPO42" s="214"/>
      <c r="UPP42" s="214"/>
      <c r="UPQ42" s="214"/>
      <c r="UPR42" s="214"/>
      <c r="UPS42" s="214"/>
      <c r="UPT42" s="214"/>
      <c r="UPU42" s="214"/>
      <c r="UPV42" s="214"/>
      <c r="UPW42" s="214"/>
      <c r="UPX42" s="214"/>
      <c r="UPY42" s="214"/>
      <c r="UPZ42" s="214"/>
      <c r="UQA42" s="214"/>
      <c r="UQB42" s="214"/>
      <c r="UQC42" s="214"/>
      <c r="UQD42" s="214"/>
      <c r="UQE42" s="214"/>
      <c r="UQF42" s="214"/>
      <c r="UQG42" s="214"/>
      <c r="UQH42" s="214"/>
      <c r="UQI42" s="214"/>
      <c r="UQJ42" s="214"/>
      <c r="UQK42" s="214"/>
      <c r="UQL42" s="214"/>
      <c r="UQM42" s="214"/>
      <c r="UQN42" s="214"/>
      <c r="UQO42" s="214"/>
      <c r="UQP42" s="214"/>
      <c r="UQQ42" s="214"/>
      <c r="UQR42" s="214"/>
      <c r="UQS42" s="214"/>
      <c r="UQT42" s="214"/>
      <c r="UQU42" s="214"/>
      <c r="UQV42" s="214"/>
      <c r="UQW42" s="214"/>
      <c r="UQX42" s="214"/>
      <c r="UQY42" s="214"/>
      <c r="UQZ42" s="214"/>
      <c r="URA42" s="214"/>
      <c r="URB42" s="214"/>
      <c r="URC42" s="214"/>
      <c r="URD42" s="214"/>
      <c r="URE42" s="214"/>
      <c r="URF42" s="214"/>
      <c r="URG42" s="214"/>
      <c r="URH42" s="214"/>
      <c r="URI42" s="214"/>
      <c r="URJ42" s="214"/>
      <c r="URK42" s="214"/>
      <c r="URL42" s="214"/>
      <c r="URM42" s="214"/>
      <c r="URN42" s="214"/>
      <c r="URO42" s="214"/>
      <c r="URP42" s="214"/>
      <c r="URQ42" s="214"/>
      <c r="URR42" s="214"/>
      <c r="URS42" s="214"/>
      <c r="URT42" s="214"/>
      <c r="URU42" s="214"/>
      <c r="URV42" s="214"/>
      <c r="URW42" s="214"/>
      <c r="URX42" s="214"/>
      <c r="URY42" s="214"/>
      <c r="URZ42" s="214"/>
      <c r="USA42" s="214"/>
      <c r="USB42" s="214"/>
      <c r="USC42" s="214"/>
      <c r="USD42" s="214"/>
      <c r="USE42" s="214"/>
      <c r="USF42" s="214"/>
      <c r="USG42" s="214"/>
      <c r="USH42" s="214"/>
      <c r="USI42" s="214"/>
      <c r="USJ42" s="214"/>
      <c r="USK42" s="214"/>
      <c r="USL42" s="214"/>
      <c r="USM42" s="214"/>
      <c r="USN42" s="214"/>
      <c r="USO42" s="214"/>
      <c r="USP42" s="214"/>
      <c r="USQ42" s="214"/>
      <c r="USR42" s="214"/>
      <c r="USS42" s="214"/>
      <c r="UST42" s="214"/>
      <c r="USU42" s="214"/>
      <c r="USV42" s="214"/>
      <c r="USW42" s="214"/>
      <c r="USX42" s="214"/>
      <c r="USY42" s="214"/>
      <c r="USZ42" s="214"/>
      <c r="UTA42" s="214"/>
      <c r="UTB42" s="214"/>
      <c r="UTC42" s="214"/>
      <c r="UTD42" s="214"/>
      <c r="UTE42" s="214"/>
      <c r="UTF42" s="214"/>
      <c r="UTG42" s="214"/>
      <c r="UTH42" s="214"/>
      <c r="UTI42" s="214"/>
      <c r="UTJ42" s="214"/>
      <c r="UTK42" s="214"/>
      <c r="UTL42" s="214"/>
      <c r="UTM42" s="214"/>
      <c r="UTN42" s="214"/>
      <c r="UTO42" s="214"/>
      <c r="UTP42" s="214"/>
      <c r="UTQ42" s="214"/>
      <c r="UTR42" s="214"/>
      <c r="UTS42" s="214"/>
      <c r="UTT42" s="214"/>
      <c r="UTU42" s="214"/>
      <c r="UTV42" s="214"/>
      <c r="UTW42" s="214"/>
      <c r="UTX42" s="214"/>
      <c r="UTY42" s="214"/>
      <c r="UTZ42" s="214"/>
      <c r="UUA42" s="214"/>
      <c r="UUB42" s="214"/>
      <c r="UUC42" s="214"/>
      <c r="UUD42" s="214"/>
      <c r="UUE42" s="214"/>
      <c r="UUF42" s="214"/>
      <c r="UUG42" s="214"/>
      <c r="UUH42" s="214"/>
      <c r="UUI42" s="214"/>
      <c r="UUJ42" s="214"/>
      <c r="UUK42" s="214"/>
      <c r="UUL42" s="214"/>
      <c r="UUM42" s="214"/>
      <c r="UUN42" s="214"/>
      <c r="UUO42" s="214"/>
      <c r="UUP42" s="214"/>
      <c r="UUQ42" s="214"/>
      <c r="UUR42" s="214"/>
      <c r="UUS42" s="214"/>
      <c r="UUT42" s="214"/>
      <c r="UUU42" s="214"/>
      <c r="UUV42" s="214"/>
      <c r="UUW42" s="214"/>
      <c r="UUX42" s="214"/>
      <c r="UUY42" s="214"/>
      <c r="UUZ42" s="214"/>
      <c r="UVA42" s="214"/>
      <c r="UVB42" s="214"/>
      <c r="UVC42" s="214"/>
      <c r="UVD42" s="214"/>
      <c r="UVE42" s="214"/>
      <c r="UVF42" s="214"/>
      <c r="UVG42" s="214"/>
      <c r="UVH42" s="214"/>
      <c r="UVI42" s="214"/>
      <c r="UVJ42" s="214"/>
      <c r="UVK42" s="214"/>
      <c r="UVL42" s="214"/>
      <c r="UVM42" s="214"/>
      <c r="UVN42" s="214"/>
      <c r="UVO42" s="214"/>
      <c r="UVP42" s="214"/>
      <c r="UVQ42" s="214"/>
      <c r="UVR42" s="214"/>
      <c r="UVS42" s="214"/>
      <c r="UVT42" s="214"/>
      <c r="UVU42" s="214"/>
      <c r="UVV42" s="214"/>
      <c r="UVW42" s="214"/>
      <c r="UVX42" s="214"/>
      <c r="UVY42" s="214"/>
      <c r="UVZ42" s="214"/>
      <c r="UWA42" s="214"/>
      <c r="UWB42" s="214"/>
      <c r="UWC42" s="214"/>
      <c r="UWD42" s="214"/>
      <c r="UWE42" s="214"/>
      <c r="UWF42" s="214"/>
      <c r="UWG42" s="214"/>
      <c r="UWH42" s="214"/>
      <c r="UWI42" s="214"/>
      <c r="UWJ42" s="214"/>
      <c r="UWK42" s="214"/>
      <c r="UWL42" s="214"/>
      <c r="UWM42" s="214"/>
      <c r="UWN42" s="214"/>
      <c r="UWO42" s="214"/>
      <c r="UWP42" s="214"/>
      <c r="UWQ42" s="214"/>
      <c r="UWR42" s="214"/>
      <c r="UWS42" s="214"/>
      <c r="UWT42" s="214"/>
      <c r="UWU42" s="214"/>
      <c r="UWV42" s="214"/>
      <c r="UWW42" s="214"/>
      <c r="UWX42" s="214"/>
      <c r="UWY42" s="214"/>
      <c r="UWZ42" s="214"/>
      <c r="UXA42" s="214"/>
      <c r="UXB42" s="214"/>
      <c r="UXC42" s="214"/>
      <c r="UXD42" s="214"/>
      <c r="UXE42" s="214"/>
      <c r="UXF42" s="214"/>
      <c r="UXG42" s="214"/>
      <c r="UXH42" s="214"/>
      <c r="UXI42" s="214"/>
      <c r="UXJ42" s="214"/>
      <c r="UXK42" s="214"/>
      <c r="UXL42" s="214"/>
      <c r="UXM42" s="214"/>
      <c r="UXN42" s="214"/>
      <c r="UXO42" s="214"/>
      <c r="UXP42" s="214"/>
      <c r="UXQ42" s="214"/>
      <c r="UXR42" s="214"/>
      <c r="UXS42" s="214"/>
      <c r="UXT42" s="214"/>
      <c r="UXU42" s="214"/>
      <c r="UXV42" s="214"/>
      <c r="UXW42" s="214"/>
      <c r="UXX42" s="214"/>
      <c r="UXY42" s="214"/>
      <c r="UXZ42" s="214"/>
      <c r="UYA42" s="214"/>
      <c r="UYB42" s="214"/>
      <c r="UYC42" s="214"/>
      <c r="UYD42" s="214"/>
      <c r="UYE42" s="214"/>
      <c r="UYF42" s="214"/>
      <c r="UYG42" s="214"/>
      <c r="UYH42" s="214"/>
      <c r="UYI42" s="214"/>
      <c r="UYJ42" s="214"/>
      <c r="UYK42" s="214"/>
      <c r="UYL42" s="214"/>
      <c r="UYM42" s="214"/>
      <c r="UYN42" s="214"/>
      <c r="UYO42" s="214"/>
      <c r="UYP42" s="214"/>
      <c r="UYQ42" s="214"/>
      <c r="UYR42" s="214"/>
      <c r="UYS42" s="214"/>
      <c r="UYT42" s="214"/>
      <c r="UYU42" s="214"/>
      <c r="UYV42" s="214"/>
      <c r="UYW42" s="214"/>
      <c r="UYX42" s="214"/>
      <c r="UYY42" s="214"/>
      <c r="UYZ42" s="214"/>
      <c r="UZA42" s="214"/>
      <c r="UZB42" s="214"/>
      <c r="UZC42" s="214"/>
      <c r="UZD42" s="214"/>
      <c r="UZE42" s="214"/>
      <c r="UZF42" s="214"/>
      <c r="UZG42" s="214"/>
      <c r="UZH42" s="214"/>
      <c r="UZI42" s="214"/>
      <c r="UZJ42" s="214"/>
      <c r="UZK42" s="214"/>
      <c r="UZL42" s="214"/>
      <c r="UZM42" s="214"/>
      <c r="UZN42" s="214"/>
      <c r="UZO42" s="214"/>
      <c r="UZP42" s="214"/>
      <c r="UZQ42" s="214"/>
      <c r="UZR42" s="214"/>
      <c r="UZS42" s="214"/>
      <c r="UZT42" s="214"/>
      <c r="UZU42" s="214"/>
      <c r="UZV42" s="214"/>
      <c r="UZW42" s="214"/>
      <c r="UZX42" s="214"/>
      <c r="UZY42" s="214"/>
      <c r="UZZ42" s="214"/>
      <c r="VAA42" s="214"/>
      <c r="VAB42" s="214"/>
      <c r="VAC42" s="214"/>
      <c r="VAD42" s="214"/>
      <c r="VAE42" s="214"/>
      <c r="VAF42" s="214"/>
      <c r="VAG42" s="214"/>
      <c r="VAH42" s="214"/>
      <c r="VAI42" s="214"/>
      <c r="VAJ42" s="214"/>
      <c r="VAK42" s="214"/>
      <c r="VAL42" s="214"/>
      <c r="VAM42" s="214"/>
      <c r="VAN42" s="214"/>
      <c r="VAO42" s="214"/>
      <c r="VAP42" s="214"/>
      <c r="VAQ42" s="214"/>
      <c r="VAR42" s="214"/>
      <c r="VAS42" s="214"/>
      <c r="VAT42" s="214"/>
      <c r="VAU42" s="214"/>
      <c r="VAV42" s="214"/>
      <c r="VAW42" s="214"/>
      <c r="VAX42" s="214"/>
      <c r="VAY42" s="214"/>
      <c r="VAZ42" s="214"/>
      <c r="VBA42" s="214"/>
      <c r="VBB42" s="214"/>
      <c r="VBC42" s="214"/>
      <c r="VBD42" s="214"/>
      <c r="VBE42" s="214"/>
      <c r="VBF42" s="214"/>
      <c r="VBG42" s="214"/>
      <c r="VBH42" s="214"/>
      <c r="VBI42" s="214"/>
      <c r="VBJ42" s="214"/>
      <c r="VBK42" s="214"/>
      <c r="VBL42" s="214"/>
      <c r="VBM42" s="214"/>
      <c r="VBN42" s="214"/>
      <c r="VBO42" s="214"/>
      <c r="VBP42" s="214"/>
      <c r="VBQ42" s="214"/>
      <c r="VBR42" s="214"/>
      <c r="VBS42" s="214"/>
      <c r="VBT42" s="214"/>
      <c r="VBU42" s="214"/>
      <c r="VBV42" s="214"/>
      <c r="VBW42" s="214"/>
      <c r="VBX42" s="214"/>
      <c r="VBY42" s="214"/>
      <c r="VBZ42" s="214"/>
      <c r="VCA42" s="214"/>
      <c r="VCB42" s="214"/>
      <c r="VCC42" s="214"/>
      <c r="VCD42" s="214"/>
      <c r="VCE42" s="214"/>
      <c r="VCF42" s="214"/>
      <c r="VCG42" s="214"/>
      <c r="VCH42" s="214"/>
      <c r="VCI42" s="214"/>
      <c r="VCJ42" s="214"/>
      <c r="VCK42" s="214"/>
      <c r="VCL42" s="214"/>
      <c r="VCM42" s="214"/>
      <c r="VCN42" s="214"/>
      <c r="VCO42" s="214"/>
      <c r="VCP42" s="214"/>
      <c r="VCQ42" s="214"/>
      <c r="VCR42" s="214"/>
      <c r="VCS42" s="214"/>
      <c r="VCT42" s="214"/>
      <c r="VCU42" s="214"/>
      <c r="VCV42" s="214"/>
      <c r="VCW42" s="214"/>
      <c r="VCX42" s="214"/>
      <c r="VCY42" s="214"/>
      <c r="VCZ42" s="214"/>
      <c r="VDA42" s="214"/>
      <c r="VDB42" s="214"/>
      <c r="VDC42" s="214"/>
      <c r="VDD42" s="214"/>
      <c r="VDE42" s="214"/>
      <c r="VDF42" s="214"/>
      <c r="VDG42" s="214"/>
      <c r="VDH42" s="214"/>
      <c r="VDI42" s="214"/>
      <c r="VDJ42" s="214"/>
      <c r="VDK42" s="214"/>
      <c r="VDL42" s="214"/>
      <c r="VDM42" s="214"/>
      <c r="VDN42" s="214"/>
      <c r="VDO42" s="214"/>
      <c r="VDP42" s="214"/>
      <c r="VDQ42" s="214"/>
      <c r="VDR42" s="214"/>
      <c r="VDS42" s="214"/>
      <c r="VDT42" s="214"/>
      <c r="VDU42" s="214"/>
      <c r="VDV42" s="214"/>
      <c r="VDW42" s="214"/>
      <c r="VDX42" s="214"/>
      <c r="VDY42" s="214"/>
      <c r="VDZ42" s="214"/>
      <c r="VEA42" s="214"/>
      <c r="VEB42" s="214"/>
      <c r="VEC42" s="214"/>
      <c r="VED42" s="214"/>
      <c r="VEE42" s="214"/>
      <c r="VEF42" s="214"/>
      <c r="VEG42" s="214"/>
      <c r="VEH42" s="214"/>
      <c r="VEI42" s="214"/>
      <c r="VEJ42" s="214"/>
      <c r="VEK42" s="214"/>
      <c r="VEL42" s="214"/>
      <c r="VEM42" s="214"/>
      <c r="VEN42" s="214"/>
      <c r="VEO42" s="214"/>
      <c r="VEP42" s="214"/>
      <c r="VEQ42" s="214"/>
      <c r="VER42" s="214"/>
      <c r="VES42" s="214"/>
      <c r="VET42" s="214"/>
      <c r="VEU42" s="214"/>
      <c r="VEV42" s="214"/>
      <c r="VEW42" s="214"/>
      <c r="VEX42" s="214"/>
      <c r="VEY42" s="214"/>
      <c r="VEZ42" s="214"/>
      <c r="VFA42" s="214"/>
      <c r="VFB42" s="214"/>
      <c r="VFC42" s="214"/>
      <c r="VFD42" s="214"/>
      <c r="VFE42" s="214"/>
      <c r="VFF42" s="214"/>
      <c r="VFG42" s="214"/>
      <c r="VFH42" s="214"/>
      <c r="VFI42" s="214"/>
      <c r="VFJ42" s="214"/>
      <c r="VFK42" s="214"/>
      <c r="VFL42" s="214"/>
      <c r="VFM42" s="214"/>
      <c r="VFN42" s="214"/>
      <c r="VFO42" s="214"/>
      <c r="VFP42" s="214"/>
      <c r="VFQ42" s="214"/>
      <c r="VFR42" s="214"/>
      <c r="VFS42" s="214"/>
      <c r="VFT42" s="214"/>
      <c r="VFU42" s="214"/>
      <c r="VFV42" s="214"/>
      <c r="VFW42" s="214"/>
      <c r="VFX42" s="214"/>
      <c r="VFY42" s="214"/>
      <c r="VFZ42" s="214"/>
      <c r="VGA42" s="214"/>
      <c r="VGB42" s="214"/>
      <c r="VGC42" s="214"/>
      <c r="VGD42" s="214"/>
      <c r="VGE42" s="214"/>
      <c r="VGF42" s="214"/>
      <c r="VGG42" s="214"/>
      <c r="VGH42" s="214"/>
      <c r="VGI42" s="214"/>
      <c r="VGJ42" s="214"/>
      <c r="VGK42" s="214"/>
      <c r="VGL42" s="214"/>
      <c r="VGM42" s="214"/>
      <c r="VGN42" s="214"/>
      <c r="VGO42" s="214"/>
      <c r="VGP42" s="214"/>
      <c r="VGQ42" s="214"/>
      <c r="VGR42" s="214"/>
      <c r="VGS42" s="214"/>
      <c r="VGT42" s="214"/>
      <c r="VGU42" s="214"/>
      <c r="VGV42" s="214"/>
      <c r="VGW42" s="214"/>
      <c r="VGX42" s="214"/>
      <c r="VGY42" s="214"/>
      <c r="VGZ42" s="214"/>
      <c r="VHA42" s="214"/>
      <c r="VHB42" s="214"/>
      <c r="VHC42" s="214"/>
      <c r="VHD42" s="214"/>
      <c r="VHE42" s="214"/>
      <c r="VHF42" s="214"/>
      <c r="VHG42" s="214"/>
      <c r="VHH42" s="214"/>
      <c r="VHI42" s="214"/>
      <c r="VHJ42" s="214"/>
      <c r="VHK42" s="214"/>
      <c r="VHL42" s="214"/>
      <c r="VHM42" s="214"/>
      <c r="VHN42" s="214"/>
      <c r="VHO42" s="214"/>
      <c r="VHP42" s="214"/>
      <c r="VHQ42" s="214"/>
      <c r="VHR42" s="214"/>
      <c r="VHS42" s="214"/>
      <c r="VHT42" s="214"/>
      <c r="VHU42" s="214"/>
      <c r="VHV42" s="214"/>
      <c r="VHW42" s="214"/>
      <c r="VHX42" s="214"/>
      <c r="VHY42" s="214"/>
      <c r="VHZ42" s="214"/>
      <c r="VIA42" s="214"/>
      <c r="VIB42" s="214"/>
      <c r="VIC42" s="214"/>
      <c r="VID42" s="214"/>
      <c r="VIE42" s="214"/>
      <c r="VIF42" s="214"/>
      <c r="VIG42" s="214"/>
      <c r="VIH42" s="214"/>
      <c r="VII42" s="214"/>
      <c r="VIJ42" s="214"/>
      <c r="VIK42" s="214"/>
      <c r="VIL42" s="214"/>
      <c r="VIM42" s="214"/>
      <c r="VIN42" s="214"/>
      <c r="VIO42" s="214"/>
      <c r="VIP42" s="214"/>
      <c r="VIQ42" s="214"/>
      <c r="VIR42" s="214"/>
      <c r="VIS42" s="214"/>
      <c r="VIT42" s="214"/>
      <c r="VIU42" s="214"/>
      <c r="VIV42" s="214"/>
      <c r="VIW42" s="214"/>
      <c r="VIX42" s="214"/>
      <c r="VIY42" s="214"/>
      <c r="VIZ42" s="214"/>
      <c r="VJA42" s="214"/>
      <c r="VJB42" s="214"/>
      <c r="VJC42" s="214"/>
      <c r="VJD42" s="214"/>
      <c r="VJE42" s="214"/>
      <c r="VJF42" s="214"/>
      <c r="VJG42" s="214"/>
      <c r="VJH42" s="214"/>
      <c r="VJI42" s="214"/>
      <c r="VJJ42" s="214"/>
      <c r="VJK42" s="214"/>
      <c r="VJL42" s="214"/>
      <c r="VJM42" s="214"/>
      <c r="VJN42" s="214"/>
      <c r="VJO42" s="214"/>
      <c r="VJP42" s="214"/>
      <c r="VJQ42" s="214"/>
      <c r="VJR42" s="214"/>
      <c r="VJS42" s="214"/>
      <c r="VJT42" s="214"/>
      <c r="VJU42" s="214"/>
      <c r="VJV42" s="214"/>
      <c r="VJW42" s="214"/>
      <c r="VJX42" s="214"/>
      <c r="VJY42" s="214"/>
      <c r="VJZ42" s="214"/>
      <c r="VKA42" s="214"/>
      <c r="VKB42" s="214"/>
      <c r="VKC42" s="214"/>
      <c r="VKD42" s="214"/>
      <c r="VKE42" s="214"/>
      <c r="VKF42" s="214"/>
      <c r="VKG42" s="214"/>
      <c r="VKH42" s="214"/>
      <c r="VKI42" s="214"/>
      <c r="VKJ42" s="214"/>
      <c r="VKK42" s="214"/>
      <c r="VKL42" s="214"/>
      <c r="VKM42" s="214"/>
      <c r="VKN42" s="214"/>
      <c r="VKO42" s="214"/>
      <c r="VKP42" s="214"/>
      <c r="VKQ42" s="214"/>
      <c r="VKR42" s="214"/>
      <c r="VKS42" s="214"/>
      <c r="VKT42" s="214"/>
      <c r="VKU42" s="214"/>
      <c r="VKV42" s="214"/>
      <c r="VKW42" s="214"/>
      <c r="VKX42" s="214"/>
      <c r="VKY42" s="214"/>
      <c r="VKZ42" s="214"/>
      <c r="VLA42" s="214"/>
      <c r="VLB42" s="214"/>
      <c r="VLC42" s="214"/>
      <c r="VLD42" s="214"/>
      <c r="VLE42" s="214"/>
      <c r="VLF42" s="214"/>
      <c r="VLG42" s="214"/>
      <c r="VLH42" s="214"/>
      <c r="VLI42" s="214"/>
      <c r="VLJ42" s="214"/>
      <c r="VLK42" s="214"/>
      <c r="VLL42" s="214"/>
      <c r="VLM42" s="214"/>
      <c r="VLN42" s="214"/>
      <c r="VLO42" s="214"/>
      <c r="VLP42" s="214"/>
      <c r="VLQ42" s="214"/>
      <c r="VLR42" s="214"/>
      <c r="VLS42" s="214"/>
      <c r="VLT42" s="214"/>
      <c r="VLU42" s="214"/>
      <c r="VLV42" s="214"/>
      <c r="VLW42" s="214"/>
      <c r="VLX42" s="214"/>
      <c r="VLY42" s="214"/>
      <c r="VLZ42" s="214"/>
      <c r="VMA42" s="214"/>
      <c r="VMB42" s="214"/>
      <c r="VMC42" s="214"/>
      <c r="VMD42" s="214"/>
      <c r="VME42" s="214"/>
      <c r="VMF42" s="214"/>
      <c r="VMG42" s="214"/>
      <c r="VMH42" s="214"/>
      <c r="VMI42" s="214"/>
      <c r="VMJ42" s="214"/>
      <c r="VMK42" s="214"/>
      <c r="VML42" s="214"/>
      <c r="VMM42" s="214"/>
      <c r="VMN42" s="214"/>
      <c r="VMO42" s="214"/>
      <c r="VMP42" s="214"/>
      <c r="VMQ42" s="214"/>
      <c r="VMR42" s="214"/>
      <c r="VMS42" s="214"/>
      <c r="VMT42" s="214"/>
      <c r="VMU42" s="214"/>
      <c r="VMV42" s="214"/>
      <c r="VMW42" s="214"/>
      <c r="VMX42" s="214"/>
      <c r="VMY42" s="214"/>
      <c r="VMZ42" s="214"/>
      <c r="VNA42" s="214"/>
      <c r="VNB42" s="214"/>
      <c r="VNC42" s="214"/>
      <c r="VND42" s="214"/>
      <c r="VNE42" s="214"/>
      <c r="VNF42" s="214"/>
      <c r="VNG42" s="214"/>
      <c r="VNH42" s="214"/>
      <c r="VNI42" s="214"/>
      <c r="VNJ42" s="214"/>
      <c r="VNK42" s="214"/>
      <c r="VNL42" s="214"/>
      <c r="VNM42" s="214"/>
      <c r="VNN42" s="214"/>
      <c r="VNO42" s="214"/>
      <c r="VNP42" s="214"/>
      <c r="VNQ42" s="214"/>
      <c r="VNR42" s="214"/>
      <c r="VNS42" s="214"/>
      <c r="VNT42" s="214"/>
      <c r="VNU42" s="214"/>
      <c r="VNV42" s="214"/>
      <c r="VNW42" s="214"/>
      <c r="VNX42" s="214"/>
      <c r="VNY42" s="214"/>
      <c r="VNZ42" s="214"/>
      <c r="VOA42" s="214"/>
      <c r="VOB42" s="214"/>
      <c r="VOC42" s="214"/>
      <c r="VOD42" s="214"/>
      <c r="VOE42" s="214"/>
      <c r="VOF42" s="214"/>
      <c r="VOG42" s="214"/>
      <c r="VOH42" s="214"/>
      <c r="VOI42" s="214"/>
      <c r="VOJ42" s="214"/>
      <c r="VOK42" s="214"/>
      <c r="VOL42" s="214"/>
      <c r="VOM42" s="214"/>
      <c r="VON42" s="214"/>
      <c r="VOO42" s="214"/>
      <c r="VOP42" s="214"/>
      <c r="VOQ42" s="214"/>
      <c r="VOR42" s="214"/>
      <c r="VOS42" s="214"/>
      <c r="VOT42" s="214"/>
      <c r="VOU42" s="214"/>
      <c r="VOV42" s="214"/>
      <c r="VOW42" s="214"/>
      <c r="VOX42" s="214"/>
      <c r="VOY42" s="214"/>
      <c r="VOZ42" s="214"/>
      <c r="VPA42" s="214"/>
      <c r="VPB42" s="214"/>
      <c r="VPC42" s="214"/>
      <c r="VPD42" s="214"/>
      <c r="VPE42" s="214"/>
      <c r="VPF42" s="214"/>
      <c r="VPG42" s="214"/>
      <c r="VPH42" s="214"/>
      <c r="VPI42" s="214"/>
      <c r="VPJ42" s="214"/>
      <c r="VPK42" s="214"/>
      <c r="VPL42" s="214"/>
      <c r="VPM42" s="214"/>
      <c r="VPN42" s="214"/>
      <c r="VPO42" s="214"/>
      <c r="VPP42" s="214"/>
      <c r="VPQ42" s="214"/>
      <c r="VPR42" s="214"/>
      <c r="VPS42" s="214"/>
      <c r="VPT42" s="214"/>
      <c r="VPU42" s="214"/>
      <c r="VPV42" s="214"/>
      <c r="VPW42" s="214"/>
      <c r="VPX42" s="214"/>
      <c r="VPY42" s="214"/>
      <c r="VPZ42" s="214"/>
      <c r="VQA42" s="214"/>
      <c r="VQB42" s="214"/>
      <c r="VQC42" s="214"/>
      <c r="VQD42" s="214"/>
      <c r="VQE42" s="214"/>
      <c r="VQF42" s="214"/>
      <c r="VQG42" s="214"/>
      <c r="VQH42" s="214"/>
      <c r="VQI42" s="214"/>
      <c r="VQJ42" s="214"/>
      <c r="VQK42" s="214"/>
      <c r="VQL42" s="214"/>
      <c r="VQM42" s="214"/>
      <c r="VQN42" s="214"/>
      <c r="VQO42" s="214"/>
      <c r="VQP42" s="214"/>
      <c r="VQQ42" s="214"/>
      <c r="VQR42" s="214"/>
      <c r="VQS42" s="214"/>
      <c r="VQT42" s="214"/>
      <c r="VQU42" s="214"/>
      <c r="VQV42" s="214"/>
      <c r="VQW42" s="214"/>
      <c r="VQX42" s="214"/>
      <c r="VQY42" s="214"/>
      <c r="VQZ42" s="214"/>
      <c r="VRA42" s="214"/>
      <c r="VRB42" s="214"/>
      <c r="VRC42" s="214"/>
      <c r="VRD42" s="214"/>
      <c r="VRE42" s="214"/>
      <c r="VRF42" s="214"/>
      <c r="VRG42" s="214"/>
      <c r="VRH42" s="214"/>
      <c r="VRI42" s="214"/>
      <c r="VRJ42" s="214"/>
      <c r="VRK42" s="214"/>
      <c r="VRL42" s="214"/>
      <c r="VRM42" s="214"/>
      <c r="VRN42" s="214"/>
      <c r="VRO42" s="214"/>
      <c r="VRP42" s="214"/>
      <c r="VRQ42" s="214"/>
      <c r="VRR42" s="214"/>
      <c r="VRS42" s="214"/>
      <c r="VRT42" s="214"/>
      <c r="VRU42" s="214"/>
      <c r="VRV42" s="214"/>
      <c r="VRW42" s="214"/>
      <c r="VRX42" s="214"/>
      <c r="VRY42" s="214"/>
      <c r="VRZ42" s="214"/>
      <c r="VSA42" s="214"/>
      <c r="VSB42" s="214"/>
      <c r="VSC42" s="214"/>
      <c r="VSD42" s="214"/>
      <c r="VSE42" s="214"/>
      <c r="VSF42" s="214"/>
      <c r="VSG42" s="214"/>
      <c r="VSH42" s="214"/>
      <c r="VSI42" s="214"/>
      <c r="VSJ42" s="214"/>
      <c r="VSK42" s="214"/>
      <c r="VSL42" s="214"/>
      <c r="VSM42" s="214"/>
      <c r="VSN42" s="214"/>
      <c r="VSO42" s="214"/>
      <c r="VSP42" s="214"/>
      <c r="VSQ42" s="214"/>
      <c r="VSR42" s="214"/>
      <c r="VSS42" s="214"/>
      <c r="VST42" s="214"/>
      <c r="VSU42" s="214"/>
      <c r="VSV42" s="214"/>
      <c r="VSW42" s="214"/>
      <c r="VSX42" s="214"/>
      <c r="VSY42" s="214"/>
      <c r="VSZ42" s="214"/>
      <c r="VTA42" s="214"/>
      <c r="VTB42" s="214"/>
      <c r="VTC42" s="214"/>
      <c r="VTD42" s="214"/>
      <c r="VTE42" s="214"/>
      <c r="VTF42" s="214"/>
      <c r="VTG42" s="214"/>
      <c r="VTH42" s="214"/>
      <c r="VTI42" s="214"/>
      <c r="VTJ42" s="214"/>
      <c r="VTK42" s="214"/>
      <c r="VTL42" s="214"/>
      <c r="VTM42" s="214"/>
      <c r="VTN42" s="214"/>
      <c r="VTO42" s="214"/>
      <c r="VTP42" s="214"/>
      <c r="VTQ42" s="214"/>
      <c r="VTR42" s="214"/>
      <c r="VTS42" s="214"/>
      <c r="VTT42" s="214"/>
      <c r="VTU42" s="214"/>
      <c r="VTV42" s="214"/>
      <c r="VTW42" s="214"/>
      <c r="VTX42" s="214"/>
      <c r="VTY42" s="214"/>
      <c r="VTZ42" s="214"/>
      <c r="VUA42" s="214"/>
      <c r="VUB42" s="214"/>
      <c r="VUC42" s="214"/>
      <c r="VUD42" s="214"/>
      <c r="VUE42" s="214"/>
      <c r="VUF42" s="214"/>
      <c r="VUG42" s="214"/>
      <c r="VUH42" s="214"/>
      <c r="VUI42" s="214"/>
      <c r="VUJ42" s="214"/>
      <c r="VUK42" s="214"/>
      <c r="VUL42" s="214"/>
      <c r="VUM42" s="214"/>
      <c r="VUN42" s="214"/>
      <c r="VUO42" s="214"/>
      <c r="VUP42" s="214"/>
      <c r="VUQ42" s="214"/>
      <c r="VUR42" s="214"/>
      <c r="VUS42" s="214"/>
      <c r="VUT42" s="214"/>
      <c r="VUU42" s="214"/>
      <c r="VUV42" s="214"/>
      <c r="VUW42" s="214"/>
      <c r="VUX42" s="214"/>
      <c r="VUY42" s="214"/>
      <c r="VUZ42" s="214"/>
      <c r="VVA42" s="214"/>
      <c r="VVB42" s="214"/>
      <c r="VVC42" s="214"/>
      <c r="VVD42" s="214"/>
      <c r="VVE42" s="214"/>
      <c r="VVF42" s="214"/>
      <c r="VVG42" s="214"/>
      <c r="VVH42" s="214"/>
      <c r="VVI42" s="214"/>
      <c r="VVJ42" s="214"/>
      <c r="VVK42" s="214"/>
      <c r="VVL42" s="214"/>
      <c r="VVM42" s="214"/>
      <c r="VVN42" s="214"/>
      <c r="VVO42" s="214"/>
      <c r="VVP42" s="214"/>
      <c r="VVQ42" s="214"/>
      <c r="VVR42" s="214"/>
      <c r="VVS42" s="214"/>
      <c r="VVT42" s="214"/>
      <c r="VVU42" s="214"/>
      <c r="VVV42" s="214"/>
      <c r="VVW42" s="214"/>
      <c r="VVX42" s="214"/>
      <c r="VVY42" s="214"/>
      <c r="VVZ42" s="214"/>
      <c r="VWA42" s="214"/>
      <c r="VWB42" s="214"/>
      <c r="VWC42" s="214"/>
      <c r="VWD42" s="214"/>
      <c r="VWE42" s="214"/>
      <c r="VWF42" s="214"/>
      <c r="VWG42" s="214"/>
      <c r="VWH42" s="214"/>
      <c r="VWI42" s="214"/>
      <c r="VWJ42" s="214"/>
      <c r="VWK42" s="214"/>
      <c r="VWL42" s="214"/>
      <c r="VWM42" s="214"/>
      <c r="VWN42" s="214"/>
      <c r="VWO42" s="214"/>
      <c r="VWP42" s="214"/>
      <c r="VWQ42" s="214"/>
      <c r="VWR42" s="214"/>
      <c r="VWS42" s="214"/>
      <c r="VWT42" s="214"/>
      <c r="VWU42" s="214"/>
      <c r="VWV42" s="214"/>
      <c r="VWW42" s="214"/>
      <c r="VWX42" s="214"/>
      <c r="VWY42" s="214"/>
      <c r="VWZ42" s="214"/>
      <c r="VXA42" s="214"/>
      <c r="VXB42" s="214"/>
      <c r="VXC42" s="214"/>
      <c r="VXD42" s="214"/>
      <c r="VXE42" s="214"/>
      <c r="VXF42" s="214"/>
      <c r="VXG42" s="214"/>
      <c r="VXH42" s="214"/>
      <c r="VXI42" s="214"/>
      <c r="VXJ42" s="214"/>
      <c r="VXK42" s="214"/>
      <c r="VXL42" s="214"/>
      <c r="VXM42" s="214"/>
      <c r="VXN42" s="214"/>
      <c r="VXO42" s="214"/>
      <c r="VXP42" s="214"/>
      <c r="VXQ42" s="214"/>
      <c r="VXR42" s="214"/>
      <c r="VXS42" s="214"/>
      <c r="VXT42" s="214"/>
      <c r="VXU42" s="214"/>
      <c r="VXV42" s="214"/>
      <c r="VXW42" s="214"/>
      <c r="VXX42" s="214"/>
      <c r="VXY42" s="214"/>
      <c r="VXZ42" s="214"/>
      <c r="VYA42" s="214"/>
      <c r="VYB42" s="214"/>
      <c r="VYC42" s="214"/>
      <c r="VYD42" s="214"/>
      <c r="VYE42" s="214"/>
      <c r="VYF42" s="214"/>
      <c r="VYG42" s="214"/>
      <c r="VYH42" s="214"/>
      <c r="VYI42" s="214"/>
      <c r="VYJ42" s="214"/>
      <c r="VYK42" s="214"/>
      <c r="VYL42" s="214"/>
      <c r="VYM42" s="214"/>
      <c r="VYN42" s="214"/>
      <c r="VYO42" s="214"/>
      <c r="VYP42" s="214"/>
      <c r="VYQ42" s="214"/>
      <c r="VYR42" s="214"/>
      <c r="VYS42" s="214"/>
      <c r="VYT42" s="214"/>
      <c r="VYU42" s="214"/>
      <c r="VYV42" s="214"/>
      <c r="VYW42" s="214"/>
      <c r="VYX42" s="214"/>
      <c r="VYY42" s="214"/>
      <c r="VYZ42" s="214"/>
      <c r="VZA42" s="214"/>
      <c r="VZB42" s="214"/>
      <c r="VZC42" s="214"/>
      <c r="VZD42" s="214"/>
      <c r="VZE42" s="214"/>
      <c r="VZF42" s="214"/>
      <c r="VZG42" s="214"/>
      <c r="VZH42" s="214"/>
      <c r="VZI42" s="214"/>
      <c r="VZJ42" s="214"/>
      <c r="VZK42" s="214"/>
      <c r="VZL42" s="214"/>
      <c r="VZM42" s="214"/>
      <c r="VZN42" s="214"/>
      <c r="VZO42" s="214"/>
      <c r="VZP42" s="214"/>
      <c r="VZQ42" s="214"/>
      <c r="VZR42" s="214"/>
      <c r="VZS42" s="214"/>
      <c r="VZT42" s="214"/>
      <c r="VZU42" s="214"/>
      <c r="VZV42" s="214"/>
      <c r="VZW42" s="214"/>
      <c r="VZX42" s="214"/>
      <c r="VZY42" s="214"/>
      <c r="VZZ42" s="214"/>
      <c r="WAA42" s="214"/>
      <c r="WAB42" s="214"/>
      <c r="WAC42" s="214"/>
      <c r="WAD42" s="214"/>
      <c r="WAE42" s="214"/>
      <c r="WAF42" s="214"/>
      <c r="WAG42" s="214"/>
      <c r="WAH42" s="214"/>
      <c r="WAI42" s="214"/>
      <c r="WAJ42" s="214"/>
      <c r="WAK42" s="214"/>
      <c r="WAL42" s="214"/>
      <c r="WAM42" s="214"/>
      <c r="WAN42" s="214"/>
      <c r="WAO42" s="214"/>
      <c r="WAP42" s="214"/>
      <c r="WAQ42" s="214"/>
      <c r="WAR42" s="214"/>
      <c r="WAS42" s="214"/>
      <c r="WAT42" s="214"/>
      <c r="WAU42" s="214"/>
      <c r="WAV42" s="214"/>
      <c r="WAW42" s="214"/>
      <c r="WAX42" s="214"/>
      <c r="WAY42" s="214"/>
      <c r="WAZ42" s="214"/>
      <c r="WBA42" s="214"/>
      <c r="WBB42" s="214"/>
      <c r="WBC42" s="214"/>
      <c r="WBD42" s="214"/>
      <c r="WBE42" s="214"/>
      <c r="WBF42" s="214"/>
      <c r="WBG42" s="214"/>
      <c r="WBH42" s="214"/>
      <c r="WBI42" s="214"/>
      <c r="WBJ42" s="214"/>
      <c r="WBK42" s="214"/>
      <c r="WBL42" s="214"/>
      <c r="WBM42" s="214"/>
      <c r="WBN42" s="214"/>
      <c r="WBO42" s="214"/>
      <c r="WBP42" s="214"/>
      <c r="WBQ42" s="214"/>
      <c r="WBR42" s="214"/>
      <c r="WBS42" s="214"/>
      <c r="WBT42" s="214"/>
      <c r="WBU42" s="214"/>
      <c r="WBV42" s="214"/>
      <c r="WBW42" s="214"/>
      <c r="WBX42" s="214"/>
      <c r="WBY42" s="214"/>
      <c r="WBZ42" s="214"/>
      <c r="WCA42" s="214"/>
      <c r="WCB42" s="214"/>
      <c r="WCC42" s="214"/>
      <c r="WCD42" s="214"/>
      <c r="WCE42" s="214"/>
      <c r="WCF42" s="214"/>
      <c r="WCG42" s="214"/>
      <c r="WCH42" s="214"/>
      <c r="WCI42" s="214"/>
      <c r="WCJ42" s="214"/>
      <c r="WCK42" s="214"/>
      <c r="WCL42" s="214"/>
      <c r="WCM42" s="214"/>
      <c r="WCN42" s="214"/>
      <c r="WCO42" s="214"/>
      <c r="WCP42" s="214"/>
      <c r="WCQ42" s="214"/>
      <c r="WCR42" s="214"/>
      <c r="WCS42" s="214"/>
      <c r="WCT42" s="214"/>
      <c r="WCU42" s="214"/>
      <c r="WCV42" s="214"/>
      <c r="WCW42" s="214"/>
      <c r="WCX42" s="214"/>
      <c r="WCY42" s="214"/>
      <c r="WCZ42" s="214"/>
      <c r="WDA42" s="214"/>
      <c r="WDB42" s="214"/>
      <c r="WDC42" s="214"/>
      <c r="WDD42" s="214"/>
      <c r="WDE42" s="214"/>
      <c r="WDF42" s="214"/>
      <c r="WDG42" s="214"/>
      <c r="WDH42" s="214"/>
      <c r="WDI42" s="214"/>
      <c r="WDJ42" s="214"/>
      <c r="WDK42" s="214"/>
      <c r="WDL42" s="214"/>
      <c r="WDM42" s="214"/>
      <c r="WDN42" s="214"/>
      <c r="WDO42" s="214"/>
      <c r="WDP42" s="214"/>
      <c r="WDQ42" s="214"/>
      <c r="WDR42" s="214"/>
      <c r="WDS42" s="214"/>
      <c r="WDT42" s="214"/>
      <c r="WDU42" s="214"/>
      <c r="WDV42" s="214"/>
      <c r="WDW42" s="214"/>
      <c r="WDX42" s="214"/>
      <c r="WDY42" s="214"/>
      <c r="WDZ42" s="214"/>
      <c r="WEA42" s="214"/>
      <c r="WEB42" s="214"/>
      <c r="WEC42" s="214"/>
      <c r="WED42" s="214"/>
      <c r="WEE42" s="214"/>
      <c r="WEF42" s="214"/>
      <c r="WEG42" s="214"/>
      <c r="WEH42" s="214"/>
      <c r="WEI42" s="214"/>
      <c r="WEJ42" s="214"/>
      <c r="WEK42" s="214"/>
      <c r="WEL42" s="214"/>
      <c r="WEM42" s="214"/>
      <c r="WEN42" s="214"/>
      <c r="WEO42" s="214"/>
      <c r="WEP42" s="214"/>
      <c r="WEQ42" s="214"/>
      <c r="WER42" s="214"/>
      <c r="WES42" s="214"/>
      <c r="WET42" s="214"/>
      <c r="WEU42" s="214"/>
      <c r="WEV42" s="214"/>
      <c r="WEW42" s="214"/>
      <c r="WEX42" s="214"/>
      <c r="WEY42" s="214"/>
      <c r="WEZ42" s="214"/>
      <c r="WFA42" s="214"/>
      <c r="WFB42" s="214"/>
      <c r="WFC42" s="214"/>
      <c r="WFD42" s="214"/>
      <c r="WFE42" s="214"/>
      <c r="WFF42" s="214"/>
      <c r="WFG42" s="214"/>
      <c r="WFH42" s="214"/>
      <c r="WFI42" s="214"/>
      <c r="WFJ42" s="214"/>
      <c r="WFK42" s="214"/>
      <c r="WFL42" s="214"/>
      <c r="WFM42" s="214"/>
      <c r="WFN42" s="214"/>
      <c r="WFO42" s="214"/>
      <c r="WFP42" s="214"/>
      <c r="WFQ42" s="214"/>
      <c r="WFR42" s="214"/>
      <c r="WFS42" s="214"/>
      <c r="WFT42" s="214"/>
      <c r="WFU42" s="214"/>
      <c r="WFV42" s="214"/>
      <c r="WFW42" s="214"/>
      <c r="WFX42" s="214"/>
      <c r="WFY42" s="214"/>
      <c r="WFZ42" s="214"/>
      <c r="WGA42" s="214"/>
      <c r="WGB42" s="214"/>
      <c r="WGC42" s="214"/>
      <c r="WGD42" s="214"/>
      <c r="WGE42" s="214"/>
      <c r="WGF42" s="214"/>
      <c r="WGG42" s="214"/>
      <c r="WGH42" s="214"/>
      <c r="WGI42" s="214"/>
      <c r="WGJ42" s="214"/>
      <c r="WGK42" s="214"/>
      <c r="WGL42" s="214"/>
      <c r="WGM42" s="214"/>
      <c r="WGN42" s="214"/>
      <c r="WGO42" s="214"/>
      <c r="WGP42" s="214"/>
      <c r="WGQ42" s="214"/>
      <c r="WGR42" s="214"/>
      <c r="WGS42" s="214"/>
      <c r="WGT42" s="214"/>
      <c r="WGU42" s="214"/>
      <c r="WGV42" s="214"/>
      <c r="WGW42" s="214"/>
      <c r="WGX42" s="214"/>
      <c r="WGY42" s="214"/>
      <c r="WGZ42" s="214"/>
      <c r="WHA42" s="214"/>
      <c r="WHB42" s="214"/>
      <c r="WHC42" s="214"/>
      <c r="WHD42" s="214"/>
      <c r="WHE42" s="214"/>
      <c r="WHF42" s="214"/>
      <c r="WHG42" s="214"/>
      <c r="WHH42" s="214"/>
      <c r="WHI42" s="214"/>
      <c r="WHJ42" s="214"/>
      <c r="WHK42" s="214"/>
      <c r="WHL42" s="214"/>
      <c r="WHM42" s="214"/>
      <c r="WHN42" s="214"/>
      <c r="WHO42" s="214"/>
      <c r="WHP42" s="214"/>
      <c r="WHQ42" s="214"/>
      <c r="WHR42" s="214"/>
      <c r="WHS42" s="214"/>
      <c r="WHT42" s="214"/>
      <c r="WHU42" s="214"/>
      <c r="WHV42" s="214"/>
      <c r="WHW42" s="214"/>
      <c r="WHX42" s="214"/>
      <c r="WHY42" s="214"/>
      <c r="WHZ42" s="214"/>
      <c r="WIA42" s="214"/>
      <c r="WIB42" s="214"/>
      <c r="WIC42" s="214"/>
      <c r="WID42" s="214"/>
      <c r="WIE42" s="214"/>
      <c r="WIF42" s="214"/>
      <c r="WIG42" s="214"/>
      <c r="WIH42" s="214"/>
      <c r="WII42" s="214"/>
      <c r="WIJ42" s="214"/>
      <c r="WIK42" s="214"/>
      <c r="WIL42" s="214"/>
      <c r="WIM42" s="214"/>
      <c r="WIN42" s="214"/>
      <c r="WIO42" s="214"/>
      <c r="WIP42" s="214"/>
      <c r="WIQ42" s="214"/>
      <c r="WIR42" s="214"/>
      <c r="WIS42" s="214"/>
      <c r="WIT42" s="214"/>
      <c r="WIU42" s="214"/>
      <c r="WIV42" s="214"/>
      <c r="WIW42" s="214"/>
      <c r="WIX42" s="214"/>
      <c r="WIY42" s="214"/>
      <c r="WIZ42" s="214"/>
      <c r="WJA42" s="214"/>
      <c r="WJB42" s="214"/>
      <c r="WJC42" s="214"/>
      <c r="WJD42" s="214"/>
      <c r="WJE42" s="214"/>
      <c r="WJF42" s="214"/>
      <c r="WJG42" s="214"/>
      <c r="WJH42" s="214"/>
      <c r="WJI42" s="214"/>
      <c r="WJJ42" s="214"/>
      <c r="WJK42" s="214"/>
      <c r="WJL42" s="214"/>
      <c r="WJM42" s="214"/>
      <c r="WJN42" s="214"/>
      <c r="WJO42" s="214"/>
      <c r="WJP42" s="214"/>
      <c r="WJQ42" s="214"/>
      <c r="WJR42" s="214"/>
      <c r="WJS42" s="214"/>
      <c r="WJT42" s="214"/>
      <c r="WJU42" s="214"/>
      <c r="WJV42" s="214"/>
      <c r="WJW42" s="214"/>
      <c r="WJX42" s="214"/>
      <c r="WJY42" s="214"/>
      <c r="WJZ42" s="214"/>
      <c r="WKA42" s="214"/>
      <c r="WKB42" s="214"/>
      <c r="WKC42" s="214"/>
      <c r="WKD42" s="214"/>
      <c r="WKE42" s="214"/>
      <c r="WKF42" s="214"/>
      <c r="WKG42" s="214"/>
      <c r="WKH42" s="214"/>
      <c r="WKI42" s="214"/>
      <c r="WKJ42" s="214"/>
      <c r="WKK42" s="214"/>
      <c r="WKL42" s="214"/>
      <c r="WKM42" s="214"/>
      <c r="WKN42" s="214"/>
      <c r="WKO42" s="214"/>
      <c r="WKP42" s="214"/>
      <c r="WKQ42" s="214"/>
      <c r="WKR42" s="214"/>
      <c r="WKS42" s="214"/>
      <c r="WKT42" s="214"/>
      <c r="WKU42" s="214"/>
      <c r="WKV42" s="214"/>
      <c r="WKW42" s="214"/>
      <c r="WKX42" s="214"/>
      <c r="WKY42" s="214"/>
      <c r="WKZ42" s="214"/>
      <c r="WLA42" s="214"/>
      <c r="WLB42" s="214"/>
      <c r="WLC42" s="214"/>
      <c r="WLD42" s="214"/>
      <c r="WLE42" s="214"/>
      <c r="WLF42" s="214"/>
      <c r="WLG42" s="214"/>
      <c r="WLH42" s="214"/>
      <c r="WLI42" s="214"/>
      <c r="WLJ42" s="214"/>
      <c r="WLK42" s="214"/>
      <c r="WLL42" s="214"/>
      <c r="WLM42" s="214"/>
      <c r="WLN42" s="214"/>
      <c r="WLO42" s="214"/>
      <c r="WLP42" s="214"/>
      <c r="WLQ42" s="214"/>
      <c r="WLR42" s="214"/>
      <c r="WLS42" s="214"/>
      <c r="WLT42" s="214"/>
      <c r="WLU42" s="214"/>
      <c r="WLV42" s="214"/>
      <c r="WLW42" s="214"/>
      <c r="WLX42" s="214"/>
      <c r="WLY42" s="214"/>
      <c r="WLZ42" s="214"/>
      <c r="WMA42" s="214"/>
      <c r="WMB42" s="214"/>
      <c r="WMC42" s="214"/>
      <c r="WMD42" s="214"/>
      <c r="WME42" s="214"/>
      <c r="WMF42" s="214"/>
      <c r="WMG42" s="214"/>
      <c r="WMH42" s="214"/>
      <c r="WMI42" s="214"/>
      <c r="WMJ42" s="214"/>
      <c r="WMK42" s="214"/>
      <c r="WML42" s="214"/>
      <c r="WMM42" s="214"/>
      <c r="WMN42" s="214"/>
      <c r="WMO42" s="214"/>
      <c r="WMP42" s="214"/>
      <c r="WMQ42" s="214"/>
      <c r="WMR42" s="214"/>
      <c r="WMS42" s="214"/>
      <c r="WMT42" s="214"/>
      <c r="WMU42" s="214"/>
      <c r="WMV42" s="214"/>
      <c r="WMW42" s="214"/>
      <c r="WMX42" s="214"/>
      <c r="WMY42" s="214"/>
      <c r="WMZ42" s="214"/>
      <c r="WNA42" s="214"/>
      <c r="WNB42" s="214"/>
      <c r="WNC42" s="214"/>
      <c r="WND42" s="214"/>
      <c r="WNE42" s="214"/>
      <c r="WNF42" s="214"/>
      <c r="WNG42" s="214"/>
      <c r="WNH42" s="214"/>
      <c r="WNI42" s="214"/>
      <c r="WNJ42" s="214"/>
      <c r="WNK42" s="214"/>
      <c r="WNL42" s="214"/>
      <c r="WNM42" s="214"/>
      <c r="WNN42" s="214"/>
      <c r="WNO42" s="214"/>
      <c r="WNP42" s="214"/>
      <c r="WNQ42" s="214"/>
      <c r="WNR42" s="214"/>
      <c r="WNS42" s="214"/>
      <c r="WNT42" s="214"/>
      <c r="WNU42" s="214"/>
      <c r="WNV42" s="214"/>
      <c r="WNW42" s="214"/>
      <c r="WNX42" s="214"/>
      <c r="WNY42" s="214"/>
      <c r="WNZ42" s="214"/>
      <c r="WOA42" s="214"/>
      <c r="WOB42" s="214"/>
      <c r="WOC42" s="214"/>
      <c r="WOD42" s="214"/>
      <c r="WOE42" s="214"/>
      <c r="WOF42" s="214"/>
      <c r="WOG42" s="214"/>
      <c r="WOH42" s="214"/>
      <c r="WOI42" s="214"/>
      <c r="WOJ42" s="214"/>
      <c r="WOK42" s="214"/>
      <c r="WOL42" s="214"/>
      <c r="WOM42" s="214"/>
      <c r="WON42" s="214"/>
      <c r="WOO42" s="214"/>
      <c r="WOP42" s="214"/>
      <c r="WOQ42" s="214"/>
      <c r="WOR42" s="214"/>
      <c r="WOS42" s="214"/>
      <c r="WOT42" s="214"/>
      <c r="WOU42" s="214"/>
      <c r="WOV42" s="214"/>
      <c r="WOW42" s="214"/>
      <c r="WOX42" s="214"/>
      <c r="WOY42" s="214"/>
      <c r="WOZ42" s="214"/>
      <c r="WPA42" s="214"/>
      <c r="WPB42" s="214"/>
      <c r="WPC42" s="214"/>
      <c r="WPD42" s="214"/>
      <c r="WPE42" s="214"/>
      <c r="WPF42" s="214"/>
      <c r="WPG42" s="214"/>
      <c r="WPH42" s="214"/>
      <c r="WPI42" s="214"/>
      <c r="WPJ42" s="214"/>
      <c r="WPK42" s="214"/>
      <c r="WPL42" s="214"/>
      <c r="WPM42" s="214"/>
      <c r="WPN42" s="214"/>
      <c r="WPO42" s="214"/>
      <c r="WPP42" s="214"/>
      <c r="WPQ42" s="214"/>
      <c r="WPR42" s="214"/>
      <c r="WPS42" s="214"/>
      <c r="WPT42" s="214"/>
      <c r="WPU42" s="214"/>
      <c r="WPV42" s="214"/>
      <c r="WPW42" s="214"/>
      <c r="WPX42" s="214"/>
      <c r="WPY42" s="214"/>
      <c r="WPZ42" s="214"/>
      <c r="WQA42" s="214"/>
      <c r="WQB42" s="214"/>
      <c r="WQC42" s="214"/>
      <c r="WQD42" s="214"/>
      <c r="WQE42" s="214"/>
      <c r="WQF42" s="214"/>
      <c r="WQG42" s="214"/>
      <c r="WQH42" s="214"/>
      <c r="WQI42" s="214"/>
      <c r="WQJ42" s="214"/>
      <c r="WQK42" s="214"/>
      <c r="WQL42" s="214"/>
      <c r="WQM42" s="214"/>
      <c r="WQN42" s="214"/>
      <c r="WQO42" s="214"/>
      <c r="WQP42" s="214"/>
      <c r="WQQ42" s="214"/>
      <c r="WQR42" s="214"/>
      <c r="WQS42" s="214"/>
      <c r="WQT42" s="214"/>
      <c r="WQU42" s="214"/>
      <c r="WQV42" s="214"/>
      <c r="WQW42" s="214"/>
      <c r="WQX42" s="214"/>
      <c r="WQY42" s="214"/>
      <c r="WQZ42" s="214"/>
      <c r="WRA42" s="214"/>
      <c r="WRB42" s="214"/>
      <c r="WRC42" s="214"/>
      <c r="WRD42" s="214"/>
      <c r="WRE42" s="214"/>
      <c r="WRF42" s="214"/>
      <c r="WRG42" s="214"/>
      <c r="WRH42" s="214"/>
      <c r="WRI42" s="214"/>
      <c r="WRJ42" s="214"/>
      <c r="WRK42" s="214"/>
      <c r="WRL42" s="214"/>
      <c r="WRM42" s="214"/>
      <c r="WRN42" s="214"/>
      <c r="WRO42" s="214"/>
      <c r="WRP42" s="214"/>
      <c r="WRQ42" s="214"/>
      <c r="WRR42" s="214"/>
      <c r="WRS42" s="214"/>
      <c r="WRT42" s="214"/>
      <c r="WRU42" s="214"/>
      <c r="WRV42" s="214"/>
      <c r="WRW42" s="214"/>
      <c r="WRX42" s="214"/>
      <c r="WRY42" s="214"/>
      <c r="WRZ42" s="214"/>
      <c r="WSA42" s="214"/>
      <c r="WSB42" s="214"/>
      <c r="WSC42" s="214"/>
      <c r="WSD42" s="214"/>
      <c r="WSE42" s="214"/>
      <c r="WSF42" s="214"/>
      <c r="WSG42" s="214"/>
      <c r="WSH42" s="214"/>
      <c r="WSI42" s="214"/>
      <c r="WSJ42" s="214"/>
      <c r="WSK42" s="214"/>
      <c r="WSL42" s="214"/>
      <c r="WSM42" s="214"/>
      <c r="WSN42" s="214"/>
      <c r="WSO42" s="214"/>
      <c r="WSP42" s="214"/>
      <c r="WSQ42" s="214"/>
      <c r="WSR42" s="214"/>
      <c r="WSS42" s="214"/>
      <c r="WST42" s="214"/>
      <c r="WSU42" s="214"/>
      <c r="WSV42" s="214"/>
      <c r="WSW42" s="214"/>
      <c r="WSX42" s="214"/>
      <c r="WSY42" s="214"/>
      <c r="WSZ42" s="214"/>
      <c r="WTA42" s="214"/>
      <c r="WTB42" s="214"/>
      <c r="WTC42" s="214"/>
      <c r="WTD42" s="214"/>
      <c r="WTE42" s="214"/>
      <c r="WTF42" s="214"/>
      <c r="WTG42" s="214"/>
      <c r="WTH42" s="214"/>
      <c r="WTI42" s="214"/>
      <c r="WTJ42" s="214"/>
      <c r="WTK42" s="214"/>
      <c r="WTL42" s="214"/>
      <c r="WTM42" s="214"/>
      <c r="WTN42" s="214"/>
      <c r="WTO42" s="214"/>
      <c r="WTP42" s="214"/>
      <c r="WTQ42" s="214"/>
      <c r="WTR42" s="214"/>
      <c r="WTS42" s="214"/>
      <c r="WTT42" s="214"/>
      <c r="WTU42" s="214"/>
      <c r="WTV42" s="214"/>
      <c r="WTW42" s="214"/>
      <c r="WTX42" s="214"/>
      <c r="WTY42" s="214"/>
      <c r="WTZ42" s="214"/>
      <c r="WUA42" s="214"/>
      <c r="WUB42" s="214"/>
      <c r="WUC42" s="214"/>
      <c r="WUD42" s="214"/>
      <c r="WUE42" s="214"/>
      <c r="WUF42" s="214"/>
      <c r="WUG42" s="214"/>
      <c r="WUH42" s="214"/>
      <c r="WUI42" s="214"/>
      <c r="WUJ42" s="214"/>
      <c r="WUK42" s="214"/>
      <c r="WUL42" s="214"/>
      <c r="WUM42" s="214"/>
      <c r="WUN42" s="214"/>
      <c r="WUO42" s="214"/>
      <c r="WUP42" s="214"/>
      <c r="WUQ42" s="214"/>
      <c r="WUR42" s="214"/>
      <c r="WUS42" s="214"/>
      <c r="WUT42" s="214"/>
      <c r="WUU42" s="214"/>
      <c r="WUV42" s="214"/>
      <c r="WUW42" s="214"/>
      <c r="WUX42" s="214"/>
      <c r="WUY42" s="214"/>
      <c r="WUZ42" s="214"/>
      <c r="WVA42" s="214"/>
      <c r="WVB42" s="214"/>
      <c r="WVC42" s="214"/>
      <c r="WVD42" s="214"/>
      <c r="WVE42" s="214"/>
      <c r="WVF42" s="214"/>
      <c r="WVG42" s="214"/>
      <c r="WVH42" s="214"/>
      <c r="WVI42" s="214"/>
      <c r="WVJ42" s="214"/>
      <c r="WVK42" s="214"/>
      <c r="WVL42" s="214"/>
      <c r="WVM42" s="214"/>
      <c r="WVN42" s="214"/>
      <c r="WVO42" s="214"/>
      <c r="WVP42" s="214"/>
      <c r="WVQ42" s="214"/>
      <c r="WVR42" s="214"/>
      <c r="WVS42" s="214"/>
      <c r="WVT42" s="214"/>
      <c r="WVU42" s="214"/>
      <c r="WVV42" s="214"/>
      <c r="WVW42" s="214"/>
      <c r="WVX42" s="214"/>
      <c r="WVY42" s="214"/>
      <c r="WVZ42" s="214"/>
      <c r="WWA42" s="214"/>
      <c r="WWB42" s="214"/>
      <c r="WWC42" s="214"/>
      <c r="WWD42" s="214"/>
      <c r="WWE42" s="214"/>
      <c r="WWF42" s="214"/>
      <c r="WWG42" s="214"/>
      <c r="WWH42" s="214"/>
      <c r="WWI42" s="214"/>
      <c r="WWJ42" s="214"/>
      <c r="WWK42" s="214"/>
      <c r="WWL42" s="214"/>
      <c r="WWM42" s="214"/>
      <c r="WWN42" s="214"/>
      <c r="WWO42" s="214"/>
      <c r="WWP42" s="214"/>
      <c r="WWQ42" s="214"/>
      <c r="WWR42" s="214"/>
      <c r="WWS42" s="214"/>
      <c r="WWT42" s="214"/>
      <c r="WWU42" s="214"/>
      <c r="WWV42" s="214"/>
      <c r="WWW42" s="214"/>
      <c r="WWX42" s="214"/>
      <c r="WWY42" s="214"/>
      <c r="WWZ42" s="214"/>
      <c r="WXA42" s="214"/>
      <c r="WXB42" s="214"/>
      <c r="WXC42" s="214"/>
      <c r="WXD42" s="214"/>
      <c r="WXE42" s="214"/>
      <c r="WXF42" s="214"/>
      <c r="WXG42" s="214"/>
      <c r="WXH42" s="214"/>
      <c r="WXI42" s="214"/>
      <c r="WXJ42" s="214"/>
      <c r="WXK42" s="214"/>
      <c r="WXL42" s="214"/>
      <c r="WXM42" s="214"/>
      <c r="WXN42" s="214"/>
      <c r="WXO42" s="214"/>
      <c r="WXP42" s="214"/>
      <c r="WXQ42" s="214"/>
      <c r="WXR42" s="214"/>
      <c r="WXS42" s="214"/>
      <c r="WXT42" s="214"/>
      <c r="WXU42" s="214"/>
      <c r="WXV42" s="214"/>
      <c r="WXW42" s="214"/>
      <c r="WXX42" s="214"/>
      <c r="WXY42" s="214"/>
      <c r="WXZ42" s="214"/>
      <c r="WYA42" s="214"/>
      <c r="WYB42" s="214"/>
      <c r="WYC42" s="214"/>
      <c r="WYD42" s="214"/>
      <c r="WYE42" s="214"/>
      <c r="WYF42" s="214"/>
      <c r="WYG42" s="214"/>
      <c r="WYH42" s="214"/>
      <c r="WYI42" s="214"/>
      <c r="WYJ42" s="214"/>
      <c r="WYK42" s="214"/>
      <c r="WYL42" s="214"/>
      <c r="WYM42" s="214"/>
      <c r="WYN42" s="214"/>
      <c r="WYO42" s="214"/>
      <c r="WYP42" s="214"/>
      <c r="WYQ42" s="214"/>
      <c r="WYR42" s="214"/>
      <c r="WYS42" s="214"/>
      <c r="WYT42" s="214"/>
      <c r="WYU42" s="214"/>
      <c r="WYV42" s="214"/>
      <c r="WYW42" s="214"/>
      <c r="WYX42" s="214"/>
      <c r="WYY42" s="214"/>
      <c r="WYZ42" s="214"/>
      <c r="WZA42" s="214"/>
      <c r="WZB42" s="214"/>
      <c r="WZC42" s="214"/>
      <c r="WZD42" s="214"/>
      <c r="WZE42" s="214"/>
      <c r="WZF42" s="214"/>
      <c r="WZG42" s="214"/>
      <c r="WZH42" s="214"/>
      <c r="WZI42" s="214"/>
      <c r="WZJ42" s="214"/>
      <c r="WZK42" s="214"/>
      <c r="WZL42" s="214"/>
      <c r="WZM42" s="214"/>
      <c r="WZN42" s="214"/>
      <c r="WZO42" s="214"/>
      <c r="WZP42" s="214"/>
      <c r="WZQ42" s="214"/>
      <c r="WZR42" s="214"/>
      <c r="WZS42" s="214"/>
      <c r="WZT42" s="214"/>
      <c r="WZU42" s="214"/>
      <c r="WZV42" s="214"/>
      <c r="WZW42" s="214"/>
      <c r="WZX42" s="214"/>
      <c r="WZY42" s="214"/>
      <c r="WZZ42" s="214"/>
      <c r="XAA42" s="214"/>
      <c r="XAB42" s="214"/>
      <c r="XAC42" s="214"/>
      <c r="XAD42" s="214"/>
      <c r="XAE42" s="214"/>
      <c r="XAF42" s="214"/>
      <c r="XAG42" s="214"/>
      <c r="XAH42" s="214"/>
      <c r="XAI42" s="214"/>
      <c r="XAJ42" s="214"/>
      <c r="XAK42" s="214"/>
      <c r="XAL42" s="214"/>
      <c r="XAM42" s="214"/>
      <c r="XAN42" s="214"/>
      <c r="XAO42" s="214"/>
      <c r="XAP42" s="214"/>
      <c r="XAQ42" s="214"/>
      <c r="XAR42" s="214"/>
      <c r="XAS42" s="214"/>
      <c r="XAT42" s="214"/>
      <c r="XAU42" s="214"/>
      <c r="XAV42" s="214"/>
      <c r="XAW42" s="214"/>
      <c r="XAX42" s="214"/>
      <c r="XAY42" s="214"/>
      <c r="XAZ42" s="214"/>
      <c r="XBA42" s="214"/>
      <c r="XBB42" s="214"/>
      <c r="XBC42" s="214"/>
      <c r="XBD42" s="214"/>
      <c r="XBE42" s="214"/>
      <c r="XBF42" s="214"/>
      <c r="XBG42" s="214"/>
      <c r="XBH42" s="214"/>
      <c r="XBI42" s="214"/>
      <c r="XBJ42" s="214"/>
      <c r="XBK42" s="214"/>
      <c r="XBL42" s="214"/>
      <c r="XBM42" s="214"/>
      <c r="XBN42" s="214"/>
      <c r="XBO42" s="214"/>
      <c r="XBP42" s="214"/>
      <c r="XBQ42" s="214"/>
      <c r="XBR42" s="214"/>
      <c r="XBS42" s="214"/>
      <c r="XBT42" s="214"/>
      <c r="XBU42" s="214"/>
      <c r="XBV42" s="214"/>
      <c r="XBW42" s="214"/>
      <c r="XBX42" s="214"/>
      <c r="XBY42" s="214"/>
      <c r="XBZ42" s="214"/>
      <c r="XCA42" s="214"/>
      <c r="XCB42" s="214"/>
      <c r="XCC42" s="214"/>
      <c r="XCD42" s="214"/>
      <c r="XCE42" s="214"/>
      <c r="XCF42" s="214"/>
      <c r="XCG42" s="214"/>
      <c r="XCH42" s="214"/>
      <c r="XCI42" s="214"/>
      <c r="XCJ42" s="214"/>
      <c r="XCK42" s="214"/>
      <c r="XCL42" s="214"/>
      <c r="XCM42" s="214"/>
      <c r="XCN42" s="214"/>
      <c r="XCO42" s="214"/>
      <c r="XCP42" s="214"/>
      <c r="XCQ42" s="214"/>
      <c r="XCR42" s="214"/>
      <c r="XCS42" s="214"/>
      <c r="XCT42" s="214"/>
      <c r="XCU42" s="214"/>
      <c r="XCV42" s="214"/>
      <c r="XCW42" s="214"/>
      <c r="XCX42" s="214"/>
      <c r="XCY42" s="214"/>
      <c r="XCZ42" s="214"/>
      <c r="XDA42" s="214"/>
      <c r="XDB42" s="214"/>
      <c r="XDC42" s="214"/>
      <c r="XDD42" s="214"/>
      <c r="XDE42" s="214"/>
      <c r="XDF42" s="214"/>
      <c r="XDG42" s="214"/>
      <c r="XDH42" s="214"/>
      <c r="XDI42" s="214"/>
      <c r="XDJ42" s="214"/>
      <c r="XDK42" s="214"/>
      <c r="XDL42" s="214"/>
      <c r="XDM42" s="214"/>
      <c r="XDN42" s="214"/>
      <c r="XDO42" s="214"/>
      <c r="XDP42" s="214"/>
      <c r="XDQ42" s="214"/>
      <c r="XDR42" s="214"/>
      <c r="XDS42" s="214"/>
      <c r="XDT42" s="214"/>
      <c r="XDU42" s="214"/>
      <c r="XDV42" s="214"/>
      <c r="XDW42" s="214"/>
      <c r="XDX42" s="214"/>
      <c r="XDY42" s="214"/>
      <c r="XDZ42" s="214"/>
      <c r="XEA42" s="214"/>
      <c r="XEB42" s="214"/>
      <c r="XEC42" s="214"/>
      <c r="XED42" s="214"/>
      <c r="XEE42" s="214"/>
      <c r="XEF42" s="214"/>
      <c r="XEG42" s="214"/>
      <c r="XEH42" s="214"/>
      <c r="XEI42" s="214"/>
      <c r="XEJ42" s="214"/>
      <c r="XEK42" s="214"/>
      <c r="XEL42" s="214"/>
      <c r="XEM42" s="214"/>
      <c r="XEN42" s="214"/>
      <c r="XEO42" s="214"/>
      <c r="XEP42" s="214"/>
      <c r="XEQ42" s="214"/>
      <c r="XER42" s="214"/>
      <c r="XES42" s="214"/>
      <c r="XET42" s="214"/>
      <c r="XEU42" s="214"/>
      <c r="XEV42" s="214"/>
      <c r="XEW42" s="214"/>
      <c r="XEX42" s="214"/>
      <c r="XEY42" s="214"/>
      <c r="XEZ42" s="214"/>
      <c r="XFA42" s="214"/>
      <c r="XFB42" s="214"/>
      <c r="XFC42" s="214"/>
      <c r="XFD42" s="214"/>
    </row>
    <row r="43" spans="1:16384" ht="15" thickBot="1" x14ac:dyDescent="0.35">
      <c r="A43" s="220" t="s">
        <v>54</v>
      </c>
      <c r="B43" s="221" t="s">
        <v>501</v>
      </c>
      <c r="C43" s="219" t="s">
        <v>524</v>
      </c>
      <c r="D43" s="55">
        <v>82400</v>
      </c>
      <c r="E43" s="54">
        <f t="shared" si="1"/>
        <v>82400</v>
      </c>
      <c r="F43" s="55">
        <f t="shared" si="0"/>
        <v>0</v>
      </c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>
        <v>2567</v>
      </c>
      <c r="S43" s="215">
        <v>6081</v>
      </c>
      <c r="T43" s="215">
        <v>5416</v>
      </c>
      <c r="U43" s="215">
        <v>6613</v>
      </c>
      <c r="V43" s="215"/>
      <c r="W43" s="215">
        <v>6736</v>
      </c>
      <c r="X43" s="55">
        <v>54987</v>
      </c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  <c r="CB43" s="214"/>
      <c r="CC43" s="214"/>
      <c r="CD43" s="214"/>
      <c r="CE43" s="214"/>
      <c r="CF43" s="214"/>
      <c r="CG43" s="214"/>
      <c r="CH43" s="214"/>
      <c r="CI43" s="214"/>
      <c r="CJ43" s="214"/>
      <c r="CK43" s="214"/>
      <c r="CL43" s="214"/>
      <c r="CM43" s="214"/>
      <c r="CN43" s="214"/>
      <c r="CO43" s="214"/>
      <c r="CP43" s="214"/>
      <c r="CQ43" s="214"/>
      <c r="CR43" s="214"/>
      <c r="CS43" s="214"/>
      <c r="CT43" s="214"/>
      <c r="CU43" s="214"/>
      <c r="CV43" s="214"/>
      <c r="CW43" s="214"/>
      <c r="CX43" s="214"/>
      <c r="CY43" s="214"/>
      <c r="CZ43" s="214"/>
      <c r="DA43" s="214"/>
      <c r="DB43" s="214"/>
      <c r="DC43" s="214"/>
      <c r="DD43" s="214"/>
      <c r="DE43" s="214"/>
      <c r="DF43" s="214"/>
      <c r="DG43" s="214"/>
      <c r="DH43" s="214"/>
      <c r="DI43" s="214"/>
      <c r="DJ43" s="214"/>
      <c r="DK43" s="214"/>
      <c r="DL43" s="214"/>
      <c r="DM43" s="214"/>
      <c r="DN43" s="214"/>
      <c r="DO43" s="214"/>
      <c r="DP43" s="214"/>
      <c r="DQ43" s="214"/>
      <c r="DR43" s="214"/>
      <c r="DS43" s="214"/>
      <c r="DT43" s="214"/>
      <c r="DU43" s="214"/>
      <c r="DV43" s="214"/>
      <c r="DW43" s="214"/>
      <c r="DX43" s="214"/>
      <c r="DY43" s="214"/>
      <c r="DZ43" s="214"/>
      <c r="EA43" s="214"/>
      <c r="EB43" s="214"/>
      <c r="EC43" s="214"/>
      <c r="ED43" s="214"/>
      <c r="EE43" s="214"/>
      <c r="EF43" s="214"/>
      <c r="EG43" s="214"/>
      <c r="EH43" s="214"/>
      <c r="EI43" s="214"/>
      <c r="EJ43" s="214"/>
      <c r="EK43" s="214"/>
      <c r="EL43" s="214"/>
      <c r="EM43" s="214"/>
      <c r="EN43" s="214"/>
      <c r="EO43" s="214"/>
      <c r="EP43" s="214"/>
      <c r="EQ43" s="214"/>
      <c r="ER43" s="214"/>
      <c r="ES43" s="214"/>
      <c r="ET43" s="214"/>
      <c r="EU43" s="214"/>
      <c r="EV43" s="214"/>
      <c r="EW43" s="214"/>
      <c r="EX43" s="214"/>
      <c r="EY43" s="214"/>
      <c r="EZ43" s="214"/>
      <c r="FA43" s="214"/>
      <c r="FB43" s="214"/>
      <c r="FC43" s="214"/>
      <c r="FD43" s="214"/>
      <c r="FE43" s="214"/>
      <c r="FF43" s="214"/>
      <c r="FG43" s="214"/>
      <c r="FH43" s="214"/>
      <c r="FI43" s="214"/>
      <c r="FJ43" s="214"/>
      <c r="FK43" s="214"/>
      <c r="FL43" s="214"/>
      <c r="FM43" s="214"/>
      <c r="FN43" s="214"/>
      <c r="FO43" s="214"/>
      <c r="FP43" s="214"/>
      <c r="FQ43" s="214"/>
      <c r="FR43" s="214"/>
      <c r="FS43" s="214"/>
      <c r="FT43" s="214"/>
      <c r="FU43" s="214"/>
      <c r="FV43" s="214"/>
      <c r="FW43" s="214"/>
      <c r="FX43" s="214"/>
      <c r="FY43" s="214"/>
      <c r="FZ43" s="214"/>
      <c r="GA43" s="214"/>
      <c r="GB43" s="214"/>
      <c r="GC43" s="214"/>
      <c r="GD43" s="214"/>
      <c r="GE43" s="214"/>
      <c r="GF43" s="214"/>
      <c r="GG43" s="214"/>
      <c r="GH43" s="214"/>
      <c r="GI43" s="214"/>
      <c r="GJ43" s="214"/>
      <c r="GK43" s="214"/>
      <c r="GL43" s="214"/>
      <c r="GM43" s="214"/>
      <c r="GN43" s="214"/>
      <c r="GO43" s="214"/>
      <c r="GP43" s="214"/>
      <c r="GQ43" s="214"/>
      <c r="GR43" s="214"/>
      <c r="GS43" s="214"/>
      <c r="GT43" s="214"/>
      <c r="GU43" s="214"/>
      <c r="GV43" s="214"/>
      <c r="GW43" s="214"/>
      <c r="GX43" s="214"/>
      <c r="GY43" s="214"/>
      <c r="GZ43" s="214"/>
      <c r="HA43" s="214"/>
      <c r="HB43" s="214"/>
      <c r="HC43" s="214"/>
      <c r="HD43" s="214"/>
      <c r="HE43" s="214"/>
      <c r="HF43" s="214"/>
      <c r="HG43" s="214"/>
      <c r="HH43" s="214"/>
      <c r="HI43" s="214"/>
      <c r="HJ43" s="214"/>
      <c r="HK43" s="214"/>
      <c r="HL43" s="214"/>
      <c r="HM43" s="214"/>
      <c r="HN43" s="214"/>
      <c r="HO43" s="214"/>
      <c r="HP43" s="214"/>
      <c r="HQ43" s="214"/>
      <c r="HR43" s="214"/>
      <c r="HS43" s="214"/>
      <c r="HT43" s="214"/>
      <c r="HU43" s="214"/>
      <c r="HV43" s="214"/>
      <c r="HW43" s="214"/>
      <c r="HX43" s="214"/>
      <c r="HY43" s="214"/>
      <c r="HZ43" s="214"/>
      <c r="IA43" s="214"/>
      <c r="IB43" s="214"/>
      <c r="IC43" s="214"/>
      <c r="ID43" s="214"/>
      <c r="IE43" s="214"/>
      <c r="IF43" s="214"/>
      <c r="IG43" s="214"/>
      <c r="IH43" s="214"/>
      <c r="II43" s="214"/>
      <c r="IJ43" s="214"/>
      <c r="IK43" s="214"/>
      <c r="IL43" s="214"/>
      <c r="IM43" s="214"/>
      <c r="IN43" s="214"/>
      <c r="IO43" s="214"/>
      <c r="IP43" s="214"/>
      <c r="IQ43" s="214"/>
      <c r="IR43" s="214"/>
      <c r="IS43" s="214"/>
      <c r="IT43" s="214"/>
      <c r="IU43" s="214"/>
      <c r="IV43" s="214"/>
      <c r="IW43" s="214"/>
      <c r="IX43" s="214"/>
      <c r="IY43" s="214"/>
      <c r="IZ43" s="214"/>
      <c r="JA43" s="214"/>
      <c r="JB43" s="214"/>
      <c r="JC43" s="214"/>
      <c r="JD43" s="214"/>
      <c r="JE43" s="214"/>
      <c r="JF43" s="214"/>
      <c r="JG43" s="214"/>
      <c r="JH43" s="214"/>
      <c r="JI43" s="214"/>
      <c r="JJ43" s="214"/>
      <c r="JK43" s="214"/>
      <c r="JL43" s="214"/>
      <c r="JM43" s="214"/>
      <c r="JN43" s="214"/>
      <c r="JO43" s="214"/>
      <c r="JP43" s="214"/>
      <c r="JQ43" s="214"/>
      <c r="JR43" s="214"/>
      <c r="JS43" s="214"/>
      <c r="JT43" s="214"/>
      <c r="JU43" s="214"/>
      <c r="JV43" s="214"/>
      <c r="JW43" s="214"/>
      <c r="JX43" s="214"/>
      <c r="JY43" s="214"/>
      <c r="JZ43" s="214"/>
      <c r="KA43" s="214"/>
      <c r="KB43" s="214"/>
      <c r="KC43" s="214"/>
      <c r="KD43" s="214"/>
      <c r="KE43" s="214"/>
      <c r="KF43" s="214"/>
      <c r="KG43" s="214"/>
      <c r="KH43" s="214"/>
      <c r="KI43" s="214"/>
      <c r="KJ43" s="214"/>
      <c r="KK43" s="214"/>
      <c r="KL43" s="214"/>
      <c r="KM43" s="214"/>
      <c r="KN43" s="214"/>
      <c r="KO43" s="214"/>
      <c r="KP43" s="214"/>
      <c r="KQ43" s="214"/>
      <c r="KR43" s="214"/>
      <c r="KS43" s="214"/>
      <c r="KT43" s="214"/>
      <c r="KU43" s="214"/>
      <c r="KV43" s="214"/>
      <c r="KW43" s="214"/>
      <c r="KX43" s="214"/>
      <c r="KY43" s="214"/>
      <c r="KZ43" s="214"/>
      <c r="LA43" s="214"/>
      <c r="LB43" s="214"/>
      <c r="LC43" s="214"/>
      <c r="LD43" s="214"/>
      <c r="LE43" s="214"/>
      <c r="LF43" s="214"/>
      <c r="LG43" s="214"/>
      <c r="LH43" s="214"/>
      <c r="LI43" s="214"/>
      <c r="LJ43" s="214"/>
      <c r="LK43" s="214"/>
      <c r="LL43" s="214"/>
      <c r="LM43" s="214"/>
      <c r="LN43" s="214"/>
      <c r="LO43" s="214"/>
      <c r="LP43" s="214"/>
      <c r="LQ43" s="214"/>
      <c r="LR43" s="214"/>
      <c r="LS43" s="214"/>
      <c r="LT43" s="214"/>
      <c r="LU43" s="214"/>
      <c r="LV43" s="214"/>
      <c r="LW43" s="214"/>
      <c r="LX43" s="214"/>
      <c r="LY43" s="214"/>
      <c r="LZ43" s="214"/>
      <c r="MA43" s="214"/>
      <c r="MB43" s="214"/>
      <c r="MC43" s="214"/>
      <c r="MD43" s="214"/>
      <c r="ME43" s="214"/>
      <c r="MF43" s="214"/>
      <c r="MG43" s="214"/>
      <c r="MH43" s="214"/>
      <c r="MI43" s="214"/>
      <c r="MJ43" s="214"/>
      <c r="MK43" s="214"/>
      <c r="ML43" s="214"/>
      <c r="MM43" s="214"/>
      <c r="MN43" s="214"/>
      <c r="MO43" s="214"/>
      <c r="MP43" s="214"/>
      <c r="MQ43" s="214"/>
      <c r="MR43" s="214"/>
      <c r="MS43" s="214"/>
      <c r="MT43" s="214"/>
      <c r="MU43" s="214"/>
      <c r="MV43" s="214"/>
      <c r="MW43" s="214"/>
      <c r="MX43" s="214"/>
      <c r="MY43" s="214"/>
      <c r="MZ43" s="214"/>
      <c r="NA43" s="214"/>
      <c r="NB43" s="214"/>
      <c r="NC43" s="214"/>
      <c r="ND43" s="214"/>
      <c r="NE43" s="214"/>
      <c r="NF43" s="214"/>
      <c r="NG43" s="214"/>
      <c r="NH43" s="214"/>
      <c r="NI43" s="214"/>
      <c r="NJ43" s="214"/>
      <c r="NK43" s="214"/>
      <c r="NL43" s="214"/>
      <c r="NM43" s="214"/>
      <c r="NN43" s="214"/>
      <c r="NO43" s="214"/>
      <c r="NP43" s="214"/>
      <c r="NQ43" s="214"/>
      <c r="NR43" s="214"/>
      <c r="NS43" s="214"/>
      <c r="NT43" s="214"/>
      <c r="NU43" s="214"/>
      <c r="NV43" s="214"/>
      <c r="NW43" s="214"/>
      <c r="NX43" s="214"/>
      <c r="NY43" s="214"/>
      <c r="NZ43" s="214"/>
      <c r="OA43" s="214"/>
      <c r="OB43" s="214"/>
      <c r="OC43" s="214"/>
      <c r="OD43" s="214"/>
      <c r="OE43" s="214"/>
      <c r="OF43" s="214"/>
      <c r="OG43" s="214"/>
      <c r="OH43" s="214"/>
      <c r="OI43" s="214"/>
      <c r="OJ43" s="214"/>
      <c r="OK43" s="214"/>
      <c r="OL43" s="214"/>
      <c r="OM43" s="214"/>
      <c r="ON43" s="214"/>
      <c r="OO43" s="214"/>
      <c r="OP43" s="214"/>
      <c r="OQ43" s="214"/>
      <c r="OR43" s="214"/>
      <c r="OS43" s="214"/>
      <c r="OT43" s="214"/>
      <c r="OU43" s="214"/>
      <c r="OV43" s="214"/>
      <c r="OW43" s="214"/>
      <c r="OX43" s="214"/>
      <c r="OY43" s="214"/>
      <c r="OZ43" s="214"/>
      <c r="PA43" s="214"/>
      <c r="PB43" s="214"/>
      <c r="PC43" s="214"/>
      <c r="PD43" s="214"/>
      <c r="PE43" s="214"/>
      <c r="PF43" s="214"/>
      <c r="PG43" s="214"/>
      <c r="PH43" s="214"/>
      <c r="PI43" s="214"/>
      <c r="PJ43" s="214"/>
      <c r="PK43" s="214"/>
      <c r="PL43" s="214"/>
      <c r="PM43" s="214"/>
      <c r="PN43" s="214"/>
      <c r="PO43" s="214"/>
      <c r="PP43" s="214"/>
      <c r="PQ43" s="214"/>
      <c r="PR43" s="214"/>
      <c r="PS43" s="214"/>
      <c r="PT43" s="214"/>
      <c r="PU43" s="214"/>
      <c r="PV43" s="214"/>
      <c r="PW43" s="214"/>
      <c r="PX43" s="214"/>
      <c r="PY43" s="214"/>
      <c r="PZ43" s="214"/>
      <c r="QA43" s="214"/>
      <c r="QB43" s="214"/>
      <c r="QC43" s="214"/>
      <c r="QD43" s="214"/>
      <c r="QE43" s="214"/>
      <c r="QF43" s="214"/>
      <c r="QG43" s="214"/>
      <c r="QH43" s="214"/>
      <c r="QI43" s="214"/>
      <c r="QJ43" s="214"/>
      <c r="QK43" s="214"/>
      <c r="QL43" s="214"/>
      <c r="QM43" s="214"/>
      <c r="QN43" s="214"/>
      <c r="QO43" s="214"/>
      <c r="QP43" s="214"/>
      <c r="QQ43" s="214"/>
      <c r="QR43" s="214"/>
      <c r="QS43" s="214"/>
      <c r="QT43" s="214"/>
      <c r="QU43" s="214"/>
      <c r="QV43" s="214"/>
      <c r="QW43" s="214"/>
      <c r="QX43" s="214"/>
      <c r="QY43" s="214"/>
      <c r="QZ43" s="214"/>
      <c r="RA43" s="214"/>
      <c r="RB43" s="214"/>
      <c r="RC43" s="214"/>
      <c r="RD43" s="214"/>
      <c r="RE43" s="214"/>
      <c r="RF43" s="214"/>
      <c r="RG43" s="214"/>
      <c r="RH43" s="214"/>
      <c r="RI43" s="214"/>
      <c r="RJ43" s="214"/>
      <c r="RK43" s="214"/>
      <c r="RL43" s="214"/>
      <c r="RM43" s="214"/>
      <c r="RN43" s="214"/>
      <c r="RO43" s="214"/>
      <c r="RP43" s="214"/>
      <c r="RQ43" s="214"/>
      <c r="RR43" s="214"/>
      <c r="RS43" s="214"/>
      <c r="RT43" s="214"/>
      <c r="RU43" s="214"/>
      <c r="RV43" s="214"/>
      <c r="RW43" s="214"/>
      <c r="RX43" s="214"/>
      <c r="RY43" s="214"/>
      <c r="RZ43" s="214"/>
      <c r="SA43" s="214"/>
      <c r="SB43" s="214"/>
      <c r="SC43" s="214"/>
      <c r="SD43" s="214"/>
      <c r="SE43" s="214"/>
      <c r="SF43" s="214"/>
      <c r="SG43" s="214"/>
      <c r="SH43" s="214"/>
      <c r="SI43" s="214"/>
      <c r="SJ43" s="214"/>
      <c r="SK43" s="214"/>
      <c r="SL43" s="214"/>
      <c r="SM43" s="214"/>
      <c r="SN43" s="214"/>
      <c r="SO43" s="214"/>
      <c r="SP43" s="214"/>
      <c r="SQ43" s="214"/>
      <c r="SR43" s="214"/>
      <c r="SS43" s="214"/>
      <c r="ST43" s="214"/>
      <c r="SU43" s="214"/>
      <c r="SV43" s="214"/>
      <c r="SW43" s="214"/>
      <c r="SX43" s="214"/>
      <c r="SY43" s="214"/>
      <c r="SZ43" s="214"/>
      <c r="TA43" s="214"/>
      <c r="TB43" s="214"/>
      <c r="TC43" s="214"/>
      <c r="TD43" s="214"/>
      <c r="TE43" s="214"/>
      <c r="TF43" s="214"/>
      <c r="TG43" s="214"/>
      <c r="TH43" s="214"/>
      <c r="TI43" s="214"/>
      <c r="TJ43" s="214"/>
      <c r="TK43" s="214"/>
      <c r="TL43" s="214"/>
      <c r="TM43" s="214"/>
      <c r="TN43" s="214"/>
      <c r="TO43" s="214"/>
      <c r="TP43" s="214"/>
      <c r="TQ43" s="214"/>
      <c r="TR43" s="214"/>
      <c r="TS43" s="214"/>
      <c r="TT43" s="214"/>
      <c r="TU43" s="214"/>
      <c r="TV43" s="214"/>
      <c r="TW43" s="214"/>
      <c r="TX43" s="214"/>
      <c r="TY43" s="214"/>
      <c r="TZ43" s="214"/>
      <c r="UA43" s="214"/>
      <c r="UB43" s="214"/>
      <c r="UC43" s="214"/>
      <c r="UD43" s="214"/>
      <c r="UE43" s="214"/>
      <c r="UF43" s="214"/>
      <c r="UG43" s="214"/>
      <c r="UH43" s="214"/>
      <c r="UI43" s="214"/>
      <c r="UJ43" s="214"/>
      <c r="UK43" s="214"/>
      <c r="UL43" s="214"/>
      <c r="UM43" s="214"/>
      <c r="UN43" s="214"/>
      <c r="UO43" s="214"/>
      <c r="UP43" s="214"/>
      <c r="UQ43" s="214"/>
      <c r="UR43" s="214"/>
      <c r="US43" s="214"/>
      <c r="UT43" s="214"/>
      <c r="UU43" s="214"/>
      <c r="UV43" s="214"/>
      <c r="UW43" s="214"/>
      <c r="UX43" s="214"/>
      <c r="UY43" s="214"/>
      <c r="UZ43" s="214"/>
      <c r="VA43" s="214"/>
      <c r="VB43" s="214"/>
      <c r="VC43" s="214"/>
      <c r="VD43" s="214"/>
      <c r="VE43" s="214"/>
      <c r="VF43" s="214"/>
      <c r="VG43" s="214"/>
      <c r="VH43" s="214"/>
      <c r="VI43" s="214"/>
      <c r="VJ43" s="214"/>
      <c r="VK43" s="214"/>
      <c r="VL43" s="214"/>
      <c r="VM43" s="214"/>
      <c r="VN43" s="214"/>
      <c r="VO43" s="214"/>
      <c r="VP43" s="214"/>
      <c r="VQ43" s="214"/>
      <c r="VR43" s="214"/>
      <c r="VS43" s="214"/>
      <c r="VT43" s="214"/>
      <c r="VU43" s="214"/>
      <c r="VV43" s="214"/>
      <c r="VW43" s="214"/>
      <c r="VX43" s="214"/>
      <c r="VY43" s="214"/>
      <c r="VZ43" s="214"/>
      <c r="WA43" s="214"/>
      <c r="WB43" s="214"/>
      <c r="WC43" s="214"/>
      <c r="WD43" s="214"/>
      <c r="WE43" s="214"/>
      <c r="WF43" s="214"/>
      <c r="WG43" s="214"/>
      <c r="WH43" s="214"/>
      <c r="WI43" s="214"/>
      <c r="WJ43" s="214"/>
      <c r="WK43" s="214"/>
      <c r="WL43" s="214"/>
      <c r="WM43" s="214"/>
      <c r="WN43" s="214"/>
      <c r="WO43" s="214"/>
      <c r="WP43" s="214"/>
      <c r="WQ43" s="214"/>
      <c r="WR43" s="214"/>
      <c r="WS43" s="214"/>
      <c r="WT43" s="214"/>
      <c r="WU43" s="214"/>
      <c r="WV43" s="214"/>
      <c r="WW43" s="214"/>
      <c r="WX43" s="214"/>
      <c r="WY43" s="214"/>
      <c r="WZ43" s="214"/>
      <c r="XA43" s="214"/>
      <c r="XB43" s="214"/>
      <c r="XC43" s="214"/>
      <c r="XD43" s="214"/>
      <c r="XE43" s="214"/>
      <c r="XF43" s="214"/>
      <c r="XG43" s="214"/>
      <c r="XH43" s="214"/>
      <c r="XI43" s="214"/>
      <c r="XJ43" s="214"/>
      <c r="XK43" s="214"/>
      <c r="XL43" s="214"/>
      <c r="XM43" s="214"/>
      <c r="XN43" s="214"/>
      <c r="XO43" s="214"/>
      <c r="XP43" s="214"/>
      <c r="XQ43" s="214"/>
      <c r="XR43" s="214"/>
      <c r="XS43" s="214"/>
      <c r="XT43" s="214"/>
      <c r="XU43" s="214"/>
      <c r="XV43" s="214"/>
      <c r="XW43" s="214"/>
      <c r="XX43" s="214"/>
      <c r="XY43" s="214"/>
      <c r="XZ43" s="214"/>
      <c r="YA43" s="214"/>
      <c r="YB43" s="214"/>
      <c r="YC43" s="214"/>
      <c r="YD43" s="214"/>
      <c r="YE43" s="214"/>
      <c r="YF43" s="214"/>
      <c r="YG43" s="214"/>
      <c r="YH43" s="214"/>
      <c r="YI43" s="214"/>
      <c r="YJ43" s="214"/>
      <c r="YK43" s="214"/>
      <c r="YL43" s="214"/>
      <c r="YM43" s="214"/>
      <c r="YN43" s="214"/>
      <c r="YO43" s="214"/>
      <c r="YP43" s="214"/>
      <c r="YQ43" s="214"/>
      <c r="YR43" s="214"/>
      <c r="YS43" s="214"/>
      <c r="YT43" s="214"/>
      <c r="YU43" s="214"/>
      <c r="YV43" s="214"/>
      <c r="YW43" s="214"/>
      <c r="YX43" s="214"/>
      <c r="YY43" s="214"/>
      <c r="YZ43" s="214"/>
      <c r="ZA43" s="214"/>
      <c r="ZB43" s="214"/>
      <c r="ZC43" s="214"/>
      <c r="ZD43" s="214"/>
      <c r="ZE43" s="214"/>
      <c r="ZF43" s="214"/>
      <c r="ZG43" s="214"/>
      <c r="ZH43" s="214"/>
      <c r="ZI43" s="214"/>
      <c r="ZJ43" s="214"/>
      <c r="ZK43" s="214"/>
      <c r="ZL43" s="214"/>
      <c r="ZM43" s="214"/>
      <c r="ZN43" s="214"/>
      <c r="ZO43" s="214"/>
      <c r="ZP43" s="214"/>
      <c r="ZQ43" s="214"/>
      <c r="ZR43" s="214"/>
      <c r="ZS43" s="214"/>
      <c r="ZT43" s="214"/>
      <c r="ZU43" s="214"/>
      <c r="ZV43" s="214"/>
      <c r="ZW43" s="214"/>
      <c r="ZX43" s="214"/>
      <c r="ZY43" s="214"/>
      <c r="ZZ43" s="214"/>
      <c r="AAA43" s="214"/>
      <c r="AAB43" s="214"/>
      <c r="AAC43" s="214"/>
      <c r="AAD43" s="214"/>
      <c r="AAE43" s="214"/>
      <c r="AAF43" s="214"/>
      <c r="AAG43" s="214"/>
      <c r="AAH43" s="214"/>
      <c r="AAI43" s="214"/>
      <c r="AAJ43" s="214"/>
      <c r="AAK43" s="214"/>
      <c r="AAL43" s="214"/>
      <c r="AAM43" s="214"/>
      <c r="AAN43" s="214"/>
      <c r="AAO43" s="214"/>
      <c r="AAP43" s="214"/>
      <c r="AAQ43" s="214"/>
      <c r="AAR43" s="214"/>
      <c r="AAS43" s="214"/>
      <c r="AAT43" s="214"/>
      <c r="AAU43" s="214"/>
      <c r="AAV43" s="214"/>
      <c r="AAW43" s="214"/>
      <c r="AAX43" s="214"/>
      <c r="AAY43" s="214"/>
      <c r="AAZ43" s="214"/>
      <c r="ABA43" s="214"/>
      <c r="ABB43" s="214"/>
      <c r="ABC43" s="214"/>
      <c r="ABD43" s="214"/>
      <c r="ABE43" s="214"/>
      <c r="ABF43" s="214"/>
      <c r="ABG43" s="214"/>
      <c r="ABH43" s="214"/>
      <c r="ABI43" s="214"/>
      <c r="ABJ43" s="214"/>
      <c r="ABK43" s="214"/>
      <c r="ABL43" s="214"/>
      <c r="ABM43" s="214"/>
      <c r="ABN43" s="214"/>
      <c r="ABO43" s="214"/>
      <c r="ABP43" s="214"/>
      <c r="ABQ43" s="214"/>
      <c r="ABR43" s="214"/>
      <c r="ABS43" s="214"/>
      <c r="ABT43" s="214"/>
      <c r="ABU43" s="214"/>
      <c r="ABV43" s="214"/>
      <c r="ABW43" s="214"/>
      <c r="ABX43" s="214"/>
      <c r="ABY43" s="214"/>
      <c r="ABZ43" s="214"/>
      <c r="ACA43" s="214"/>
      <c r="ACB43" s="214"/>
      <c r="ACC43" s="214"/>
      <c r="ACD43" s="214"/>
      <c r="ACE43" s="214"/>
      <c r="ACF43" s="214"/>
      <c r="ACG43" s="214"/>
      <c r="ACH43" s="214"/>
      <c r="ACI43" s="214"/>
      <c r="ACJ43" s="214"/>
      <c r="ACK43" s="214"/>
      <c r="ACL43" s="214"/>
      <c r="ACM43" s="214"/>
      <c r="ACN43" s="214"/>
      <c r="ACO43" s="214"/>
      <c r="ACP43" s="214"/>
      <c r="ACQ43" s="214"/>
      <c r="ACR43" s="214"/>
      <c r="ACS43" s="214"/>
      <c r="ACT43" s="214"/>
      <c r="ACU43" s="214"/>
      <c r="ACV43" s="214"/>
      <c r="ACW43" s="214"/>
      <c r="ACX43" s="214"/>
      <c r="ACY43" s="214"/>
      <c r="ACZ43" s="214"/>
      <c r="ADA43" s="214"/>
      <c r="ADB43" s="214"/>
      <c r="ADC43" s="214"/>
      <c r="ADD43" s="214"/>
      <c r="ADE43" s="214"/>
      <c r="ADF43" s="214"/>
      <c r="ADG43" s="214"/>
      <c r="ADH43" s="214"/>
      <c r="ADI43" s="214"/>
      <c r="ADJ43" s="214"/>
      <c r="ADK43" s="214"/>
      <c r="ADL43" s="214"/>
      <c r="ADM43" s="214"/>
      <c r="ADN43" s="214"/>
      <c r="ADO43" s="214"/>
      <c r="ADP43" s="214"/>
      <c r="ADQ43" s="214"/>
      <c r="ADR43" s="214"/>
      <c r="ADS43" s="214"/>
      <c r="ADT43" s="214"/>
      <c r="ADU43" s="214"/>
      <c r="ADV43" s="214"/>
      <c r="ADW43" s="214"/>
      <c r="ADX43" s="214"/>
      <c r="ADY43" s="214"/>
      <c r="ADZ43" s="214"/>
      <c r="AEA43" s="214"/>
      <c r="AEB43" s="214"/>
      <c r="AEC43" s="214"/>
      <c r="AED43" s="214"/>
      <c r="AEE43" s="214"/>
      <c r="AEF43" s="214"/>
      <c r="AEG43" s="214"/>
      <c r="AEH43" s="214"/>
      <c r="AEI43" s="214"/>
      <c r="AEJ43" s="214"/>
      <c r="AEK43" s="214"/>
      <c r="AEL43" s="214"/>
      <c r="AEM43" s="214"/>
      <c r="AEN43" s="214"/>
      <c r="AEO43" s="214"/>
      <c r="AEP43" s="214"/>
      <c r="AEQ43" s="214"/>
      <c r="AER43" s="214"/>
      <c r="AES43" s="214"/>
      <c r="AET43" s="214"/>
      <c r="AEU43" s="214"/>
      <c r="AEV43" s="214"/>
      <c r="AEW43" s="214"/>
      <c r="AEX43" s="214"/>
      <c r="AEY43" s="214"/>
      <c r="AEZ43" s="214"/>
      <c r="AFA43" s="214"/>
      <c r="AFB43" s="214"/>
      <c r="AFC43" s="214"/>
      <c r="AFD43" s="214"/>
      <c r="AFE43" s="214"/>
      <c r="AFF43" s="214"/>
      <c r="AFG43" s="214"/>
      <c r="AFH43" s="214"/>
      <c r="AFI43" s="214"/>
      <c r="AFJ43" s="214"/>
      <c r="AFK43" s="214"/>
      <c r="AFL43" s="214"/>
      <c r="AFM43" s="214"/>
      <c r="AFN43" s="214"/>
      <c r="AFO43" s="214"/>
      <c r="AFP43" s="214"/>
      <c r="AFQ43" s="214"/>
      <c r="AFR43" s="214"/>
      <c r="AFS43" s="214"/>
      <c r="AFT43" s="214"/>
      <c r="AFU43" s="214"/>
      <c r="AFV43" s="214"/>
      <c r="AFW43" s="214"/>
      <c r="AFX43" s="214"/>
      <c r="AFY43" s="214"/>
      <c r="AFZ43" s="214"/>
      <c r="AGA43" s="214"/>
      <c r="AGB43" s="214"/>
      <c r="AGC43" s="214"/>
      <c r="AGD43" s="214"/>
      <c r="AGE43" s="214"/>
      <c r="AGF43" s="214"/>
      <c r="AGG43" s="214"/>
      <c r="AGH43" s="214"/>
      <c r="AGI43" s="214"/>
      <c r="AGJ43" s="214"/>
      <c r="AGK43" s="214"/>
      <c r="AGL43" s="214"/>
      <c r="AGM43" s="214"/>
      <c r="AGN43" s="214"/>
      <c r="AGO43" s="214"/>
      <c r="AGP43" s="214"/>
      <c r="AGQ43" s="214"/>
      <c r="AGR43" s="214"/>
      <c r="AGS43" s="214"/>
      <c r="AGT43" s="214"/>
      <c r="AGU43" s="214"/>
      <c r="AGV43" s="214"/>
      <c r="AGW43" s="214"/>
      <c r="AGX43" s="214"/>
      <c r="AGY43" s="214"/>
      <c r="AGZ43" s="214"/>
      <c r="AHA43" s="214"/>
      <c r="AHB43" s="214"/>
      <c r="AHC43" s="214"/>
      <c r="AHD43" s="214"/>
      <c r="AHE43" s="214"/>
      <c r="AHF43" s="214"/>
      <c r="AHG43" s="214"/>
      <c r="AHH43" s="214"/>
      <c r="AHI43" s="214"/>
      <c r="AHJ43" s="214"/>
      <c r="AHK43" s="214"/>
      <c r="AHL43" s="214"/>
      <c r="AHM43" s="214"/>
      <c r="AHN43" s="214"/>
      <c r="AHO43" s="214"/>
      <c r="AHP43" s="214"/>
      <c r="AHQ43" s="214"/>
      <c r="AHR43" s="214"/>
      <c r="AHS43" s="214"/>
      <c r="AHT43" s="214"/>
      <c r="AHU43" s="214"/>
      <c r="AHV43" s="214"/>
      <c r="AHW43" s="214"/>
      <c r="AHX43" s="214"/>
      <c r="AHY43" s="214"/>
      <c r="AHZ43" s="214"/>
      <c r="AIA43" s="214"/>
      <c r="AIB43" s="214"/>
      <c r="AIC43" s="214"/>
      <c r="AID43" s="214"/>
      <c r="AIE43" s="214"/>
      <c r="AIF43" s="214"/>
      <c r="AIG43" s="214"/>
      <c r="AIH43" s="214"/>
      <c r="AII43" s="214"/>
      <c r="AIJ43" s="214"/>
      <c r="AIK43" s="214"/>
      <c r="AIL43" s="214"/>
      <c r="AIM43" s="214"/>
      <c r="AIN43" s="214"/>
      <c r="AIO43" s="214"/>
      <c r="AIP43" s="214"/>
      <c r="AIQ43" s="214"/>
      <c r="AIR43" s="214"/>
      <c r="AIS43" s="214"/>
      <c r="AIT43" s="214"/>
      <c r="AIU43" s="214"/>
      <c r="AIV43" s="214"/>
      <c r="AIW43" s="214"/>
      <c r="AIX43" s="214"/>
      <c r="AIY43" s="214"/>
      <c r="AIZ43" s="214"/>
      <c r="AJA43" s="214"/>
      <c r="AJB43" s="214"/>
      <c r="AJC43" s="214"/>
      <c r="AJD43" s="214"/>
      <c r="AJE43" s="214"/>
      <c r="AJF43" s="214"/>
      <c r="AJG43" s="214"/>
      <c r="AJH43" s="214"/>
      <c r="AJI43" s="214"/>
      <c r="AJJ43" s="214"/>
      <c r="AJK43" s="214"/>
      <c r="AJL43" s="214"/>
      <c r="AJM43" s="214"/>
      <c r="AJN43" s="214"/>
      <c r="AJO43" s="214"/>
      <c r="AJP43" s="214"/>
      <c r="AJQ43" s="214"/>
      <c r="AJR43" s="214"/>
      <c r="AJS43" s="214"/>
      <c r="AJT43" s="214"/>
      <c r="AJU43" s="214"/>
      <c r="AJV43" s="214"/>
      <c r="AJW43" s="214"/>
      <c r="AJX43" s="214"/>
      <c r="AJY43" s="214"/>
      <c r="AJZ43" s="214"/>
      <c r="AKA43" s="214"/>
      <c r="AKB43" s="214"/>
      <c r="AKC43" s="214"/>
      <c r="AKD43" s="214"/>
      <c r="AKE43" s="214"/>
      <c r="AKF43" s="214"/>
      <c r="AKG43" s="214"/>
      <c r="AKH43" s="214"/>
      <c r="AKI43" s="214"/>
      <c r="AKJ43" s="214"/>
      <c r="AKK43" s="214"/>
      <c r="AKL43" s="214"/>
      <c r="AKM43" s="214"/>
      <c r="AKN43" s="214"/>
      <c r="AKO43" s="214"/>
      <c r="AKP43" s="214"/>
      <c r="AKQ43" s="214"/>
      <c r="AKR43" s="214"/>
      <c r="AKS43" s="214"/>
      <c r="AKT43" s="214"/>
      <c r="AKU43" s="214"/>
      <c r="AKV43" s="214"/>
      <c r="AKW43" s="214"/>
      <c r="AKX43" s="214"/>
      <c r="AKY43" s="214"/>
      <c r="AKZ43" s="214"/>
      <c r="ALA43" s="214"/>
      <c r="ALB43" s="214"/>
      <c r="ALC43" s="214"/>
      <c r="ALD43" s="214"/>
      <c r="ALE43" s="214"/>
      <c r="ALF43" s="214"/>
      <c r="ALG43" s="214"/>
      <c r="ALH43" s="214"/>
      <c r="ALI43" s="214"/>
      <c r="ALJ43" s="214"/>
      <c r="ALK43" s="214"/>
      <c r="ALL43" s="214"/>
      <c r="ALM43" s="214"/>
      <c r="ALN43" s="214"/>
      <c r="ALO43" s="214"/>
      <c r="ALP43" s="214"/>
      <c r="ALQ43" s="214"/>
      <c r="ALR43" s="214"/>
      <c r="ALS43" s="214"/>
      <c r="ALT43" s="214"/>
      <c r="ALU43" s="214"/>
      <c r="ALV43" s="214"/>
      <c r="ALW43" s="214"/>
      <c r="ALX43" s="214"/>
      <c r="ALY43" s="214"/>
      <c r="ALZ43" s="214"/>
      <c r="AMA43" s="214"/>
      <c r="AMB43" s="214"/>
      <c r="AMC43" s="214"/>
      <c r="AMD43" s="214"/>
      <c r="AME43" s="214"/>
      <c r="AMF43" s="214"/>
      <c r="AMG43" s="214"/>
      <c r="AMH43" s="214"/>
      <c r="AMI43" s="214"/>
      <c r="AMJ43" s="214"/>
      <c r="AMK43" s="214"/>
      <c r="AML43" s="214"/>
      <c r="AMM43" s="214"/>
      <c r="AMN43" s="214"/>
      <c r="AMO43" s="214"/>
      <c r="AMP43" s="214"/>
      <c r="AMQ43" s="214"/>
      <c r="AMR43" s="214"/>
      <c r="AMS43" s="214"/>
      <c r="AMT43" s="214"/>
      <c r="AMU43" s="214"/>
      <c r="AMV43" s="214"/>
      <c r="AMW43" s="214"/>
      <c r="AMX43" s="214"/>
      <c r="AMY43" s="214"/>
      <c r="AMZ43" s="214"/>
      <c r="ANA43" s="214"/>
      <c r="ANB43" s="214"/>
      <c r="ANC43" s="214"/>
      <c r="AND43" s="214"/>
      <c r="ANE43" s="214"/>
      <c r="ANF43" s="214"/>
      <c r="ANG43" s="214"/>
      <c r="ANH43" s="214"/>
      <c r="ANI43" s="214"/>
      <c r="ANJ43" s="214"/>
      <c r="ANK43" s="214"/>
      <c r="ANL43" s="214"/>
      <c r="ANM43" s="214"/>
      <c r="ANN43" s="214"/>
      <c r="ANO43" s="214"/>
      <c r="ANP43" s="214"/>
      <c r="ANQ43" s="214"/>
      <c r="ANR43" s="214"/>
      <c r="ANS43" s="214"/>
      <c r="ANT43" s="214"/>
      <c r="ANU43" s="214"/>
      <c r="ANV43" s="214"/>
      <c r="ANW43" s="214"/>
      <c r="ANX43" s="214"/>
      <c r="ANY43" s="214"/>
      <c r="ANZ43" s="214"/>
      <c r="AOA43" s="214"/>
      <c r="AOB43" s="214"/>
      <c r="AOC43" s="214"/>
      <c r="AOD43" s="214"/>
      <c r="AOE43" s="214"/>
      <c r="AOF43" s="214"/>
      <c r="AOG43" s="214"/>
      <c r="AOH43" s="214"/>
      <c r="AOI43" s="214"/>
      <c r="AOJ43" s="214"/>
      <c r="AOK43" s="214"/>
      <c r="AOL43" s="214"/>
      <c r="AOM43" s="214"/>
      <c r="AON43" s="214"/>
      <c r="AOO43" s="214"/>
      <c r="AOP43" s="214"/>
      <c r="AOQ43" s="214"/>
      <c r="AOR43" s="214"/>
      <c r="AOS43" s="214"/>
      <c r="AOT43" s="214"/>
      <c r="AOU43" s="214"/>
      <c r="AOV43" s="214"/>
      <c r="AOW43" s="214"/>
      <c r="AOX43" s="214"/>
      <c r="AOY43" s="214"/>
      <c r="AOZ43" s="214"/>
      <c r="APA43" s="214"/>
      <c r="APB43" s="214"/>
      <c r="APC43" s="214"/>
      <c r="APD43" s="214"/>
      <c r="APE43" s="214"/>
      <c r="APF43" s="214"/>
      <c r="APG43" s="214"/>
      <c r="APH43" s="214"/>
      <c r="API43" s="214"/>
      <c r="APJ43" s="214"/>
      <c r="APK43" s="214"/>
      <c r="APL43" s="214"/>
      <c r="APM43" s="214"/>
      <c r="APN43" s="214"/>
      <c r="APO43" s="214"/>
      <c r="APP43" s="214"/>
      <c r="APQ43" s="214"/>
      <c r="APR43" s="214"/>
      <c r="APS43" s="214"/>
      <c r="APT43" s="214"/>
      <c r="APU43" s="214"/>
      <c r="APV43" s="214"/>
      <c r="APW43" s="214"/>
      <c r="APX43" s="214"/>
      <c r="APY43" s="214"/>
      <c r="APZ43" s="214"/>
      <c r="AQA43" s="214"/>
      <c r="AQB43" s="214"/>
      <c r="AQC43" s="214"/>
      <c r="AQD43" s="214"/>
      <c r="AQE43" s="214"/>
      <c r="AQF43" s="214"/>
      <c r="AQG43" s="214"/>
      <c r="AQH43" s="214"/>
      <c r="AQI43" s="214"/>
      <c r="AQJ43" s="214"/>
      <c r="AQK43" s="214"/>
      <c r="AQL43" s="214"/>
      <c r="AQM43" s="214"/>
      <c r="AQN43" s="214"/>
      <c r="AQO43" s="214"/>
      <c r="AQP43" s="214"/>
      <c r="AQQ43" s="214"/>
      <c r="AQR43" s="214"/>
      <c r="AQS43" s="214"/>
      <c r="AQT43" s="214"/>
      <c r="AQU43" s="214"/>
      <c r="AQV43" s="214"/>
      <c r="AQW43" s="214"/>
      <c r="AQX43" s="214"/>
      <c r="AQY43" s="214"/>
      <c r="AQZ43" s="214"/>
      <c r="ARA43" s="214"/>
      <c r="ARB43" s="214"/>
      <c r="ARC43" s="214"/>
      <c r="ARD43" s="214"/>
      <c r="ARE43" s="214"/>
      <c r="ARF43" s="214"/>
      <c r="ARG43" s="214"/>
      <c r="ARH43" s="214"/>
      <c r="ARI43" s="214"/>
      <c r="ARJ43" s="214"/>
      <c r="ARK43" s="214"/>
      <c r="ARL43" s="214"/>
      <c r="ARM43" s="214"/>
      <c r="ARN43" s="214"/>
      <c r="ARO43" s="214"/>
      <c r="ARP43" s="214"/>
      <c r="ARQ43" s="214"/>
      <c r="ARR43" s="214"/>
      <c r="ARS43" s="214"/>
      <c r="ART43" s="214"/>
      <c r="ARU43" s="214"/>
      <c r="ARV43" s="214"/>
      <c r="ARW43" s="214"/>
      <c r="ARX43" s="214"/>
      <c r="ARY43" s="214"/>
      <c r="ARZ43" s="214"/>
      <c r="ASA43" s="214"/>
      <c r="ASB43" s="214"/>
      <c r="ASC43" s="214"/>
      <c r="ASD43" s="214"/>
      <c r="ASE43" s="214"/>
      <c r="ASF43" s="214"/>
      <c r="ASG43" s="214"/>
      <c r="ASH43" s="214"/>
      <c r="ASI43" s="214"/>
      <c r="ASJ43" s="214"/>
      <c r="ASK43" s="214"/>
      <c r="ASL43" s="214"/>
      <c r="ASM43" s="214"/>
      <c r="ASN43" s="214"/>
      <c r="ASO43" s="214"/>
      <c r="ASP43" s="214"/>
      <c r="ASQ43" s="214"/>
      <c r="ASR43" s="214"/>
      <c r="ASS43" s="214"/>
      <c r="AST43" s="214"/>
      <c r="ASU43" s="214"/>
      <c r="ASV43" s="214"/>
      <c r="ASW43" s="214"/>
      <c r="ASX43" s="214"/>
      <c r="ASY43" s="214"/>
      <c r="ASZ43" s="214"/>
      <c r="ATA43" s="214"/>
      <c r="ATB43" s="214"/>
      <c r="ATC43" s="214"/>
      <c r="ATD43" s="214"/>
      <c r="ATE43" s="214"/>
      <c r="ATF43" s="214"/>
      <c r="ATG43" s="214"/>
      <c r="ATH43" s="214"/>
      <c r="ATI43" s="214"/>
      <c r="ATJ43" s="214"/>
      <c r="ATK43" s="214"/>
      <c r="ATL43" s="214"/>
      <c r="ATM43" s="214"/>
      <c r="ATN43" s="214"/>
      <c r="ATO43" s="214"/>
      <c r="ATP43" s="214"/>
      <c r="ATQ43" s="214"/>
      <c r="ATR43" s="214"/>
      <c r="ATS43" s="214"/>
      <c r="ATT43" s="214"/>
      <c r="ATU43" s="214"/>
      <c r="ATV43" s="214"/>
      <c r="ATW43" s="214"/>
      <c r="ATX43" s="214"/>
      <c r="ATY43" s="214"/>
      <c r="ATZ43" s="214"/>
      <c r="AUA43" s="214"/>
      <c r="AUB43" s="214"/>
      <c r="AUC43" s="214"/>
      <c r="AUD43" s="214"/>
      <c r="AUE43" s="214"/>
      <c r="AUF43" s="214"/>
      <c r="AUG43" s="214"/>
      <c r="AUH43" s="214"/>
      <c r="AUI43" s="214"/>
      <c r="AUJ43" s="214"/>
      <c r="AUK43" s="214"/>
      <c r="AUL43" s="214"/>
      <c r="AUM43" s="214"/>
      <c r="AUN43" s="214"/>
      <c r="AUO43" s="214"/>
      <c r="AUP43" s="214"/>
      <c r="AUQ43" s="214"/>
      <c r="AUR43" s="214"/>
      <c r="AUS43" s="214"/>
      <c r="AUT43" s="214"/>
      <c r="AUU43" s="214"/>
      <c r="AUV43" s="214"/>
      <c r="AUW43" s="214"/>
      <c r="AUX43" s="214"/>
      <c r="AUY43" s="214"/>
      <c r="AUZ43" s="214"/>
      <c r="AVA43" s="214"/>
      <c r="AVB43" s="214"/>
      <c r="AVC43" s="214"/>
      <c r="AVD43" s="214"/>
      <c r="AVE43" s="214"/>
      <c r="AVF43" s="214"/>
      <c r="AVG43" s="214"/>
      <c r="AVH43" s="214"/>
      <c r="AVI43" s="214"/>
      <c r="AVJ43" s="214"/>
      <c r="AVK43" s="214"/>
      <c r="AVL43" s="214"/>
      <c r="AVM43" s="214"/>
      <c r="AVN43" s="214"/>
      <c r="AVO43" s="214"/>
      <c r="AVP43" s="214"/>
      <c r="AVQ43" s="214"/>
      <c r="AVR43" s="214"/>
      <c r="AVS43" s="214"/>
      <c r="AVT43" s="214"/>
      <c r="AVU43" s="214"/>
      <c r="AVV43" s="214"/>
      <c r="AVW43" s="214"/>
      <c r="AVX43" s="214"/>
      <c r="AVY43" s="214"/>
      <c r="AVZ43" s="214"/>
      <c r="AWA43" s="214"/>
      <c r="AWB43" s="214"/>
      <c r="AWC43" s="214"/>
      <c r="AWD43" s="214"/>
      <c r="AWE43" s="214"/>
      <c r="AWF43" s="214"/>
      <c r="AWG43" s="214"/>
      <c r="AWH43" s="214"/>
      <c r="AWI43" s="214"/>
      <c r="AWJ43" s="214"/>
      <c r="AWK43" s="214"/>
      <c r="AWL43" s="214"/>
      <c r="AWM43" s="214"/>
      <c r="AWN43" s="214"/>
      <c r="AWO43" s="214"/>
      <c r="AWP43" s="214"/>
      <c r="AWQ43" s="214"/>
      <c r="AWR43" s="214"/>
      <c r="AWS43" s="214"/>
      <c r="AWT43" s="214"/>
      <c r="AWU43" s="214"/>
      <c r="AWV43" s="214"/>
      <c r="AWW43" s="214"/>
      <c r="AWX43" s="214"/>
      <c r="AWY43" s="214"/>
      <c r="AWZ43" s="214"/>
      <c r="AXA43" s="214"/>
      <c r="AXB43" s="214"/>
      <c r="AXC43" s="214"/>
      <c r="AXD43" s="214"/>
      <c r="AXE43" s="214"/>
      <c r="AXF43" s="214"/>
      <c r="AXG43" s="214"/>
      <c r="AXH43" s="214"/>
      <c r="AXI43" s="214"/>
      <c r="AXJ43" s="214"/>
      <c r="AXK43" s="214"/>
      <c r="AXL43" s="214"/>
      <c r="AXM43" s="214"/>
      <c r="AXN43" s="214"/>
      <c r="AXO43" s="214"/>
      <c r="AXP43" s="214"/>
      <c r="AXQ43" s="214"/>
      <c r="AXR43" s="214"/>
      <c r="AXS43" s="214"/>
      <c r="AXT43" s="214"/>
      <c r="AXU43" s="214"/>
      <c r="AXV43" s="214"/>
      <c r="AXW43" s="214"/>
      <c r="AXX43" s="214"/>
      <c r="AXY43" s="214"/>
      <c r="AXZ43" s="214"/>
      <c r="AYA43" s="214"/>
      <c r="AYB43" s="214"/>
      <c r="AYC43" s="214"/>
      <c r="AYD43" s="214"/>
      <c r="AYE43" s="214"/>
      <c r="AYF43" s="214"/>
      <c r="AYG43" s="214"/>
      <c r="AYH43" s="214"/>
      <c r="AYI43" s="214"/>
      <c r="AYJ43" s="214"/>
      <c r="AYK43" s="214"/>
      <c r="AYL43" s="214"/>
      <c r="AYM43" s="214"/>
      <c r="AYN43" s="214"/>
      <c r="AYO43" s="214"/>
      <c r="AYP43" s="214"/>
      <c r="AYQ43" s="214"/>
      <c r="AYR43" s="214"/>
      <c r="AYS43" s="214"/>
      <c r="AYT43" s="214"/>
      <c r="AYU43" s="214"/>
      <c r="AYV43" s="214"/>
      <c r="AYW43" s="214"/>
      <c r="AYX43" s="214"/>
      <c r="AYY43" s="214"/>
      <c r="AYZ43" s="214"/>
      <c r="AZA43" s="214"/>
      <c r="AZB43" s="214"/>
      <c r="AZC43" s="214"/>
      <c r="AZD43" s="214"/>
      <c r="AZE43" s="214"/>
      <c r="AZF43" s="214"/>
      <c r="AZG43" s="214"/>
      <c r="AZH43" s="214"/>
      <c r="AZI43" s="214"/>
      <c r="AZJ43" s="214"/>
      <c r="AZK43" s="214"/>
      <c r="AZL43" s="214"/>
      <c r="AZM43" s="214"/>
      <c r="AZN43" s="214"/>
      <c r="AZO43" s="214"/>
      <c r="AZP43" s="214"/>
      <c r="AZQ43" s="214"/>
      <c r="AZR43" s="214"/>
      <c r="AZS43" s="214"/>
      <c r="AZT43" s="214"/>
      <c r="AZU43" s="214"/>
      <c r="AZV43" s="214"/>
      <c r="AZW43" s="214"/>
      <c r="AZX43" s="214"/>
      <c r="AZY43" s="214"/>
      <c r="AZZ43" s="214"/>
      <c r="BAA43" s="214"/>
      <c r="BAB43" s="214"/>
      <c r="BAC43" s="214"/>
      <c r="BAD43" s="214"/>
      <c r="BAE43" s="214"/>
      <c r="BAF43" s="214"/>
      <c r="BAG43" s="214"/>
      <c r="BAH43" s="214"/>
      <c r="BAI43" s="214"/>
      <c r="BAJ43" s="214"/>
      <c r="BAK43" s="214"/>
      <c r="BAL43" s="214"/>
      <c r="BAM43" s="214"/>
      <c r="BAN43" s="214"/>
      <c r="BAO43" s="214"/>
      <c r="BAP43" s="214"/>
      <c r="BAQ43" s="214"/>
      <c r="BAR43" s="214"/>
      <c r="BAS43" s="214"/>
      <c r="BAT43" s="214"/>
      <c r="BAU43" s="214"/>
      <c r="BAV43" s="214"/>
      <c r="BAW43" s="214"/>
      <c r="BAX43" s="214"/>
      <c r="BAY43" s="214"/>
      <c r="BAZ43" s="214"/>
      <c r="BBA43" s="214"/>
      <c r="BBB43" s="214"/>
      <c r="BBC43" s="214"/>
      <c r="BBD43" s="214"/>
      <c r="BBE43" s="214"/>
      <c r="BBF43" s="214"/>
      <c r="BBG43" s="214"/>
      <c r="BBH43" s="214"/>
      <c r="BBI43" s="214"/>
      <c r="BBJ43" s="214"/>
      <c r="BBK43" s="214"/>
      <c r="BBL43" s="214"/>
      <c r="BBM43" s="214"/>
      <c r="BBN43" s="214"/>
      <c r="BBO43" s="214"/>
      <c r="BBP43" s="214"/>
      <c r="BBQ43" s="214"/>
      <c r="BBR43" s="214"/>
      <c r="BBS43" s="214"/>
      <c r="BBT43" s="214"/>
      <c r="BBU43" s="214"/>
      <c r="BBV43" s="214"/>
      <c r="BBW43" s="214"/>
      <c r="BBX43" s="214"/>
      <c r="BBY43" s="214"/>
      <c r="BBZ43" s="214"/>
      <c r="BCA43" s="214"/>
      <c r="BCB43" s="214"/>
      <c r="BCC43" s="214"/>
      <c r="BCD43" s="214"/>
      <c r="BCE43" s="214"/>
      <c r="BCF43" s="214"/>
      <c r="BCG43" s="214"/>
      <c r="BCH43" s="214"/>
      <c r="BCI43" s="214"/>
      <c r="BCJ43" s="214"/>
      <c r="BCK43" s="214"/>
      <c r="BCL43" s="214"/>
      <c r="BCM43" s="214"/>
      <c r="BCN43" s="214"/>
      <c r="BCO43" s="214"/>
      <c r="BCP43" s="214"/>
      <c r="BCQ43" s="214"/>
      <c r="BCR43" s="214"/>
      <c r="BCS43" s="214"/>
      <c r="BCT43" s="214"/>
      <c r="BCU43" s="214"/>
      <c r="BCV43" s="214"/>
      <c r="BCW43" s="214"/>
      <c r="BCX43" s="214"/>
      <c r="BCY43" s="214"/>
      <c r="BCZ43" s="214"/>
      <c r="BDA43" s="214"/>
      <c r="BDB43" s="214"/>
      <c r="BDC43" s="214"/>
      <c r="BDD43" s="214"/>
      <c r="BDE43" s="214"/>
      <c r="BDF43" s="214"/>
      <c r="BDG43" s="214"/>
      <c r="BDH43" s="214"/>
      <c r="BDI43" s="214"/>
      <c r="BDJ43" s="214"/>
      <c r="BDK43" s="214"/>
      <c r="BDL43" s="214"/>
      <c r="BDM43" s="214"/>
      <c r="BDN43" s="214"/>
      <c r="BDO43" s="214"/>
      <c r="BDP43" s="214"/>
      <c r="BDQ43" s="214"/>
      <c r="BDR43" s="214"/>
      <c r="BDS43" s="214"/>
      <c r="BDT43" s="214"/>
      <c r="BDU43" s="214"/>
      <c r="BDV43" s="214"/>
      <c r="BDW43" s="214"/>
      <c r="BDX43" s="214"/>
      <c r="BDY43" s="214"/>
      <c r="BDZ43" s="214"/>
      <c r="BEA43" s="214"/>
      <c r="BEB43" s="214"/>
      <c r="BEC43" s="214"/>
      <c r="BED43" s="214"/>
      <c r="BEE43" s="214"/>
      <c r="BEF43" s="214"/>
      <c r="BEG43" s="214"/>
      <c r="BEH43" s="214"/>
      <c r="BEI43" s="214"/>
      <c r="BEJ43" s="214"/>
      <c r="BEK43" s="214"/>
      <c r="BEL43" s="214"/>
      <c r="BEM43" s="214"/>
      <c r="BEN43" s="214"/>
      <c r="BEO43" s="214"/>
      <c r="BEP43" s="214"/>
      <c r="BEQ43" s="214"/>
      <c r="BER43" s="214"/>
      <c r="BES43" s="214"/>
      <c r="BET43" s="214"/>
      <c r="BEU43" s="214"/>
      <c r="BEV43" s="214"/>
      <c r="BEW43" s="214"/>
      <c r="BEX43" s="214"/>
      <c r="BEY43" s="214"/>
      <c r="BEZ43" s="214"/>
      <c r="BFA43" s="214"/>
      <c r="BFB43" s="214"/>
      <c r="BFC43" s="214"/>
      <c r="BFD43" s="214"/>
      <c r="BFE43" s="214"/>
      <c r="BFF43" s="214"/>
      <c r="BFG43" s="214"/>
      <c r="BFH43" s="214"/>
      <c r="BFI43" s="214"/>
      <c r="BFJ43" s="214"/>
      <c r="BFK43" s="214"/>
      <c r="BFL43" s="214"/>
      <c r="BFM43" s="214"/>
      <c r="BFN43" s="214"/>
      <c r="BFO43" s="214"/>
      <c r="BFP43" s="214"/>
      <c r="BFQ43" s="214"/>
      <c r="BFR43" s="214"/>
      <c r="BFS43" s="214"/>
      <c r="BFT43" s="214"/>
      <c r="BFU43" s="214"/>
      <c r="BFV43" s="214"/>
      <c r="BFW43" s="214"/>
      <c r="BFX43" s="214"/>
      <c r="BFY43" s="214"/>
      <c r="BFZ43" s="214"/>
      <c r="BGA43" s="214"/>
      <c r="BGB43" s="214"/>
      <c r="BGC43" s="214"/>
      <c r="BGD43" s="214"/>
      <c r="BGE43" s="214"/>
      <c r="BGF43" s="214"/>
      <c r="BGG43" s="214"/>
      <c r="BGH43" s="214"/>
      <c r="BGI43" s="214"/>
      <c r="BGJ43" s="214"/>
      <c r="BGK43" s="214"/>
      <c r="BGL43" s="214"/>
      <c r="BGM43" s="214"/>
      <c r="BGN43" s="214"/>
      <c r="BGO43" s="214"/>
      <c r="BGP43" s="214"/>
      <c r="BGQ43" s="214"/>
      <c r="BGR43" s="214"/>
      <c r="BGS43" s="214"/>
      <c r="BGT43" s="214"/>
      <c r="BGU43" s="214"/>
      <c r="BGV43" s="214"/>
      <c r="BGW43" s="214"/>
      <c r="BGX43" s="214"/>
      <c r="BGY43" s="214"/>
      <c r="BGZ43" s="214"/>
      <c r="BHA43" s="214"/>
      <c r="BHB43" s="214"/>
      <c r="BHC43" s="214"/>
      <c r="BHD43" s="214"/>
      <c r="BHE43" s="214"/>
      <c r="BHF43" s="214"/>
      <c r="BHG43" s="214"/>
      <c r="BHH43" s="214"/>
      <c r="BHI43" s="214"/>
      <c r="BHJ43" s="214"/>
      <c r="BHK43" s="214"/>
      <c r="BHL43" s="214"/>
      <c r="BHM43" s="214"/>
      <c r="BHN43" s="214"/>
      <c r="BHO43" s="214"/>
      <c r="BHP43" s="214"/>
      <c r="BHQ43" s="214"/>
      <c r="BHR43" s="214"/>
      <c r="BHS43" s="214"/>
      <c r="BHT43" s="214"/>
      <c r="BHU43" s="214"/>
      <c r="BHV43" s="214"/>
      <c r="BHW43" s="214"/>
      <c r="BHX43" s="214"/>
      <c r="BHY43" s="214"/>
      <c r="BHZ43" s="214"/>
      <c r="BIA43" s="214"/>
      <c r="BIB43" s="214"/>
      <c r="BIC43" s="214"/>
      <c r="BID43" s="214"/>
      <c r="BIE43" s="214"/>
      <c r="BIF43" s="214"/>
      <c r="BIG43" s="214"/>
      <c r="BIH43" s="214"/>
      <c r="BII43" s="214"/>
      <c r="BIJ43" s="214"/>
      <c r="BIK43" s="214"/>
      <c r="BIL43" s="214"/>
      <c r="BIM43" s="214"/>
      <c r="BIN43" s="214"/>
      <c r="BIO43" s="214"/>
      <c r="BIP43" s="214"/>
      <c r="BIQ43" s="214"/>
      <c r="BIR43" s="214"/>
      <c r="BIS43" s="214"/>
      <c r="BIT43" s="214"/>
      <c r="BIU43" s="214"/>
      <c r="BIV43" s="214"/>
      <c r="BIW43" s="214"/>
      <c r="BIX43" s="214"/>
      <c r="BIY43" s="214"/>
      <c r="BIZ43" s="214"/>
      <c r="BJA43" s="214"/>
      <c r="BJB43" s="214"/>
      <c r="BJC43" s="214"/>
      <c r="BJD43" s="214"/>
      <c r="BJE43" s="214"/>
      <c r="BJF43" s="214"/>
      <c r="BJG43" s="214"/>
      <c r="BJH43" s="214"/>
      <c r="BJI43" s="214"/>
      <c r="BJJ43" s="214"/>
      <c r="BJK43" s="214"/>
      <c r="BJL43" s="214"/>
      <c r="BJM43" s="214"/>
      <c r="BJN43" s="214"/>
      <c r="BJO43" s="214"/>
      <c r="BJP43" s="214"/>
      <c r="BJQ43" s="214"/>
      <c r="BJR43" s="214"/>
      <c r="BJS43" s="214"/>
      <c r="BJT43" s="214"/>
      <c r="BJU43" s="214"/>
      <c r="BJV43" s="214"/>
      <c r="BJW43" s="214"/>
      <c r="BJX43" s="214"/>
      <c r="BJY43" s="214"/>
      <c r="BJZ43" s="214"/>
      <c r="BKA43" s="214"/>
      <c r="BKB43" s="214"/>
      <c r="BKC43" s="214"/>
      <c r="BKD43" s="214"/>
      <c r="BKE43" s="214"/>
      <c r="BKF43" s="214"/>
      <c r="BKG43" s="214"/>
      <c r="BKH43" s="214"/>
      <c r="BKI43" s="214"/>
      <c r="BKJ43" s="214"/>
      <c r="BKK43" s="214"/>
      <c r="BKL43" s="214"/>
      <c r="BKM43" s="214"/>
      <c r="BKN43" s="214"/>
      <c r="BKO43" s="214"/>
      <c r="BKP43" s="214"/>
      <c r="BKQ43" s="214"/>
      <c r="BKR43" s="214"/>
      <c r="BKS43" s="214"/>
      <c r="BKT43" s="214"/>
      <c r="BKU43" s="214"/>
      <c r="BKV43" s="214"/>
      <c r="BKW43" s="214"/>
      <c r="BKX43" s="214"/>
      <c r="BKY43" s="214"/>
      <c r="BKZ43" s="214"/>
      <c r="BLA43" s="214"/>
      <c r="BLB43" s="214"/>
      <c r="BLC43" s="214"/>
      <c r="BLD43" s="214"/>
      <c r="BLE43" s="214"/>
      <c r="BLF43" s="214"/>
      <c r="BLG43" s="214"/>
      <c r="BLH43" s="214"/>
      <c r="BLI43" s="214"/>
      <c r="BLJ43" s="214"/>
      <c r="BLK43" s="214"/>
      <c r="BLL43" s="214"/>
      <c r="BLM43" s="214"/>
      <c r="BLN43" s="214"/>
      <c r="BLO43" s="214"/>
      <c r="BLP43" s="214"/>
      <c r="BLQ43" s="214"/>
      <c r="BLR43" s="214"/>
      <c r="BLS43" s="214"/>
      <c r="BLT43" s="214"/>
      <c r="BLU43" s="214"/>
      <c r="BLV43" s="214"/>
      <c r="BLW43" s="214"/>
      <c r="BLX43" s="214"/>
      <c r="BLY43" s="214"/>
      <c r="BLZ43" s="214"/>
      <c r="BMA43" s="214"/>
      <c r="BMB43" s="214"/>
      <c r="BMC43" s="214"/>
      <c r="BMD43" s="214"/>
      <c r="BME43" s="214"/>
      <c r="BMF43" s="214"/>
      <c r="BMG43" s="214"/>
      <c r="BMH43" s="214"/>
      <c r="BMI43" s="214"/>
      <c r="BMJ43" s="214"/>
      <c r="BMK43" s="214"/>
      <c r="BML43" s="214"/>
      <c r="BMM43" s="214"/>
      <c r="BMN43" s="214"/>
      <c r="BMO43" s="214"/>
      <c r="BMP43" s="214"/>
      <c r="BMQ43" s="214"/>
      <c r="BMR43" s="214"/>
      <c r="BMS43" s="214"/>
      <c r="BMT43" s="214"/>
      <c r="BMU43" s="214"/>
      <c r="BMV43" s="214"/>
      <c r="BMW43" s="214"/>
      <c r="BMX43" s="214"/>
      <c r="BMY43" s="214"/>
      <c r="BMZ43" s="214"/>
      <c r="BNA43" s="214"/>
      <c r="BNB43" s="214"/>
      <c r="BNC43" s="214"/>
      <c r="BND43" s="214"/>
      <c r="BNE43" s="214"/>
      <c r="BNF43" s="214"/>
      <c r="BNG43" s="214"/>
      <c r="BNH43" s="214"/>
      <c r="BNI43" s="214"/>
      <c r="BNJ43" s="214"/>
      <c r="BNK43" s="214"/>
      <c r="BNL43" s="214"/>
      <c r="BNM43" s="214"/>
      <c r="BNN43" s="214"/>
      <c r="BNO43" s="214"/>
      <c r="BNP43" s="214"/>
      <c r="BNQ43" s="214"/>
      <c r="BNR43" s="214"/>
      <c r="BNS43" s="214"/>
      <c r="BNT43" s="214"/>
      <c r="BNU43" s="214"/>
      <c r="BNV43" s="214"/>
      <c r="BNW43" s="214"/>
      <c r="BNX43" s="214"/>
      <c r="BNY43" s="214"/>
      <c r="BNZ43" s="214"/>
      <c r="BOA43" s="214"/>
      <c r="BOB43" s="214"/>
      <c r="BOC43" s="214"/>
      <c r="BOD43" s="214"/>
      <c r="BOE43" s="214"/>
      <c r="BOF43" s="214"/>
      <c r="BOG43" s="214"/>
      <c r="BOH43" s="214"/>
      <c r="BOI43" s="214"/>
      <c r="BOJ43" s="214"/>
      <c r="BOK43" s="214"/>
      <c r="BOL43" s="214"/>
      <c r="BOM43" s="214"/>
      <c r="BON43" s="214"/>
      <c r="BOO43" s="214"/>
      <c r="BOP43" s="214"/>
      <c r="BOQ43" s="214"/>
      <c r="BOR43" s="214"/>
      <c r="BOS43" s="214"/>
      <c r="BOT43" s="214"/>
      <c r="BOU43" s="214"/>
      <c r="BOV43" s="214"/>
      <c r="BOW43" s="214"/>
      <c r="BOX43" s="214"/>
      <c r="BOY43" s="214"/>
      <c r="BOZ43" s="214"/>
      <c r="BPA43" s="214"/>
      <c r="BPB43" s="214"/>
      <c r="BPC43" s="214"/>
      <c r="BPD43" s="214"/>
      <c r="BPE43" s="214"/>
      <c r="BPF43" s="214"/>
      <c r="BPG43" s="214"/>
      <c r="BPH43" s="214"/>
      <c r="BPI43" s="214"/>
      <c r="BPJ43" s="214"/>
      <c r="BPK43" s="214"/>
      <c r="BPL43" s="214"/>
      <c r="BPM43" s="214"/>
      <c r="BPN43" s="214"/>
      <c r="BPO43" s="214"/>
      <c r="BPP43" s="214"/>
      <c r="BPQ43" s="214"/>
      <c r="BPR43" s="214"/>
      <c r="BPS43" s="214"/>
      <c r="BPT43" s="214"/>
      <c r="BPU43" s="214"/>
      <c r="BPV43" s="214"/>
      <c r="BPW43" s="214"/>
      <c r="BPX43" s="214"/>
      <c r="BPY43" s="214"/>
      <c r="BPZ43" s="214"/>
      <c r="BQA43" s="214"/>
      <c r="BQB43" s="214"/>
      <c r="BQC43" s="214"/>
      <c r="BQD43" s="214"/>
      <c r="BQE43" s="214"/>
      <c r="BQF43" s="214"/>
      <c r="BQG43" s="214"/>
      <c r="BQH43" s="214"/>
      <c r="BQI43" s="214"/>
      <c r="BQJ43" s="214"/>
      <c r="BQK43" s="214"/>
      <c r="BQL43" s="214"/>
      <c r="BQM43" s="214"/>
      <c r="BQN43" s="214"/>
      <c r="BQO43" s="214"/>
      <c r="BQP43" s="214"/>
      <c r="BQQ43" s="214"/>
      <c r="BQR43" s="214"/>
      <c r="BQS43" s="214"/>
      <c r="BQT43" s="214"/>
      <c r="BQU43" s="214"/>
      <c r="BQV43" s="214"/>
      <c r="BQW43" s="214"/>
      <c r="BQX43" s="214"/>
      <c r="BQY43" s="214"/>
      <c r="BQZ43" s="214"/>
      <c r="BRA43" s="214"/>
      <c r="BRB43" s="214"/>
      <c r="BRC43" s="214"/>
      <c r="BRD43" s="214"/>
      <c r="BRE43" s="214"/>
      <c r="BRF43" s="214"/>
      <c r="BRG43" s="214"/>
      <c r="BRH43" s="214"/>
      <c r="BRI43" s="214"/>
      <c r="BRJ43" s="214"/>
      <c r="BRK43" s="214"/>
      <c r="BRL43" s="214"/>
      <c r="BRM43" s="214"/>
      <c r="BRN43" s="214"/>
      <c r="BRO43" s="214"/>
      <c r="BRP43" s="214"/>
      <c r="BRQ43" s="214"/>
      <c r="BRR43" s="214"/>
      <c r="BRS43" s="214"/>
      <c r="BRT43" s="214"/>
      <c r="BRU43" s="214"/>
      <c r="BRV43" s="214"/>
      <c r="BRW43" s="214"/>
      <c r="BRX43" s="214"/>
      <c r="BRY43" s="214"/>
      <c r="BRZ43" s="214"/>
      <c r="BSA43" s="214"/>
      <c r="BSB43" s="214"/>
      <c r="BSC43" s="214"/>
      <c r="BSD43" s="214"/>
      <c r="BSE43" s="214"/>
      <c r="BSF43" s="214"/>
      <c r="BSG43" s="214"/>
      <c r="BSH43" s="214"/>
      <c r="BSI43" s="214"/>
      <c r="BSJ43" s="214"/>
      <c r="BSK43" s="214"/>
      <c r="BSL43" s="214"/>
      <c r="BSM43" s="214"/>
      <c r="BSN43" s="214"/>
      <c r="BSO43" s="214"/>
      <c r="BSP43" s="214"/>
      <c r="BSQ43" s="214"/>
      <c r="BSR43" s="214"/>
      <c r="BSS43" s="214"/>
      <c r="BST43" s="214"/>
      <c r="BSU43" s="214"/>
      <c r="BSV43" s="214"/>
      <c r="BSW43" s="214"/>
      <c r="BSX43" s="214"/>
      <c r="BSY43" s="214"/>
      <c r="BSZ43" s="214"/>
      <c r="BTA43" s="214"/>
      <c r="BTB43" s="214"/>
      <c r="BTC43" s="214"/>
      <c r="BTD43" s="214"/>
      <c r="BTE43" s="214"/>
      <c r="BTF43" s="214"/>
      <c r="BTG43" s="214"/>
      <c r="BTH43" s="214"/>
      <c r="BTI43" s="214"/>
      <c r="BTJ43" s="214"/>
      <c r="BTK43" s="214"/>
      <c r="BTL43" s="214"/>
      <c r="BTM43" s="214"/>
      <c r="BTN43" s="214"/>
      <c r="BTO43" s="214"/>
      <c r="BTP43" s="214"/>
      <c r="BTQ43" s="214"/>
      <c r="BTR43" s="214"/>
      <c r="BTS43" s="214"/>
      <c r="BTT43" s="214"/>
      <c r="BTU43" s="214"/>
      <c r="BTV43" s="214"/>
      <c r="BTW43" s="214"/>
      <c r="BTX43" s="214"/>
      <c r="BTY43" s="214"/>
      <c r="BTZ43" s="214"/>
      <c r="BUA43" s="214"/>
      <c r="BUB43" s="214"/>
      <c r="BUC43" s="214"/>
      <c r="BUD43" s="214"/>
      <c r="BUE43" s="214"/>
      <c r="BUF43" s="214"/>
      <c r="BUG43" s="214"/>
      <c r="BUH43" s="214"/>
      <c r="BUI43" s="214"/>
      <c r="BUJ43" s="214"/>
      <c r="BUK43" s="214"/>
      <c r="BUL43" s="214"/>
      <c r="BUM43" s="214"/>
      <c r="BUN43" s="214"/>
      <c r="BUO43" s="214"/>
      <c r="BUP43" s="214"/>
      <c r="BUQ43" s="214"/>
      <c r="BUR43" s="214"/>
      <c r="BUS43" s="214"/>
      <c r="BUT43" s="214"/>
      <c r="BUU43" s="214"/>
      <c r="BUV43" s="214"/>
      <c r="BUW43" s="214"/>
      <c r="BUX43" s="214"/>
      <c r="BUY43" s="214"/>
      <c r="BUZ43" s="214"/>
      <c r="BVA43" s="214"/>
      <c r="BVB43" s="214"/>
      <c r="BVC43" s="214"/>
      <c r="BVD43" s="214"/>
      <c r="BVE43" s="214"/>
      <c r="BVF43" s="214"/>
      <c r="BVG43" s="214"/>
      <c r="BVH43" s="214"/>
      <c r="BVI43" s="214"/>
      <c r="BVJ43" s="214"/>
      <c r="BVK43" s="214"/>
      <c r="BVL43" s="214"/>
      <c r="BVM43" s="214"/>
      <c r="BVN43" s="214"/>
      <c r="BVO43" s="214"/>
      <c r="BVP43" s="214"/>
      <c r="BVQ43" s="214"/>
      <c r="BVR43" s="214"/>
      <c r="BVS43" s="214"/>
      <c r="BVT43" s="214"/>
      <c r="BVU43" s="214"/>
      <c r="BVV43" s="214"/>
      <c r="BVW43" s="214"/>
      <c r="BVX43" s="214"/>
      <c r="BVY43" s="214"/>
      <c r="BVZ43" s="214"/>
      <c r="BWA43" s="214"/>
      <c r="BWB43" s="214"/>
      <c r="BWC43" s="214"/>
      <c r="BWD43" s="214"/>
      <c r="BWE43" s="214"/>
      <c r="BWF43" s="214"/>
      <c r="BWG43" s="214"/>
      <c r="BWH43" s="214"/>
      <c r="BWI43" s="214"/>
      <c r="BWJ43" s="214"/>
      <c r="BWK43" s="214"/>
      <c r="BWL43" s="214"/>
      <c r="BWM43" s="214"/>
      <c r="BWN43" s="214"/>
      <c r="BWO43" s="214"/>
      <c r="BWP43" s="214"/>
      <c r="BWQ43" s="214"/>
      <c r="BWR43" s="214"/>
      <c r="BWS43" s="214"/>
      <c r="BWT43" s="214"/>
      <c r="BWU43" s="214"/>
      <c r="BWV43" s="214"/>
      <c r="BWW43" s="214"/>
      <c r="BWX43" s="214"/>
      <c r="BWY43" s="214"/>
      <c r="BWZ43" s="214"/>
      <c r="BXA43" s="214"/>
      <c r="BXB43" s="214"/>
      <c r="BXC43" s="214"/>
      <c r="BXD43" s="214"/>
      <c r="BXE43" s="214"/>
      <c r="BXF43" s="214"/>
      <c r="BXG43" s="214"/>
      <c r="BXH43" s="214"/>
      <c r="BXI43" s="214"/>
      <c r="BXJ43" s="214"/>
      <c r="BXK43" s="214"/>
      <c r="BXL43" s="214"/>
      <c r="BXM43" s="214"/>
      <c r="BXN43" s="214"/>
      <c r="BXO43" s="214"/>
      <c r="BXP43" s="214"/>
      <c r="BXQ43" s="214"/>
      <c r="BXR43" s="214"/>
      <c r="BXS43" s="214"/>
      <c r="BXT43" s="214"/>
      <c r="BXU43" s="214"/>
      <c r="BXV43" s="214"/>
      <c r="BXW43" s="214"/>
      <c r="BXX43" s="214"/>
      <c r="BXY43" s="214"/>
      <c r="BXZ43" s="214"/>
      <c r="BYA43" s="214"/>
      <c r="BYB43" s="214"/>
      <c r="BYC43" s="214"/>
      <c r="BYD43" s="214"/>
      <c r="BYE43" s="214"/>
      <c r="BYF43" s="214"/>
      <c r="BYG43" s="214"/>
      <c r="BYH43" s="214"/>
      <c r="BYI43" s="214"/>
      <c r="BYJ43" s="214"/>
      <c r="BYK43" s="214"/>
      <c r="BYL43" s="214"/>
      <c r="BYM43" s="214"/>
      <c r="BYN43" s="214"/>
      <c r="BYO43" s="214"/>
      <c r="BYP43" s="214"/>
      <c r="BYQ43" s="214"/>
      <c r="BYR43" s="214"/>
      <c r="BYS43" s="214"/>
      <c r="BYT43" s="214"/>
      <c r="BYU43" s="214"/>
      <c r="BYV43" s="214"/>
      <c r="BYW43" s="214"/>
      <c r="BYX43" s="214"/>
      <c r="BYY43" s="214"/>
      <c r="BYZ43" s="214"/>
      <c r="BZA43" s="214"/>
      <c r="BZB43" s="214"/>
      <c r="BZC43" s="214"/>
      <c r="BZD43" s="214"/>
      <c r="BZE43" s="214"/>
      <c r="BZF43" s="214"/>
      <c r="BZG43" s="214"/>
      <c r="BZH43" s="214"/>
      <c r="BZI43" s="214"/>
      <c r="BZJ43" s="214"/>
      <c r="BZK43" s="214"/>
      <c r="BZL43" s="214"/>
      <c r="BZM43" s="214"/>
      <c r="BZN43" s="214"/>
      <c r="BZO43" s="214"/>
      <c r="BZP43" s="214"/>
      <c r="BZQ43" s="214"/>
      <c r="BZR43" s="214"/>
      <c r="BZS43" s="214"/>
      <c r="BZT43" s="214"/>
      <c r="BZU43" s="214"/>
      <c r="BZV43" s="214"/>
      <c r="BZW43" s="214"/>
      <c r="BZX43" s="214"/>
      <c r="BZY43" s="214"/>
      <c r="BZZ43" s="214"/>
      <c r="CAA43" s="214"/>
      <c r="CAB43" s="214"/>
      <c r="CAC43" s="214"/>
      <c r="CAD43" s="214"/>
      <c r="CAE43" s="214"/>
      <c r="CAF43" s="214"/>
      <c r="CAG43" s="214"/>
      <c r="CAH43" s="214"/>
      <c r="CAI43" s="214"/>
      <c r="CAJ43" s="214"/>
      <c r="CAK43" s="214"/>
      <c r="CAL43" s="214"/>
      <c r="CAM43" s="214"/>
      <c r="CAN43" s="214"/>
      <c r="CAO43" s="214"/>
      <c r="CAP43" s="214"/>
      <c r="CAQ43" s="214"/>
      <c r="CAR43" s="214"/>
      <c r="CAS43" s="214"/>
      <c r="CAT43" s="214"/>
      <c r="CAU43" s="214"/>
      <c r="CAV43" s="214"/>
      <c r="CAW43" s="214"/>
      <c r="CAX43" s="214"/>
      <c r="CAY43" s="214"/>
      <c r="CAZ43" s="214"/>
      <c r="CBA43" s="214"/>
      <c r="CBB43" s="214"/>
      <c r="CBC43" s="214"/>
      <c r="CBD43" s="214"/>
      <c r="CBE43" s="214"/>
      <c r="CBF43" s="214"/>
      <c r="CBG43" s="214"/>
      <c r="CBH43" s="214"/>
      <c r="CBI43" s="214"/>
      <c r="CBJ43" s="214"/>
      <c r="CBK43" s="214"/>
      <c r="CBL43" s="214"/>
      <c r="CBM43" s="214"/>
      <c r="CBN43" s="214"/>
      <c r="CBO43" s="214"/>
      <c r="CBP43" s="214"/>
      <c r="CBQ43" s="214"/>
      <c r="CBR43" s="214"/>
      <c r="CBS43" s="214"/>
      <c r="CBT43" s="214"/>
      <c r="CBU43" s="214"/>
      <c r="CBV43" s="214"/>
      <c r="CBW43" s="214"/>
      <c r="CBX43" s="214"/>
      <c r="CBY43" s="214"/>
      <c r="CBZ43" s="214"/>
      <c r="CCA43" s="214"/>
      <c r="CCB43" s="214"/>
      <c r="CCC43" s="214"/>
      <c r="CCD43" s="214"/>
      <c r="CCE43" s="214"/>
      <c r="CCF43" s="214"/>
      <c r="CCG43" s="214"/>
      <c r="CCH43" s="214"/>
      <c r="CCI43" s="214"/>
      <c r="CCJ43" s="214"/>
      <c r="CCK43" s="214"/>
      <c r="CCL43" s="214"/>
      <c r="CCM43" s="214"/>
      <c r="CCN43" s="214"/>
      <c r="CCO43" s="214"/>
      <c r="CCP43" s="214"/>
      <c r="CCQ43" s="214"/>
      <c r="CCR43" s="214"/>
      <c r="CCS43" s="214"/>
      <c r="CCT43" s="214"/>
      <c r="CCU43" s="214"/>
      <c r="CCV43" s="214"/>
      <c r="CCW43" s="214"/>
      <c r="CCX43" s="214"/>
      <c r="CCY43" s="214"/>
      <c r="CCZ43" s="214"/>
      <c r="CDA43" s="214"/>
      <c r="CDB43" s="214"/>
      <c r="CDC43" s="214"/>
      <c r="CDD43" s="214"/>
      <c r="CDE43" s="214"/>
      <c r="CDF43" s="214"/>
      <c r="CDG43" s="214"/>
      <c r="CDH43" s="214"/>
      <c r="CDI43" s="214"/>
      <c r="CDJ43" s="214"/>
      <c r="CDK43" s="214"/>
      <c r="CDL43" s="214"/>
      <c r="CDM43" s="214"/>
      <c r="CDN43" s="214"/>
      <c r="CDO43" s="214"/>
      <c r="CDP43" s="214"/>
      <c r="CDQ43" s="214"/>
      <c r="CDR43" s="214"/>
      <c r="CDS43" s="214"/>
      <c r="CDT43" s="214"/>
      <c r="CDU43" s="214"/>
      <c r="CDV43" s="214"/>
      <c r="CDW43" s="214"/>
      <c r="CDX43" s="214"/>
      <c r="CDY43" s="214"/>
      <c r="CDZ43" s="214"/>
      <c r="CEA43" s="214"/>
      <c r="CEB43" s="214"/>
      <c r="CEC43" s="214"/>
      <c r="CED43" s="214"/>
      <c r="CEE43" s="214"/>
      <c r="CEF43" s="214"/>
      <c r="CEG43" s="214"/>
      <c r="CEH43" s="214"/>
      <c r="CEI43" s="214"/>
      <c r="CEJ43" s="214"/>
      <c r="CEK43" s="214"/>
      <c r="CEL43" s="214"/>
      <c r="CEM43" s="214"/>
      <c r="CEN43" s="214"/>
      <c r="CEO43" s="214"/>
      <c r="CEP43" s="214"/>
      <c r="CEQ43" s="214"/>
      <c r="CER43" s="214"/>
      <c r="CES43" s="214"/>
      <c r="CET43" s="214"/>
      <c r="CEU43" s="214"/>
      <c r="CEV43" s="214"/>
      <c r="CEW43" s="214"/>
      <c r="CEX43" s="214"/>
      <c r="CEY43" s="214"/>
      <c r="CEZ43" s="214"/>
      <c r="CFA43" s="214"/>
      <c r="CFB43" s="214"/>
      <c r="CFC43" s="214"/>
      <c r="CFD43" s="214"/>
      <c r="CFE43" s="214"/>
      <c r="CFF43" s="214"/>
      <c r="CFG43" s="214"/>
      <c r="CFH43" s="214"/>
      <c r="CFI43" s="214"/>
      <c r="CFJ43" s="214"/>
      <c r="CFK43" s="214"/>
      <c r="CFL43" s="214"/>
      <c r="CFM43" s="214"/>
      <c r="CFN43" s="214"/>
      <c r="CFO43" s="214"/>
      <c r="CFP43" s="214"/>
      <c r="CFQ43" s="214"/>
      <c r="CFR43" s="214"/>
      <c r="CFS43" s="214"/>
      <c r="CFT43" s="214"/>
      <c r="CFU43" s="214"/>
      <c r="CFV43" s="214"/>
      <c r="CFW43" s="214"/>
      <c r="CFX43" s="214"/>
      <c r="CFY43" s="214"/>
      <c r="CFZ43" s="214"/>
      <c r="CGA43" s="214"/>
      <c r="CGB43" s="214"/>
      <c r="CGC43" s="214"/>
      <c r="CGD43" s="214"/>
      <c r="CGE43" s="214"/>
      <c r="CGF43" s="214"/>
      <c r="CGG43" s="214"/>
      <c r="CGH43" s="214"/>
      <c r="CGI43" s="214"/>
      <c r="CGJ43" s="214"/>
      <c r="CGK43" s="214"/>
      <c r="CGL43" s="214"/>
      <c r="CGM43" s="214"/>
      <c r="CGN43" s="214"/>
      <c r="CGO43" s="214"/>
      <c r="CGP43" s="214"/>
      <c r="CGQ43" s="214"/>
      <c r="CGR43" s="214"/>
      <c r="CGS43" s="214"/>
      <c r="CGT43" s="214"/>
      <c r="CGU43" s="214"/>
      <c r="CGV43" s="214"/>
      <c r="CGW43" s="214"/>
      <c r="CGX43" s="214"/>
      <c r="CGY43" s="214"/>
      <c r="CGZ43" s="214"/>
      <c r="CHA43" s="214"/>
      <c r="CHB43" s="214"/>
      <c r="CHC43" s="214"/>
      <c r="CHD43" s="214"/>
      <c r="CHE43" s="214"/>
      <c r="CHF43" s="214"/>
      <c r="CHG43" s="214"/>
      <c r="CHH43" s="214"/>
      <c r="CHI43" s="214"/>
      <c r="CHJ43" s="214"/>
      <c r="CHK43" s="214"/>
      <c r="CHL43" s="214"/>
      <c r="CHM43" s="214"/>
      <c r="CHN43" s="214"/>
      <c r="CHO43" s="214"/>
      <c r="CHP43" s="214"/>
      <c r="CHQ43" s="214"/>
      <c r="CHR43" s="214"/>
      <c r="CHS43" s="214"/>
      <c r="CHT43" s="214"/>
      <c r="CHU43" s="214"/>
      <c r="CHV43" s="214"/>
      <c r="CHW43" s="214"/>
      <c r="CHX43" s="214"/>
      <c r="CHY43" s="214"/>
      <c r="CHZ43" s="214"/>
      <c r="CIA43" s="214"/>
      <c r="CIB43" s="214"/>
      <c r="CIC43" s="214"/>
      <c r="CID43" s="214"/>
      <c r="CIE43" s="214"/>
      <c r="CIF43" s="214"/>
      <c r="CIG43" s="214"/>
      <c r="CIH43" s="214"/>
      <c r="CII43" s="214"/>
      <c r="CIJ43" s="214"/>
      <c r="CIK43" s="214"/>
      <c r="CIL43" s="214"/>
      <c r="CIM43" s="214"/>
      <c r="CIN43" s="214"/>
      <c r="CIO43" s="214"/>
      <c r="CIP43" s="214"/>
      <c r="CIQ43" s="214"/>
      <c r="CIR43" s="214"/>
      <c r="CIS43" s="214"/>
      <c r="CIT43" s="214"/>
      <c r="CIU43" s="214"/>
      <c r="CIV43" s="214"/>
      <c r="CIW43" s="214"/>
      <c r="CIX43" s="214"/>
      <c r="CIY43" s="214"/>
      <c r="CIZ43" s="214"/>
      <c r="CJA43" s="214"/>
      <c r="CJB43" s="214"/>
      <c r="CJC43" s="214"/>
      <c r="CJD43" s="214"/>
      <c r="CJE43" s="214"/>
      <c r="CJF43" s="214"/>
      <c r="CJG43" s="214"/>
      <c r="CJH43" s="214"/>
      <c r="CJI43" s="214"/>
      <c r="CJJ43" s="214"/>
      <c r="CJK43" s="214"/>
      <c r="CJL43" s="214"/>
      <c r="CJM43" s="214"/>
      <c r="CJN43" s="214"/>
      <c r="CJO43" s="214"/>
      <c r="CJP43" s="214"/>
      <c r="CJQ43" s="214"/>
      <c r="CJR43" s="214"/>
      <c r="CJS43" s="214"/>
      <c r="CJT43" s="214"/>
      <c r="CJU43" s="214"/>
      <c r="CJV43" s="214"/>
      <c r="CJW43" s="214"/>
      <c r="CJX43" s="214"/>
      <c r="CJY43" s="214"/>
      <c r="CJZ43" s="214"/>
      <c r="CKA43" s="214"/>
      <c r="CKB43" s="214"/>
      <c r="CKC43" s="214"/>
      <c r="CKD43" s="214"/>
      <c r="CKE43" s="214"/>
      <c r="CKF43" s="214"/>
      <c r="CKG43" s="214"/>
      <c r="CKH43" s="214"/>
      <c r="CKI43" s="214"/>
      <c r="CKJ43" s="214"/>
      <c r="CKK43" s="214"/>
      <c r="CKL43" s="214"/>
      <c r="CKM43" s="214"/>
      <c r="CKN43" s="214"/>
      <c r="CKO43" s="214"/>
      <c r="CKP43" s="214"/>
      <c r="CKQ43" s="214"/>
      <c r="CKR43" s="214"/>
      <c r="CKS43" s="214"/>
      <c r="CKT43" s="214"/>
      <c r="CKU43" s="214"/>
      <c r="CKV43" s="214"/>
      <c r="CKW43" s="214"/>
      <c r="CKX43" s="214"/>
      <c r="CKY43" s="214"/>
      <c r="CKZ43" s="214"/>
      <c r="CLA43" s="214"/>
      <c r="CLB43" s="214"/>
      <c r="CLC43" s="214"/>
      <c r="CLD43" s="214"/>
      <c r="CLE43" s="214"/>
      <c r="CLF43" s="214"/>
      <c r="CLG43" s="214"/>
      <c r="CLH43" s="214"/>
      <c r="CLI43" s="214"/>
      <c r="CLJ43" s="214"/>
      <c r="CLK43" s="214"/>
      <c r="CLL43" s="214"/>
      <c r="CLM43" s="214"/>
      <c r="CLN43" s="214"/>
      <c r="CLO43" s="214"/>
      <c r="CLP43" s="214"/>
      <c r="CLQ43" s="214"/>
      <c r="CLR43" s="214"/>
      <c r="CLS43" s="214"/>
      <c r="CLT43" s="214"/>
      <c r="CLU43" s="214"/>
      <c r="CLV43" s="214"/>
      <c r="CLW43" s="214"/>
      <c r="CLX43" s="214"/>
      <c r="CLY43" s="214"/>
      <c r="CLZ43" s="214"/>
      <c r="CMA43" s="214"/>
      <c r="CMB43" s="214"/>
      <c r="CMC43" s="214"/>
      <c r="CMD43" s="214"/>
      <c r="CME43" s="214"/>
      <c r="CMF43" s="214"/>
      <c r="CMG43" s="214"/>
      <c r="CMH43" s="214"/>
      <c r="CMI43" s="214"/>
      <c r="CMJ43" s="214"/>
      <c r="CMK43" s="214"/>
      <c r="CML43" s="214"/>
      <c r="CMM43" s="214"/>
      <c r="CMN43" s="214"/>
      <c r="CMO43" s="214"/>
      <c r="CMP43" s="214"/>
      <c r="CMQ43" s="214"/>
      <c r="CMR43" s="214"/>
      <c r="CMS43" s="214"/>
      <c r="CMT43" s="214"/>
      <c r="CMU43" s="214"/>
      <c r="CMV43" s="214"/>
      <c r="CMW43" s="214"/>
      <c r="CMX43" s="214"/>
      <c r="CMY43" s="214"/>
      <c r="CMZ43" s="214"/>
      <c r="CNA43" s="214"/>
      <c r="CNB43" s="214"/>
      <c r="CNC43" s="214"/>
      <c r="CND43" s="214"/>
      <c r="CNE43" s="214"/>
      <c r="CNF43" s="214"/>
      <c r="CNG43" s="214"/>
      <c r="CNH43" s="214"/>
      <c r="CNI43" s="214"/>
      <c r="CNJ43" s="214"/>
      <c r="CNK43" s="214"/>
      <c r="CNL43" s="214"/>
      <c r="CNM43" s="214"/>
      <c r="CNN43" s="214"/>
      <c r="CNO43" s="214"/>
      <c r="CNP43" s="214"/>
      <c r="CNQ43" s="214"/>
      <c r="CNR43" s="214"/>
      <c r="CNS43" s="214"/>
      <c r="CNT43" s="214"/>
      <c r="CNU43" s="214"/>
      <c r="CNV43" s="214"/>
      <c r="CNW43" s="214"/>
      <c r="CNX43" s="214"/>
      <c r="CNY43" s="214"/>
      <c r="CNZ43" s="214"/>
      <c r="COA43" s="214"/>
      <c r="COB43" s="214"/>
      <c r="COC43" s="214"/>
      <c r="COD43" s="214"/>
      <c r="COE43" s="214"/>
      <c r="COF43" s="214"/>
      <c r="COG43" s="214"/>
      <c r="COH43" s="214"/>
      <c r="COI43" s="214"/>
      <c r="COJ43" s="214"/>
      <c r="COK43" s="214"/>
      <c r="COL43" s="214"/>
      <c r="COM43" s="214"/>
      <c r="CON43" s="214"/>
      <c r="COO43" s="214"/>
      <c r="COP43" s="214"/>
      <c r="COQ43" s="214"/>
      <c r="COR43" s="214"/>
      <c r="COS43" s="214"/>
      <c r="COT43" s="214"/>
      <c r="COU43" s="214"/>
      <c r="COV43" s="214"/>
      <c r="COW43" s="214"/>
      <c r="COX43" s="214"/>
      <c r="COY43" s="214"/>
      <c r="COZ43" s="214"/>
      <c r="CPA43" s="214"/>
      <c r="CPB43" s="214"/>
      <c r="CPC43" s="214"/>
      <c r="CPD43" s="214"/>
      <c r="CPE43" s="214"/>
      <c r="CPF43" s="214"/>
      <c r="CPG43" s="214"/>
      <c r="CPH43" s="214"/>
      <c r="CPI43" s="214"/>
      <c r="CPJ43" s="214"/>
      <c r="CPK43" s="214"/>
      <c r="CPL43" s="214"/>
      <c r="CPM43" s="214"/>
      <c r="CPN43" s="214"/>
      <c r="CPO43" s="214"/>
      <c r="CPP43" s="214"/>
      <c r="CPQ43" s="214"/>
      <c r="CPR43" s="214"/>
      <c r="CPS43" s="214"/>
      <c r="CPT43" s="214"/>
      <c r="CPU43" s="214"/>
      <c r="CPV43" s="214"/>
      <c r="CPW43" s="214"/>
      <c r="CPX43" s="214"/>
      <c r="CPY43" s="214"/>
      <c r="CPZ43" s="214"/>
      <c r="CQA43" s="214"/>
      <c r="CQB43" s="214"/>
      <c r="CQC43" s="214"/>
      <c r="CQD43" s="214"/>
      <c r="CQE43" s="214"/>
      <c r="CQF43" s="214"/>
      <c r="CQG43" s="214"/>
      <c r="CQH43" s="214"/>
      <c r="CQI43" s="214"/>
      <c r="CQJ43" s="214"/>
      <c r="CQK43" s="214"/>
      <c r="CQL43" s="214"/>
      <c r="CQM43" s="214"/>
      <c r="CQN43" s="214"/>
      <c r="CQO43" s="214"/>
      <c r="CQP43" s="214"/>
      <c r="CQQ43" s="214"/>
      <c r="CQR43" s="214"/>
      <c r="CQS43" s="214"/>
      <c r="CQT43" s="214"/>
      <c r="CQU43" s="214"/>
      <c r="CQV43" s="214"/>
      <c r="CQW43" s="214"/>
      <c r="CQX43" s="214"/>
      <c r="CQY43" s="214"/>
      <c r="CQZ43" s="214"/>
      <c r="CRA43" s="214"/>
      <c r="CRB43" s="214"/>
      <c r="CRC43" s="214"/>
      <c r="CRD43" s="214"/>
      <c r="CRE43" s="214"/>
      <c r="CRF43" s="214"/>
      <c r="CRG43" s="214"/>
      <c r="CRH43" s="214"/>
      <c r="CRI43" s="214"/>
      <c r="CRJ43" s="214"/>
      <c r="CRK43" s="214"/>
      <c r="CRL43" s="214"/>
      <c r="CRM43" s="214"/>
      <c r="CRN43" s="214"/>
      <c r="CRO43" s="214"/>
      <c r="CRP43" s="214"/>
      <c r="CRQ43" s="214"/>
      <c r="CRR43" s="214"/>
      <c r="CRS43" s="214"/>
      <c r="CRT43" s="214"/>
      <c r="CRU43" s="214"/>
      <c r="CRV43" s="214"/>
      <c r="CRW43" s="214"/>
      <c r="CRX43" s="214"/>
      <c r="CRY43" s="214"/>
      <c r="CRZ43" s="214"/>
      <c r="CSA43" s="214"/>
      <c r="CSB43" s="214"/>
      <c r="CSC43" s="214"/>
      <c r="CSD43" s="214"/>
      <c r="CSE43" s="214"/>
      <c r="CSF43" s="214"/>
      <c r="CSG43" s="214"/>
      <c r="CSH43" s="214"/>
      <c r="CSI43" s="214"/>
      <c r="CSJ43" s="214"/>
      <c r="CSK43" s="214"/>
      <c r="CSL43" s="214"/>
      <c r="CSM43" s="214"/>
      <c r="CSN43" s="214"/>
      <c r="CSO43" s="214"/>
      <c r="CSP43" s="214"/>
      <c r="CSQ43" s="214"/>
      <c r="CSR43" s="214"/>
      <c r="CSS43" s="214"/>
      <c r="CST43" s="214"/>
      <c r="CSU43" s="214"/>
      <c r="CSV43" s="214"/>
      <c r="CSW43" s="214"/>
      <c r="CSX43" s="214"/>
      <c r="CSY43" s="214"/>
      <c r="CSZ43" s="214"/>
      <c r="CTA43" s="214"/>
      <c r="CTB43" s="214"/>
      <c r="CTC43" s="214"/>
      <c r="CTD43" s="214"/>
      <c r="CTE43" s="214"/>
      <c r="CTF43" s="214"/>
      <c r="CTG43" s="214"/>
      <c r="CTH43" s="214"/>
      <c r="CTI43" s="214"/>
      <c r="CTJ43" s="214"/>
      <c r="CTK43" s="214"/>
      <c r="CTL43" s="214"/>
      <c r="CTM43" s="214"/>
      <c r="CTN43" s="214"/>
      <c r="CTO43" s="214"/>
      <c r="CTP43" s="214"/>
      <c r="CTQ43" s="214"/>
      <c r="CTR43" s="214"/>
      <c r="CTS43" s="214"/>
      <c r="CTT43" s="214"/>
      <c r="CTU43" s="214"/>
      <c r="CTV43" s="214"/>
      <c r="CTW43" s="214"/>
      <c r="CTX43" s="214"/>
      <c r="CTY43" s="214"/>
      <c r="CTZ43" s="214"/>
      <c r="CUA43" s="214"/>
      <c r="CUB43" s="214"/>
      <c r="CUC43" s="214"/>
      <c r="CUD43" s="214"/>
      <c r="CUE43" s="214"/>
      <c r="CUF43" s="214"/>
      <c r="CUG43" s="214"/>
      <c r="CUH43" s="214"/>
      <c r="CUI43" s="214"/>
      <c r="CUJ43" s="214"/>
      <c r="CUK43" s="214"/>
      <c r="CUL43" s="214"/>
      <c r="CUM43" s="214"/>
      <c r="CUN43" s="214"/>
      <c r="CUO43" s="214"/>
      <c r="CUP43" s="214"/>
      <c r="CUQ43" s="214"/>
      <c r="CUR43" s="214"/>
      <c r="CUS43" s="214"/>
      <c r="CUT43" s="214"/>
      <c r="CUU43" s="214"/>
      <c r="CUV43" s="214"/>
      <c r="CUW43" s="214"/>
      <c r="CUX43" s="214"/>
      <c r="CUY43" s="214"/>
      <c r="CUZ43" s="214"/>
      <c r="CVA43" s="214"/>
      <c r="CVB43" s="214"/>
      <c r="CVC43" s="214"/>
      <c r="CVD43" s="214"/>
      <c r="CVE43" s="214"/>
      <c r="CVF43" s="214"/>
      <c r="CVG43" s="214"/>
      <c r="CVH43" s="214"/>
      <c r="CVI43" s="214"/>
      <c r="CVJ43" s="214"/>
      <c r="CVK43" s="214"/>
      <c r="CVL43" s="214"/>
      <c r="CVM43" s="214"/>
      <c r="CVN43" s="214"/>
      <c r="CVO43" s="214"/>
      <c r="CVP43" s="214"/>
      <c r="CVQ43" s="214"/>
      <c r="CVR43" s="214"/>
      <c r="CVS43" s="214"/>
      <c r="CVT43" s="214"/>
      <c r="CVU43" s="214"/>
      <c r="CVV43" s="214"/>
      <c r="CVW43" s="214"/>
      <c r="CVX43" s="214"/>
      <c r="CVY43" s="214"/>
      <c r="CVZ43" s="214"/>
      <c r="CWA43" s="214"/>
      <c r="CWB43" s="214"/>
      <c r="CWC43" s="214"/>
      <c r="CWD43" s="214"/>
      <c r="CWE43" s="214"/>
      <c r="CWF43" s="214"/>
      <c r="CWG43" s="214"/>
      <c r="CWH43" s="214"/>
      <c r="CWI43" s="214"/>
      <c r="CWJ43" s="214"/>
      <c r="CWK43" s="214"/>
      <c r="CWL43" s="214"/>
      <c r="CWM43" s="214"/>
      <c r="CWN43" s="214"/>
      <c r="CWO43" s="214"/>
      <c r="CWP43" s="214"/>
      <c r="CWQ43" s="214"/>
      <c r="CWR43" s="214"/>
      <c r="CWS43" s="214"/>
      <c r="CWT43" s="214"/>
      <c r="CWU43" s="214"/>
      <c r="CWV43" s="214"/>
      <c r="CWW43" s="214"/>
      <c r="CWX43" s="214"/>
      <c r="CWY43" s="214"/>
      <c r="CWZ43" s="214"/>
      <c r="CXA43" s="214"/>
      <c r="CXB43" s="214"/>
      <c r="CXC43" s="214"/>
      <c r="CXD43" s="214"/>
      <c r="CXE43" s="214"/>
      <c r="CXF43" s="214"/>
      <c r="CXG43" s="214"/>
      <c r="CXH43" s="214"/>
      <c r="CXI43" s="214"/>
      <c r="CXJ43" s="214"/>
      <c r="CXK43" s="214"/>
      <c r="CXL43" s="214"/>
      <c r="CXM43" s="214"/>
      <c r="CXN43" s="214"/>
      <c r="CXO43" s="214"/>
      <c r="CXP43" s="214"/>
      <c r="CXQ43" s="214"/>
      <c r="CXR43" s="214"/>
      <c r="CXS43" s="214"/>
      <c r="CXT43" s="214"/>
      <c r="CXU43" s="214"/>
      <c r="CXV43" s="214"/>
      <c r="CXW43" s="214"/>
      <c r="CXX43" s="214"/>
      <c r="CXY43" s="214"/>
      <c r="CXZ43" s="214"/>
      <c r="CYA43" s="214"/>
      <c r="CYB43" s="214"/>
      <c r="CYC43" s="214"/>
      <c r="CYD43" s="214"/>
      <c r="CYE43" s="214"/>
      <c r="CYF43" s="214"/>
      <c r="CYG43" s="214"/>
      <c r="CYH43" s="214"/>
      <c r="CYI43" s="214"/>
      <c r="CYJ43" s="214"/>
      <c r="CYK43" s="214"/>
      <c r="CYL43" s="214"/>
      <c r="CYM43" s="214"/>
      <c r="CYN43" s="214"/>
      <c r="CYO43" s="214"/>
      <c r="CYP43" s="214"/>
      <c r="CYQ43" s="214"/>
      <c r="CYR43" s="214"/>
      <c r="CYS43" s="214"/>
      <c r="CYT43" s="214"/>
      <c r="CYU43" s="214"/>
      <c r="CYV43" s="214"/>
      <c r="CYW43" s="214"/>
      <c r="CYX43" s="214"/>
      <c r="CYY43" s="214"/>
      <c r="CYZ43" s="214"/>
      <c r="CZA43" s="214"/>
      <c r="CZB43" s="214"/>
      <c r="CZC43" s="214"/>
      <c r="CZD43" s="214"/>
      <c r="CZE43" s="214"/>
      <c r="CZF43" s="214"/>
      <c r="CZG43" s="214"/>
      <c r="CZH43" s="214"/>
      <c r="CZI43" s="214"/>
      <c r="CZJ43" s="214"/>
      <c r="CZK43" s="214"/>
      <c r="CZL43" s="214"/>
      <c r="CZM43" s="214"/>
      <c r="CZN43" s="214"/>
      <c r="CZO43" s="214"/>
      <c r="CZP43" s="214"/>
      <c r="CZQ43" s="214"/>
      <c r="CZR43" s="214"/>
      <c r="CZS43" s="214"/>
      <c r="CZT43" s="214"/>
      <c r="CZU43" s="214"/>
      <c r="CZV43" s="214"/>
      <c r="CZW43" s="214"/>
      <c r="CZX43" s="214"/>
      <c r="CZY43" s="214"/>
      <c r="CZZ43" s="214"/>
      <c r="DAA43" s="214"/>
      <c r="DAB43" s="214"/>
      <c r="DAC43" s="214"/>
      <c r="DAD43" s="214"/>
      <c r="DAE43" s="214"/>
      <c r="DAF43" s="214"/>
      <c r="DAG43" s="214"/>
      <c r="DAH43" s="214"/>
      <c r="DAI43" s="214"/>
      <c r="DAJ43" s="214"/>
      <c r="DAK43" s="214"/>
      <c r="DAL43" s="214"/>
      <c r="DAM43" s="214"/>
      <c r="DAN43" s="214"/>
      <c r="DAO43" s="214"/>
      <c r="DAP43" s="214"/>
      <c r="DAQ43" s="214"/>
      <c r="DAR43" s="214"/>
      <c r="DAS43" s="214"/>
      <c r="DAT43" s="214"/>
      <c r="DAU43" s="214"/>
      <c r="DAV43" s="214"/>
      <c r="DAW43" s="214"/>
      <c r="DAX43" s="214"/>
      <c r="DAY43" s="214"/>
      <c r="DAZ43" s="214"/>
      <c r="DBA43" s="214"/>
      <c r="DBB43" s="214"/>
      <c r="DBC43" s="214"/>
      <c r="DBD43" s="214"/>
      <c r="DBE43" s="214"/>
      <c r="DBF43" s="214"/>
      <c r="DBG43" s="214"/>
      <c r="DBH43" s="214"/>
      <c r="DBI43" s="214"/>
      <c r="DBJ43" s="214"/>
      <c r="DBK43" s="214"/>
      <c r="DBL43" s="214"/>
      <c r="DBM43" s="214"/>
      <c r="DBN43" s="214"/>
      <c r="DBO43" s="214"/>
      <c r="DBP43" s="214"/>
      <c r="DBQ43" s="214"/>
      <c r="DBR43" s="214"/>
      <c r="DBS43" s="214"/>
      <c r="DBT43" s="214"/>
      <c r="DBU43" s="214"/>
      <c r="DBV43" s="214"/>
      <c r="DBW43" s="214"/>
      <c r="DBX43" s="214"/>
      <c r="DBY43" s="214"/>
      <c r="DBZ43" s="214"/>
      <c r="DCA43" s="214"/>
      <c r="DCB43" s="214"/>
      <c r="DCC43" s="214"/>
      <c r="DCD43" s="214"/>
      <c r="DCE43" s="214"/>
      <c r="DCF43" s="214"/>
      <c r="DCG43" s="214"/>
      <c r="DCH43" s="214"/>
      <c r="DCI43" s="214"/>
      <c r="DCJ43" s="214"/>
      <c r="DCK43" s="214"/>
      <c r="DCL43" s="214"/>
      <c r="DCM43" s="214"/>
      <c r="DCN43" s="214"/>
      <c r="DCO43" s="214"/>
      <c r="DCP43" s="214"/>
      <c r="DCQ43" s="214"/>
      <c r="DCR43" s="214"/>
      <c r="DCS43" s="214"/>
      <c r="DCT43" s="214"/>
      <c r="DCU43" s="214"/>
      <c r="DCV43" s="214"/>
      <c r="DCW43" s="214"/>
      <c r="DCX43" s="214"/>
      <c r="DCY43" s="214"/>
      <c r="DCZ43" s="214"/>
      <c r="DDA43" s="214"/>
      <c r="DDB43" s="214"/>
      <c r="DDC43" s="214"/>
      <c r="DDD43" s="214"/>
      <c r="DDE43" s="214"/>
      <c r="DDF43" s="214"/>
      <c r="DDG43" s="214"/>
      <c r="DDH43" s="214"/>
      <c r="DDI43" s="214"/>
      <c r="DDJ43" s="214"/>
      <c r="DDK43" s="214"/>
      <c r="DDL43" s="214"/>
      <c r="DDM43" s="214"/>
      <c r="DDN43" s="214"/>
      <c r="DDO43" s="214"/>
      <c r="DDP43" s="214"/>
      <c r="DDQ43" s="214"/>
      <c r="DDR43" s="214"/>
      <c r="DDS43" s="214"/>
      <c r="DDT43" s="214"/>
      <c r="DDU43" s="214"/>
      <c r="DDV43" s="214"/>
      <c r="DDW43" s="214"/>
      <c r="DDX43" s="214"/>
      <c r="DDY43" s="214"/>
      <c r="DDZ43" s="214"/>
      <c r="DEA43" s="214"/>
      <c r="DEB43" s="214"/>
      <c r="DEC43" s="214"/>
      <c r="DED43" s="214"/>
      <c r="DEE43" s="214"/>
      <c r="DEF43" s="214"/>
      <c r="DEG43" s="214"/>
      <c r="DEH43" s="214"/>
      <c r="DEI43" s="214"/>
      <c r="DEJ43" s="214"/>
      <c r="DEK43" s="214"/>
      <c r="DEL43" s="214"/>
      <c r="DEM43" s="214"/>
      <c r="DEN43" s="214"/>
      <c r="DEO43" s="214"/>
      <c r="DEP43" s="214"/>
      <c r="DEQ43" s="214"/>
      <c r="DER43" s="214"/>
      <c r="DES43" s="214"/>
      <c r="DET43" s="214"/>
      <c r="DEU43" s="214"/>
      <c r="DEV43" s="214"/>
      <c r="DEW43" s="214"/>
      <c r="DEX43" s="214"/>
      <c r="DEY43" s="214"/>
      <c r="DEZ43" s="214"/>
      <c r="DFA43" s="214"/>
      <c r="DFB43" s="214"/>
      <c r="DFC43" s="214"/>
      <c r="DFD43" s="214"/>
      <c r="DFE43" s="214"/>
      <c r="DFF43" s="214"/>
      <c r="DFG43" s="214"/>
      <c r="DFH43" s="214"/>
      <c r="DFI43" s="214"/>
      <c r="DFJ43" s="214"/>
      <c r="DFK43" s="214"/>
      <c r="DFL43" s="214"/>
      <c r="DFM43" s="214"/>
      <c r="DFN43" s="214"/>
      <c r="DFO43" s="214"/>
      <c r="DFP43" s="214"/>
      <c r="DFQ43" s="214"/>
      <c r="DFR43" s="214"/>
      <c r="DFS43" s="214"/>
      <c r="DFT43" s="214"/>
      <c r="DFU43" s="214"/>
      <c r="DFV43" s="214"/>
      <c r="DFW43" s="214"/>
      <c r="DFX43" s="214"/>
      <c r="DFY43" s="214"/>
      <c r="DFZ43" s="214"/>
      <c r="DGA43" s="214"/>
      <c r="DGB43" s="214"/>
      <c r="DGC43" s="214"/>
      <c r="DGD43" s="214"/>
      <c r="DGE43" s="214"/>
      <c r="DGF43" s="214"/>
      <c r="DGG43" s="214"/>
      <c r="DGH43" s="214"/>
      <c r="DGI43" s="214"/>
      <c r="DGJ43" s="214"/>
      <c r="DGK43" s="214"/>
      <c r="DGL43" s="214"/>
      <c r="DGM43" s="214"/>
      <c r="DGN43" s="214"/>
      <c r="DGO43" s="214"/>
      <c r="DGP43" s="214"/>
      <c r="DGQ43" s="214"/>
      <c r="DGR43" s="214"/>
      <c r="DGS43" s="214"/>
      <c r="DGT43" s="214"/>
      <c r="DGU43" s="214"/>
      <c r="DGV43" s="214"/>
      <c r="DGW43" s="214"/>
      <c r="DGX43" s="214"/>
      <c r="DGY43" s="214"/>
      <c r="DGZ43" s="214"/>
      <c r="DHA43" s="214"/>
      <c r="DHB43" s="214"/>
      <c r="DHC43" s="214"/>
      <c r="DHD43" s="214"/>
      <c r="DHE43" s="214"/>
      <c r="DHF43" s="214"/>
      <c r="DHG43" s="214"/>
      <c r="DHH43" s="214"/>
      <c r="DHI43" s="214"/>
      <c r="DHJ43" s="214"/>
      <c r="DHK43" s="214"/>
      <c r="DHL43" s="214"/>
      <c r="DHM43" s="214"/>
      <c r="DHN43" s="214"/>
      <c r="DHO43" s="214"/>
      <c r="DHP43" s="214"/>
      <c r="DHQ43" s="214"/>
      <c r="DHR43" s="214"/>
      <c r="DHS43" s="214"/>
      <c r="DHT43" s="214"/>
      <c r="DHU43" s="214"/>
      <c r="DHV43" s="214"/>
      <c r="DHW43" s="214"/>
      <c r="DHX43" s="214"/>
      <c r="DHY43" s="214"/>
      <c r="DHZ43" s="214"/>
      <c r="DIA43" s="214"/>
      <c r="DIB43" s="214"/>
      <c r="DIC43" s="214"/>
      <c r="DID43" s="214"/>
      <c r="DIE43" s="214"/>
      <c r="DIF43" s="214"/>
      <c r="DIG43" s="214"/>
      <c r="DIH43" s="214"/>
      <c r="DII43" s="214"/>
      <c r="DIJ43" s="214"/>
      <c r="DIK43" s="214"/>
      <c r="DIL43" s="214"/>
      <c r="DIM43" s="214"/>
      <c r="DIN43" s="214"/>
      <c r="DIO43" s="214"/>
      <c r="DIP43" s="214"/>
      <c r="DIQ43" s="214"/>
      <c r="DIR43" s="214"/>
      <c r="DIS43" s="214"/>
      <c r="DIT43" s="214"/>
      <c r="DIU43" s="214"/>
      <c r="DIV43" s="214"/>
      <c r="DIW43" s="214"/>
      <c r="DIX43" s="214"/>
      <c r="DIY43" s="214"/>
      <c r="DIZ43" s="214"/>
      <c r="DJA43" s="214"/>
      <c r="DJB43" s="214"/>
      <c r="DJC43" s="214"/>
      <c r="DJD43" s="214"/>
      <c r="DJE43" s="214"/>
      <c r="DJF43" s="214"/>
      <c r="DJG43" s="214"/>
      <c r="DJH43" s="214"/>
      <c r="DJI43" s="214"/>
      <c r="DJJ43" s="214"/>
      <c r="DJK43" s="214"/>
      <c r="DJL43" s="214"/>
      <c r="DJM43" s="214"/>
      <c r="DJN43" s="214"/>
      <c r="DJO43" s="214"/>
      <c r="DJP43" s="214"/>
      <c r="DJQ43" s="214"/>
      <c r="DJR43" s="214"/>
      <c r="DJS43" s="214"/>
      <c r="DJT43" s="214"/>
      <c r="DJU43" s="214"/>
      <c r="DJV43" s="214"/>
      <c r="DJW43" s="214"/>
      <c r="DJX43" s="214"/>
      <c r="DJY43" s="214"/>
      <c r="DJZ43" s="214"/>
      <c r="DKA43" s="214"/>
      <c r="DKB43" s="214"/>
      <c r="DKC43" s="214"/>
      <c r="DKD43" s="214"/>
      <c r="DKE43" s="214"/>
      <c r="DKF43" s="214"/>
      <c r="DKG43" s="214"/>
      <c r="DKH43" s="214"/>
      <c r="DKI43" s="214"/>
      <c r="DKJ43" s="214"/>
      <c r="DKK43" s="214"/>
      <c r="DKL43" s="214"/>
      <c r="DKM43" s="214"/>
      <c r="DKN43" s="214"/>
      <c r="DKO43" s="214"/>
      <c r="DKP43" s="214"/>
      <c r="DKQ43" s="214"/>
      <c r="DKR43" s="214"/>
      <c r="DKS43" s="214"/>
      <c r="DKT43" s="214"/>
      <c r="DKU43" s="214"/>
      <c r="DKV43" s="214"/>
      <c r="DKW43" s="214"/>
      <c r="DKX43" s="214"/>
      <c r="DKY43" s="214"/>
      <c r="DKZ43" s="214"/>
      <c r="DLA43" s="214"/>
      <c r="DLB43" s="214"/>
      <c r="DLC43" s="214"/>
      <c r="DLD43" s="214"/>
      <c r="DLE43" s="214"/>
      <c r="DLF43" s="214"/>
      <c r="DLG43" s="214"/>
      <c r="DLH43" s="214"/>
      <c r="DLI43" s="214"/>
      <c r="DLJ43" s="214"/>
      <c r="DLK43" s="214"/>
      <c r="DLL43" s="214"/>
      <c r="DLM43" s="214"/>
      <c r="DLN43" s="214"/>
      <c r="DLO43" s="214"/>
      <c r="DLP43" s="214"/>
      <c r="DLQ43" s="214"/>
      <c r="DLR43" s="214"/>
      <c r="DLS43" s="214"/>
      <c r="DLT43" s="214"/>
      <c r="DLU43" s="214"/>
      <c r="DLV43" s="214"/>
      <c r="DLW43" s="214"/>
      <c r="DLX43" s="214"/>
      <c r="DLY43" s="214"/>
      <c r="DLZ43" s="214"/>
      <c r="DMA43" s="214"/>
      <c r="DMB43" s="214"/>
      <c r="DMC43" s="214"/>
      <c r="DMD43" s="214"/>
      <c r="DME43" s="214"/>
      <c r="DMF43" s="214"/>
      <c r="DMG43" s="214"/>
      <c r="DMH43" s="214"/>
      <c r="DMI43" s="214"/>
      <c r="DMJ43" s="214"/>
      <c r="DMK43" s="214"/>
      <c r="DML43" s="214"/>
      <c r="DMM43" s="214"/>
      <c r="DMN43" s="214"/>
      <c r="DMO43" s="214"/>
      <c r="DMP43" s="214"/>
      <c r="DMQ43" s="214"/>
      <c r="DMR43" s="214"/>
      <c r="DMS43" s="214"/>
      <c r="DMT43" s="214"/>
      <c r="DMU43" s="214"/>
      <c r="DMV43" s="214"/>
      <c r="DMW43" s="214"/>
      <c r="DMX43" s="214"/>
      <c r="DMY43" s="214"/>
      <c r="DMZ43" s="214"/>
      <c r="DNA43" s="214"/>
      <c r="DNB43" s="214"/>
      <c r="DNC43" s="214"/>
      <c r="DND43" s="214"/>
      <c r="DNE43" s="214"/>
      <c r="DNF43" s="214"/>
      <c r="DNG43" s="214"/>
      <c r="DNH43" s="214"/>
      <c r="DNI43" s="214"/>
      <c r="DNJ43" s="214"/>
      <c r="DNK43" s="214"/>
      <c r="DNL43" s="214"/>
      <c r="DNM43" s="214"/>
      <c r="DNN43" s="214"/>
      <c r="DNO43" s="214"/>
      <c r="DNP43" s="214"/>
      <c r="DNQ43" s="214"/>
      <c r="DNR43" s="214"/>
      <c r="DNS43" s="214"/>
      <c r="DNT43" s="214"/>
      <c r="DNU43" s="214"/>
      <c r="DNV43" s="214"/>
      <c r="DNW43" s="214"/>
      <c r="DNX43" s="214"/>
      <c r="DNY43" s="214"/>
      <c r="DNZ43" s="214"/>
      <c r="DOA43" s="214"/>
      <c r="DOB43" s="214"/>
      <c r="DOC43" s="214"/>
      <c r="DOD43" s="214"/>
      <c r="DOE43" s="214"/>
      <c r="DOF43" s="214"/>
      <c r="DOG43" s="214"/>
      <c r="DOH43" s="214"/>
      <c r="DOI43" s="214"/>
      <c r="DOJ43" s="214"/>
      <c r="DOK43" s="214"/>
      <c r="DOL43" s="214"/>
      <c r="DOM43" s="214"/>
      <c r="DON43" s="214"/>
      <c r="DOO43" s="214"/>
      <c r="DOP43" s="214"/>
      <c r="DOQ43" s="214"/>
      <c r="DOR43" s="214"/>
      <c r="DOS43" s="214"/>
      <c r="DOT43" s="214"/>
      <c r="DOU43" s="214"/>
      <c r="DOV43" s="214"/>
      <c r="DOW43" s="214"/>
      <c r="DOX43" s="214"/>
      <c r="DOY43" s="214"/>
      <c r="DOZ43" s="214"/>
      <c r="DPA43" s="214"/>
      <c r="DPB43" s="214"/>
      <c r="DPC43" s="214"/>
      <c r="DPD43" s="214"/>
      <c r="DPE43" s="214"/>
      <c r="DPF43" s="214"/>
      <c r="DPG43" s="214"/>
      <c r="DPH43" s="214"/>
      <c r="DPI43" s="214"/>
      <c r="DPJ43" s="214"/>
      <c r="DPK43" s="214"/>
      <c r="DPL43" s="214"/>
      <c r="DPM43" s="214"/>
      <c r="DPN43" s="214"/>
      <c r="DPO43" s="214"/>
      <c r="DPP43" s="214"/>
      <c r="DPQ43" s="214"/>
      <c r="DPR43" s="214"/>
      <c r="DPS43" s="214"/>
      <c r="DPT43" s="214"/>
      <c r="DPU43" s="214"/>
      <c r="DPV43" s="214"/>
      <c r="DPW43" s="214"/>
      <c r="DPX43" s="214"/>
      <c r="DPY43" s="214"/>
      <c r="DPZ43" s="214"/>
      <c r="DQA43" s="214"/>
      <c r="DQB43" s="214"/>
      <c r="DQC43" s="214"/>
      <c r="DQD43" s="214"/>
      <c r="DQE43" s="214"/>
      <c r="DQF43" s="214"/>
      <c r="DQG43" s="214"/>
      <c r="DQH43" s="214"/>
      <c r="DQI43" s="214"/>
      <c r="DQJ43" s="214"/>
      <c r="DQK43" s="214"/>
      <c r="DQL43" s="214"/>
      <c r="DQM43" s="214"/>
      <c r="DQN43" s="214"/>
      <c r="DQO43" s="214"/>
      <c r="DQP43" s="214"/>
      <c r="DQQ43" s="214"/>
      <c r="DQR43" s="214"/>
      <c r="DQS43" s="214"/>
      <c r="DQT43" s="214"/>
      <c r="DQU43" s="214"/>
      <c r="DQV43" s="214"/>
      <c r="DQW43" s="214"/>
      <c r="DQX43" s="214"/>
      <c r="DQY43" s="214"/>
      <c r="DQZ43" s="214"/>
      <c r="DRA43" s="214"/>
      <c r="DRB43" s="214"/>
      <c r="DRC43" s="214"/>
      <c r="DRD43" s="214"/>
      <c r="DRE43" s="214"/>
      <c r="DRF43" s="214"/>
      <c r="DRG43" s="214"/>
      <c r="DRH43" s="214"/>
      <c r="DRI43" s="214"/>
      <c r="DRJ43" s="214"/>
      <c r="DRK43" s="214"/>
      <c r="DRL43" s="214"/>
      <c r="DRM43" s="214"/>
      <c r="DRN43" s="214"/>
      <c r="DRO43" s="214"/>
      <c r="DRP43" s="214"/>
      <c r="DRQ43" s="214"/>
      <c r="DRR43" s="214"/>
      <c r="DRS43" s="214"/>
      <c r="DRT43" s="214"/>
      <c r="DRU43" s="214"/>
      <c r="DRV43" s="214"/>
      <c r="DRW43" s="214"/>
      <c r="DRX43" s="214"/>
      <c r="DRY43" s="214"/>
      <c r="DRZ43" s="214"/>
      <c r="DSA43" s="214"/>
      <c r="DSB43" s="214"/>
      <c r="DSC43" s="214"/>
      <c r="DSD43" s="214"/>
      <c r="DSE43" s="214"/>
      <c r="DSF43" s="214"/>
      <c r="DSG43" s="214"/>
      <c r="DSH43" s="214"/>
      <c r="DSI43" s="214"/>
      <c r="DSJ43" s="214"/>
      <c r="DSK43" s="214"/>
      <c r="DSL43" s="214"/>
      <c r="DSM43" s="214"/>
      <c r="DSN43" s="214"/>
      <c r="DSO43" s="214"/>
      <c r="DSP43" s="214"/>
      <c r="DSQ43" s="214"/>
      <c r="DSR43" s="214"/>
      <c r="DSS43" s="214"/>
      <c r="DST43" s="214"/>
      <c r="DSU43" s="214"/>
      <c r="DSV43" s="214"/>
      <c r="DSW43" s="214"/>
      <c r="DSX43" s="214"/>
      <c r="DSY43" s="214"/>
      <c r="DSZ43" s="214"/>
      <c r="DTA43" s="214"/>
      <c r="DTB43" s="214"/>
      <c r="DTC43" s="214"/>
      <c r="DTD43" s="214"/>
      <c r="DTE43" s="214"/>
      <c r="DTF43" s="214"/>
      <c r="DTG43" s="214"/>
      <c r="DTH43" s="214"/>
      <c r="DTI43" s="214"/>
      <c r="DTJ43" s="214"/>
      <c r="DTK43" s="214"/>
      <c r="DTL43" s="214"/>
      <c r="DTM43" s="214"/>
      <c r="DTN43" s="214"/>
      <c r="DTO43" s="214"/>
      <c r="DTP43" s="214"/>
      <c r="DTQ43" s="214"/>
      <c r="DTR43" s="214"/>
      <c r="DTS43" s="214"/>
      <c r="DTT43" s="214"/>
      <c r="DTU43" s="214"/>
      <c r="DTV43" s="214"/>
      <c r="DTW43" s="214"/>
      <c r="DTX43" s="214"/>
      <c r="DTY43" s="214"/>
      <c r="DTZ43" s="214"/>
      <c r="DUA43" s="214"/>
      <c r="DUB43" s="214"/>
      <c r="DUC43" s="214"/>
      <c r="DUD43" s="214"/>
      <c r="DUE43" s="214"/>
      <c r="DUF43" s="214"/>
      <c r="DUG43" s="214"/>
      <c r="DUH43" s="214"/>
      <c r="DUI43" s="214"/>
      <c r="DUJ43" s="214"/>
      <c r="DUK43" s="214"/>
      <c r="DUL43" s="214"/>
      <c r="DUM43" s="214"/>
      <c r="DUN43" s="214"/>
      <c r="DUO43" s="214"/>
      <c r="DUP43" s="214"/>
      <c r="DUQ43" s="214"/>
      <c r="DUR43" s="214"/>
      <c r="DUS43" s="214"/>
      <c r="DUT43" s="214"/>
      <c r="DUU43" s="214"/>
      <c r="DUV43" s="214"/>
      <c r="DUW43" s="214"/>
      <c r="DUX43" s="214"/>
      <c r="DUY43" s="214"/>
      <c r="DUZ43" s="214"/>
      <c r="DVA43" s="214"/>
      <c r="DVB43" s="214"/>
      <c r="DVC43" s="214"/>
      <c r="DVD43" s="214"/>
      <c r="DVE43" s="214"/>
      <c r="DVF43" s="214"/>
      <c r="DVG43" s="214"/>
      <c r="DVH43" s="214"/>
      <c r="DVI43" s="214"/>
      <c r="DVJ43" s="214"/>
      <c r="DVK43" s="214"/>
      <c r="DVL43" s="214"/>
      <c r="DVM43" s="214"/>
      <c r="DVN43" s="214"/>
      <c r="DVO43" s="214"/>
      <c r="DVP43" s="214"/>
      <c r="DVQ43" s="214"/>
      <c r="DVR43" s="214"/>
      <c r="DVS43" s="214"/>
      <c r="DVT43" s="214"/>
      <c r="DVU43" s="214"/>
      <c r="DVV43" s="214"/>
      <c r="DVW43" s="214"/>
      <c r="DVX43" s="214"/>
      <c r="DVY43" s="214"/>
      <c r="DVZ43" s="214"/>
      <c r="DWA43" s="214"/>
      <c r="DWB43" s="214"/>
      <c r="DWC43" s="214"/>
      <c r="DWD43" s="214"/>
      <c r="DWE43" s="214"/>
      <c r="DWF43" s="214"/>
      <c r="DWG43" s="214"/>
      <c r="DWH43" s="214"/>
      <c r="DWI43" s="214"/>
      <c r="DWJ43" s="214"/>
      <c r="DWK43" s="214"/>
      <c r="DWL43" s="214"/>
      <c r="DWM43" s="214"/>
      <c r="DWN43" s="214"/>
      <c r="DWO43" s="214"/>
      <c r="DWP43" s="214"/>
      <c r="DWQ43" s="214"/>
      <c r="DWR43" s="214"/>
      <c r="DWS43" s="214"/>
      <c r="DWT43" s="214"/>
      <c r="DWU43" s="214"/>
      <c r="DWV43" s="214"/>
      <c r="DWW43" s="214"/>
      <c r="DWX43" s="214"/>
      <c r="DWY43" s="214"/>
      <c r="DWZ43" s="214"/>
      <c r="DXA43" s="214"/>
      <c r="DXB43" s="214"/>
      <c r="DXC43" s="214"/>
      <c r="DXD43" s="214"/>
      <c r="DXE43" s="214"/>
      <c r="DXF43" s="214"/>
      <c r="DXG43" s="214"/>
      <c r="DXH43" s="214"/>
      <c r="DXI43" s="214"/>
      <c r="DXJ43" s="214"/>
      <c r="DXK43" s="214"/>
      <c r="DXL43" s="214"/>
      <c r="DXM43" s="214"/>
      <c r="DXN43" s="214"/>
      <c r="DXO43" s="214"/>
      <c r="DXP43" s="214"/>
      <c r="DXQ43" s="214"/>
      <c r="DXR43" s="214"/>
      <c r="DXS43" s="214"/>
      <c r="DXT43" s="214"/>
      <c r="DXU43" s="214"/>
      <c r="DXV43" s="214"/>
      <c r="DXW43" s="214"/>
      <c r="DXX43" s="214"/>
      <c r="DXY43" s="214"/>
      <c r="DXZ43" s="214"/>
      <c r="DYA43" s="214"/>
      <c r="DYB43" s="214"/>
      <c r="DYC43" s="214"/>
      <c r="DYD43" s="214"/>
      <c r="DYE43" s="214"/>
      <c r="DYF43" s="214"/>
      <c r="DYG43" s="214"/>
      <c r="DYH43" s="214"/>
      <c r="DYI43" s="214"/>
      <c r="DYJ43" s="214"/>
      <c r="DYK43" s="214"/>
      <c r="DYL43" s="214"/>
      <c r="DYM43" s="214"/>
      <c r="DYN43" s="214"/>
      <c r="DYO43" s="214"/>
      <c r="DYP43" s="214"/>
      <c r="DYQ43" s="214"/>
      <c r="DYR43" s="214"/>
      <c r="DYS43" s="214"/>
      <c r="DYT43" s="214"/>
      <c r="DYU43" s="214"/>
      <c r="DYV43" s="214"/>
      <c r="DYW43" s="214"/>
      <c r="DYX43" s="214"/>
      <c r="DYY43" s="214"/>
      <c r="DYZ43" s="214"/>
      <c r="DZA43" s="214"/>
      <c r="DZB43" s="214"/>
      <c r="DZC43" s="214"/>
      <c r="DZD43" s="214"/>
      <c r="DZE43" s="214"/>
      <c r="DZF43" s="214"/>
      <c r="DZG43" s="214"/>
      <c r="DZH43" s="214"/>
      <c r="DZI43" s="214"/>
      <c r="DZJ43" s="214"/>
      <c r="DZK43" s="214"/>
      <c r="DZL43" s="214"/>
      <c r="DZM43" s="214"/>
      <c r="DZN43" s="214"/>
      <c r="DZO43" s="214"/>
      <c r="DZP43" s="214"/>
      <c r="DZQ43" s="214"/>
      <c r="DZR43" s="214"/>
      <c r="DZS43" s="214"/>
      <c r="DZT43" s="214"/>
      <c r="DZU43" s="214"/>
      <c r="DZV43" s="214"/>
      <c r="DZW43" s="214"/>
      <c r="DZX43" s="214"/>
      <c r="DZY43" s="214"/>
      <c r="DZZ43" s="214"/>
      <c r="EAA43" s="214"/>
      <c r="EAB43" s="214"/>
      <c r="EAC43" s="214"/>
      <c r="EAD43" s="214"/>
      <c r="EAE43" s="214"/>
      <c r="EAF43" s="214"/>
      <c r="EAG43" s="214"/>
      <c r="EAH43" s="214"/>
      <c r="EAI43" s="214"/>
      <c r="EAJ43" s="214"/>
      <c r="EAK43" s="214"/>
      <c r="EAL43" s="214"/>
      <c r="EAM43" s="214"/>
      <c r="EAN43" s="214"/>
      <c r="EAO43" s="214"/>
      <c r="EAP43" s="214"/>
      <c r="EAQ43" s="214"/>
      <c r="EAR43" s="214"/>
      <c r="EAS43" s="214"/>
      <c r="EAT43" s="214"/>
      <c r="EAU43" s="214"/>
      <c r="EAV43" s="214"/>
      <c r="EAW43" s="214"/>
      <c r="EAX43" s="214"/>
      <c r="EAY43" s="214"/>
      <c r="EAZ43" s="214"/>
      <c r="EBA43" s="214"/>
      <c r="EBB43" s="214"/>
      <c r="EBC43" s="214"/>
      <c r="EBD43" s="214"/>
      <c r="EBE43" s="214"/>
      <c r="EBF43" s="214"/>
      <c r="EBG43" s="214"/>
      <c r="EBH43" s="214"/>
      <c r="EBI43" s="214"/>
      <c r="EBJ43" s="214"/>
      <c r="EBK43" s="214"/>
      <c r="EBL43" s="214"/>
      <c r="EBM43" s="214"/>
      <c r="EBN43" s="214"/>
      <c r="EBO43" s="214"/>
      <c r="EBP43" s="214"/>
      <c r="EBQ43" s="214"/>
      <c r="EBR43" s="214"/>
      <c r="EBS43" s="214"/>
      <c r="EBT43" s="214"/>
      <c r="EBU43" s="214"/>
      <c r="EBV43" s="214"/>
      <c r="EBW43" s="214"/>
      <c r="EBX43" s="214"/>
      <c r="EBY43" s="214"/>
      <c r="EBZ43" s="214"/>
      <c r="ECA43" s="214"/>
      <c r="ECB43" s="214"/>
      <c r="ECC43" s="214"/>
      <c r="ECD43" s="214"/>
      <c r="ECE43" s="214"/>
      <c r="ECF43" s="214"/>
      <c r="ECG43" s="214"/>
      <c r="ECH43" s="214"/>
      <c r="ECI43" s="214"/>
      <c r="ECJ43" s="214"/>
      <c r="ECK43" s="214"/>
      <c r="ECL43" s="214"/>
      <c r="ECM43" s="214"/>
      <c r="ECN43" s="214"/>
      <c r="ECO43" s="214"/>
      <c r="ECP43" s="214"/>
      <c r="ECQ43" s="214"/>
      <c r="ECR43" s="214"/>
      <c r="ECS43" s="214"/>
      <c r="ECT43" s="214"/>
      <c r="ECU43" s="214"/>
      <c r="ECV43" s="214"/>
      <c r="ECW43" s="214"/>
      <c r="ECX43" s="214"/>
      <c r="ECY43" s="214"/>
      <c r="ECZ43" s="214"/>
      <c r="EDA43" s="214"/>
      <c r="EDB43" s="214"/>
      <c r="EDC43" s="214"/>
      <c r="EDD43" s="214"/>
      <c r="EDE43" s="214"/>
      <c r="EDF43" s="214"/>
      <c r="EDG43" s="214"/>
      <c r="EDH43" s="214"/>
      <c r="EDI43" s="214"/>
      <c r="EDJ43" s="214"/>
      <c r="EDK43" s="214"/>
      <c r="EDL43" s="214"/>
      <c r="EDM43" s="214"/>
      <c r="EDN43" s="214"/>
      <c r="EDO43" s="214"/>
      <c r="EDP43" s="214"/>
      <c r="EDQ43" s="214"/>
      <c r="EDR43" s="214"/>
      <c r="EDS43" s="214"/>
      <c r="EDT43" s="214"/>
      <c r="EDU43" s="214"/>
      <c r="EDV43" s="214"/>
      <c r="EDW43" s="214"/>
      <c r="EDX43" s="214"/>
      <c r="EDY43" s="214"/>
      <c r="EDZ43" s="214"/>
      <c r="EEA43" s="214"/>
      <c r="EEB43" s="214"/>
      <c r="EEC43" s="214"/>
      <c r="EED43" s="214"/>
      <c r="EEE43" s="214"/>
      <c r="EEF43" s="214"/>
      <c r="EEG43" s="214"/>
      <c r="EEH43" s="214"/>
      <c r="EEI43" s="214"/>
      <c r="EEJ43" s="214"/>
      <c r="EEK43" s="214"/>
      <c r="EEL43" s="214"/>
      <c r="EEM43" s="214"/>
      <c r="EEN43" s="214"/>
      <c r="EEO43" s="214"/>
      <c r="EEP43" s="214"/>
      <c r="EEQ43" s="214"/>
      <c r="EER43" s="214"/>
      <c r="EES43" s="214"/>
      <c r="EET43" s="214"/>
      <c r="EEU43" s="214"/>
      <c r="EEV43" s="214"/>
      <c r="EEW43" s="214"/>
      <c r="EEX43" s="214"/>
      <c r="EEY43" s="214"/>
      <c r="EEZ43" s="214"/>
      <c r="EFA43" s="214"/>
      <c r="EFB43" s="214"/>
      <c r="EFC43" s="214"/>
      <c r="EFD43" s="214"/>
      <c r="EFE43" s="214"/>
      <c r="EFF43" s="214"/>
      <c r="EFG43" s="214"/>
      <c r="EFH43" s="214"/>
      <c r="EFI43" s="214"/>
      <c r="EFJ43" s="214"/>
      <c r="EFK43" s="214"/>
      <c r="EFL43" s="214"/>
      <c r="EFM43" s="214"/>
      <c r="EFN43" s="214"/>
      <c r="EFO43" s="214"/>
      <c r="EFP43" s="214"/>
      <c r="EFQ43" s="214"/>
      <c r="EFR43" s="214"/>
      <c r="EFS43" s="214"/>
      <c r="EFT43" s="214"/>
      <c r="EFU43" s="214"/>
      <c r="EFV43" s="214"/>
      <c r="EFW43" s="214"/>
      <c r="EFX43" s="214"/>
      <c r="EFY43" s="214"/>
      <c r="EFZ43" s="214"/>
      <c r="EGA43" s="214"/>
      <c r="EGB43" s="214"/>
      <c r="EGC43" s="214"/>
      <c r="EGD43" s="214"/>
      <c r="EGE43" s="214"/>
      <c r="EGF43" s="214"/>
      <c r="EGG43" s="214"/>
      <c r="EGH43" s="214"/>
      <c r="EGI43" s="214"/>
      <c r="EGJ43" s="214"/>
      <c r="EGK43" s="214"/>
      <c r="EGL43" s="214"/>
      <c r="EGM43" s="214"/>
      <c r="EGN43" s="214"/>
      <c r="EGO43" s="214"/>
      <c r="EGP43" s="214"/>
      <c r="EGQ43" s="214"/>
      <c r="EGR43" s="214"/>
      <c r="EGS43" s="214"/>
      <c r="EGT43" s="214"/>
      <c r="EGU43" s="214"/>
      <c r="EGV43" s="214"/>
      <c r="EGW43" s="214"/>
      <c r="EGX43" s="214"/>
      <c r="EGY43" s="214"/>
      <c r="EGZ43" s="214"/>
      <c r="EHA43" s="214"/>
      <c r="EHB43" s="214"/>
      <c r="EHC43" s="214"/>
      <c r="EHD43" s="214"/>
      <c r="EHE43" s="214"/>
      <c r="EHF43" s="214"/>
      <c r="EHG43" s="214"/>
      <c r="EHH43" s="214"/>
      <c r="EHI43" s="214"/>
      <c r="EHJ43" s="214"/>
      <c r="EHK43" s="214"/>
      <c r="EHL43" s="214"/>
      <c r="EHM43" s="214"/>
      <c r="EHN43" s="214"/>
      <c r="EHO43" s="214"/>
      <c r="EHP43" s="214"/>
      <c r="EHQ43" s="214"/>
      <c r="EHR43" s="214"/>
      <c r="EHS43" s="214"/>
      <c r="EHT43" s="214"/>
      <c r="EHU43" s="214"/>
      <c r="EHV43" s="214"/>
      <c r="EHW43" s="214"/>
      <c r="EHX43" s="214"/>
      <c r="EHY43" s="214"/>
      <c r="EHZ43" s="214"/>
      <c r="EIA43" s="214"/>
      <c r="EIB43" s="214"/>
      <c r="EIC43" s="214"/>
      <c r="EID43" s="214"/>
      <c r="EIE43" s="214"/>
      <c r="EIF43" s="214"/>
      <c r="EIG43" s="214"/>
      <c r="EIH43" s="214"/>
      <c r="EII43" s="214"/>
      <c r="EIJ43" s="214"/>
      <c r="EIK43" s="214"/>
      <c r="EIL43" s="214"/>
      <c r="EIM43" s="214"/>
      <c r="EIN43" s="214"/>
      <c r="EIO43" s="214"/>
      <c r="EIP43" s="214"/>
      <c r="EIQ43" s="214"/>
      <c r="EIR43" s="214"/>
      <c r="EIS43" s="214"/>
      <c r="EIT43" s="214"/>
      <c r="EIU43" s="214"/>
      <c r="EIV43" s="214"/>
      <c r="EIW43" s="214"/>
      <c r="EIX43" s="214"/>
      <c r="EIY43" s="214"/>
      <c r="EIZ43" s="214"/>
      <c r="EJA43" s="214"/>
      <c r="EJB43" s="214"/>
      <c r="EJC43" s="214"/>
      <c r="EJD43" s="214"/>
      <c r="EJE43" s="214"/>
      <c r="EJF43" s="214"/>
      <c r="EJG43" s="214"/>
      <c r="EJH43" s="214"/>
      <c r="EJI43" s="214"/>
      <c r="EJJ43" s="214"/>
      <c r="EJK43" s="214"/>
      <c r="EJL43" s="214"/>
      <c r="EJM43" s="214"/>
      <c r="EJN43" s="214"/>
      <c r="EJO43" s="214"/>
      <c r="EJP43" s="214"/>
      <c r="EJQ43" s="214"/>
      <c r="EJR43" s="214"/>
      <c r="EJS43" s="214"/>
      <c r="EJT43" s="214"/>
      <c r="EJU43" s="214"/>
      <c r="EJV43" s="214"/>
      <c r="EJW43" s="214"/>
      <c r="EJX43" s="214"/>
      <c r="EJY43" s="214"/>
      <c r="EJZ43" s="214"/>
      <c r="EKA43" s="214"/>
      <c r="EKB43" s="214"/>
      <c r="EKC43" s="214"/>
      <c r="EKD43" s="214"/>
      <c r="EKE43" s="214"/>
      <c r="EKF43" s="214"/>
      <c r="EKG43" s="214"/>
      <c r="EKH43" s="214"/>
      <c r="EKI43" s="214"/>
      <c r="EKJ43" s="214"/>
      <c r="EKK43" s="214"/>
      <c r="EKL43" s="214"/>
      <c r="EKM43" s="214"/>
      <c r="EKN43" s="214"/>
      <c r="EKO43" s="214"/>
      <c r="EKP43" s="214"/>
      <c r="EKQ43" s="214"/>
      <c r="EKR43" s="214"/>
      <c r="EKS43" s="214"/>
      <c r="EKT43" s="214"/>
      <c r="EKU43" s="214"/>
      <c r="EKV43" s="214"/>
      <c r="EKW43" s="214"/>
      <c r="EKX43" s="214"/>
      <c r="EKY43" s="214"/>
      <c r="EKZ43" s="214"/>
      <c r="ELA43" s="214"/>
      <c r="ELB43" s="214"/>
      <c r="ELC43" s="214"/>
      <c r="ELD43" s="214"/>
      <c r="ELE43" s="214"/>
      <c r="ELF43" s="214"/>
      <c r="ELG43" s="214"/>
      <c r="ELH43" s="214"/>
      <c r="ELI43" s="214"/>
      <c r="ELJ43" s="214"/>
      <c r="ELK43" s="214"/>
      <c r="ELL43" s="214"/>
      <c r="ELM43" s="214"/>
      <c r="ELN43" s="214"/>
      <c r="ELO43" s="214"/>
      <c r="ELP43" s="214"/>
      <c r="ELQ43" s="214"/>
      <c r="ELR43" s="214"/>
      <c r="ELS43" s="214"/>
      <c r="ELT43" s="214"/>
      <c r="ELU43" s="214"/>
      <c r="ELV43" s="214"/>
      <c r="ELW43" s="214"/>
      <c r="ELX43" s="214"/>
      <c r="ELY43" s="214"/>
      <c r="ELZ43" s="214"/>
      <c r="EMA43" s="214"/>
      <c r="EMB43" s="214"/>
      <c r="EMC43" s="214"/>
      <c r="EMD43" s="214"/>
      <c r="EME43" s="214"/>
      <c r="EMF43" s="214"/>
      <c r="EMG43" s="214"/>
      <c r="EMH43" s="214"/>
      <c r="EMI43" s="214"/>
      <c r="EMJ43" s="214"/>
      <c r="EMK43" s="214"/>
      <c r="EML43" s="214"/>
      <c r="EMM43" s="214"/>
      <c r="EMN43" s="214"/>
      <c r="EMO43" s="214"/>
      <c r="EMP43" s="214"/>
      <c r="EMQ43" s="214"/>
      <c r="EMR43" s="214"/>
      <c r="EMS43" s="214"/>
      <c r="EMT43" s="214"/>
      <c r="EMU43" s="214"/>
      <c r="EMV43" s="214"/>
      <c r="EMW43" s="214"/>
      <c r="EMX43" s="214"/>
      <c r="EMY43" s="214"/>
      <c r="EMZ43" s="214"/>
      <c r="ENA43" s="214"/>
      <c r="ENB43" s="214"/>
      <c r="ENC43" s="214"/>
      <c r="END43" s="214"/>
      <c r="ENE43" s="214"/>
      <c r="ENF43" s="214"/>
      <c r="ENG43" s="214"/>
      <c r="ENH43" s="214"/>
      <c r="ENI43" s="214"/>
      <c r="ENJ43" s="214"/>
      <c r="ENK43" s="214"/>
      <c r="ENL43" s="214"/>
      <c r="ENM43" s="214"/>
      <c r="ENN43" s="214"/>
      <c r="ENO43" s="214"/>
      <c r="ENP43" s="214"/>
      <c r="ENQ43" s="214"/>
      <c r="ENR43" s="214"/>
      <c r="ENS43" s="214"/>
      <c r="ENT43" s="214"/>
      <c r="ENU43" s="214"/>
      <c r="ENV43" s="214"/>
      <c r="ENW43" s="214"/>
      <c r="ENX43" s="214"/>
      <c r="ENY43" s="214"/>
      <c r="ENZ43" s="214"/>
      <c r="EOA43" s="214"/>
      <c r="EOB43" s="214"/>
      <c r="EOC43" s="214"/>
      <c r="EOD43" s="214"/>
      <c r="EOE43" s="214"/>
      <c r="EOF43" s="214"/>
      <c r="EOG43" s="214"/>
      <c r="EOH43" s="214"/>
      <c r="EOI43" s="214"/>
      <c r="EOJ43" s="214"/>
      <c r="EOK43" s="214"/>
      <c r="EOL43" s="214"/>
      <c r="EOM43" s="214"/>
      <c r="EON43" s="214"/>
      <c r="EOO43" s="214"/>
      <c r="EOP43" s="214"/>
      <c r="EOQ43" s="214"/>
      <c r="EOR43" s="214"/>
      <c r="EOS43" s="214"/>
      <c r="EOT43" s="214"/>
      <c r="EOU43" s="214"/>
      <c r="EOV43" s="214"/>
      <c r="EOW43" s="214"/>
      <c r="EOX43" s="214"/>
      <c r="EOY43" s="214"/>
      <c r="EOZ43" s="214"/>
      <c r="EPA43" s="214"/>
      <c r="EPB43" s="214"/>
      <c r="EPC43" s="214"/>
      <c r="EPD43" s="214"/>
      <c r="EPE43" s="214"/>
      <c r="EPF43" s="214"/>
      <c r="EPG43" s="214"/>
      <c r="EPH43" s="214"/>
      <c r="EPI43" s="214"/>
      <c r="EPJ43" s="214"/>
      <c r="EPK43" s="214"/>
      <c r="EPL43" s="214"/>
      <c r="EPM43" s="214"/>
      <c r="EPN43" s="214"/>
      <c r="EPO43" s="214"/>
      <c r="EPP43" s="214"/>
      <c r="EPQ43" s="214"/>
      <c r="EPR43" s="214"/>
      <c r="EPS43" s="214"/>
      <c r="EPT43" s="214"/>
      <c r="EPU43" s="214"/>
      <c r="EPV43" s="214"/>
      <c r="EPW43" s="214"/>
      <c r="EPX43" s="214"/>
      <c r="EPY43" s="214"/>
      <c r="EPZ43" s="214"/>
      <c r="EQA43" s="214"/>
      <c r="EQB43" s="214"/>
      <c r="EQC43" s="214"/>
      <c r="EQD43" s="214"/>
      <c r="EQE43" s="214"/>
      <c r="EQF43" s="214"/>
      <c r="EQG43" s="214"/>
      <c r="EQH43" s="214"/>
      <c r="EQI43" s="214"/>
      <c r="EQJ43" s="214"/>
      <c r="EQK43" s="214"/>
      <c r="EQL43" s="214"/>
      <c r="EQM43" s="214"/>
      <c r="EQN43" s="214"/>
      <c r="EQO43" s="214"/>
      <c r="EQP43" s="214"/>
      <c r="EQQ43" s="214"/>
      <c r="EQR43" s="214"/>
      <c r="EQS43" s="214"/>
      <c r="EQT43" s="214"/>
      <c r="EQU43" s="214"/>
      <c r="EQV43" s="214"/>
      <c r="EQW43" s="214"/>
      <c r="EQX43" s="214"/>
      <c r="EQY43" s="214"/>
      <c r="EQZ43" s="214"/>
      <c r="ERA43" s="214"/>
      <c r="ERB43" s="214"/>
      <c r="ERC43" s="214"/>
      <c r="ERD43" s="214"/>
      <c r="ERE43" s="214"/>
      <c r="ERF43" s="214"/>
      <c r="ERG43" s="214"/>
      <c r="ERH43" s="214"/>
      <c r="ERI43" s="214"/>
      <c r="ERJ43" s="214"/>
      <c r="ERK43" s="214"/>
      <c r="ERL43" s="214"/>
      <c r="ERM43" s="214"/>
      <c r="ERN43" s="214"/>
      <c r="ERO43" s="214"/>
      <c r="ERP43" s="214"/>
      <c r="ERQ43" s="214"/>
      <c r="ERR43" s="214"/>
      <c r="ERS43" s="214"/>
      <c r="ERT43" s="214"/>
      <c r="ERU43" s="214"/>
      <c r="ERV43" s="214"/>
      <c r="ERW43" s="214"/>
      <c r="ERX43" s="214"/>
      <c r="ERY43" s="214"/>
      <c r="ERZ43" s="214"/>
      <c r="ESA43" s="214"/>
      <c r="ESB43" s="214"/>
      <c r="ESC43" s="214"/>
      <c r="ESD43" s="214"/>
      <c r="ESE43" s="214"/>
      <c r="ESF43" s="214"/>
      <c r="ESG43" s="214"/>
      <c r="ESH43" s="214"/>
      <c r="ESI43" s="214"/>
      <c r="ESJ43" s="214"/>
      <c r="ESK43" s="214"/>
      <c r="ESL43" s="214"/>
      <c r="ESM43" s="214"/>
      <c r="ESN43" s="214"/>
      <c r="ESO43" s="214"/>
      <c r="ESP43" s="214"/>
      <c r="ESQ43" s="214"/>
      <c r="ESR43" s="214"/>
      <c r="ESS43" s="214"/>
      <c r="EST43" s="214"/>
      <c r="ESU43" s="214"/>
      <c r="ESV43" s="214"/>
      <c r="ESW43" s="214"/>
      <c r="ESX43" s="214"/>
      <c r="ESY43" s="214"/>
      <c r="ESZ43" s="214"/>
      <c r="ETA43" s="214"/>
      <c r="ETB43" s="214"/>
      <c r="ETC43" s="214"/>
      <c r="ETD43" s="214"/>
      <c r="ETE43" s="214"/>
      <c r="ETF43" s="214"/>
      <c r="ETG43" s="214"/>
      <c r="ETH43" s="214"/>
      <c r="ETI43" s="214"/>
      <c r="ETJ43" s="214"/>
      <c r="ETK43" s="214"/>
      <c r="ETL43" s="214"/>
      <c r="ETM43" s="214"/>
      <c r="ETN43" s="214"/>
      <c r="ETO43" s="214"/>
      <c r="ETP43" s="214"/>
      <c r="ETQ43" s="214"/>
      <c r="ETR43" s="214"/>
      <c r="ETS43" s="214"/>
      <c r="ETT43" s="214"/>
      <c r="ETU43" s="214"/>
      <c r="ETV43" s="214"/>
      <c r="ETW43" s="214"/>
      <c r="ETX43" s="214"/>
      <c r="ETY43" s="214"/>
      <c r="ETZ43" s="214"/>
      <c r="EUA43" s="214"/>
      <c r="EUB43" s="214"/>
      <c r="EUC43" s="214"/>
      <c r="EUD43" s="214"/>
      <c r="EUE43" s="214"/>
      <c r="EUF43" s="214"/>
      <c r="EUG43" s="214"/>
      <c r="EUH43" s="214"/>
      <c r="EUI43" s="214"/>
      <c r="EUJ43" s="214"/>
      <c r="EUK43" s="214"/>
      <c r="EUL43" s="214"/>
      <c r="EUM43" s="214"/>
      <c r="EUN43" s="214"/>
      <c r="EUO43" s="214"/>
      <c r="EUP43" s="214"/>
      <c r="EUQ43" s="214"/>
      <c r="EUR43" s="214"/>
      <c r="EUS43" s="214"/>
      <c r="EUT43" s="214"/>
      <c r="EUU43" s="214"/>
      <c r="EUV43" s="214"/>
      <c r="EUW43" s="214"/>
      <c r="EUX43" s="214"/>
      <c r="EUY43" s="214"/>
      <c r="EUZ43" s="214"/>
      <c r="EVA43" s="214"/>
      <c r="EVB43" s="214"/>
      <c r="EVC43" s="214"/>
      <c r="EVD43" s="214"/>
      <c r="EVE43" s="214"/>
      <c r="EVF43" s="214"/>
      <c r="EVG43" s="214"/>
      <c r="EVH43" s="214"/>
      <c r="EVI43" s="214"/>
      <c r="EVJ43" s="214"/>
      <c r="EVK43" s="214"/>
      <c r="EVL43" s="214"/>
      <c r="EVM43" s="214"/>
      <c r="EVN43" s="214"/>
      <c r="EVO43" s="214"/>
      <c r="EVP43" s="214"/>
      <c r="EVQ43" s="214"/>
      <c r="EVR43" s="214"/>
      <c r="EVS43" s="214"/>
      <c r="EVT43" s="214"/>
      <c r="EVU43" s="214"/>
      <c r="EVV43" s="214"/>
      <c r="EVW43" s="214"/>
      <c r="EVX43" s="214"/>
      <c r="EVY43" s="214"/>
      <c r="EVZ43" s="214"/>
      <c r="EWA43" s="214"/>
      <c r="EWB43" s="214"/>
      <c r="EWC43" s="214"/>
      <c r="EWD43" s="214"/>
      <c r="EWE43" s="214"/>
      <c r="EWF43" s="214"/>
      <c r="EWG43" s="214"/>
      <c r="EWH43" s="214"/>
      <c r="EWI43" s="214"/>
      <c r="EWJ43" s="214"/>
      <c r="EWK43" s="214"/>
      <c r="EWL43" s="214"/>
      <c r="EWM43" s="214"/>
      <c r="EWN43" s="214"/>
      <c r="EWO43" s="214"/>
      <c r="EWP43" s="214"/>
      <c r="EWQ43" s="214"/>
      <c r="EWR43" s="214"/>
      <c r="EWS43" s="214"/>
      <c r="EWT43" s="214"/>
      <c r="EWU43" s="214"/>
      <c r="EWV43" s="214"/>
      <c r="EWW43" s="214"/>
      <c r="EWX43" s="214"/>
      <c r="EWY43" s="214"/>
      <c r="EWZ43" s="214"/>
      <c r="EXA43" s="214"/>
      <c r="EXB43" s="214"/>
      <c r="EXC43" s="214"/>
      <c r="EXD43" s="214"/>
      <c r="EXE43" s="214"/>
      <c r="EXF43" s="214"/>
      <c r="EXG43" s="214"/>
      <c r="EXH43" s="214"/>
      <c r="EXI43" s="214"/>
      <c r="EXJ43" s="214"/>
      <c r="EXK43" s="214"/>
      <c r="EXL43" s="214"/>
      <c r="EXM43" s="214"/>
      <c r="EXN43" s="214"/>
      <c r="EXO43" s="214"/>
      <c r="EXP43" s="214"/>
      <c r="EXQ43" s="214"/>
      <c r="EXR43" s="214"/>
      <c r="EXS43" s="214"/>
      <c r="EXT43" s="214"/>
      <c r="EXU43" s="214"/>
      <c r="EXV43" s="214"/>
      <c r="EXW43" s="214"/>
      <c r="EXX43" s="214"/>
      <c r="EXY43" s="214"/>
      <c r="EXZ43" s="214"/>
      <c r="EYA43" s="214"/>
      <c r="EYB43" s="214"/>
      <c r="EYC43" s="214"/>
      <c r="EYD43" s="214"/>
      <c r="EYE43" s="214"/>
      <c r="EYF43" s="214"/>
      <c r="EYG43" s="214"/>
      <c r="EYH43" s="214"/>
      <c r="EYI43" s="214"/>
      <c r="EYJ43" s="214"/>
      <c r="EYK43" s="214"/>
      <c r="EYL43" s="214"/>
      <c r="EYM43" s="214"/>
      <c r="EYN43" s="214"/>
      <c r="EYO43" s="214"/>
      <c r="EYP43" s="214"/>
      <c r="EYQ43" s="214"/>
      <c r="EYR43" s="214"/>
      <c r="EYS43" s="214"/>
      <c r="EYT43" s="214"/>
      <c r="EYU43" s="214"/>
      <c r="EYV43" s="214"/>
      <c r="EYW43" s="214"/>
      <c r="EYX43" s="214"/>
      <c r="EYY43" s="214"/>
      <c r="EYZ43" s="214"/>
      <c r="EZA43" s="214"/>
      <c r="EZB43" s="214"/>
      <c r="EZC43" s="214"/>
      <c r="EZD43" s="214"/>
      <c r="EZE43" s="214"/>
      <c r="EZF43" s="214"/>
      <c r="EZG43" s="214"/>
      <c r="EZH43" s="214"/>
      <c r="EZI43" s="214"/>
      <c r="EZJ43" s="214"/>
      <c r="EZK43" s="214"/>
      <c r="EZL43" s="214"/>
      <c r="EZM43" s="214"/>
      <c r="EZN43" s="214"/>
      <c r="EZO43" s="214"/>
      <c r="EZP43" s="214"/>
      <c r="EZQ43" s="214"/>
      <c r="EZR43" s="214"/>
      <c r="EZS43" s="214"/>
      <c r="EZT43" s="214"/>
      <c r="EZU43" s="214"/>
      <c r="EZV43" s="214"/>
      <c r="EZW43" s="214"/>
      <c r="EZX43" s="214"/>
      <c r="EZY43" s="214"/>
      <c r="EZZ43" s="214"/>
      <c r="FAA43" s="214"/>
      <c r="FAB43" s="214"/>
      <c r="FAC43" s="214"/>
      <c r="FAD43" s="214"/>
      <c r="FAE43" s="214"/>
      <c r="FAF43" s="214"/>
      <c r="FAG43" s="214"/>
      <c r="FAH43" s="214"/>
      <c r="FAI43" s="214"/>
      <c r="FAJ43" s="214"/>
      <c r="FAK43" s="214"/>
      <c r="FAL43" s="214"/>
      <c r="FAM43" s="214"/>
      <c r="FAN43" s="214"/>
      <c r="FAO43" s="214"/>
      <c r="FAP43" s="214"/>
      <c r="FAQ43" s="214"/>
      <c r="FAR43" s="214"/>
      <c r="FAS43" s="214"/>
      <c r="FAT43" s="214"/>
      <c r="FAU43" s="214"/>
      <c r="FAV43" s="214"/>
      <c r="FAW43" s="214"/>
      <c r="FAX43" s="214"/>
      <c r="FAY43" s="214"/>
      <c r="FAZ43" s="214"/>
      <c r="FBA43" s="214"/>
      <c r="FBB43" s="214"/>
      <c r="FBC43" s="214"/>
      <c r="FBD43" s="214"/>
      <c r="FBE43" s="214"/>
      <c r="FBF43" s="214"/>
      <c r="FBG43" s="214"/>
      <c r="FBH43" s="214"/>
      <c r="FBI43" s="214"/>
      <c r="FBJ43" s="214"/>
      <c r="FBK43" s="214"/>
      <c r="FBL43" s="214"/>
      <c r="FBM43" s="214"/>
      <c r="FBN43" s="214"/>
      <c r="FBO43" s="214"/>
      <c r="FBP43" s="214"/>
      <c r="FBQ43" s="214"/>
      <c r="FBR43" s="214"/>
      <c r="FBS43" s="214"/>
      <c r="FBT43" s="214"/>
      <c r="FBU43" s="214"/>
      <c r="FBV43" s="214"/>
      <c r="FBW43" s="214"/>
      <c r="FBX43" s="214"/>
      <c r="FBY43" s="214"/>
      <c r="FBZ43" s="214"/>
      <c r="FCA43" s="214"/>
      <c r="FCB43" s="214"/>
      <c r="FCC43" s="214"/>
      <c r="FCD43" s="214"/>
      <c r="FCE43" s="214"/>
      <c r="FCF43" s="214"/>
      <c r="FCG43" s="214"/>
      <c r="FCH43" s="214"/>
      <c r="FCI43" s="214"/>
      <c r="FCJ43" s="214"/>
      <c r="FCK43" s="214"/>
      <c r="FCL43" s="214"/>
      <c r="FCM43" s="214"/>
      <c r="FCN43" s="214"/>
      <c r="FCO43" s="214"/>
      <c r="FCP43" s="214"/>
      <c r="FCQ43" s="214"/>
      <c r="FCR43" s="214"/>
      <c r="FCS43" s="214"/>
      <c r="FCT43" s="214"/>
      <c r="FCU43" s="214"/>
      <c r="FCV43" s="214"/>
      <c r="FCW43" s="214"/>
      <c r="FCX43" s="214"/>
      <c r="FCY43" s="214"/>
      <c r="FCZ43" s="214"/>
      <c r="FDA43" s="214"/>
      <c r="FDB43" s="214"/>
      <c r="FDC43" s="214"/>
      <c r="FDD43" s="214"/>
      <c r="FDE43" s="214"/>
      <c r="FDF43" s="214"/>
      <c r="FDG43" s="214"/>
      <c r="FDH43" s="214"/>
      <c r="FDI43" s="214"/>
      <c r="FDJ43" s="214"/>
      <c r="FDK43" s="214"/>
      <c r="FDL43" s="214"/>
      <c r="FDM43" s="214"/>
      <c r="FDN43" s="214"/>
      <c r="FDO43" s="214"/>
      <c r="FDP43" s="214"/>
      <c r="FDQ43" s="214"/>
      <c r="FDR43" s="214"/>
      <c r="FDS43" s="214"/>
      <c r="FDT43" s="214"/>
      <c r="FDU43" s="214"/>
      <c r="FDV43" s="214"/>
      <c r="FDW43" s="214"/>
      <c r="FDX43" s="214"/>
      <c r="FDY43" s="214"/>
      <c r="FDZ43" s="214"/>
      <c r="FEA43" s="214"/>
      <c r="FEB43" s="214"/>
      <c r="FEC43" s="214"/>
      <c r="FED43" s="214"/>
      <c r="FEE43" s="214"/>
      <c r="FEF43" s="214"/>
      <c r="FEG43" s="214"/>
      <c r="FEH43" s="214"/>
      <c r="FEI43" s="214"/>
      <c r="FEJ43" s="214"/>
      <c r="FEK43" s="214"/>
      <c r="FEL43" s="214"/>
      <c r="FEM43" s="214"/>
      <c r="FEN43" s="214"/>
      <c r="FEO43" s="214"/>
      <c r="FEP43" s="214"/>
      <c r="FEQ43" s="214"/>
      <c r="FER43" s="214"/>
      <c r="FES43" s="214"/>
      <c r="FET43" s="214"/>
      <c r="FEU43" s="214"/>
      <c r="FEV43" s="214"/>
      <c r="FEW43" s="214"/>
      <c r="FEX43" s="214"/>
      <c r="FEY43" s="214"/>
      <c r="FEZ43" s="214"/>
      <c r="FFA43" s="214"/>
      <c r="FFB43" s="214"/>
      <c r="FFC43" s="214"/>
      <c r="FFD43" s="214"/>
      <c r="FFE43" s="214"/>
      <c r="FFF43" s="214"/>
      <c r="FFG43" s="214"/>
      <c r="FFH43" s="214"/>
      <c r="FFI43" s="214"/>
      <c r="FFJ43" s="214"/>
      <c r="FFK43" s="214"/>
      <c r="FFL43" s="214"/>
      <c r="FFM43" s="214"/>
      <c r="FFN43" s="214"/>
      <c r="FFO43" s="214"/>
      <c r="FFP43" s="214"/>
      <c r="FFQ43" s="214"/>
      <c r="FFR43" s="214"/>
      <c r="FFS43" s="214"/>
      <c r="FFT43" s="214"/>
      <c r="FFU43" s="214"/>
      <c r="FFV43" s="214"/>
      <c r="FFW43" s="214"/>
      <c r="FFX43" s="214"/>
      <c r="FFY43" s="214"/>
      <c r="FFZ43" s="214"/>
      <c r="FGA43" s="214"/>
      <c r="FGB43" s="214"/>
      <c r="FGC43" s="214"/>
      <c r="FGD43" s="214"/>
      <c r="FGE43" s="214"/>
      <c r="FGF43" s="214"/>
      <c r="FGG43" s="214"/>
      <c r="FGH43" s="214"/>
      <c r="FGI43" s="214"/>
      <c r="FGJ43" s="214"/>
      <c r="FGK43" s="214"/>
      <c r="FGL43" s="214"/>
      <c r="FGM43" s="214"/>
      <c r="FGN43" s="214"/>
      <c r="FGO43" s="214"/>
      <c r="FGP43" s="214"/>
      <c r="FGQ43" s="214"/>
      <c r="FGR43" s="214"/>
      <c r="FGS43" s="214"/>
      <c r="FGT43" s="214"/>
      <c r="FGU43" s="214"/>
      <c r="FGV43" s="214"/>
      <c r="FGW43" s="214"/>
      <c r="FGX43" s="214"/>
      <c r="FGY43" s="214"/>
      <c r="FGZ43" s="214"/>
      <c r="FHA43" s="214"/>
      <c r="FHB43" s="214"/>
      <c r="FHC43" s="214"/>
      <c r="FHD43" s="214"/>
      <c r="FHE43" s="214"/>
      <c r="FHF43" s="214"/>
      <c r="FHG43" s="214"/>
      <c r="FHH43" s="214"/>
      <c r="FHI43" s="214"/>
      <c r="FHJ43" s="214"/>
      <c r="FHK43" s="214"/>
      <c r="FHL43" s="214"/>
      <c r="FHM43" s="214"/>
      <c r="FHN43" s="214"/>
      <c r="FHO43" s="214"/>
      <c r="FHP43" s="214"/>
      <c r="FHQ43" s="214"/>
      <c r="FHR43" s="214"/>
      <c r="FHS43" s="214"/>
      <c r="FHT43" s="214"/>
      <c r="FHU43" s="214"/>
      <c r="FHV43" s="214"/>
      <c r="FHW43" s="214"/>
      <c r="FHX43" s="214"/>
      <c r="FHY43" s="214"/>
      <c r="FHZ43" s="214"/>
      <c r="FIA43" s="214"/>
      <c r="FIB43" s="214"/>
      <c r="FIC43" s="214"/>
      <c r="FID43" s="214"/>
      <c r="FIE43" s="214"/>
      <c r="FIF43" s="214"/>
      <c r="FIG43" s="214"/>
      <c r="FIH43" s="214"/>
      <c r="FII43" s="214"/>
      <c r="FIJ43" s="214"/>
      <c r="FIK43" s="214"/>
      <c r="FIL43" s="214"/>
      <c r="FIM43" s="214"/>
      <c r="FIN43" s="214"/>
      <c r="FIO43" s="214"/>
      <c r="FIP43" s="214"/>
      <c r="FIQ43" s="214"/>
      <c r="FIR43" s="214"/>
      <c r="FIS43" s="214"/>
      <c r="FIT43" s="214"/>
      <c r="FIU43" s="214"/>
      <c r="FIV43" s="214"/>
      <c r="FIW43" s="214"/>
      <c r="FIX43" s="214"/>
      <c r="FIY43" s="214"/>
      <c r="FIZ43" s="214"/>
      <c r="FJA43" s="214"/>
      <c r="FJB43" s="214"/>
      <c r="FJC43" s="214"/>
      <c r="FJD43" s="214"/>
      <c r="FJE43" s="214"/>
      <c r="FJF43" s="214"/>
      <c r="FJG43" s="214"/>
      <c r="FJH43" s="214"/>
      <c r="FJI43" s="214"/>
      <c r="FJJ43" s="214"/>
      <c r="FJK43" s="214"/>
      <c r="FJL43" s="214"/>
      <c r="FJM43" s="214"/>
      <c r="FJN43" s="214"/>
      <c r="FJO43" s="214"/>
      <c r="FJP43" s="214"/>
      <c r="FJQ43" s="214"/>
      <c r="FJR43" s="214"/>
      <c r="FJS43" s="214"/>
      <c r="FJT43" s="214"/>
      <c r="FJU43" s="214"/>
      <c r="FJV43" s="214"/>
      <c r="FJW43" s="214"/>
      <c r="FJX43" s="214"/>
      <c r="FJY43" s="214"/>
      <c r="FJZ43" s="214"/>
      <c r="FKA43" s="214"/>
      <c r="FKB43" s="214"/>
      <c r="FKC43" s="214"/>
      <c r="FKD43" s="214"/>
      <c r="FKE43" s="214"/>
      <c r="FKF43" s="214"/>
      <c r="FKG43" s="214"/>
      <c r="FKH43" s="214"/>
      <c r="FKI43" s="214"/>
      <c r="FKJ43" s="214"/>
      <c r="FKK43" s="214"/>
      <c r="FKL43" s="214"/>
      <c r="FKM43" s="214"/>
      <c r="FKN43" s="214"/>
      <c r="FKO43" s="214"/>
      <c r="FKP43" s="214"/>
      <c r="FKQ43" s="214"/>
      <c r="FKR43" s="214"/>
      <c r="FKS43" s="214"/>
      <c r="FKT43" s="214"/>
      <c r="FKU43" s="214"/>
      <c r="FKV43" s="214"/>
      <c r="FKW43" s="214"/>
      <c r="FKX43" s="214"/>
      <c r="FKY43" s="214"/>
      <c r="FKZ43" s="214"/>
      <c r="FLA43" s="214"/>
      <c r="FLB43" s="214"/>
      <c r="FLC43" s="214"/>
      <c r="FLD43" s="214"/>
      <c r="FLE43" s="214"/>
      <c r="FLF43" s="214"/>
      <c r="FLG43" s="214"/>
      <c r="FLH43" s="214"/>
      <c r="FLI43" s="214"/>
      <c r="FLJ43" s="214"/>
      <c r="FLK43" s="214"/>
      <c r="FLL43" s="214"/>
      <c r="FLM43" s="214"/>
      <c r="FLN43" s="214"/>
      <c r="FLO43" s="214"/>
      <c r="FLP43" s="214"/>
      <c r="FLQ43" s="214"/>
      <c r="FLR43" s="214"/>
      <c r="FLS43" s="214"/>
      <c r="FLT43" s="214"/>
      <c r="FLU43" s="214"/>
      <c r="FLV43" s="214"/>
      <c r="FLW43" s="214"/>
      <c r="FLX43" s="214"/>
      <c r="FLY43" s="214"/>
      <c r="FLZ43" s="214"/>
      <c r="FMA43" s="214"/>
      <c r="FMB43" s="214"/>
      <c r="FMC43" s="214"/>
      <c r="FMD43" s="214"/>
      <c r="FME43" s="214"/>
      <c r="FMF43" s="214"/>
      <c r="FMG43" s="214"/>
      <c r="FMH43" s="214"/>
      <c r="FMI43" s="214"/>
      <c r="FMJ43" s="214"/>
      <c r="FMK43" s="214"/>
      <c r="FML43" s="214"/>
      <c r="FMM43" s="214"/>
      <c r="FMN43" s="214"/>
      <c r="FMO43" s="214"/>
      <c r="FMP43" s="214"/>
      <c r="FMQ43" s="214"/>
      <c r="FMR43" s="214"/>
      <c r="FMS43" s="214"/>
      <c r="FMT43" s="214"/>
      <c r="FMU43" s="214"/>
      <c r="FMV43" s="214"/>
      <c r="FMW43" s="214"/>
      <c r="FMX43" s="214"/>
      <c r="FMY43" s="214"/>
      <c r="FMZ43" s="214"/>
      <c r="FNA43" s="214"/>
      <c r="FNB43" s="214"/>
      <c r="FNC43" s="214"/>
      <c r="FND43" s="214"/>
      <c r="FNE43" s="214"/>
      <c r="FNF43" s="214"/>
      <c r="FNG43" s="214"/>
      <c r="FNH43" s="214"/>
      <c r="FNI43" s="214"/>
      <c r="FNJ43" s="214"/>
      <c r="FNK43" s="214"/>
      <c r="FNL43" s="214"/>
      <c r="FNM43" s="214"/>
      <c r="FNN43" s="214"/>
      <c r="FNO43" s="214"/>
      <c r="FNP43" s="214"/>
      <c r="FNQ43" s="214"/>
      <c r="FNR43" s="214"/>
      <c r="FNS43" s="214"/>
      <c r="FNT43" s="214"/>
      <c r="FNU43" s="214"/>
      <c r="FNV43" s="214"/>
      <c r="FNW43" s="214"/>
      <c r="FNX43" s="214"/>
      <c r="FNY43" s="214"/>
      <c r="FNZ43" s="214"/>
      <c r="FOA43" s="214"/>
      <c r="FOB43" s="214"/>
      <c r="FOC43" s="214"/>
      <c r="FOD43" s="214"/>
      <c r="FOE43" s="214"/>
      <c r="FOF43" s="214"/>
      <c r="FOG43" s="214"/>
      <c r="FOH43" s="214"/>
      <c r="FOI43" s="214"/>
      <c r="FOJ43" s="214"/>
      <c r="FOK43" s="214"/>
      <c r="FOL43" s="214"/>
      <c r="FOM43" s="214"/>
      <c r="FON43" s="214"/>
      <c r="FOO43" s="214"/>
      <c r="FOP43" s="214"/>
      <c r="FOQ43" s="214"/>
      <c r="FOR43" s="214"/>
      <c r="FOS43" s="214"/>
      <c r="FOT43" s="214"/>
      <c r="FOU43" s="214"/>
      <c r="FOV43" s="214"/>
      <c r="FOW43" s="214"/>
      <c r="FOX43" s="214"/>
      <c r="FOY43" s="214"/>
      <c r="FOZ43" s="214"/>
      <c r="FPA43" s="214"/>
      <c r="FPB43" s="214"/>
      <c r="FPC43" s="214"/>
      <c r="FPD43" s="214"/>
      <c r="FPE43" s="214"/>
      <c r="FPF43" s="214"/>
      <c r="FPG43" s="214"/>
      <c r="FPH43" s="214"/>
      <c r="FPI43" s="214"/>
      <c r="FPJ43" s="214"/>
      <c r="FPK43" s="214"/>
      <c r="FPL43" s="214"/>
      <c r="FPM43" s="214"/>
      <c r="FPN43" s="214"/>
      <c r="FPO43" s="214"/>
      <c r="FPP43" s="214"/>
      <c r="FPQ43" s="214"/>
      <c r="FPR43" s="214"/>
      <c r="FPS43" s="214"/>
      <c r="FPT43" s="214"/>
      <c r="FPU43" s="214"/>
      <c r="FPV43" s="214"/>
      <c r="FPW43" s="214"/>
      <c r="FPX43" s="214"/>
      <c r="FPY43" s="214"/>
      <c r="FPZ43" s="214"/>
      <c r="FQA43" s="214"/>
      <c r="FQB43" s="214"/>
      <c r="FQC43" s="214"/>
      <c r="FQD43" s="214"/>
      <c r="FQE43" s="214"/>
      <c r="FQF43" s="214"/>
      <c r="FQG43" s="214"/>
      <c r="FQH43" s="214"/>
      <c r="FQI43" s="214"/>
      <c r="FQJ43" s="214"/>
      <c r="FQK43" s="214"/>
      <c r="FQL43" s="214"/>
      <c r="FQM43" s="214"/>
      <c r="FQN43" s="214"/>
      <c r="FQO43" s="214"/>
      <c r="FQP43" s="214"/>
      <c r="FQQ43" s="214"/>
      <c r="FQR43" s="214"/>
      <c r="FQS43" s="214"/>
      <c r="FQT43" s="214"/>
      <c r="FQU43" s="214"/>
      <c r="FQV43" s="214"/>
      <c r="FQW43" s="214"/>
      <c r="FQX43" s="214"/>
      <c r="FQY43" s="214"/>
      <c r="FQZ43" s="214"/>
      <c r="FRA43" s="214"/>
      <c r="FRB43" s="214"/>
      <c r="FRC43" s="214"/>
      <c r="FRD43" s="214"/>
      <c r="FRE43" s="214"/>
      <c r="FRF43" s="214"/>
      <c r="FRG43" s="214"/>
      <c r="FRH43" s="214"/>
      <c r="FRI43" s="214"/>
      <c r="FRJ43" s="214"/>
      <c r="FRK43" s="214"/>
      <c r="FRL43" s="214"/>
      <c r="FRM43" s="214"/>
      <c r="FRN43" s="214"/>
      <c r="FRO43" s="214"/>
      <c r="FRP43" s="214"/>
      <c r="FRQ43" s="214"/>
      <c r="FRR43" s="214"/>
      <c r="FRS43" s="214"/>
      <c r="FRT43" s="214"/>
      <c r="FRU43" s="214"/>
      <c r="FRV43" s="214"/>
      <c r="FRW43" s="214"/>
      <c r="FRX43" s="214"/>
      <c r="FRY43" s="214"/>
      <c r="FRZ43" s="214"/>
      <c r="FSA43" s="214"/>
      <c r="FSB43" s="214"/>
      <c r="FSC43" s="214"/>
      <c r="FSD43" s="214"/>
      <c r="FSE43" s="214"/>
      <c r="FSF43" s="214"/>
      <c r="FSG43" s="214"/>
      <c r="FSH43" s="214"/>
      <c r="FSI43" s="214"/>
      <c r="FSJ43" s="214"/>
      <c r="FSK43" s="214"/>
      <c r="FSL43" s="214"/>
      <c r="FSM43" s="214"/>
      <c r="FSN43" s="214"/>
      <c r="FSO43" s="214"/>
      <c r="FSP43" s="214"/>
      <c r="FSQ43" s="214"/>
      <c r="FSR43" s="214"/>
      <c r="FSS43" s="214"/>
      <c r="FST43" s="214"/>
      <c r="FSU43" s="214"/>
      <c r="FSV43" s="214"/>
      <c r="FSW43" s="214"/>
      <c r="FSX43" s="214"/>
      <c r="FSY43" s="214"/>
      <c r="FSZ43" s="214"/>
      <c r="FTA43" s="214"/>
      <c r="FTB43" s="214"/>
      <c r="FTC43" s="214"/>
      <c r="FTD43" s="214"/>
      <c r="FTE43" s="214"/>
      <c r="FTF43" s="214"/>
      <c r="FTG43" s="214"/>
      <c r="FTH43" s="214"/>
      <c r="FTI43" s="214"/>
      <c r="FTJ43" s="214"/>
      <c r="FTK43" s="214"/>
      <c r="FTL43" s="214"/>
      <c r="FTM43" s="214"/>
      <c r="FTN43" s="214"/>
      <c r="FTO43" s="214"/>
      <c r="FTP43" s="214"/>
      <c r="FTQ43" s="214"/>
      <c r="FTR43" s="214"/>
      <c r="FTS43" s="214"/>
      <c r="FTT43" s="214"/>
      <c r="FTU43" s="214"/>
      <c r="FTV43" s="214"/>
      <c r="FTW43" s="214"/>
      <c r="FTX43" s="214"/>
      <c r="FTY43" s="214"/>
      <c r="FTZ43" s="214"/>
      <c r="FUA43" s="214"/>
      <c r="FUB43" s="214"/>
      <c r="FUC43" s="214"/>
      <c r="FUD43" s="214"/>
      <c r="FUE43" s="214"/>
      <c r="FUF43" s="214"/>
      <c r="FUG43" s="214"/>
      <c r="FUH43" s="214"/>
      <c r="FUI43" s="214"/>
      <c r="FUJ43" s="214"/>
      <c r="FUK43" s="214"/>
      <c r="FUL43" s="214"/>
      <c r="FUM43" s="214"/>
      <c r="FUN43" s="214"/>
      <c r="FUO43" s="214"/>
      <c r="FUP43" s="214"/>
      <c r="FUQ43" s="214"/>
      <c r="FUR43" s="214"/>
      <c r="FUS43" s="214"/>
      <c r="FUT43" s="214"/>
      <c r="FUU43" s="214"/>
      <c r="FUV43" s="214"/>
      <c r="FUW43" s="214"/>
      <c r="FUX43" s="214"/>
      <c r="FUY43" s="214"/>
      <c r="FUZ43" s="214"/>
      <c r="FVA43" s="214"/>
      <c r="FVB43" s="214"/>
      <c r="FVC43" s="214"/>
      <c r="FVD43" s="214"/>
      <c r="FVE43" s="214"/>
      <c r="FVF43" s="214"/>
      <c r="FVG43" s="214"/>
      <c r="FVH43" s="214"/>
      <c r="FVI43" s="214"/>
      <c r="FVJ43" s="214"/>
      <c r="FVK43" s="214"/>
      <c r="FVL43" s="214"/>
      <c r="FVM43" s="214"/>
      <c r="FVN43" s="214"/>
      <c r="FVO43" s="214"/>
      <c r="FVP43" s="214"/>
      <c r="FVQ43" s="214"/>
      <c r="FVR43" s="214"/>
      <c r="FVS43" s="214"/>
      <c r="FVT43" s="214"/>
      <c r="FVU43" s="214"/>
      <c r="FVV43" s="214"/>
      <c r="FVW43" s="214"/>
      <c r="FVX43" s="214"/>
      <c r="FVY43" s="214"/>
      <c r="FVZ43" s="214"/>
      <c r="FWA43" s="214"/>
      <c r="FWB43" s="214"/>
      <c r="FWC43" s="214"/>
      <c r="FWD43" s="214"/>
      <c r="FWE43" s="214"/>
      <c r="FWF43" s="214"/>
      <c r="FWG43" s="214"/>
      <c r="FWH43" s="214"/>
      <c r="FWI43" s="214"/>
      <c r="FWJ43" s="214"/>
      <c r="FWK43" s="214"/>
      <c r="FWL43" s="214"/>
      <c r="FWM43" s="214"/>
      <c r="FWN43" s="214"/>
      <c r="FWO43" s="214"/>
      <c r="FWP43" s="214"/>
      <c r="FWQ43" s="214"/>
      <c r="FWR43" s="214"/>
      <c r="FWS43" s="214"/>
      <c r="FWT43" s="214"/>
      <c r="FWU43" s="214"/>
      <c r="FWV43" s="214"/>
      <c r="FWW43" s="214"/>
      <c r="FWX43" s="214"/>
      <c r="FWY43" s="214"/>
      <c r="FWZ43" s="214"/>
      <c r="FXA43" s="214"/>
      <c r="FXB43" s="214"/>
      <c r="FXC43" s="214"/>
      <c r="FXD43" s="214"/>
      <c r="FXE43" s="214"/>
      <c r="FXF43" s="214"/>
      <c r="FXG43" s="214"/>
      <c r="FXH43" s="214"/>
      <c r="FXI43" s="214"/>
      <c r="FXJ43" s="214"/>
      <c r="FXK43" s="214"/>
      <c r="FXL43" s="214"/>
      <c r="FXM43" s="214"/>
      <c r="FXN43" s="214"/>
      <c r="FXO43" s="214"/>
      <c r="FXP43" s="214"/>
      <c r="FXQ43" s="214"/>
      <c r="FXR43" s="214"/>
      <c r="FXS43" s="214"/>
      <c r="FXT43" s="214"/>
      <c r="FXU43" s="214"/>
      <c r="FXV43" s="214"/>
      <c r="FXW43" s="214"/>
      <c r="FXX43" s="214"/>
      <c r="FXY43" s="214"/>
      <c r="FXZ43" s="214"/>
      <c r="FYA43" s="214"/>
      <c r="FYB43" s="214"/>
      <c r="FYC43" s="214"/>
      <c r="FYD43" s="214"/>
      <c r="FYE43" s="214"/>
      <c r="FYF43" s="214"/>
      <c r="FYG43" s="214"/>
      <c r="FYH43" s="214"/>
      <c r="FYI43" s="214"/>
      <c r="FYJ43" s="214"/>
      <c r="FYK43" s="214"/>
      <c r="FYL43" s="214"/>
      <c r="FYM43" s="214"/>
      <c r="FYN43" s="214"/>
      <c r="FYO43" s="214"/>
      <c r="FYP43" s="214"/>
      <c r="FYQ43" s="214"/>
      <c r="FYR43" s="214"/>
      <c r="FYS43" s="214"/>
      <c r="FYT43" s="214"/>
      <c r="FYU43" s="214"/>
      <c r="FYV43" s="214"/>
      <c r="FYW43" s="214"/>
      <c r="FYX43" s="214"/>
      <c r="FYY43" s="214"/>
      <c r="FYZ43" s="214"/>
      <c r="FZA43" s="214"/>
      <c r="FZB43" s="214"/>
      <c r="FZC43" s="214"/>
      <c r="FZD43" s="214"/>
      <c r="FZE43" s="214"/>
      <c r="FZF43" s="214"/>
      <c r="FZG43" s="214"/>
      <c r="FZH43" s="214"/>
      <c r="FZI43" s="214"/>
      <c r="FZJ43" s="214"/>
      <c r="FZK43" s="214"/>
      <c r="FZL43" s="214"/>
      <c r="FZM43" s="214"/>
      <c r="FZN43" s="214"/>
      <c r="FZO43" s="214"/>
      <c r="FZP43" s="214"/>
      <c r="FZQ43" s="214"/>
      <c r="FZR43" s="214"/>
      <c r="FZS43" s="214"/>
      <c r="FZT43" s="214"/>
      <c r="FZU43" s="214"/>
      <c r="FZV43" s="214"/>
      <c r="FZW43" s="214"/>
      <c r="FZX43" s="214"/>
      <c r="FZY43" s="214"/>
      <c r="FZZ43" s="214"/>
      <c r="GAA43" s="214"/>
      <c r="GAB43" s="214"/>
      <c r="GAC43" s="214"/>
      <c r="GAD43" s="214"/>
      <c r="GAE43" s="214"/>
      <c r="GAF43" s="214"/>
      <c r="GAG43" s="214"/>
      <c r="GAH43" s="214"/>
      <c r="GAI43" s="214"/>
      <c r="GAJ43" s="214"/>
      <c r="GAK43" s="214"/>
      <c r="GAL43" s="214"/>
      <c r="GAM43" s="214"/>
      <c r="GAN43" s="214"/>
      <c r="GAO43" s="214"/>
      <c r="GAP43" s="214"/>
      <c r="GAQ43" s="214"/>
      <c r="GAR43" s="214"/>
      <c r="GAS43" s="214"/>
      <c r="GAT43" s="214"/>
      <c r="GAU43" s="214"/>
      <c r="GAV43" s="214"/>
      <c r="GAW43" s="214"/>
      <c r="GAX43" s="214"/>
      <c r="GAY43" s="214"/>
      <c r="GAZ43" s="214"/>
      <c r="GBA43" s="214"/>
      <c r="GBB43" s="214"/>
      <c r="GBC43" s="214"/>
      <c r="GBD43" s="214"/>
      <c r="GBE43" s="214"/>
      <c r="GBF43" s="214"/>
      <c r="GBG43" s="214"/>
      <c r="GBH43" s="214"/>
      <c r="GBI43" s="214"/>
      <c r="GBJ43" s="214"/>
      <c r="GBK43" s="214"/>
      <c r="GBL43" s="214"/>
      <c r="GBM43" s="214"/>
      <c r="GBN43" s="214"/>
      <c r="GBO43" s="214"/>
      <c r="GBP43" s="214"/>
      <c r="GBQ43" s="214"/>
      <c r="GBR43" s="214"/>
      <c r="GBS43" s="214"/>
      <c r="GBT43" s="214"/>
      <c r="GBU43" s="214"/>
      <c r="GBV43" s="214"/>
      <c r="GBW43" s="214"/>
      <c r="GBX43" s="214"/>
      <c r="GBY43" s="214"/>
      <c r="GBZ43" s="214"/>
      <c r="GCA43" s="214"/>
      <c r="GCB43" s="214"/>
      <c r="GCC43" s="214"/>
      <c r="GCD43" s="214"/>
      <c r="GCE43" s="214"/>
      <c r="GCF43" s="214"/>
      <c r="GCG43" s="214"/>
      <c r="GCH43" s="214"/>
      <c r="GCI43" s="214"/>
      <c r="GCJ43" s="214"/>
      <c r="GCK43" s="214"/>
      <c r="GCL43" s="214"/>
      <c r="GCM43" s="214"/>
      <c r="GCN43" s="214"/>
      <c r="GCO43" s="214"/>
      <c r="GCP43" s="214"/>
      <c r="GCQ43" s="214"/>
      <c r="GCR43" s="214"/>
      <c r="GCS43" s="214"/>
      <c r="GCT43" s="214"/>
      <c r="GCU43" s="214"/>
      <c r="GCV43" s="214"/>
      <c r="GCW43" s="214"/>
      <c r="GCX43" s="214"/>
      <c r="GCY43" s="214"/>
      <c r="GCZ43" s="214"/>
      <c r="GDA43" s="214"/>
      <c r="GDB43" s="214"/>
      <c r="GDC43" s="214"/>
      <c r="GDD43" s="214"/>
      <c r="GDE43" s="214"/>
      <c r="GDF43" s="214"/>
      <c r="GDG43" s="214"/>
      <c r="GDH43" s="214"/>
      <c r="GDI43" s="214"/>
      <c r="GDJ43" s="214"/>
      <c r="GDK43" s="214"/>
      <c r="GDL43" s="214"/>
      <c r="GDM43" s="214"/>
      <c r="GDN43" s="214"/>
      <c r="GDO43" s="214"/>
      <c r="GDP43" s="214"/>
      <c r="GDQ43" s="214"/>
      <c r="GDR43" s="214"/>
      <c r="GDS43" s="214"/>
      <c r="GDT43" s="214"/>
      <c r="GDU43" s="214"/>
      <c r="GDV43" s="214"/>
      <c r="GDW43" s="214"/>
      <c r="GDX43" s="214"/>
      <c r="GDY43" s="214"/>
      <c r="GDZ43" s="214"/>
      <c r="GEA43" s="214"/>
      <c r="GEB43" s="214"/>
      <c r="GEC43" s="214"/>
      <c r="GED43" s="214"/>
      <c r="GEE43" s="214"/>
      <c r="GEF43" s="214"/>
      <c r="GEG43" s="214"/>
      <c r="GEH43" s="214"/>
      <c r="GEI43" s="214"/>
      <c r="GEJ43" s="214"/>
      <c r="GEK43" s="214"/>
      <c r="GEL43" s="214"/>
      <c r="GEM43" s="214"/>
      <c r="GEN43" s="214"/>
      <c r="GEO43" s="214"/>
      <c r="GEP43" s="214"/>
      <c r="GEQ43" s="214"/>
      <c r="GER43" s="214"/>
      <c r="GES43" s="214"/>
      <c r="GET43" s="214"/>
      <c r="GEU43" s="214"/>
      <c r="GEV43" s="214"/>
      <c r="GEW43" s="214"/>
      <c r="GEX43" s="214"/>
      <c r="GEY43" s="214"/>
      <c r="GEZ43" s="214"/>
      <c r="GFA43" s="214"/>
      <c r="GFB43" s="214"/>
      <c r="GFC43" s="214"/>
      <c r="GFD43" s="214"/>
      <c r="GFE43" s="214"/>
      <c r="GFF43" s="214"/>
      <c r="GFG43" s="214"/>
      <c r="GFH43" s="214"/>
      <c r="GFI43" s="214"/>
      <c r="GFJ43" s="214"/>
      <c r="GFK43" s="214"/>
      <c r="GFL43" s="214"/>
      <c r="GFM43" s="214"/>
      <c r="GFN43" s="214"/>
      <c r="GFO43" s="214"/>
      <c r="GFP43" s="214"/>
      <c r="GFQ43" s="214"/>
      <c r="GFR43" s="214"/>
      <c r="GFS43" s="214"/>
      <c r="GFT43" s="214"/>
      <c r="GFU43" s="214"/>
      <c r="GFV43" s="214"/>
      <c r="GFW43" s="214"/>
      <c r="GFX43" s="214"/>
      <c r="GFY43" s="214"/>
      <c r="GFZ43" s="214"/>
      <c r="GGA43" s="214"/>
      <c r="GGB43" s="214"/>
      <c r="GGC43" s="214"/>
      <c r="GGD43" s="214"/>
      <c r="GGE43" s="214"/>
      <c r="GGF43" s="214"/>
      <c r="GGG43" s="214"/>
      <c r="GGH43" s="214"/>
      <c r="GGI43" s="214"/>
      <c r="GGJ43" s="214"/>
      <c r="GGK43" s="214"/>
      <c r="GGL43" s="214"/>
      <c r="GGM43" s="214"/>
      <c r="GGN43" s="214"/>
      <c r="GGO43" s="214"/>
      <c r="GGP43" s="214"/>
      <c r="GGQ43" s="214"/>
      <c r="GGR43" s="214"/>
      <c r="GGS43" s="214"/>
      <c r="GGT43" s="214"/>
      <c r="GGU43" s="214"/>
      <c r="GGV43" s="214"/>
      <c r="GGW43" s="214"/>
      <c r="GGX43" s="214"/>
      <c r="GGY43" s="214"/>
      <c r="GGZ43" s="214"/>
      <c r="GHA43" s="214"/>
      <c r="GHB43" s="214"/>
      <c r="GHC43" s="214"/>
      <c r="GHD43" s="214"/>
      <c r="GHE43" s="214"/>
      <c r="GHF43" s="214"/>
      <c r="GHG43" s="214"/>
      <c r="GHH43" s="214"/>
      <c r="GHI43" s="214"/>
      <c r="GHJ43" s="214"/>
      <c r="GHK43" s="214"/>
      <c r="GHL43" s="214"/>
      <c r="GHM43" s="214"/>
      <c r="GHN43" s="214"/>
      <c r="GHO43" s="214"/>
      <c r="GHP43" s="214"/>
      <c r="GHQ43" s="214"/>
      <c r="GHR43" s="214"/>
      <c r="GHS43" s="214"/>
      <c r="GHT43" s="214"/>
      <c r="GHU43" s="214"/>
      <c r="GHV43" s="214"/>
      <c r="GHW43" s="214"/>
      <c r="GHX43" s="214"/>
      <c r="GHY43" s="214"/>
      <c r="GHZ43" s="214"/>
      <c r="GIA43" s="214"/>
      <c r="GIB43" s="214"/>
      <c r="GIC43" s="214"/>
      <c r="GID43" s="214"/>
      <c r="GIE43" s="214"/>
      <c r="GIF43" s="214"/>
      <c r="GIG43" s="214"/>
      <c r="GIH43" s="214"/>
      <c r="GII43" s="214"/>
      <c r="GIJ43" s="214"/>
      <c r="GIK43" s="214"/>
      <c r="GIL43" s="214"/>
      <c r="GIM43" s="214"/>
      <c r="GIN43" s="214"/>
      <c r="GIO43" s="214"/>
      <c r="GIP43" s="214"/>
      <c r="GIQ43" s="214"/>
      <c r="GIR43" s="214"/>
      <c r="GIS43" s="214"/>
      <c r="GIT43" s="214"/>
      <c r="GIU43" s="214"/>
      <c r="GIV43" s="214"/>
      <c r="GIW43" s="214"/>
      <c r="GIX43" s="214"/>
      <c r="GIY43" s="214"/>
      <c r="GIZ43" s="214"/>
      <c r="GJA43" s="214"/>
      <c r="GJB43" s="214"/>
      <c r="GJC43" s="214"/>
      <c r="GJD43" s="214"/>
      <c r="GJE43" s="214"/>
      <c r="GJF43" s="214"/>
      <c r="GJG43" s="214"/>
      <c r="GJH43" s="214"/>
      <c r="GJI43" s="214"/>
      <c r="GJJ43" s="214"/>
      <c r="GJK43" s="214"/>
      <c r="GJL43" s="214"/>
      <c r="GJM43" s="214"/>
      <c r="GJN43" s="214"/>
      <c r="GJO43" s="214"/>
      <c r="GJP43" s="214"/>
      <c r="GJQ43" s="214"/>
      <c r="GJR43" s="214"/>
      <c r="GJS43" s="214"/>
      <c r="GJT43" s="214"/>
      <c r="GJU43" s="214"/>
      <c r="GJV43" s="214"/>
      <c r="GJW43" s="214"/>
      <c r="GJX43" s="214"/>
      <c r="GJY43" s="214"/>
      <c r="GJZ43" s="214"/>
      <c r="GKA43" s="214"/>
      <c r="GKB43" s="214"/>
      <c r="GKC43" s="214"/>
      <c r="GKD43" s="214"/>
      <c r="GKE43" s="214"/>
      <c r="GKF43" s="214"/>
      <c r="GKG43" s="214"/>
      <c r="GKH43" s="214"/>
      <c r="GKI43" s="214"/>
      <c r="GKJ43" s="214"/>
      <c r="GKK43" s="214"/>
      <c r="GKL43" s="214"/>
      <c r="GKM43" s="214"/>
      <c r="GKN43" s="214"/>
      <c r="GKO43" s="214"/>
      <c r="GKP43" s="214"/>
      <c r="GKQ43" s="214"/>
      <c r="GKR43" s="214"/>
      <c r="GKS43" s="214"/>
      <c r="GKT43" s="214"/>
      <c r="GKU43" s="214"/>
      <c r="GKV43" s="214"/>
      <c r="GKW43" s="214"/>
      <c r="GKX43" s="214"/>
      <c r="GKY43" s="214"/>
      <c r="GKZ43" s="214"/>
      <c r="GLA43" s="214"/>
      <c r="GLB43" s="214"/>
      <c r="GLC43" s="214"/>
      <c r="GLD43" s="214"/>
      <c r="GLE43" s="214"/>
      <c r="GLF43" s="214"/>
      <c r="GLG43" s="214"/>
      <c r="GLH43" s="214"/>
      <c r="GLI43" s="214"/>
      <c r="GLJ43" s="214"/>
      <c r="GLK43" s="214"/>
      <c r="GLL43" s="214"/>
      <c r="GLM43" s="214"/>
      <c r="GLN43" s="214"/>
      <c r="GLO43" s="214"/>
      <c r="GLP43" s="214"/>
      <c r="GLQ43" s="214"/>
      <c r="GLR43" s="214"/>
      <c r="GLS43" s="214"/>
      <c r="GLT43" s="214"/>
      <c r="GLU43" s="214"/>
      <c r="GLV43" s="214"/>
      <c r="GLW43" s="214"/>
      <c r="GLX43" s="214"/>
      <c r="GLY43" s="214"/>
      <c r="GLZ43" s="214"/>
      <c r="GMA43" s="214"/>
      <c r="GMB43" s="214"/>
      <c r="GMC43" s="214"/>
      <c r="GMD43" s="214"/>
      <c r="GME43" s="214"/>
      <c r="GMF43" s="214"/>
      <c r="GMG43" s="214"/>
      <c r="GMH43" s="214"/>
      <c r="GMI43" s="214"/>
      <c r="GMJ43" s="214"/>
      <c r="GMK43" s="214"/>
      <c r="GML43" s="214"/>
      <c r="GMM43" s="214"/>
      <c r="GMN43" s="214"/>
      <c r="GMO43" s="214"/>
      <c r="GMP43" s="214"/>
      <c r="GMQ43" s="214"/>
      <c r="GMR43" s="214"/>
      <c r="GMS43" s="214"/>
      <c r="GMT43" s="214"/>
      <c r="GMU43" s="214"/>
      <c r="GMV43" s="214"/>
      <c r="GMW43" s="214"/>
      <c r="GMX43" s="214"/>
      <c r="GMY43" s="214"/>
      <c r="GMZ43" s="214"/>
      <c r="GNA43" s="214"/>
      <c r="GNB43" s="214"/>
      <c r="GNC43" s="214"/>
      <c r="GND43" s="214"/>
      <c r="GNE43" s="214"/>
      <c r="GNF43" s="214"/>
      <c r="GNG43" s="214"/>
      <c r="GNH43" s="214"/>
      <c r="GNI43" s="214"/>
      <c r="GNJ43" s="214"/>
      <c r="GNK43" s="214"/>
      <c r="GNL43" s="214"/>
      <c r="GNM43" s="214"/>
      <c r="GNN43" s="214"/>
      <c r="GNO43" s="214"/>
      <c r="GNP43" s="214"/>
      <c r="GNQ43" s="214"/>
      <c r="GNR43" s="214"/>
      <c r="GNS43" s="214"/>
      <c r="GNT43" s="214"/>
      <c r="GNU43" s="214"/>
      <c r="GNV43" s="214"/>
      <c r="GNW43" s="214"/>
      <c r="GNX43" s="214"/>
      <c r="GNY43" s="214"/>
      <c r="GNZ43" s="214"/>
      <c r="GOA43" s="214"/>
      <c r="GOB43" s="214"/>
      <c r="GOC43" s="214"/>
      <c r="GOD43" s="214"/>
      <c r="GOE43" s="214"/>
      <c r="GOF43" s="214"/>
      <c r="GOG43" s="214"/>
      <c r="GOH43" s="214"/>
      <c r="GOI43" s="214"/>
      <c r="GOJ43" s="214"/>
      <c r="GOK43" s="214"/>
      <c r="GOL43" s="214"/>
      <c r="GOM43" s="214"/>
      <c r="GON43" s="214"/>
      <c r="GOO43" s="214"/>
      <c r="GOP43" s="214"/>
      <c r="GOQ43" s="214"/>
      <c r="GOR43" s="214"/>
      <c r="GOS43" s="214"/>
      <c r="GOT43" s="214"/>
      <c r="GOU43" s="214"/>
      <c r="GOV43" s="214"/>
      <c r="GOW43" s="214"/>
      <c r="GOX43" s="214"/>
      <c r="GOY43" s="214"/>
      <c r="GOZ43" s="214"/>
      <c r="GPA43" s="214"/>
      <c r="GPB43" s="214"/>
      <c r="GPC43" s="214"/>
      <c r="GPD43" s="214"/>
      <c r="GPE43" s="214"/>
      <c r="GPF43" s="214"/>
      <c r="GPG43" s="214"/>
      <c r="GPH43" s="214"/>
      <c r="GPI43" s="214"/>
      <c r="GPJ43" s="214"/>
      <c r="GPK43" s="214"/>
      <c r="GPL43" s="214"/>
      <c r="GPM43" s="214"/>
      <c r="GPN43" s="214"/>
      <c r="GPO43" s="214"/>
      <c r="GPP43" s="214"/>
      <c r="GPQ43" s="214"/>
      <c r="GPR43" s="214"/>
      <c r="GPS43" s="214"/>
      <c r="GPT43" s="214"/>
      <c r="GPU43" s="214"/>
      <c r="GPV43" s="214"/>
      <c r="GPW43" s="214"/>
      <c r="GPX43" s="214"/>
      <c r="GPY43" s="214"/>
      <c r="GPZ43" s="214"/>
      <c r="GQA43" s="214"/>
      <c r="GQB43" s="214"/>
      <c r="GQC43" s="214"/>
      <c r="GQD43" s="214"/>
      <c r="GQE43" s="214"/>
      <c r="GQF43" s="214"/>
      <c r="GQG43" s="214"/>
      <c r="GQH43" s="214"/>
      <c r="GQI43" s="214"/>
      <c r="GQJ43" s="214"/>
      <c r="GQK43" s="214"/>
      <c r="GQL43" s="214"/>
      <c r="GQM43" s="214"/>
      <c r="GQN43" s="214"/>
      <c r="GQO43" s="214"/>
      <c r="GQP43" s="214"/>
      <c r="GQQ43" s="214"/>
      <c r="GQR43" s="214"/>
      <c r="GQS43" s="214"/>
      <c r="GQT43" s="214"/>
      <c r="GQU43" s="214"/>
      <c r="GQV43" s="214"/>
      <c r="GQW43" s="214"/>
      <c r="GQX43" s="214"/>
      <c r="GQY43" s="214"/>
      <c r="GQZ43" s="214"/>
      <c r="GRA43" s="214"/>
      <c r="GRB43" s="214"/>
      <c r="GRC43" s="214"/>
      <c r="GRD43" s="214"/>
      <c r="GRE43" s="214"/>
      <c r="GRF43" s="214"/>
      <c r="GRG43" s="214"/>
      <c r="GRH43" s="214"/>
      <c r="GRI43" s="214"/>
      <c r="GRJ43" s="214"/>
      <c r="GRK43" s="214"/>
      <c r="GRL43" s="214"/>
      <c r="GRM43" s="214"/>
      <c r="GRN43" s="214"/>
      <c r="GRO43" s="214"/>
      <c r="GRP43" s="214"/>
      <c r="GRQ43" s="214"/>
      <c r="GRR43" s="214"/>
      <c r="GRS43" s="214"/>
      <c r="GRT43" s="214"/>
      <c r="GRU43" s="214"/>
      <c r="GRV43" s="214"/>
      <c r="GRW43" s="214"/>
      <c r="GRX43" s="214"/>
      <c r="GRY43" s="214"/>
      <c r="GRZ43" s="214"/>
      <c r="GSA43" s="214"/>
      <c r="GSB43" s="214"/>
      <c r="GSC43" s="214"/>
      <c r="GSD43" s="214"/>
      <c r="GSE43" s="214"/>
      <c r="GSF43" s="214"/>
      <c r="GSG43" s="214"/>
      <c r="GSH43" s="214"/>
      <c r="GSI43" s="214"/>
      <c r="GSJ43" s="214"/>
      <c r="GSK43" s="214"/>
      <c r="GSL43" s="214"/>
      <c r="GSM43" s="214"/>
      <c r="GSN43" s="214"/>
      <c r="GSO43" s="214"/>
      <c r="GSP43" s="214"/>
      <c r="GSQ43" s="214"/>
      <c r="GSR43" s="214"/>
      <c r="GSS43" s="214"/>
      <c r="GST43" s="214"/>
      <c r="GSU43" s="214"/>
      <c r="GSV43" s="214"/>
      <c r="GSW43" s="214"/>
      <c r="GSX43" s="214"/>
      <c r="GSY43" s="214"/>
      <c r="GSZ43" s="214"/>
      <c r="GTA43" s="214"/>
      <c r="GTB43" s="214"/>
      <c r="GTC43" s="214"/>
      <c r="GTD43" s="214"/>
      <c r="GTE43" s="214"/>
      <c r="GTF43" s="214"/>
      <c r="GTG43" s="214"/>
      <c r="GTH43" s="214"/>
      <c r="GTI43" s="214"/>
      <c r="GTJ43" s="214"/>
      <c r="GTK43" s="214"/>
      <c r="GTL43" s="214"/>
      <c r="GTM43" s="214"/>
      <c r="GTN43" s="214"/>
      <c r="GTO43" s="214"/>
      <c r="GTP43" s="214"/>
      <c r="GTQ43" s="214"/>
      <c r="GTR43" s="214"/>
      <c r="GTS43" s="214"/>
      <c r="GTT43" s="214"/>
      <c r="GTU43" s="214"/>
      <c r="GTV43" s="214"/>
      <c r="GTW43" s="214"/>
      <c r="GTX43" s="214"/>
      <c r="GTY43" s="214"/>
      <c r="GTZ43" s="214"/>
      <c r="GUA43" s="214"/>
      <c r="GUB43" s="214"/>
      <c r="GUC43" s="214"/>
      <c r="GUD43" s="214"/>
      <c r="GUE43" s="214"/>
      <c r="GUF43" s="214"/>
      <c r="GUG43" s="214"/>
      <c r="GUH43" s="214"/>
      <c r="GUI43" s="214"/>
      <c r="GUJ43" s="214"/>
      <c r="GUK43" s="214"/>
      <c r="GUL43" s="214"/>
      <c r="GUM43" s="214"/>
      <c r="GUN43" s="214"/>
      <c r="GUO43" s="214"/>
      <c r="GUP43" s="214"/>
      <c r="GUQ43" s="214"/>
      <c r="GUR43" s="214"/>
      <c r="GUS43" s="214"/>
      <c r="GUT43" s="214"/>
      <c r="GUU43" s="214"/>
      <c r="GUV43" s="214"/>
      <c r="GUW43" s="214"/>
      <c r="GUX43" s="214"/>
      <c r="GUY43" s="214"/>
      <c r="GUZ43" s="214"/>
      <c r="GVA43" s="214"/>
      <c r="GVB43" s="214"/>
      <c r="GVC43" s="214"/>
      <c r="GVD43" s="214"/>
      <c r="GVE43" s="214"/>
      <c r="GVF43" s="214"/>
      <c r="GVG43" s="214"/>
      <c r="GVH43" s="214"/>
      <c r="GVI43" s="214"/>
      <c r="GVJ43" s="214"/>
      <c r="GVK43" s="214"/>
      <c r="GVL43" s="214"/>
      <c r="GVM43" s="214"/>
      <c r="GVN43" s="214"/>
      <c r="GVO43" s="214"/>
      <c r="GVP43" s="214"/>
      <c r="GVQ43" s="214"/>
      <c r="GVR43" s="214"/>
      <c r="GVS43" s="214"/>
      <c r="GVT43" s="214"/>
      <c r="GVU43" s="214"/>
      <c r="GVV43" s="214"/>
      <c r="GVW43" s="214"/>
      <c r="GVX43" s="214"/>
      <c r="GVY43" s="214"/>
      <c r="GVZ43" s="214"/>
      <c r="GWA43" s="214"/>
      <c r="GWB43" s="214"/>
      <c r="GWC43" s="214"/>
      <c r="GWD43" s="214"/>
      <c r="GWE43" s="214"/>
      <c r="GWF43" s="214"/>
      <c r="GWG43" s="214"/>
      <c r="GWH43" s="214"/>
      <c r="GWI43" s="214"/>
      <c r="GWJ43" s="214"/>
      <c r="GWK43" s="214"/>
      <c r="GWL43" s="214"/>
      <c r="GWM43" s="214"/>
      <c r="GWN43" s="214"/>
      <c r="GWO43" s="214"/>
      <c r="GWP43" s="214"/>
      <c r="GWQ43" s="214"/>
      <c r="GWR43" s="214"/>
      <c r="GWS43" s="214"/>
      <c r="GWT43" s="214"/>
      <c r="GWU43" s="214"/>
      <c r="GWV43" s="214"/>
      <c r="GWW43" s="214"/>
      <c r="GWX43" s="214"/>
      <c r="GWY43" s="214"/>
      <c r="GWZ43" s="214"/>
      <c r="GXA43" s="214"/>
      <c r="GXB43" s="214"/>
      <c r="GXC43" s="214"/>
      <c r="GXD43" s="214"/>
      <c r="GXE43" s="214"/>
      <c r="GXF43" s="214"/>
      <c r="GXG43" s="214"/>
      <c r="GXH43" s="214"/>
      <c r="GXI43" s="214"/>
      <c r="GXJ43" s="214"/>
      <c r="GXK43" s="214"/>
      <c r="GXL43" s="214"/>
      <c r="GXM43" s="214"/>
      <c r="GXN43" s="214"/>
      <c r="GXO43" s="214"/>
      <c r="GXP43" s="214"/>
      <c r="GXQ43" s="214"/>
      <c r="GXR43" s="214"/>
      <c r="GXS43" s="214"/>
      <c r="GXT43" s="214"/>
      <c r="GXU43" s="214"/>
      <c r="GXV43" s="214"/>
      <c r="GXW43" s="214"/>
      <c r="GXX43" s="214"/>
      <c r="GXY43" s="214"/>
      <c r="GXZ43" s="214"/>
      <c r="GYA43" s="214"/>
      <c r="GYB43" s="214"/>
      <c r="GYC43" s="214"/>
      <c r="GYD43" s="214"/>
      <c r="GYE43" s="214"/>
      <c r="GYF43" s="214"/>
      <c r="GYG43" s="214"/>
      <c r="GYH43" s="214"/>
      <c r="GYI43" s="214"/>
      <c r="GYJ43" s="214"/>
      <c r="GYK43" s="214"/>
      <c r="GYL43" s="214"/>
      <c r="GYM43" s="214"/>
      <c r="GYN43" s="214"/>
      <c r="GYO43" s="214"/>
      <c r="GYP43" s="214"/>
      <c r="GYQ43" s="214"/>
      <c r="GYR43" s="214"/>
      <c r="GYS43" s="214"/>
      <c r="GYT43" s="214"/>
      <c r="GYU43" s="214"/>
      <c r="GYV43" s="214"/>
      <c r="GYW43" s="214"/>
      <c r="GYX43" s="214"/>
      <c r="GYY43" s="214"/>
      <c r="GYZ43" s="214"/>
      <c r="GZA43" s="214"/>
      <c r="GZB43" s="214"/>
      <c r="GZC43" s="214"/>
      <c r="GZD43" s="214"/>
      <c r="GZE43" s="214"/>
      <c r="GZF43" s="214"/>
      <c r="GZG43" s="214"/>
      <c r="GZH43" s="214"/>
      <c r="GZI43" s="214"/>
      <c r="GZJ43" s="214"/>
      <c r="GZK43" s="214"/>
      <c r="GZL43" s="214"/>
      <c r="GZM43" s="214"/>
      <c r="GZN43" s="214"/>
      <c r="GZO43" s="214"/>
      <c r="GZP43" s="214"/>
      <c r="GZQ43" s="214"/>
      <c r="GZR43" s="214"/>
      <c r="GZS43" s="214"/>
      <c r="GZT43" s="214"/>
      <c r="GZU43" s="214"/>
      <c r="GZV43" s="214"/>
      <c r="GZW43" s="214"/>
      <c r="GZX43" s="214"/>
      <c r="GZY43" s="214"/>
      <c r="GZZ43" s="214"/>
      <c r="HAA43" s="214"/>
      <c r="HAB43" s="214"/>
      <c r="HAC43" s="214"/>
      <c r="HAD43" s="214"/>
      <c r="HAE43" s="214"/>
      <c r="HAF43" s="214"/>
      <c r="HAG43" s="214"/>
      <c r="HAH43" s="214"/>
      <c r="HAI43" s="214"/>
      <c r="HAJ43" s="214"/>
      <c r="HAK43" s="214"/>
      <c r="HAL43" s="214"/>
      <c r="HAM43" s="214"/>
      <c r="HAN43" s="214"/>
      <c r="HAO43" s="214"/>
      <c r="HAP43" s="214"/>
      <c r="HAQ43" s="214"/>
      <c r="HAR43" s="214"/>
      <c r="HAS43" s="214"/>
      <c r="HAT43" s="214"/>
      <c r="HAU43" s="214"/>
      <c r="HAV43" s="214"/>
      <c r="HAW43" s="214"/>
      <c r="HAX43" s="214"/>
      <c r="HAY43" s="214"/>
      <c r="HAZ43" s="214"/>
      <c r="HBA43" s="214"/>
      <c r="HBB43" s="214"/>
      <c r="HBC43" s="214"/>
      <c r="HBD43" s="214"/>
      <c r="HBE43" s="214"/>
      <c r="HBF43" s="214"/>
      <c r="HBG43" s="214"/>
      <c r="HBH43" s="214"/>
      <c r="HBI43" s="214"/>
      <c r="HBJ43" s="214"/>
      <c r="HBK43" s="214"/>
      <c r="HBL43" s="214"/>
      <c r="HBM43" s="214"/>
      <c r="HBN43" s="214"/>
      <c r="HBO43" s="214"/>
      <c r="HBP43" s="214"/>
      <c r="HBQ43" s="214"/>
      <c r="HBR43" s="214"/>
      <c r="HBS43" s="214"/>
      <c r="HBT43" s="214"/>
      <c r="HBU43" s="214"/>
      <c r="HBV43" s="214"/>
      <c r="HBW43" s="214"/>
      <c r="HBX43" s="214"/>
      <c r="HBY43" s="214"/>
      <c r="HBZ43" s="214"/>
      <c r="HCA43" s="214"/>
      <c r="HCB43" s="214"/>
      <c r="HCC43" s="214"/>
      <c r="HCD43" s="214"/>
      <c r="HCE43" s="214"/>
      <c r="HCF43" s="214"/>
      <c r="HCG43" s="214"/>
      <c r="HCH43" s="214"/>
      <c r="HCI43" s="214"/>
      <c r="HCJ43" s="214"/>
      <c r="HCK43" s="214"/>
      <c r="HCL43" s="214"/>
      <c r="HCM43" s="214"/>
      <c r="HCN43" s="214"/>
      <c r="HCO43" s="214"/>
      <c r="HCP43" s="214"/>
      <c r="HCQ43" s="214"/>
      <c r="HCR43" s="214"/>
      <c r="HCS43" s="214"/>
      <c r="HCT43" s="214"/>
      <c r="HCU43" s="214"/>
      <c r="HCV43" s="214"/>
      <c r="HCW43" s="214"/>
      <c r="HCX43" s="214"/>
      <c r="HCY43" s="214"/>
      <c r="HCZ43" s="214"/>
      <c r="HDA43" s="214"/>
      <c r="HDB43" s="214"/>
      <c r="HDC43" s="214"/>
      <c r="HDD43" s="214"/>
      <c r="HDE43" s="214"/>
      <c r="HDF43" s="214"/>
      <c r="HDG43" s="214"/>
      <c r="HDH43" s="214"/>
      <c r="HDI43" s="214"/>
      <c r="HDJ43" s="214"/>
      <c r="HDK43" s="214"/>
      <c r="HDL43" s="214"/>
      <c r="HDM43" s="214"/>
      <c r="HDN43" s="214"/>
      <c r="HDO43" s="214"/>
      <c r="HDP43" s="214"/>
      <c r="HDQ43" s="214"/>
      <c r="HDR43" s="214"/>
      <c r="HDS43" s="214"/>
      <c r="HDT43" s="214"/>
      <c r="HDU43" s="214"/>
      <c r="HDV43" s="214"/>
      <c r="HDW43" s="214"/>
      <c r="HDX43" s="214"/>
      <c r="HDY43" s="214"/>
      <c r="HDZ43" s="214"/>
      <c r="HEA43" s="214"/>
      <c r="HEB43" s="214"/>
      <c r="HEC43" s="214"/>
      <c r="HED43" s="214"/>
      <c r="HEE43" s="214"/>
      <c r="HEF43" s="214"/>
      <c r="HEG43" s="214"/>
      <c r="HEH43" s="214"/>
      <c r="HEI43" s="214"/>
      <c r="HEJ43" s="214"/>
      <c r="HEK43" s="214"/>
      <c r="HEL43" s="214"/>
      <c r="HEM43" s="214"/>
      <c r="HEN43" s="214"/>
      <c r="HEO43" s="214"/>
      <c r="HEP43" s="214"/>
      <c r="HEQ43" s="214"/>
      <c r="HER43" s="214"/>
      <c r="HES43" s="214"/>
      <c r="HET43" s="214"/>
      <c r="HEU43" s="214"/>
      <c r="HEV43" s="214"/>
      <c r="HEW43" s="214"/>
      <c r="HEX43" s="214"/>
      <c r="HEY43" s="214"/>
      <c r="HEZ43" s="214"/>
      <c r="HFA43" s="214"/>
      <c r="HFB43" s="214"/>
      <c r="HFC43" s="214"/>
      <c r="HFD43" s="214"/>
      <c r="HFE43" s="214"/>
      <c r="HFF43" s="214"/>
      <c r="HFG43" s="214"/>
      <c r="HFH43" s="214"/>
      <c r="HFI43" s="214"/>
      <c r="HFJ43" s="214"/>
      <c r="HFK43" s="214"/>
      <c r="HFL43" s="214"/>
      <c r="HFM43" s="214"/>
      <c r="HFN43" s="214"/>
      <c r="HFO43" s="214"/>
      <c r="HFP43" s="214"/>
      <c r="HFQ43" s="214"/>
      <c r="HFR43" s="214"/>
      <c r="HFS43" s="214"/>
      <c r="HFT43" s="214"/>
      <c r="HFU43" s="214"/>
      <c r="HFV43" s="214"/>
      <c r="HFW43" s="214"/>
      <c r="HFX43" s="214"/>
      <c r="HFY43" s="214"/>
      <c r="HFZ43" s="214"/>
      <c r="HGA43" s="214"/>
      <c r="HGB43" s="214"/>
      <c r="HGC43" s="214"/>
      <c r="HGD43" s="214"/>
      <c r="HGE43" s="214"/>
      <c r="HGF43" s="214"/>
      <c r="HGG43" s="214"/>
      <c r="HGH43" s="214"/>
      <c r="HGI43" s="214"/>
      <c r="HGJ43" s="214"/>
      <c r="HGK43" s="214"/>
      <c r="HGL43" s="214"/>
      <c r="HGM43" s="214"/>
      <c r="HGN43" s="214"/>
      <c r="HGO43" s="214"/>
      <c r="HGP43" s="214"/>
      <c r="HGQ43" s="214"/>
      <c r="HGR43" s="214"/>
      <c r="HGS43" s="214"/>
      <c r="HGT43" s="214"/>
      <c r="HGU43" s="214"/>
      <c r="HGV43" s="214"/>
      <c r="HGW43" s="214"/>
      <c r="HGX43" s="214"/>
      <c r="HGY43" s="214"/>
      <c r="HGZ43" s="214"/>
      <c r="HHA43" s="214"/>
      <c r="HHB43" s="214"/>
      <c r="HHC43" s="214"/>
      <c r="HHD43" s="214"/>
      <c r="HHE43" s="214"/>
      <c r="HHF43" s="214"/>
      <c r="HHG43" s="214"/>
      <c r="HHH43" s="214"/>
      <c r="HHI43" s="214"/>
      <c r="HHJ43" s="214"/>
      <c r="HHK43" s="214"/>
      <c r="HHL43" s="214"/>
      <c r="HHM43" s="214"/>
      <c r="HHN43" s="214"/>
      <c r="HHO43" s="214"/>
      <c r="HHP43" s="214"/>
      <c r="HHQ43" s="214"/>
      <c r="HHR43" s="214"/>
      <c r="HHS43" s="214"/>
      <c r="HHT43" s="214"/>
      <c r="HHU43" s="214"/>
      <c r="HHV43" s="214"/>
      <c r="HHW43" s="214"/>
      <c r="HHX43" s="214"/>
      <c r="HHY43" s="214"/>
      <c r="HHZ43" s="214"/>
      <c r="HIA43" s="214"/>
      <c r="HIB43" s="214"/>
      <c r="HIC43" s="214"/>
      <c r="HID43" s="214"/>
      <c r="HIE43" s="214"/>
      <c r="HIF43" s="214"/>
      <c r="HIG43" s="214"/>
      <c r="HIH43" s="214"/>
      <c r="HII43" s="214"/>
      <c r="HIJ43" s="214"/>
      <c r="HIK43" s="214"/>
      <c r="HIL43" s="214"/>
      <c r="HIM43" s="214"/>
      <c r="HIN43" s="214"/>
      <c r="HIO43" s="214"/>
      <c r="HIP43" s="214"/>
      <c r="HIQ43" s="214"/>
      <c r="HIR43" s="214"/>
      <c r="HIS43" s="214"/>
      <c r="HIT43" s="214"/>
      <c r="HIU43" s="214"/>
      <c r="HIV43" s="214"/>
      <c r="HIW43" s="214"/>
      <c r="HIX43" s="214"/>
      <c r="HIY43" s="214"/>
      <c r="HIZ43" s="214"/>
      <c r="HJA43" s="214"/>
      <c r="HJB43" s="214"/>
      <c r="HJC43" s="214"/>
      <c r="HJD43" s="214"/>
      <c r="HJE43" s="214"/>
      <c r="HJF43" s="214"/>
      <c r="HJG43" s="214"/>
      <c r="HJH43" s="214"/>
      <c r="HJI43" s="214"/>
      <c r="HJJ43" s="214"/>
      <c r="HJK43" s="214"/>
      <c r="HJL43" s="214"/>
      <c r="HJM43" s="214"/>
      <c r="HJN43" s="214"/>
      <c r="HJO43" s="214"/>
      <c r="HJP43" s="214"/>
      <c r="HJQ43" s="214"/>
      <c r="HJR43" s="214"/>
      <c r="HJS43" s="214"/>
      <c r="HJT43" s="214"/>
      <c r="HJU43" s="214"/>
      <c r="HJV43" s="214"/>
      <c r="HJW43" s="214"/>
      <c r="HJX43" s="214"/>
      <c r="HJY43" s="214"/>
      <c r="HJZ43" s="214"/>
      <c r="HKA43" s="214"/>
      <c r="HKB43" s="214"/>
      <c r="HKC43" s="214"/>
      <c r="HKD43" s="214"/>
      <c r="HKE43" s="214"/>
      <c r="HKF43" s="214"/>
      <c r="HKG43" s="214"/>
      <c r="HKH43" s="214"/>
      <c r="HKI43" s="214"/>
      <c r="HKJ43" s="214"/>
      <c r="HKK43" s="214"/>
      <c r="HKL43" s="214"/>
      <c r="HKM43" s="214"/>
      <c r="HKN43" s="214"/>
      <c r="HKO43" s="214"/>
      <c r="HKP43" s="214"/>
      <c r="HKQ43" s="214"/>
      <c r="HKR43" s="214"/>
      <c r="HKS43" s="214"/>
      <c r="HKT43" s="214"/>
      <c r="HKU43" s="214"/>
      <c r="HKV43" s="214"/>
      <c r="HKW43" s="214"/>
      <c r="HKX43" s="214"/>
      <c r="HKY43" s="214"/>
      <c r="HKZ43" s="214"/>
      <c r="HLA43" s="214"/>
      <c r="HLB43" s="214"/>
      <c r="HLC43" s="214"/>
      <c r="HLD43" s="214"/>
      <c r="HLE43" s="214"/>
      <c r="HLF43" s="214"/>
      <c r="HLG43" s="214"/>
      <c r="HLH43" s="214"/>
      <c r="HLI43" s="214"/>
      <c r="HLJ43" s="214"/>
      <c r="HLK43" s="214"/>
      <c r="HLL43" s="214"/>
      <c r="HLM43" s="214"/>
      <c r="HLN43" s="214"/>
      <c r="HLO43" s="214"/>
      <c r="HLP43" s="214"/>
      <c r="HLQ43" s="214"/>
      <c r="HLR43" s="214"/>
      <c r="HLS43" s="214"/>
      <c r="HLT43" s="214"/>
      <c r="HLU43" s="214"/>
      <c r="HLV43" s="214"/>
      <c r="HLW43" s="214"/>
      <c r="HLX43" s="214"/>
      <c r="HLY43" s="214"/>
      <c r="HLZ43" s="214"/>
      <c r="HMA43" s="214"/>
      <c r="HMB43" s="214"/>
      <c r="HMC43" s="214"/>
      <c r="HMD43" s="214"/>
      <c r="HME43" s="214"/>
      <c r="HMF43" s="214"/>
      <c r="HMG43" s="214"/>
      <c r="HMH43" s="214"/>
      <c r="HMI43" s="214"/>
      <c r="HMJ43" s="214"/>
      <c r="HMK43" s="214"/>
      <c r="HML43" s="214"/>
      <c r="HMM43" s="214"/>
      <c r="HMN43" s="214"/>
      <c r="HMO43" s="214"/>
      <c r="HMP43" s="214"/>
      <c r="HMQ43" s="214"/>
      <c r="HMR43" s="214"/>
      <c r="HMS43" s="214"/>
      <c r="HMT43" s="214"/>
      <c r="HMU43" s="214"/>
      <c r="HMV43" s="214"/>
      <c r="HMW43" s="214"/>
      <c r="HMX43" s="214"/>
      <c r="HMY43" s="214"/>
      <c r="HMZ43" s="214"/>
      <c r="HNA43" s="214"/>
      <c r="HNB43" s="214"/>
      <c r="HNC43" s="214"/>
      <c r="HND43" s="214"/>
      <c r="HNE43" s="214"/>
      <c r="HNF43" s="214"/>
      <c r="HNG43" s="214"/>
      <c r="HNH43" s="214"/>
      <c r="HNI43" s="214"/>
      <c r="HNJ43" s="214"/>
      <c r="HNK43" s="214"/>
      <c r="HNL43" s="214"/>
      <c r="HNM43" s="214"/>
      <c r="HNN43" s="214"/>
      <c r="HNO43" s="214"/>
      <c r="HNP43" s="214"/>
      <c r="HNQ43" s="214"/>
      <c r="HNR43" s="214"/>
      <c r="HNS43" s="214"/>
      <c r="HNT43" s="214"/>
      <c r="HNU43" s="214"/>
      <c r="HNV43" s="214"/>
      <c r="HNW43" s="214"/>
      <c r="HNX43" s="214"/>
      <c r="HNY43" s="214"/>
      <c r="HNZ43" s="214"/>
      <c r="HOA43" s="214"/>
      <c r="HOB43" s="214"/>
      <c r="HOC43" s="214"/>
      <c r="HOD43" s="214"/>
      <c r="HOE43" s="214"/>
      <c r="HOF43" s="214"/>
      <c r="HOG43" s="214"/>
      <c r="HOH43" s="214"/>
      <c r="HOI43" s="214"/>
      <c r="HOJ43" s="214"/>
      <c r="HOK43" s="214"/>
      <c r="HOL43" s="214"/>
      <c r="HOM43" s="214"/>
      <c r="HON43" s="214"/>
      <c r="HOO43" s="214"/>
      <c r="HOP43" s="214"/>
      <c r="HOQ43" s="214"/>
      <c r="HOR43" s="214"/>
      <c r="HOS43" s="214"/>
      <c r="HOT43" s="214"/>
      <c r="HOU43" s="214"/>
      <c r="HOV43" s="214"/>
      <c r="HOW43" s="214"/>
      <c r="HOX43" s="214"/>
      <c r="HOY43" s="214"/>
      <c r="HOZ43" s="214"/>
      <c r="HPA43" s="214"/>
      <c r="HPB43" s="214"/>
      <c r="HPC43" s="214"/>
      <c r="HPD43" s="214"/>
      <c r="HPE43" s="214"/>
      <c r="HPF43" s="214"/>
      <c r="HPG43" s="214"/>
      <c r="HPH43" s="214"/>
      <c r="HPI43" s="214"/>
      <c r="HPJ43" s="214"/>
      <c r="HPK43" s="214"/>
      <c r="HPL43" s="214"/>
      <c r="HPM43" s="214"/>
      <c r="HPN43" s="214"/>
      <c r="HPO43" s="214"/>
      <c r="HPP43" s="214"/>
      <c r="HPQ43" s="214"/>
      <c r="HPR43" s="214"/>
      <c r="HPS43" s="214"/>
      <c r="HPT43" s="214"/>
      <c r="HPU43" s="214"/>
      <c r="HPV43" s="214"/>
      <c r="HPW43" s="214"/>
      <c r="HPX43" s="214"/>
      <c r="HPY43" s="214"/>
      <c r="HPZ43" s="214"/>
      <c r="HQA43" s="214"/>
      <c r="HQB43" s="214"/>
      <c r="HQC43" s="214"/>
      <c r="HQD43" s="214"/>
      <c r="HQE43" s="214"/>
      <c r="HQF43" s="214"/>
      <c r="HQG43" s="214"/>
      <c r="HQH43" s="214"/>
      <c r="HQI43" s="214"/>
      <c r="HQJ43" s="214"/>
      <c r="HQK43" s="214"/>
      <c r="HQL43" s="214"/>
      <c r="HQM43" s="214"/>
      <c r="HQN43" s="214"/>
      <c r="HQO43" s="214"/>
      <c r="HQP43" s="214"/>
      <c r="HQQ43" s="214"/>
      <c r="HQR43" s="214"/>
      <c r="HQS43" s="214"/>
      <c r="HQT43" s="214"/>
      <c r="HQU43" s="214"/>
      <c r="HQV43" s="214"/>
      <c r="HQW43" s="214"/>
      <c r="HQX43" s="214"/>
      <c r="HQY43" s="214"/>
      <c r="HQZ43" s="214"/>
      <c r="HRA43" s="214"/>
      <c r="HRB43" s="214"/>
      <c r="HRC43" s="214"/>
      <c r="HRD43" s="214"/>
      <c r="HRE43" s="214"/>
      <c r="HRF43" s="214"/>
      <c r="HRG43" s="214"/>
      <c r="HRH43" s="214"/>
      <c r="HRI43" s="214"/>
      <c r="HRJ43" s="214"/>
      <c r="HRK43" s="214"/>
      <c r="HRL43" s="214"/>
      <c r="HRM43" s="214"/>
      <c r="HRN43" s="214"/>
      <c r="HRO43" s="214"/>
      <c r="HRP43" s="214"/>
      <c r="HRQ43" s="214"/>
      <c r="HRR43" s="214"/>
      <c r="HRS43" s="214"/>
      <c r="HRT43" s="214"/>
      <c r="HRU43" s="214"/>
      <c r="HRV43" s="214"/>
      <c r="HRW43" s="214"/>
      <c r="HRX43" s="214"/>
      <c r="HRY43" s="214"/>
      <c r="HRZ43" s="214"/>
      <c r="HSA43" s="214"/>
      <c r="HSB43" s="214"/>
      <c r="HSC43" s="214"/>
      <c r="HSD43" s="214"/>
      <c r="HSE43" s="214"/>
      <c r="HSF43" s="214"/>
      <c r="HSG43" s="214"/>
      <c r="HSH43" s="214"/>
      <c r="HSI43" s="214"/>
      <c r="HSJ43" s="214"/>
      <c r="HSK43" s="214"/>
      <c r="HSL43" s="214"/>
      <c r="HSM43" s="214"/>
      <c r="HSN43" s="214"/>
      <c r="HSO43" s="214"/>
      <c r="HSP43" s="214"/>
      <c r="HSQ43" s="214"/>
      <c r="HSR43" s="214"/>
      <c r="HSS43" s="214"/>
      <c r="HST43" s="214"/>
      <c r="HSU43" s="214"/>
      <c r="HSV43" s="214"/>
      <c r="HSW43" s="214"/>
      <c r="HSX43" s="214"/>
      <c r="HSY43" s="214"/>
      <c r="HSZ43" s="214"/>
      <c r="HTA43" s="214"/>
      <c r="HTB43" s="214"/>
      <c r="HTC43" s="214"/>
      <c r="HTD43" s="214"/>
      <c r="HTE43" s="214"/>
      <c r="HTF43" s="214"/>
      <c r="HTG43" s="214"/>
      <c r="HTH43" s="214"/>
      <c r="HTI43" s="214"/>
      <c r="HTJ43" s="214"/>
      <c r="HTK43" s="214"/>
      <c r="HTL43" s="214"/>
      <c r="HTM43" s="214"/>
      <c r="HTN43" s="214"/>
      <c r="HTO43" s="214"/>
      <c r="HTP43" s="214"/>
      <c r="HTQ43" s="214"/>
      <c r="HTR43" s="214"/>
      <c r="HTS43" s="214"/>
      <c r="HTT43" s="214"/>
      <c r="HTU43" s="214"/>
      <c r="HTV43" s="214"/>
      <c r="HTW43" s="214"/>
      <c r="HTX43" s="214"/>
      <c r="HTY43" s="214"/>
      <c r="HTZ43" s="214"/>
      <c r="HUA43" s="214"/>
      <c r="HUB43" s="214"/>
      <c r="HUC43" s="214"/>
      <c r="HUD43" s="214"/>
      <c r="HUE43" s="214"/>
      <c r="HUF43" s="214"/>
      <c r="HUG43" s="214"/>
      <c r="HUH43" s="214"/>
      <c r="HUI43" s="214"/>
      <c r="HUJ43" s="214"/>
      <c r="HUK43" s="214"/>
      <c r="HUL43" s="214"/>
      <c r="HUM43" s="214"/>
      <c r="HUN43" s="214"/>
      <c r="HUO43" s="214"/>
      <c r="HUP43" s="214"/>
      <c r="HUQ43" s="214"/>
      <c r="HUR43" s="214"/>
      <c r="HUS43" s="214"/>
      <c r="HUT43" s="214"/>
      <c r="HUU43" s="214"/>
      <c r="HUV43" s="214"/>
      <c r="HUW43" s="214"/>
      <c r="HUX43" s="214"/>
      <c r="HUY43" s="214"/>
      <c r="HUZ43" s="214"/>
      <c r="HVA43" s="214"/>
      <c r="HVB43" s="214"/>
      <c r="HVC43" s="214"/>
      <c r="HVD43" s="214"/>
      <c r="HVE43" s="214"/>
      <c r="HVF43" s="214"/>
      <c r="HVG43" s="214"/>
      <c r="HVH43" s="214"/>
      <c r="HVI43" s="214"/>
      <c r="HVJ43" s="214"/>
      <c r="HVK43" s="214"/>
      <c r="HVL43" s="214"/>
      <c r="HVM43" s="214"/>
      <c r="HVN43" s="214"/>
      <c r="HVO43" s="214"/>
      <c r="HVP43" s="214"/>
      <c r="HVQ43" s="214"/>
      <c r="HVR43" s="214"/>
      <c r="HVS43" s="214"/>
      <c r="HVT43" s="214"/>
      <c r="HVU43" s="214"/>
      <c r="HVV43" s="214"/>
      <c r="HVW43" s="214"/>
      <c r="HVX43" s="214"/>
      <c r="HVY43" s="214"/>
      <c r="HVZ43" s="214"/>
      <c r="HWA43" s="214"/>
      <c r="HWB43" s="214"/>
      <c r="HWC43" s="214"/>
      <c r="HWD43" s="214"/>
      <c r="HWE43" s="214"/>
      <c r="HWF43" s="214"/>
      <c r="HWG43" s="214"/>
      <c r="HWH43" s="214"/>
      <c r="HWI43" s="214"/>
      <c r="HWJ43" s="214"/>
      <c r="HWK43" s="214"/>
      <c r="HWL43" s="214"/>
      <c r="HWM43" s="214"/>
      <c r="HWN43" s="214"/>
      <c r="HWO43" s="214"/>
      <c r="HWP43" s="214"/>
      <c r="HWQ43" s="214"/>
      <c r="HWR43" s="214"/>
      <c r="HWS43" s="214"/>
      <c r="HWT43" s="214"/>
      <c r="HWU43" s="214"/>
      <c r="HWV43" s="214"/>
      <c r="HWW43" s="214"/>
      <c r="HWX43" s="214"/>
      <c r="HWY43" s="214"/>
      <c r="HWZ43" s="214"/>
      <c r="HXA43" s="214"/>
      <c r="HXB43" s="214"/>
      <c r="HXC43" s="214"/>
      <c r="HXD43" s="214"/>
      <c r="HXE43" s="214"/>
      <c r="HXF43" s="214"/>
      <c r="HXG43" s="214"/>
      <c r="HXH43" s="214"/>
      <c r="HXI43" s="214"/>
      <c r="HXJ43" s="214"/>
      <c r="HXK43" s="214"/>
      <c r="HXL43" s="214"/>
      <c r="HXM43" s="214"/>
      <c r="HXN43" s="214"/>
      <c r="HXO43" s="214"/>
      <c r="HXP43" s="214"/>
      <c r="HXQ43" s="214"/>
      <c r="HXR43" s="214"/>
      <c r="HXS43" s="214"/>
      <c r="HXT43" s="214"/>
      <c r="HXU43" s="214"/>
      <c r="HXV43" s="214"/>
      <c r="HXW43" s="214"/>
      <c r="HXX43" s="214"/>
      <c r="HXY43" s="214"/>
      <c r="HXZ43" s="214"/>
      <c r="HYA43" s="214"/>
      <c r="HYB43" s="214"/>
      <c r="HYC43" s="214"/>
      <c r="HYD43" s="214"/>
      <c r="HYE43" s="214"/>
      <c r="HYF43" s="214"/>
      <c r="HYG43" s="214"/>
      <c r="HYH43" s="214"/>
      <c r="HYI43" s="214"/>
      <c r="HYJ43" s="214"/>
      <c r="HYK43" s="214"/>
      <c r="HYL43" s="214"/>
      <c r="HYM43" s="214"/>
      <c r="HYN43" s="214"/>
      <c r="HYO43" s="214"/>
      <c r="HYP43" s="214"/>
      <c r="HYQ43" s="214"/>
      <c r="HYR43" s="214"/>
      <c r="HYS43" s="214"/>
      <c r="HYT43" s="214"/>
      <c r="HYU43" s="214"/>
      <c r="HYV43" s="214"/>
      <c r="HYW43" s="214"/>
      <c r="HYX43" s="214"/>
      <c r="HYY43" s="214"/>
      <c r="HYZ43" s="214"/>
      <c r="HZA43" s="214"/>
      <c r="HZB43" s="214"/>
      <c r="HZC43" s="214"/>
      <c r="HZD43" s="214"/>
      <c r="HZE43" s="214"/>
      <c r="HZF43" s="214"/>
      <c r="HZG43" s="214"/>
      <c r="HZH43" s="214"/>
      <c r="HZI43" s="214"/>
      <c r="HZJ43" s="214"/>
      <c r="HZK43" s="214"/>
      <c r="HZL43" s="214"/>
      <c r="HZM43" s="214"/>
      <c r="HZN43" s="214"/>
      <c r="HZO43" s="214"/>
      <c r="HZP43" s="214"/>
      <c r="HZQ43" s="214"/>
      <c r="HZR43" s="214"/>
      <c r="HZS43" s="214"/>
      <c r="HZT43" s="214"/>
      <c r="HZU43" s="214"/>
      <c r="HZV43" s="214"/>
      <c r="HZW43" s="214"/>
      <c r="HZX43" s="214"/>
      <c r="HZY43" s="214"/>
      <c r="HZZ43" s="214"/>
      <c r="IAA43" s="214"/>
      <c r="IAB43" s="214"/>
      <c r="IAC43" s="214"/>
      <c r="IAD43" s="214"/>
      <c r="IAE43" s="214"/>
      <c r="IAF43" s="214"/>
      <c r="IAG43" s="214"/>
      <c r="IAH43" s="214"/>
      <c r="IAI43" s="214"/>
      <c r="IAJ43" s="214"/>
      <c r="IAK43" s="214"/>
      <c r="IAL43" s="214"/>
      <c r="IAM43" s="214"/>
      <c r="IAN43" s="214"/>
      <c r="IAO43" s="214"/>
      <c r="IAP43" s="214"/>
      <c r="IAQ43" s="214"/>
      <c r="IAR43" s="214"/>
      <c r="IAS43" s="214"/>
      <c r="IAT43" s="214"/>
      <c r="IAU43" s="214"/>
      <c r="IAV43" s="214"/>
      <c r="IAW43" s="214"/>
      <c r="IAX43" s="214"/>
      <c r="IAY43" s="214"/>
      <c r="IAZ43" s="214"/>
      <c r="IBA43" s="214"/>
      <c r="IBB43" s="214"/>
      <c r="IBC43" s="214"/>
      <c r="IBD43" s="214"/>
      <c r="IBE43" s="214"/>
      <c r="IBF43" s="214"/>
      <c r="IBG43" s="214"/>
      <c r="IBH43" s="214"/>
      <c r="IBI43" s="214"/>
      <c r="IBJ43" s="214"/>
      <c r="IBK43" s="214"/>
      <c r="IBL43" s="214"/>
      <c r="IBM43" s="214"/>
      <c r="IBN43" s="214"/>
      <c r="IBO43" s="214"/>
      <c r="IBP43" s="214"/>
      <c r="IBQ43" s="214"/>
      <c r="IBR43" s="214"/>
      <c r="IBS43" s="214"/>
      <c r="IBT43" s="214"/>
      <c r="IBU43" s="214"/>
      <c r="IBV43" s="214"/>
      <c r="IBW43" s="214"/>
      <c r="IBX43" s="214"/>
      <c r="IBY43" s="214"/>
      <c r="IBZ43" s="214"/>
      <c r="ICA43" s="214"/>
      <c r="ICB43" s="214"/>
      <c r="ICC43" s="214"/>
      <c r="ICD43" s="214"/>
      <c r="ICE43" s="214"/>
      <c r="ICF43" s="214"/>
      <c r="ICG43" s="214"/>
      <c r="ICH43" s="214"/>
      <c r="ICI43" s="214"/>
      <c r="ICJ43" s="214"/>
      <c r="ICK43" s="214"/>
      <c r="ICL43" s="214"/>
      <c r="ICM43" s="214"/>
      <c r="ICN43" s="214"/>
      <c r="ICO43" s="214"/>
      <c r="ICP43" s="214"/>
      <c r="ICQ43" s="214"/>
      <c r="ICR43" s="214"/>
      <c r="ICS43" s="214"/>
      <c r="ICT43" s="214"/>
      <c r="ICU43" s="214"/>
      <c r="ICV43" s="214"/>
      <c r="ICW43" s="214"/>
      <c r="ICX43" s="214"/>
      <c r="ICY43" s="214"/>
      <c r="ICZ43" s="214"/>
      <c r="IDA43" s="214"/>
      <c r="IDB43" s="214"/>
      <c r="IDC43" s="214"/>
      <c r="IDD43" s="214"/>
      <c r="IDE43" s="214"/>
      <c r="IDF43" s="214"/>
      <c r="IDG43" s="214"/>
      <c r="IDH43" s="214"/>
      <c r="IDI43" s="214"/>
      <c r="IDJ43" s="214"/>
      <c r="IDK43" s="214"/>
      <c r="IDL43" s="214"/>
      <c r="IDM43" s="214"/>
      <c r="IDN43" s="214"/>
      <c r="IDO43" s="214"/>
      <c r="IDP43" s="214"/>
      <c r="IDQ43" s="214"/>
      <c r="IDR43" s="214"/>
      <c r="IDS43" s="214"/>
      <c r="IDT43" s="214"/>
      <c r="IDU43" s="214"/>
      <c r="IDV43" s="214"/>
      <c r="IDW43" s="214"/>
      <c r="IDX43" s="214"/>
      <c r="IDY43" s="214"/>
      <c r="IDZ43" s="214"/>
      <c r="IEA43" s="214"/>
      <c r="IEB43" s="214"/>
      <c r="IEC43" s="214"/>
      <c r="IED43" s="214"/>
      <c r="IEE43" s="214"/>
      <c r="IEF43" s="214"/>
      <c r="IEG43" s="214"/>
      <c r="IEH43" s="214"/>
      <c r="IEI43" s="214"/>
      <c r="IEJ43" s="214"/>
      <c r="IEK43" s="214"/>
      <c r="IEL43" s="214"/>
      <c r="IEM43" s="214"/>
      <c r="IEN43" s="214"/>
      <c r="IEO43" s="214"/>
      <c r="IEP43" s="214"/>
      <c r="IEQ43" s="214"/>
      <c r="IER43" s="214"/>
      <c r="IES43" s="214"/>
      <c r="IET43" s="214"/>
      <c r="IEU43" s="214"/>
      <c r="IEV43" s="214"/>
      <c r="IEW43" s="214"/>
      <c r="IEX43" s="214"/>
      <c r="IEY43" s="214"/>
      <c r="IEZ43" s="214"/>
      <c r="IFA43" s="214"/>
      <c r="IFB43" s="214"/>
      <c r="IFC43" s="214"/>
      <c r="IFD43" s="214"/>
      <c r="IFE43" s="214"/>
      <c r="IFF43" s="214"/>
      <c r="IFG43" s="214"/>
      <c r="IFH43" s="214"/>
      <c r="IFI43" s="214"/>
      <c r="IFJ43" s="214"/>
      <c r="IFK43" s="214"/>
      <c r="IFL43" s="214"/>
      <c r="IFM43" s="214"/>
      <c r="IFN43" s="214"/>
      <c r="IFO43" s="214"/>
      <c r="IFP43" s="214"/>
      <c r="IFQ43" s="214"/>
      <c r="IFR43" s="214"/>
      <c r="IFS43" s="214"/>
      <c r="IFT43" s="214"/>
      <c r="IFU43" s="214"/>
      <c r="IFV43" s="214"/>
      <c r="IFW43" s="214"/>
      <c r="IFX43" s="214"/>
      <c r="IFY43" s="214"/>
      <c r="IFZ43" s="214"/>
      <c r="IGA43" s="214"/>
      <c r="IGB43" s="214"/>
      <c r="IGC43" s="214"/>
      <c r="IGD43" s="214"/>
      <c r="IGE43" s="214"/>
      <c r="IGF43" s="214"/>
      <c r="IGG43" s="214"/>
      <c r="IGH43" s="214"/>
      <c r="IGI43" s="214"/>
      <c r="IGJ43" s="214"/>
      <c r="IGK43" s="214"/>
      <c r="IGL43" s="214"/>
      <c r="IGM43" s="214"/>
      <c r="IGN43" s="214"/>
      <c r="IGO43" s="214"/>
      <c r="IGP43" s="214"/>
      <c r="IGQ43" s="214"/>
      <c r="IGR43" s="214"/>
      <c r="IGS43" s="214"/>
      <c r="IGT43" s="214"/>
      <c r="IGU43" s="214"/>
      <c r="IGV43" s="214"/>
      <c r="IGW43" s="214"/>
      <c r="IGX43" s="214"/>
      <c r="IGY43" s="214"/>
      <c r="IGZ43" s="214"/>
      <c r="IHA43" s="214"/>
      <c r="IHB43" s="214"/>
      <c r="IHC43" s="214"/>
      <c r="IHD43" s="214"/>
      <c r="IHE43" s="214"/>
      <c r="IHF43" s="214"/>
      <c r="IHG43" s="214"/>
      <c r="IHH43" s="214"/>
      <c r="IHI43" s="214"/>
      <c r="IHJ43" s="214"/>
      <c r="IHK43" s="214"/>
      <c r="IHL43" s="214"/>
      <c r="IHM43" s="214"/>
      <c r="IHN43" s="214"/>
      <c r="IHO43" s="214"/>
      <c r="IHP43" s="214"/>
      <c r="IHQ43" s="214"/>
      <c r="IHR43" s="214"/>
      <c r="IHS43" s="214"/>
      <c r="IHT43" s="214"/>
      <c r="IHU43" s="214"/>
      <c r="IHV43" s="214"/>
      <c r="IHW43" s="214"/>
      <c r="IHX43" s="214"/>
      <c r="IHY43" s="214"/>
      <c r="IHZ43" s="214"/>
      <c r="IIA43" s="214"/>
      <c r="IIB43" s="214"/>
      <c r="IIC43" s="214"/>
      <c r="IID43" s="214"/>
      <c r="IIE43" s="214"/>
      <c r="IIF43" s="214"/>
      <c r="IIG43" s="214"/>
      <c r="IIH43" s="214"/>
      <c r="III43" s="214"/>
      <c r="IIJ43" s="214"/>
      <c r="IIK43" s="214"/>
      <c r="IIL43" s="214"/>
      <c r="IIM43" s="214"/>
      <c r="IIN43" s="214"/>
      <c r="IIO43" s="214"/>
      <c r="IIP43" s="214"/>
      <c r="IIQ43" s="214"/>
      <c r="IIR43" s="214"/>
      <c r="IIS43" s="214"/>
      <c r="IIT43" s="214"/>
      <c r="IIU43" s="214"/>
      <c r="IIV43" s="214"/>
      <c r="IIW43" s="214"/>
      <c r="IIX43" s="214"/>
      <c r="IIY43" s="214"/>
      <c r="IIZ43" s="214"/>
      <c r="IJA43" s="214"/>
      <c r="IJB43" s="214"/>
      <c r="IJC43" s="214"/>
      <c r="IJD43" s="214"/>
      <c r="IJE43" s="214"/>
      <c r="IJF43" s="214"/>
      <c r="IJG43" s="214"/>
      <c r="IJH43" s="214"/>
      <c r="IJI43" s="214"/>
      <c r="IJJ43" s="214"/>
      <c r="IJK43" s="214"/>
      <c r="IJL43" s="214"/>
      <c r="IJM43" s="214"/>
      <c r="IJN43" s="214"/>
      <c r="IJO43" s="214"/>
      <c r="IJP43" s="214"/>
      <c r="IJQ43" s="214"/>
      <c r="IJR43" s="214"/>
      <c r="IJS43" s="214"/>
      <c r="IJT43" s="214"/>
      <c r="IJU43" s="214"/>
      <c r="IJV43" s="214"/>
      <c r="IJW43" s="214"/>
      <c r="IJX43" s="214"/>
      <c r="IJY43" s="214"/>
      <c r="IJZ43" s="214"/>
      <c r="IKA43" s="214"/>
      <c r="IKB43" s="214"/>
      <c r="IKC43" s="214"/>
      <c r="IKD43" s="214"/>
      <c r="IKE43" s="214"/>
      <c r="IKF43" s="214"/>
      <c r="IKG43" s="214"/>
      <c r="IKH43" s="214"/>
      <c r="IKI43" s="214"/>
      <c r="IKJ43" s="214"/>
      <c r="IKK43" s="214"/>
      <c r="IKL43" s="214"/>
      <c r="IKM43" s="214"/>
      <c r="IKN43" s="214"/>
      <c r="IKO43" s="214"/>
      <c r="IKP43" s="214"/>
      <c r="IKQ43" s="214"/>
      <c r="IKR43" s="214"/>
      <c r="IKS43" s="214"/>
      <c r="IKT43" s="214"/>
      <c r="IKU43" s="214"/>
      <c r="IKV43" s="214"/>
      <c r="IKW43" s="214"/>
      <c r="IKX43" s="214"/>
      <c r="IKY43" s="214"/>
      <c r="IKZ43" s="214"/>
      <c r="ILA43" s="214"/>
      <c r="ILB43" s="214"/>
      <c r="ILC43" s="214"/>
      <c r="ILD43" s="214"/>
      <c r="ILE43" s="214"/>
      <c r="ILF43" s="214"/>
      <c r="ILG43" s="214"/>
      <c r="ILH43" s="214"/>
      <c r="ILI43" s="214"/>
      <c r="ILJ43" s="214"/>
      <c r="ILK43" s="214"/>
      <c r="ILL43" s="214"/>
      <c r="ILM43" s="214"/>
      <c r="ILN43" s="214"/>
      <c r="ILO43" s="214"/>
      <c r="ILP43" s="214"/>
      <c r="ILQ43" s="214"/>
      <c r="ILR43" s="214"/>
      <c r="ILS43" s="214"/>
      <c r="ILT43" s="214"/>
      <c r="ILU43" s="214"/>
      <c r="ILV43" s="214"/>
      <c r="ILW43" s="214"/>
      <c r="ILX43" s="214"/>
      <c r="ILY43" s="214"/>
      <c r="ILZ43" s="214"/>
      <c r="IMA43" s="214"/>
      <c r="IMB43" s="214"/>
      <c r="IMC43" s="214"/>
      <c r="IMD43" s="214"/>
      <c r="IME43" s="214"/>
      <c r="IMF43" s="214"/>
      <c r="IMG43" s="214"/>
      <c r="IMH43" s="214"/>
      <c r="IMI43" s="214"/>
      <c r="IMJ43" s="214"/>
      <c r="IMK43" s="214"/>
      <c r="IML43" s="214"/>
      <c r="IMM43" s="214"/>
      <c r="IMN43" s="214"/>
      <c r="IMO43" s="214"/>
      <c r="IMP43" s="214"/>
      <c r="IMQ43" s="214"/>
      <c r="IMR43" s="214"/>
      <c r="IMS43" s="214"/>
      <c r="IMT43" s="214"/>
      <c r="IMU43" s="214"/>
      <c r="IMV43" s="214"/>
      <c r="IMW43" s="214"/>
      <c r="IMX43" s="214"/>
      <c r="IMY43" s="214"/>
      <c r="IMZ43" s="214"/>
      <c r="INA43" s="214"/>
      <c r="INB43" s="214"/>
      <c r="INC43" s="214"/>
      <c r="IND43" s="214"/>
      <c r="INE43" s="214"/>
      <c r="INF43" s="214"/>
      <c r="ING43" s="214"/>
      <c r="INH43" s="214"/>
      <c r="INI43" s="214"/>
      <c r="INJ43" s="214"/>
      <c r="INK43" s="214"/>
      <c r="INL43" s="214"/>
      <c r="INM43" s="214"/>
      <c r="INN43" s="214"/>
      <c r="INO43" s="214"/>
      <c r="INP43" s="214"/>
      <c r="INQ43" s="214"/>
      <c r="INR43" s="214"/>
      <c r="INS43" s="214"/>
      <c r="INT43" s="214"/>
      <c r="INU43" s="214"/>
      <c r="INV43" s="214"/>
      <c r="INW43" s="214"/>
      <c r="INX43" s="214"/>
      <c r="INY43" s="214"/>
      <c r="INZ43" s="214"/>
      <c r="IOA43" s="214"/>
      <c r="IOB43" s="214"/>
      <c r="IOC43" s="214"/>
      <c r="IOD43" s="214"/>
      <c r="IOE43" s="214"/>
      <c r="IOF43" s="214"/>
      <c r="IOG43" s="214"/>
      <c r="IOH43" s="214"/>
      <c r="IOI43" s="214"/>
      <c r="IOJ43" s="214"/>
      <c r="IOK43" s="214"/>
      <c r="IOL43" s="214"/>
      <c r="IOM43" s="214"/>
      <c r="ION43" s="214"/>
      <c r="IOO43" s="214"/>
      <c r="IOP43" s="214"/>
      <c r="IOQ43" s="214"/>
      <c r="IOR43" s="214"/>
      <c r="IOS43" s="214"/>
      <c r="IOT43" s="214"/>
      <c r="IOU43" s="214"/>
      <c r="IOV43" s="214"/>
      <c r="IOW43" s="214"/>
      <c r="IOX43" s="214"/>
      <c r="IOY43" s="214"/>
      <c r="IOZ43" s="214"/>
      <c r="IPA43" s="214"/>
      <c r="IPB43" s="214"/>
      <c r="IPC43" s="214"/>
      <c r="IPD43" s="214"/>
      <c r="IPE43" s="214"/>
      <c r="IPF43" s="214"/>
      <c r="IPG43" s="214"/>
      <c r="IPH43" s="214"/>
      <c r="IPI43" s="214"/>
      <c r="IPJ43" s="214"/>
      <c r="IPK43" s="214"/>
      <c r="IPL43" s="214"/>
      <c r="IPM43" s="214"/>
      <c r="IPN43" s="214"/>
      <c r="IPO43" s="214"/>
      <c r="IPP43" s="214"/>
      <c r="IPQ43" s="214"/>
      <c r="IPR43" s="214"/>
      <c r="IPS43" s="214"/>
      <c r="IPT43" s="214"/>
      <c r="IPU43" s="214"/>
      <c r="IPV43" s="214"/>
      <c r="IPW43" s="214"/>
      <c r="IPX43" s="214"/>
      <c r="IPY43" s="214"/>
      <c r="IPZ43" s="214"/>
      <c r="IQA43" s="214"/>
      <c r="IQB43" s="214"/>
      <c r="IQC43" s="214"/>
      <c r="IQD43" s="214"/>
      <c r="IQE43" s="214"/>
      <c r="IQF43" s="214"/>
      <c r="IQG43" s="214"/>
      <c r="IQH43" s="214"/>
      <c r="IQI43" s="214"/>
      <c r="IQJ43" s="214"/>
      <c r="IQK43" s="214"/>
      <c r="IQL43" s="214"/>
      <c r="IQM43" s="214"/>
      <c r="IQN43" s="214"/>
      <c r="IQO43" s="214"/>
      <c r="IQP43" s="214"/>
      <c r="IQQ43" s="214"/>
      <c r="IQR43" s="214"/>
      <c r="IQS43" s="214"/>
      <c r="IQT43" s="214"/>
      <c r="IQU43" s="214"/>
      <c r="IQV43" s="214"/>
      <c r="IQW43" s="214"/>
      <c r="IQX43" s="214"/>
      <c r="IQY43" s="214"/>
      <c r="IQZ43" s="214"/>
      <c r="IRA43" s="214"/>
      <c r="IRB43" s="214"/>
      <c r="IRC43" s="214"/>
      <c r="IRD43" s="214"/>
      <c r="IRE43" s="214"/>
      <c r="IRF43" s="214"/>
      <c r="IRG43" s="214"/>
      <c r="IRH43" s="214"/>
      <c r="IRI43" s="214"/>
      <c r="IRJ43" s="214"/>
      <c r="IRK43" s="214"/>
      <c r="IRL43" s="214"/>
      <c r="IRM43" s="214"/>
      <c r="IRN43" s="214"/>
      <c r="IRO43" s="214"/>
      <c r="IRP43" s="214"/>
      <c r="IRQ43" s="214"/>
      <c r="IRR43" s="214"/>
      <c r="IRS43" s="214"/>
      <c r="IRT43" s="214"/>
      <c r="IRU43" s="214"/>
      <c r="IRV43" s="214"/>
      <c r="IRW43" s="214"/>
      <c r="IRX43" s="214"/>
      <c r="IRY43" s="214"/>
      <c r="IRZ43" s="214"/>
      <c r="ISA43" s="214"/>
      <c r="ISB43" s="214"/>
      <c r="ISC43" s="214"/>
      <c r="ISD43" s="214"/>
      <c r="ISE43" s="214"/>
      <c r="ISF43" s="214"/>
      <c r="ISG43" s="214"/>
      <c r="ISH43" s="214"/>
      <c r="ISI43" s="214"/>
      <c r="ISJ43" s="214"/>
      <c r="ISK43" s="214"/>
      <c r="ISL43" s="214"/>
      <c r="ISM43" s="214"/>
      <c r="ISN43" s="214"/>
      <c r="ISO43" s="214"/>
      <c r="ISP43" s="214"/>
      <c r="ISQ43" s="214"/>
      <c r="ISR43" s="214"/>
      <c r="ISS43" s="214"/>
      <c r="IST43" s="214"/>
      <c r="ISU43" s="214"/>
      <c r="ISV43" s="214"/>
      <c r="ISW43" s="214"/>
      <c r="ISX43" s="214"/>
      <c r="ISY43" s="214"/>
      <c r="ISZ43" s="214"/>
      <c r="ITA43" s="214"/>
      <c r="ITB43" s="214"/>
      <c r="ITC43" s="214"/>
      <c r="ITD43" s="214"/>
      <c r="ITE43" s="214"/>
      <c r="ITF43" s="214"/>
      <c r="ITG43" s="214"/>
      <c r="ITH43" s="214"/>
      <c r="ITI43" s="214"/>
      <c r="ITJ43" s="214"/>
      <c r="ITK43" s="214"/>
      <c r="ITL43" s="214"/>
      <c r="ITM43" s="214"/>
      <c r="ITN43" s="214"/>
      <c r="ITO43" s="214"/>
      <c r="ITP43" s="214"/>
      <c r="ITQ43" s="214"/>
      <c r="ITR43" s="214"/>
      <c r="ITS43" s="214"/>
      <c r="ITT43" s="214"/>
      <c r="ITU43" s="214"/>
      <c r="ITV43" s="214"/>
      <c r="ITW43" s="214"/>
      <c r="ITX43" s="214"/>
      <c r="ITY43" s="214"/>
      <c r="ITZ43" s="214"/>
      <c r="IUA43" s="214"/>
      <c r="IUB43" s="214"/>
      <c r="IUC43" s="214"/>
      <c r="IUD43" s="214"/>
      <c r="IUE43" s="214"/>
      <c r="IUF43" s="214"/>
      <c r="IUG43" s="214"/>
      <c r="IUH43" s="214"/>
      <c r="IUI43" s="214"/>
      <c r="IUJ43" s="214"/>
      <c r="IUK43" s="214"/>
      <c r="IUL43" s="214"/>
      <c r="IUM43" s="214"/>
      <c r="IUN43" s="214"/>
      <c r="IUO43" s="214"/>
      <c r="IUP43" s="214"/>
      <c r="IUQ43" s="214"/>
      <c r="IUR43" s="214"/>
      <c r="IUS43" s="214"/>
      <c r="IUT43" s="214"/>
      <c r="IUU43" s="214"/>
      <c r="IUV43" s="214"/>
      <c r="IUW43" s="214"/>
      <c r="IUX43" s="214"/>
      <c r="IUY43" s="214"/>
      <c r="IUZ43" s="214"/>
      <c r="IVA43" s="214"/>
      <c r="IVB43" s="214"/>
      <c r="IVC43" s="214"/>
      <c r="IVD43" s="214"/>
      <c r="IVE43" s="214"/>
      <c r="IVF43" s="214"/>
      <c r="IVG43" s="214"/>
      <c r="IVH43" s="214"/>
      <c r="IVI43" s="214"/>
      <c r="IVJ43" s="214"/>
      <c r="IVK43" s="214"/>
      <c r="IVL43" s="214"/>
      <c r="IVM43" s="214"/>
      <c r="IVN43" s="214"/>
      <c r="IVO43" s="214"/>
      <c r="IVP43" s="214"/>
      <c r="IVQ43" s="214"/>
      <c r="IVR43" s="214"/>
      <c r="IVS43" s="214"/>
      <c r="IVT43" s="214"/>
      <c r="IVU43" s="214"/>
      <c r="IVV43" s="214"/>
      <c r="IVW43" s="214"/>
      <c r="IVX43" s="214"/>
      <c r="IVY43" s="214"/>
      <c r="IVZ43" s="214"/>
      <c r="IWA43" s="214"/>
      <c r="IWB43" s="214"/>
      <c r="IWC43" s="214"/>
      <c r="IWD43" s="214"/>
      <c r="IWE43" s="214"/>
      <c r="IWF43" s="214"/>
      <c r="IWG43" s="214"/>
      <c r="IWH43" s="214"/>
      <c r="IWI43" s="214"/>
      <c r="IWJ43" s="214"/>
      <c r="IWK43" s="214"/>
      <c r="IWL43" s="214"/>
      <c r="IWM43" s="214"/>
      <c r="IWN43" s="214"/>
      <c r="IWO43" s="214"/>
      <c r="IWP43" s="214"/>
      <c r="IWQ43" s="214"/>
      <c r="IWR43" s="214"/>
      <c r="IWS43" s="214"/>
      <c r="IWT43" s="214"/>
      <c r="IWU43" s="214"/>
      <c r="IWV43" s="214"/>
      <c r="IWW43" s="214"/>
      <c r="IWX43" s="214"/>
      <c r="IWY43" s="214"/>
      <c r="IWZ43" s="214"/>
      <c r="IXA43" s="214"/>
      <c r="IXB43" s="214"/>
      <c r="IXC43" s="214"/>
      <c r="IXD43" s="214"/>
      <c r="IXE43" s="214"/>
      <c r="IXF43" s="214"/>
      <c r="IXG43" s="214"/>
      <c r="IXH43" s="214"/>
      <c r="IXI43" s="214"/>
      <c r="IXJ43" s="214"/>
      <c r="IXK43" s="214"/>
      <c r="IXL43" s="214"/>
      <c r="IXM43" s="214"/>
      <c r="IXN43" s="214"/>
      <c r="IXO43" s="214"/>
      <c r="IXP43" s="214"/>
      <c r="IXQ43" s="214"/>
      <c r="IXR43" s="214"/>
      <c r="IXS43" s="214"/>
      <c r="IXT43" s="214"/>
      <c r="IXU43" s="214"/>
      <c r="IXV43" s="214"/>
      <c r="IXW43" s="214"/>
      <c r="IXX43" s="214"/>
      <c r="IXY43" s="214"/>
      <c r="IXZ43" s="214"/>
      <c r="IYA43" s="214"/>
      <c r="IYB43" s="214"/>
      <c r="IYC43" s="214"/>
      <c r="IYD43" s="214"/>
      <c r="IYE43" s="214"/>
      <c r="IYF43" s="214"/>
      <c r="IYG43" s="214"/>
      <c r="IYH43" s="214"/>
      <c r="IYI43" s="214"/>
      <c r="IYJ43" s="214"/>
      <c r="IYK43" s="214"/>
      <c r="IYL43" s="214"/>
      <c r="IYM43" s="214"/>
      <c r="IYN43" s="214"/>
      <c r="IYO43" s="214"/>
      <c r="IYP43" s="214"/>
      <c r="IYQ43" s="214"/>
      <c r="IYR43" s="214"/>
      <c r="IYS43" s="214"/>
      <c r="IYT43" s="214"/>
      <c r="IYU43" s="214"/>
      <c r="IYV43" s="214"/>
      <c r="IYW43" s="214"/>
      <c r="IYX43" s="214"/>
      <c r="IYY43" s="214"/>
      <c r="IYZ43" s="214"/>
      <c r="IZA43" s="214"/>
      <c r="IZB43" s="214"/>
      <c r="IZC43" s="214"/>
      <c r="IZD43" s="214"/>
      <c r="IZE43" s="214"/>
      <c r="IZF43" s="214"/>
      <c r="IZG43" s="214"/>
      <c r="IZH43" s="214"/>
      <c r="IZI43" s="214"/>
      <c r="IZJ43" s="214"/>
      <c r="IZK43" s="214"/>
      <c r="IZL43" s="214"/>
      <c r="IZM43" s="214"/>
      <c r="IZN43" s="214"/>
      <c r="IZO43" s="214"/>
      <c r="IZP43" s="214"/>
      <c r="IZQ43" s="214"/>
      <c r="IZR43" s="214"/>
      <c r="IZS43" s="214"/>
      <c r="IZT43" s="214"/>
      <c r="IZU43" s="214"/>
      <c r="IZV43" s="214"/>
      <c r="IZW43" s="214"/>
      <c r="IZX43" s="214"/>
      <c r="IZY43" s="214"/>
      <c r="IZZ43" s="214"/>
      <c r="JAA43" s="214"/>
      <c r="JAB43" s="214"/>
      <c r="JAC43" s="214"/>
      <c r="JAD43" s="214"/>
      <c r="JAE43" s="214"/>
      <c r="JAF43" s="214"/>
      <c r="JAG43" s="214"/>
      <c r="JAH43" s="214"/>
      <c r="JAI43" s="214"/>
      <c r="JAJ43" s="214"/>
      <c r="JAK43" s="214"/>
      <c r="JAL43" s="214"/>
      <c r="JAM43" s="214"/>
      <c r="JAN43" s="214"/>
      <c r="JAO43" s="214"/>
      <c r="JAP43" s="214"/>
      <c r="JAQ43" s="214"/>
      <c r="JAR43" s="214"/>
      <c r="JAS43" s="214"/>
      <c r="JAT43" s="214"/>
      <c r="JAU43" s="214"/>
      <c r="JAV43" s="214"/>
      <c r="JAW43" s="214"/>
      <c r="JAX43" s="214"/>
      <c r="JAY43" s="214"/>
      <c r="JAZ43" s="214"/>
      <c r="JBA43" s="214"/>
      <c r="JBB43" s="214"/>
      <c r="JBC43" s="214"/>
      <c r="JBD43" s="214"/>
      <c r="JBE43" s="214"/>
      <c r="JBF43" s="214"/>
      <c r="JBG43" s="214"/>
      <c r="JBH43" s="214"/>
      <c r="JBI43" s="214"/>
      <c r="JBJ43" s="214"/>
      <c r="JBK43" s="214"/>
      <c r="JBL43" s="214"/>
      <c r="JBM43" s="214"/>
      <c r="JBN43" s="214"/>
      <c r="JBO43" s="214"/>
      <c r="JBP43" s="214"/>
      <c r="JBQ43" s="214"/>
      <c r="JBR43" s="214"/>
      <c r="JBS43" s="214"/>
      <c r="JBT43" s="214"/>
      <c r="JBU43" s="214"/>
      <c r="JBV43" s="214"/>
      <c r="JBW43" s="214"/>
      <c r="JBX43" s="214"/>
      <c r="JBY43" s="214"/>
      <c r="JBZ43" s="214"/>
      <c r="JCA43" s="214"/>
      <c r="JCB43" s="214"/>
      <c r="JCC43" s="214"/>
      <c r="JCD43" s="214"/>
      <c r="JCE43" s="214"/>
      <c r="JCF43" s="214"/>
      <c r="JCG43" s="214"/>
      <c r="JCH43" s="214"/>
      <c r="JCI43" s="214"/>
      <c r="JCJ43" s="214"/>
      <c r="JCK43" s="214"/>
      <c r="JCL43" s="214"/>
      <c r="JCM43" s="214"/>
      <c r="JCN43" s="214"/>
      <c r="JCO43" s="214"/>
      <c r="JCP43" s="214"/>
      <c r="JCQ43" s="214"/>
      <c r="JCR43" s="214"/>
      <c r="JCS43" s="214"/>
      <c r="JCT43" s="214"/>
      <c r="JCU43" s="214"/>
      <c r="JCV43" s="214"/>
      <c r="JCW43" s="214"/>
      <c r="JCX43" s="214"/>
      <c r="JCY43" s="214"/>
      <c r="JCZ43" s="214"/>
      <c r="JDA43" s="214"/>
      <c r="JDB43" s="214"/>
      <c r="JDC43" s="214"/>
      <c r="JDD43" s="214"/>
      <c r="JDE43" s="214"/>
      <c r="JDF43" s="214"/>
      <c r="JDG43" s="214"/>
      <c r="JDH43" s="214"/>
      <c r="JDI43" s="214"/>
      <c r="JDJ43" s="214"/>
      <c r="JDK43" s="214"/>
      <c r="JDL43" s="214"/>
      <c r="JDM43" s="214"/>
      <c r="JDN43" s="214"/>
      <c r="JDO43" s="214"/>
      <c r="JDP43" s="214"/>
      <c r="JDQ43" s="214"/>
      <c r="JDR43" s="214"/>
      <c r="JDS43" s="214"/>
      <c r="JDT43" s="214"/>
      <c r="JDU43" s="214"/>
      <c r="JDV43" s="214"/>
      <c r="JDW43" s="214"/>
      <c r="JDX43" s="214"/>
      <c r="JDY43" s="214"/>
      <c r="JDZ43" s="214"/>
      <c r="JEA43" s="214"/>
      <c r="JEB43" s="214"/>
      <c r="JEC43" s="214"/>
      <c r="JED43" s="214"/>
      <c r="JEE43" s="214"/>
      <c r="JEF43" s="214"/>
      <c r="JEG43" s="214"/>
      <c r="JEH43" s="214"/>
      <c r="JEI43" s="214"/>
      <c r="JEJ43" s="214"/>
      <c r="JEK43" s="214"/>
      <c r="JEL43" s="214"/>
      <c r="JEM43" s="214"/>
      <c r="JEN43" s="214"/>
      <c r="JEO43" s="214"/>
      <c r="JEP43" s="214"/>
      <c r="JEQ43" s="214"/>
      <c r="JER43" s="214"/>
      <c r="JES43" s="214"/>
      <c r="JET43" s="214"/>
      <c r="JEU43" s="214"/>
      <c r="JEV43" s="214"/>
      <c r="JEW43" s="214"/>
      <c r="JEX43" s="214"/>
      <c r="JEY43" s="214"/>
      <c r="JEZ43" s="214"/>
      <c r="JFA43" s="214"/>
      <c r="JFB43" s="214"/>
      <c r="JFC43" s="214"/>
      <c r="JFD43" s="214"/>
      <c r="JFE43" s="214"/>
      <c r="JFF43" s="214"/>
      <c r="JFG43" s="214"/>
      <c r="JFH43" s="214"/>
      <c r="JFI43" s="214"/>
      <c r="JFJ43" s="214"/>
      <c r="JFK43" s="214"/>
      <c r="JFL43" s="214"/>
      <c r="JFM43" s="214"/>
      <c r="JFN43" s="214"/>
      <c r="JFO43" s="214"/>
      <c r="JFP43" s="214"/>
      <c r="JFQ43" s="214"/>
      <c r="JFR43" s="214"/>
      <c r="JFS43" s="214"/>
      <c r="JFT43" s="214"/>
      <c r="JFU43" s="214"/>
      <c r="JFV43" s="214"/>
      <c r="JFW43" s="214"/>
      <c r="JFX43" s="214"/>
      <c r="JFY43" s="214"/>
      <c r="JFZ43" s="214"/>
      <c r="JGA43" s="214"/>
      <c r="JGB43" s="214"/>
      <c r="JGC43" s="214"/>
      <c r="JGD43" s="214"/>
      <c r="JGE43" s="214"/>
      <c r="JGF43" s="214"/>
      <c r="JGG43" s="214"/>
      <c r="JGH43" s="214"/>
      <c r="JGI43" s="214"/>
      <c r="JGJ43" s="214"/>
      <c r="JGK43" s="214"/>
      <c r="JGL43" s="214"/>
      <c r="JGM43" s="214"/>
      <c r="JGN43" s="214"/>
      <c r="JGO43" s="214"/>
      <c r="JGP43" s="214"/>
      <c r="JGQ43" s="214"/>
      <c r="JGR43" s="214"/>
      <c r="JGS43" s="214"/>
      <c r="JGT43" s="214"/>
      <c r="JGU43" s="214"/>
      <c r="JGV43" s="214"/>
      <c r="JGW43" s="214"/>
      <c r="JGX43" s="214"/>
      <c r="JGY43" s="214"/>
      <c r="JGZ43" s="214"/>
      <c r="JHA43" s="214"/>
      <c r="JHB43" s="214"/>
      <c r="JHC43" s="214"/>
      <c r="JHD43" s="214"/>
      <c r="JHE43" s="214"/>
      <c r="JHF43" s="214"/>
      <c r="JHG43" s="214"/>
      <c r="JHH43" s="214"/>
      <c r="JHI43" s="214"/>
      <c r="JHJ43" s="214"/>
      <c r="JHK43" s="214"/>
      <c r="JHL43" s="214"/>
      <c r="JHM43" s="214"/>
      <c r="JHN43" s="214"/>
      <c r="JHO43" s="214"/>
      <c r="JHP43" s="214"/>
      <c r="JHQ43" s="214"/>
      <c r="JHR43" s="214"/>
      <c r="JHS43" s="214"/>
      <c r="JHT43" s="214"/>
      <c r="JHU43" s="214"/>
      <c r="JHV43" s="214"/>
      <c r="JHW43" s="214"/>
      <c r="JHX43" s="214"/>
      <c r="JHY43" s="214"/>
      <c r="JHZ43" s="214"/>
      <c r="JIA43" s="214"/>
      <c r="JIB43" s="214"/>
      <c r="JIC43" s="214"/>
      <c r="JID43" s="214"/>
      <c r="JIE43" s="214"/>
      <c r="JIF43" s="214"/>
      <c r="JIG43" s="214"/>
      <c r="JIH43" s="214"/>
      <c r="JII43" s="214"/>
      <c r="JIJ43" s="214"/>
      <c r="JIK43" s="214"/>
      <c r="JIL43" s="214"/>
      <c r="JIM43" s="214"/>
      <c r="JIN43" s="214"/>
      <c r="JIO43" s="214"/>
      <c r="JIP43" s="214"/>
      <c r="JIQ43" s="214"/>
      <c r="JIR43" s="214"/>
      <c r="JIS43" s="214"/>
      <c r="JIT43" s="214"/>
      <c r="JIU43" s="214"/>
      <c r="JIV43" s="214"/>
      <c r="JIW43" s="214"/>
      <c r="JIX43" s="214"/>
      <c r="JIY43" s="214"/>
      <c r="JIZ43" s="214"/>
      <c r="JJA43" s="214"/>
      <c r="JJB43" s="214"/>
      <c r="JJC43" s="214"/>
      <c r="JJD43" s="214"/>
      <c r="JJE43" s="214"/>
      <c r="JJF43" s="214"/>
      <c r="JJG43" s="214"/>
      <c r="JJH43" s="214"/>
      <c r="JJI43" s="214"/>
      <c r="JJJ43" s="214"/>
      <c r="JJK43" s="214"/>
      <c r="JJL43" s="214"/>
      <c r="JJM43" s="214"/>
      <c r="JJN43" s="214"/>
      <c r="JJO43" s="214"/>
      <c r="JJP43" s="214"/>
      <c r="JJQ43" s="214"/>
      <c r="JJR43" s="214"/>
      <c r="JJS43" s="214"/>
      <c r="JJT43" s="214"/>
      <c r="JJU43" s="214"/>
      <c r="JJV43" s="214"/>
      <c r="JJW43" s="214"/>
      <c r="JJX43" s="214"/>
      <c r="JJY43" s="214"/>
      <c r="JJZ43" s="214"/>
      <c r="JKA43" s="214"/>
      <c r="JKB43" s="214"/>
      <c r="JKC43" s="214"/>
      <c r="JKD43" s="214"/>
      <c r="JKE43" s="214"/>
      <c r="JKF43" s="214"/>
      <c r="JKG43" s="214"/>
      <c r="JKH43" s="214"/>
      <c r="JKI43" s="214"/>
      <c r="JKJ43" s="214"/>
      <c r="JKK43" s="214"/>
      <c r="JKL43" s="214"/>
      <c r="JKM43" s="214"/>
      <c r="JKN43" s="214"/>
      <c r="JKO43" s="214"/>
      <c r="JKP43" s="214"/>
      <c r="JKQ43" s="214"/>
      <c r="JKR43" s="214"/>
      <c r="JKS43" s="214"/>
      <c r="JKT43" s="214"/>
      <c r="JKU43" s="214"/>
      <c r="JKV43" s="214"/>
      <c r="JKW43" s="214"/>
      <c r="JKX43" s="214"/>
      <c r="JKY43" s="214"/>
      <c r="JKZ43" s="214"/>
      <c r="JLA43" s="214"/>
      <c r="JLB43" s="214"/>
      <c r="JLC43" s="214"/>
      <c r="JLD43" s="214"/>
      <c r="JLE43" s="214"/>
      <c r="JLF43" s="214"/>
      <c r="JLG43" s="214"/>
      <c r="JLH43" s="214"/>
      <c r="JLI43" s="214"/>
      <c r="JLJ43" s="214"/>
      <c r="JLK43" s="214"/>
      <c r="JLL43" s="214"/>
      <c r="JLM43" s="214"/>
      <c r="JLN43" s="214"/>
      <c r="JLO43" s="214"/>
      <c r="JLP43" s="214"/>
      <c r="JLQ43" s="214"/>
      <c r="JLR43" s="214"/>
      <c r="JLS43" s="214"/>
      <c r="JLT43" s="214"/>
      <c r="JLU43" s="214"/>
      <c r="JLV43" s="214"/>
      <c r="JLW43" s="214"/>
      <c r="JLX43" s="214"/>
      <c r="JLY43" s="214"/>
      <c r="JLZ43" s="214"/>
      <c r="JMA43" s="214"/>
      <c r="JMB43" s="214"/>
      <c r="JMC43" s="214"/>
      <c r="JMD43" s="214"/>
      <c r="JME43" s="214"/>
      <c r="JMF43" s="214"/>
      <c r="JMG43" s="214"/>
      <c r="JMH43" s="214"/>
      <c r="JMI43" s="214"/>
      <c r="JMJ43" s="214"/>
      <c r="JMK43" s="214"/>
      <c r="JML43" s="214"/>
      <c r="JMM43" s="214"/>
      <c r="JMN43" s="214"/>
      <c r="JMO43" s="214"/>
      <c r="JMP43" s="214"/>
      <c r="JMQ43" s="214"/>
      <c r="JMR43" s="214"/>
      <c r="JMS43" s="214"/>
      <c r="JMT43" s="214"/>
      <c r="JMU43" s="214"/>
      <c r="JMV43" s="214"/>
      <c r="JMW43" s="214"/>
      <c r="JMX43" s="214"/>
      <c r="JMY43" s="214"/>
      <c r="JMZ43" s="214"/>
      <c r="JNA43" s="214"/>
      <c r="JNB43" s="214"/>
      <c r="JNC43" s="214"/>
      <c r="JND43" s="214"/>
      <c r="JNE43" s="214"/>
      <c r="JNF43" s="214"/>
      <c r="JNG43" s="214"/>
      <c r="JNH43" s="214"/>
      <c r="JNI43" s="214"/>
      <c r="JNJ43" s="214"/>
      <c r="JNK43" s="214"/>
      <c r="JNL43" s="214"/>
      <c r="JNM43" s="214"/>
      <c r="JNN43" s="214"/>
      <c r="JNO43" s="214"/>
      <c r="JNP43" s="214"/>
      <c r="JNQ43" s="214"/>
      <c r="JNR43" s="214"/>
      <c r="JNS43" s="214"/>
      <c r="JNT43" s="214"/>
      <c r="JNU43" s="214"/>
      <c r="JNV43" s="214"/>
      <c r="JNW43" s="214"/>
      <c r="JNX43" s="214"/>
      <c r="JNY43" s="214"/>
      <c r="JNZ43" s="214"/>
      <c r="JOA43" s="214"/>
      <c r="JOB43" s="214"/>
      <c r="JOC43" s="214"/>
      <c r="JOD43" s="214"/>
      <c r="JOE43" s="214"/>
      <c r="JOF43" s="214"/>
      <c r="JOG43" s="214"/>
      <c r="JOH43" s="214"/>
      <c r="JOI43" s="214"/>
      <c r="JOJ43" s="214"/>
      <c r="JOK43" s="214"/>
      <c r="JOL43" s="214"/>
      <c r="JOM43" s="214"/>
      <c r="JON43" s="214"/>
      <c r="JOO43" s="214"/>
      <c r="JOP43" s="214"/>
      <c r="JOQ43" s="214"/>
      <c r="JOR43" s="214"/>
      <c r="JOS43" s="214"/>
      <c r="JOT43" s="214"/>
      <c r="JOU43" s="214"/>
      <c r="JOV43" s="214"/>
      <c r="JOW43" s="214"/>
      <c r="JOX43" s="214"/>
      <c r="JOY43" s="214"/>
      <c r="JOZ43" s="214"/>
      <c r="JPA43" s="214"/>
      <c r="JPB43" s="214"/>
      <c r="JPC43" s="214"/>
      <c r="JPD43" s="214"/>
      <c r="JPE43" s="214"/>
      <c r="JPF43" s="214"/>
      <c r="JPG43" s="214"/>
      <c r="JPH43" s="214"/>
      <c r="JPI43" s="214"/>
      <c r="JPJ43" s="214"/>
      <c r="JPK43" s="214"/>
      <c r="JPL43" s="214"/>
      <c r="JPM43" s="214"/>
      <c r="JPN43" s="214"/>
      <c r="JPO43" s="214"/>
      <c r="JPP43" s="214"/>
      <c r="JPQ43" s="214"/>
      <c r="JPR43" s="214"/>
      <c r="JPS43" s="214"/>
      <c r="JPT43" s="214"/>
      <c r="JPU43" s="214"/>
      <c r="JPV43" s="214"/>
      <c r="JPW43" s="214"/>
      <c r="JPX43" s="214"/>
      <c r="JPY43" s="214"/>
      <c r="JPZ43" s="214"/>
      <c r="JQA43" s="214"/>
      <c r="JQB43" s="214"/>
      <c r="JQC43" s="214"/>
      <c r="JQD43" s="214"/>
      <c r="JQE43" s="214"/>
      <c r="JQF43" s="214"/>
      <c r="JQG43" s="214"/>
      <c r="JQH43" s="214"/>
      <c r="JQI43" s="214"/>
      <c r="JQJ43" s="214"/>
      <c r="JQK43" s="214"/>
      <c r="JQL43" s="214"/>
      <c r="JQM43" s="214"/>
      <c r="JQN43" s="214"/>
      <c r="JQO43" s="214"/>
      <c r="JQP43" s="214"/>
      <c r="JQQ43" s="214"/>
      <c r="JQR43" s="214"/>
      <c r="JQS43" s="214"/>
      <c r="JQT43" s="214"/>
      <c r="JQU43" s="214"/>
      <c r="JQV43" s="214"/>
      <c r="JQW43" s="214"/>
      <c r="JQX43" s="214"/>
      <c r="JQY43" s="214"/>
      <c r="JQZ43" s="214"/>
      <c r="JRA43" s="214"/>
      <c r="JRB43" s="214"/>
      <c r="JRC43" s="214"/>
      <c r="JRD43" s="214"/>
      <c r="JRE43" s="214"/>
      <c r="JRF43" s="214"/>
      <c r="JRG43" s="214"/>
      <c r="JRH43" s="214"/>
      <c r="JRI43" s="214"/>
      <c r="JRJ43" s="214"/>
      <c r="JRK43" s="214"/>
      <c r="JRL43" s="214"/>
      <c r="JRM43" s="214"/>
      <c r="JRN43" s="214"/>
      <c r="JRO43" s="214"/>
      <c r="JRP43" s="214"/>
      <c r="JRQ43" s="214"/>
      <c r="JRR43" s="214"/>
      <c r="JRS43" s="214"/>
      <c r="JRT43" s="214"/>
      <c r="JRU43" s="214"/>
      <c r="JRV43" s="214"/>
      <c r="JRW43" s="214"/>
      <c r="JRX43" s="214"/>
      <c r="JRY43" s="214"/>
      <c r="JRZ43" s="214"/>
      <c r="JSA43" s="214"/>
      <c r="JSB43" s="214"/>
      <c r="JSC43" s="214"/>
      <c r="JSD43" s="214"/>
      <c r="JSE43" s="214"/>
      <c r="JSF43" s="214"/>
      <c r="JSG43" s="214"/>
      <c r="JSH43" s="214"/>
      <c r="JSI43" s="214"/>
      <c r="JSJ43" s="214"/>
      <c r="JSK43" s="214"/>
      <c r="JSL43" s="214"/>
      <c r="JSM43" s="214"/>
      <c r="JSN43" s="214"/>
      <c r="JSO43" s="214"/>
      <c r="JSP43" s="214"/>
      <c r="JSQ43" s="214"/>
      <c r="JSR43" s="214"/>
      <c r="JSS43" s="214"/>
      <c r="JST43" s="214"/>
      <c r="JSU43" s="214"/>
      <c r="JSV43" s="214"/>
      <c r="JSW43" s="214"/>
      <c r="JSX43" s="214"/>
      <c r="JSY43" s="214"/>
      <c r="JSZ43" s="214"/>
      <c r="JTA43" s="214"/>
      <c r="JTB43" s="214"/>
      <c r="JTC43" s="214"/>
      <c r="JTD43" s="214"/>
      <c r="JTE43" s="214"/>
      <c r="JTF43" s="214"/>
      <c r="JTG43" s="214"/>
      <c r="JTH43" s="214"/>
      <c r="JTI43" s="214"/>
      <c r="JTJ43" s="214"/>
      <c r="JTK43" s="214"/>
      <c r="JTL43" s="214"/>
      <c r="JTM43" s="214"/>
      <c r="JTN43" s="214"/>
      <c r="JTO43" s="214"/>
      <c r="JTP43" s="214"/>
      <c r="JTQ43" s="214"/>
      <c r="JTR43" s="214"/>
      <c r="JTS43" s="214"/>
      <c r="JTT43" s="214"/>
      <c r="JTU43" s="214"/>
      <c r="JTV43" s="214"/>
      <c r="JTW43" s="214"/>
      <c r="JTX43" s="214"/>
      <c r="JTY43" s="214"/>
      <c r="JTZ43" s="214"/>
      <c r="JUA43" s="214"/>
      <c r="JUB43" s="214"/>
      <c r="JUC43" s="214"/>
      <c r="JUD43" s="214"/>
      <c r="JUE43" s="214"/>
      <c r="JUF43" s="214"/>
      <c r="JUG43" s="214"/>
      <c r="JUH43" s="214"/>
      <c r="JUI43" s="214"/>
      <c r="JUJ43" s="214"/>
      <c r="JUK43" s="214"/>
      <c r="JUL43" s="214"/>
      <c r="JUM43" s="214"/>
      <c r="JUN43" s="214"/>
      <c r="JUO43" s="214"/>
      <c r="JUP43" s="214"/>
      <c r="JUQ43" s="214"/>
      <c r="JUR43" s="214"/>
      <c r="JUS43" s="214"/>
      <c r="JUT43" s="214"/>
      <c r="JUU43" s="214"/>
      <c r="JUV43" s="214"/>
      <c r="JUW43" s="214"/>
      <c r="JUX43" s="214"/>
      <c r="JUY43" s="214"/>
      <c r="JUZ43" s="214"/>
      <c r="JVA43" s="214"/>
      <c r="JVB43" s="214"/>
      <c r="JVC43" s="214"/>
      <c r="JVD43" s="214"/>
      <c r="JVE43" s="214"/>
      <c r="JVF43" s="214"/>
      <c r="JVG43" s="214"/>
      <c r="JVH43" s="214"/>
      <c r="JVI43" s="214"/>
      <c r="JVJ43" s="214"/>
      <c r="JVK43" s="214"/>
      <c r="JVL43" s="214"/>
      <c r="JVM43" s="214"/>
      <c r="JVN43" s="214"/>
      <c r="JVO43" s="214"/>
      <c r="JVP43" s="214"/>
      <c r="JVQ43" s="214"/>
      <c r="JVR43" s="214"/>
      <c r="JVS43" s="214"/>
      <c r="JVT43" s="214"/>
      <c r="JVU43" s="214"/>
      <c r="JVV43" s="214"/>
      <c r="JVW43" s="214"/>
      <c r="JVX43" s="214"/>
      <c r="JVY43" s="214"/>
      <c r="JVZ43" s="214"/>
      <c r="JWA43" s="214"/>
      <c r="JWB43" s="214"/>
      <c r="JWC43" s="214"/>
      <c r="JWD43" s="214"/>
      <c r="JWE43" s="214"/>
      <c r="JWF43" s="214"/>
      <c r="JWG43" s="214"/>
      <c r="JWH43" s="214"/>
      <c r="JWI43" s="214"/>
      <c r="JWJ43" s="214"/>
      <c r="JWK43" s="214"/>
      <c r="JWL43" s="214"/>
      <c r="JWM43" s="214"/>
      <c r="JWN43" s="214"/>
      <c r="JWO43" s="214"/>
      <c r="JWP43" s="214"/>
      <c r="JWQ43" s="214"/>
      <c r="JWR43" s="214"/>
      <c r="JWS43" s="214"/>
      <c r="JWT43" s="214"/>
      <c r="JWU43" s="214"/>
      <c r="JWV43" s="214"/>
      <c r="JWW43" s="214"/>
      <c r="JWX43" s="214"/>
      <c r="JWY43" s="214"/>
      <c r="JWZ43" s="214"/>
      <c r="JXA43" s="214"/>
      <c r="JXB43" s="214"/>
      <c r="JXC43" s="214"/>
      <c r="JXD43" s="214"/>
      <c r="JXE43" s="214"/>
      <c r="JXF43" s="214"/>
      <c r="JXG43" s="214"/>
      <c r="JXH43" s="214"/>
      <c r="JXI43" s="214"/>
      <c r="JXJ43" s="214"/>
      <c r="JXK43" s="214"/>
      <c r="JXL43" s="214"/>
      <c r="JXM43" s="214"/>
      <c r="JXN43" s="214"/>
      <c r="JXO43" s="214"/>
      <c r="JXP43" s="214"/>
      <c r="JXQ43" s="214"/>
      <c r="JXR43" s="214"/>
      <c r="JXS43" s="214"/>
      <c r="JXT43" s="214"/>
      <c r="JXU43" s="214"/>
      <c r="JXV43" s="214"/>
      <c r="JXW43" s="214"/>
      <c r="JXX43" s="214"/>
      <c r="JXY43" s="214"/>
      <c r="JXZ43" s="214"/>
      <c r="JYA43" s="214"/>
      <c r="JYB43" s="214"/>
      <c r="JYC43" s="214"/>
      <c r="JYD43" s="214"/>
      <c r="JYE43" s="214"/>
      <c r="JYF43" s="214"/>
      <c r="JYG43" s="214"/>
      <c r="JYH43" s="214"/>
      <c r="JYI43" s="214"/>
      <c r="JYJ43" s="214"/>
      <c r="JYK43" s="214"/>
      <c r="JYL43" s="214"/>
      <c r="JYM43" s="214"/>
      <c r="JYN43" s="214"/>
      <c r="JYO43" s="214"/>
      <c r="JYP43" s="214"/>
      <c r="JYQ43" s="214"/>
      <c r="JYR43" s="214"/>
      <c r="JYS43" s="214"/>
      <c r="JYT43" s="214"/>
      <c r="JYU43" s="214"/>
      <c r="JYV43" s="214"/>
      <c r="JYW43" s="214"/>
      <c r="JYX43" s="214"/>
      <c r="JYY43" s="214"/>
      <c r="JYZ43" s="214"/>
      <c r="JZA43" s="214"/>
      <c r="JZB43" s="214"/>
      <c r="JZC43" s="214"/>
      <c r="JZD43" s="214"/>
      <c r="JZE43" s="214"/>
      <c r="JZF43" s="214"/>
      <c r="JZG43" s="214"/>
      <c r="JZH43" s="214"/>
      <c r="JZI43" s="214"/>
      <c r="JZJ43" s="214"/>
      <c r="JZK43" s="214"/>
      <c r="JZL43" s="214"/>
      <c r="JZM43" s="214"/>
      <c r="JZN43" s="214"/>
      <c r="JZO43" s="214"/>
      <c r="JZP43" s="214"/>
      <c r="JZQ43" s="214"/>
      <c r="JZR43" s="214"/>
      <c r="JZS43" s="214"/>
      <c r="JZT43" s="214"/>
      <c r="JZU43" s="214"/>
      <c r="JZV43" s="214"/>
      <c r="JZW43" s="214"/>
      <c r="JZX43" s="214"/>
      <c r="JZY43" s="214"/>
      <c r="JZZ43" s="214"/>
      <c r="KAA43" s="214"/>
      <c r="KAB43" s="214"/>
      <c r="KAC43" s="214"/>
      <c r="KAD43" s="214"/>
      <c r="KAE43" s="214"/>
      <c r="KAF43" s="214"/>
      <c r="KAG43" s="214"/>
      <c r="KAH43" s="214"/>
      <c r="KAI43" s="214"/>
      <c r="KAJ43" s="214"/>
      <c r="KAK43" s="214"/>
      <c r="KAL43" s="214"/>
      <c r="KAM43" s="214"/>
      <c r="KAN43" s="214"/>
      <c r="KAO43" s="214"/>
      <c r="KAP43" s="214"/>
      <c r="KAQ43" s="214"/>
      <c r="KAR43" s="214"/>
      <c r="KAS43" s="214"/>
      <c r="KAT43" s="214"/>
      <c r="KAU43" s="214"/>
      <c r="KAV43" s="214"/>
      <c r="KAW43" s="214"/>
      <c r="KAX43" s="214"/>
      <c r="KAY43" s="214"/>
      <c r="KAZ43" s="214"/>
      <c r="KBA43" s="214"/>
      <c r="KBB43" s="214"/>
      <c r="KBC43" s="214"/>
      <c r="KBD43" s="214"/>
      <c r="KBE43" s="214"/>
      <c r="KBF43" s="214"/>
      <c r="KBG43" s="214"/>
      <c r="KBH43" s="214"/>
      <c r="KBI43" s="214"/>
      <c r="KBJ43" s="214"/>
      <c r="KBK43" s="214"/>
      <c r="KBL43" s="214"/>
      <c r="KBM43" s="214"/>
      <c r="KBN43" s="214"/>
      <c r="KBO43" s="214"/>
      <c r="KBP43" s="214"/>
      <c r="KBQ43" s="214"/>
      <c r="KBR43" s="214"/>
      <c r="KBS43" s="214"/>
      <c r="KBT43" s="214"/>
      <c r="KBU43" s="214"/>
      <c r="KBV43" s="214"/>
      <c r="KBW43" s="214"/>
      <c r="KBX43" s="214"/>
      <c r="KBY43" s="214"/>
      <c r="KBZ43" s="214"/>
      <c r="KCA43" s="214"/>
      <c r="KCB43" s="214"/>
      <c r="KCC43" s="214"/>
      <c r="KCD43" s="214"/>
      <c r="KCE43" s="214"/>
      <c r="KCF43" s="214"/>
      <c r="KCG43" s="214"/>
      <c r="KCH43" s="214"/>
      <c r="KCI43" s="214"/>
      <c r="KCJ43" s="214"/>
      <c r="KCK43" s="214"/>
      <c r="KCL43" s="214"/>
      <c r="KCM43" s="214"/>
      <c r="KCN43" s="214"/>
      <c r="KCO43" s="214"/>
      <c r="KCP43" s="214"/>
      <c r="KCQ43" s="214"/>
      <c r="KCR43" s="214"/>
      <c r="KCS43" s="214"/>
      <c r="KCT43" s="214"/>
      <c r="KCU43" s="214"/>
      <c r="KCV43" s="214"/>
      <c r="KCW43" s="214"/>
      <c r="KCX43" s="214"/>
      <c r="KCY43" s="214"/>
      <c r="KCZ43" s="214"/>
      <c r="KDA43" s="214"/>
      <c r="KDB43" s="214"/>
      <c r="KDC43" s="214"/>
      <c r="KDD43" s="214"/>
      <c r="KDE43" s="214"/>
      <c r="KDF43" s="214"/>
      <c r="KDG43" s="214"/>
      <c r="KDH43" s="214"/>
      <c r="KDI43" s="214"/>
      <c r="KDJ43" s="214"/>
      <c r="KDK43" s="214"/>
      <c r="KDL43" s="214"/>
      <c r="KDM43" s="214"/>
      <c r="KDN43" s="214"/>
      <c r="KDO43" s="214"/>
      <c r="KDP43" s="214"/>
      <c r="KDQ43" s="214"/>
      <c r="KDR43" s="214"/>
      <c r="KDS43" s="214"/>
      <c r="KDT43" s="214"/>
      <c r="KDU43" s="214"/>
      <c r="KDV43" s="214"/>
      <c r="KDW43" s="214"/>
      <c r="KDX43" s="214"/>
      <c r="KDY43" s="214"/>
      <c r="KDZ43" s="214"/>
      <c r="KEA43" s="214"/>
      <c r="KEB43" s="214"/>
      <c r="KEC43" s="214"/>
      <c r="KED43" s="214"/>
      <c r="KEE43" s="214"/>
      <c r="KEF43" s="214"/>
      <c r="KEG43" s="214"/>
      <c r="KEH43" s="214"/>
      <c r="KEI43" s="214"/>
      <c r="KEJ43" s="214"/>
      <c r="KEK43" s="214"/>
      <c r="KEL43" s="214"/>
      <c r="KEM43" s="214"/>
      <c r="KEN43" s="214"/>
      <c r="KEO43" s="214"/>
      <c r="KEP43" s="214"/>
      <c r="KEQ43" s="214"/>
      <c r="KER43" s="214"/>
      <c r="KES43" s="214"/>
      <c r="KET43" s="214"/>
      <c r="KEU43" s="214"/>
      <c r="KEV43" s="214"/>
      <c r="KEW43" s="214"/>
      <c r="KEX43" s="214"/>
      <c r="KEY43" s="214"/>
      <c r="KEZ43" s="214"/>
      <c r="KFA43" s="214"/>
      <c r="KFB43" s="214"/>
      <c r="KFC43" s="214"/>
      <c r="KFD43" s="214"/>
      <c r="KFE43" s="214"/>
      <c r="KFF43" s="214"/>
      <c r="KFG43" s="214"/>
      <c r="KFH43" s="214"/>
      <c r="KFI43" s="214"/>
      <c r="KFJ43" s="214"/>
      <c r="KFK43" s="214"/>
      <c r="KFL43" s="214"/>
      <c r="KFM43" s="214"/>
      <c r="KFN43" s="214"/>
      <c r="KFO43" s="214"/>
      <c r="KFP43" s="214"/>
      <c r="KFQ43" s="214"/>
      <c r="KFR43" s="214"/>
      <c r="KFS43" s="214"/>
      <c r="KFT43" s="214"/>
      <c r="KFU43" s="214"/>
      <c r="KFV43" s="214"/>
      <c r="KFW43" s="214"/>
      <c r="KFX43" s="214"/>
      <c r="KFY43" s="214"/>
      <c r="KFZ43" s="214"/>
      <c r="KGA43" s="214"/>
      <c r="KGB43" s="214"/>
      <c r="KGC43" s="214"/>
      <c r="KGD43" s="214"/>
      <c r="KGE43" s="214"/>
      <c r="KGF43" s="214"/>
      <c r="KGG43" s="214"/>
      <c r="KGH43" s="214"/>
      <c r="KGI43" s="214"/>
      <c r="KGJ43" s="214"/>
      <c r="KGK43" s="214"/>
      <c r="KGL43" s="214"/>
      <c r="KGM43" s="214"/>
      <c r="KGN43" s="214"/>
      <c r="KGO43" s="214"/>
      <c r="KGP43" s="214"/>
      <c r="KGQ43" s="214"/>
      <c r="KGR43" s="214"/>
      <c r="KGS43" s="214"/>
      <c r="KGT43" s="214"/>
      <c r="KGU43" s="214"/>
      <c r="KGV43" s="214"/>
      <c r="KGW43" s="214"/>
      <c r="KGX43" s="214"/>
      <c r="KGY43" s="214"/>
      <c r="KGZ43" s="214"/>
      <c r="KHA43" s="214"/>
      <c r="KHB43" s="214"/>
      <c r="KHC43" s="214"/>
      <c r="KHD43" s="214"/>
      <c r="KHE43" s="214"/>
      <c r="KHF43" s="214"/>
      <c r="KHG43" s="214"/>
      <c r="KHH43" s="214"/>
      <c r="KHI43" s="214"/>
      <c r="KHJ43" s="214"/>
      <c r="KHK43" s="214"/>
      <c r="KHL43" s="214"/>
      <c r="KHM43" s="214"/>
      <c r="KHN43" s="214"/>
      <c r="KHO43" s="214"/>
      <c r="KHP43" s="214"/>
      <c r="KHQ43" s="214"/>
      <c r="KHR43" s="214"/>
      <c r="KHS43" s="214"/>
      <c r="KHT43" s="214"/>
      <c r="KHU43" s="214"/>
      <c r="KHV43" s="214"/>
      <c r="KHW43" s="214"/>
      <c r="KHX43" s="214"/>
      <c r="KHY43" s="214"/>
      <c r="KHZ43" s="214"/>
      <c r="KIA43" s="214"/>
      <c r="KIB43" s="214"/>
      <c r="KIC43" s="214"/>
      <c r="KID43" s="214"/>
      <c r="KIE43" s="214"/>
      <c r="KIF43" s="214"/>
      <c r="KIG43" s="214"/>
      <c r="KIH43" s="214"/>
      <c r="KII43" s="214"/>
      <c r="KIJ43" s="214"/>
      <c r="KIK43" s="214"/>
      <c r="KIL43" s="214"/>
      <c r="KIM43" s="214"/>
      <c r="KIN43" s="214"/>
      <c r="KIO43" s="214"/>
      <c r="KIP43" s="214"/>
      <c r="KIQ43" s="214"/>
      <c r="KIR43" s="214"/>
      <c r="KIS43" s="214"/>
      <c r="KIT43" s="214"/>
      <c r="KIU43" s="214"/>
      <c r="KIV43" s="214"/>
      <c r="KIW43" s="214"/>
      <c r="KIX43" s="214"/>
      <c r="KIY43" s="214"/>
      <c r="KIZ43" s="214"/>
      <c r="KJA43" s="214"/>
      <c r="KJB43" s="214"/>
      <c r="KJC43" s="214"/>
      <c r="KJD43" s="214"/>
      <c r="KJE43" s="214"/>
      <c r="KJF43" s="214"/>
      <c r="KJG43" s="214"/>
      <c r="KJH43" s="214"/>
      <c r="KJI43" s="214"/>
      <c r="KJJ43" s="214"/>
      <c r="KJK43" s="214"/>
      <c r="KJL43" s="214"/>
      <c r="KJM43" s="214"/>
      <c r="KJN43" s="214"/>
      <c r="KJO43" s="214"/>
      <c r="KJP43" s="214"/>
      <c r="KJQ43" s="214"/>
      <c r="KJR43" s="214"/>
      <c r="KJS43" s="214"/>
      <c r="KJT43" s="214"/>
      <c r="KJU43" s="214"/>
      <c r="KJV43" s="214"/>
      <c r="KJW43" s="214"/>
      <c r="KJX43" s="214"/>
      <c r="KJY43" s="214"/>
      <c r="KJZ43" s="214"/>
      <c r="KKA43" s="214"/>
      <c r="KKB43" s="214"/>
      <c r="KKC43" s="214"/>
      <c r="KKD43" s="214"/>
      <c r="KKE43" s="214"/>
      <c r="KKF43" s="214"/>
      <c r="KKG43" s="214"/>
      <c r="KKH43" s="214"/>
      <c r="KKI43" s="214"/>
      <c r="KKJ43" s="214"/>
      <c r="KKK43" s="214"/>
      <c r="KKL43" s="214"/>
      <c r="KKM43" s="214"/>
      <c r="KKN43" s="214"/>
      <c r="KKO43" s="214"/>
      <c r="KKP43" s="214"/>
      <c r="KKQ43" s="214"/>
      <c r="KKR43" s="214"/>
      <c r="KKS43" s="214"/>
      <c r="KKT43" s="214"/>
      <c r="KKU43" s="214"/>
      <c r="KKV43" s="214"/>
      <c r="KKW43" s="214"/>
      <c r="KKX43" s="214"/>
      <c r="KKY43" s="214"/>
      <c r="KKZ43" s="214"/>
      <c r="KLA43" s="214"/>
      <c r="KLB43" s="214"/>
      <c r="KLC43" s="214"/>
      <c r="KLD43" s="214"/>
      <c r="KLE43" s="214"/>
      <c r="KLF43" s="214"/>
      <c r="KLG43" s="214"/>
      <c r="KLH43" s="214"/>
      <c r="KLI43" s="214"/>
      <c r="KLJ43" s="214"/>
      <c r="KLK43" s="214"/>
      <c r="KLL43" s="214"/>
      <c r="KLM43" s="214"/>
      <c r="KLN43" s="214"/>
      <c r="KLO43" s="214"/>
      <c r="KLP43" s="214"/>
      <c r="KLQ43" s="214"/>
      <c r="KLR43" s="214"/>
      <c r="KLS43" s="214"/>
      <c r="KLT43" s="214"/>
      <c r="KLU43" s="214"/>
      <c r="KLV43" s="214"/>
      <c r="KLW43" s="214"/>
      <c r="KLX43" s="214"/>
      <c r="KLY43" s="214"/>
      <c r="KLZ43" s="214"/>
      <c r="KMA43" s="214"/>
      <c r="KMB43" s="214"/>
      <c r="KMC43" s="214"/>
      <c r="KMD43" s="214"/>
      <c r="KME43" s="214"/>
      <c r="KMF43" s="214"/>
      <c r="KMG43" s="214"/>
      <c r="KMH43" s="214"/>
      <c r="KMI43" s="214"/>
      <c r="KMJ43" s="214"/>
      <c r="KMK43" s="214"/>
      <c r="KML43" s="214"/>
      <c r="KMM43" s="214"/>
      <c r="KMN43" s="214"/>
      <c r="KMO43" s="214"/>
      <c r="KMP43" s="214"/>
      <c r="KMQ43" s="214"/>
      <c r="KMR43" s="214"/>
      <c r="KMS43" s="214"/>
      <c r="KMT43" s="214"/>
      <c r="KMU43" s="214"/>
      <c r="KMV43" s="214"/>
      <c r="KMW43" s="214"/>
      <c r="KMX43" s="214"/>
      <c r="KMY43" s="214"/>
      <c r="KMZ43" s="214"/>
      <c r="KNA43" s="214"/>
      <c r="KNB43" s="214"/>
      <c r="KNC43" s="214"/>
      <c r="KND43" s="214"/>
      <c r="KNE43" s="214"/>
      <c r="KNF43" s="214"/>
      <c r="KNG43" s="214"/>
      <c r="KNH43" s="214"/>
      <c r="KNI43" s="214"/>
      <c r="KNJ43" s="214"/>
      <c r="KNK43" s="214"/>
      <c r="KNL43" s="214"/>
      <c r="KNM43" s="214"/>
      <c r="KNN43" s="214"/>
      <c r="KNO43" s="214"/>
      <c r="KNP43" s="214"/>
      <c r="KNQ43" s="214"/>
      <c r="KNR43" s="214"/>
      <c r="KNS43" s="214"/>
      <c r="KNT43" s="214"/>
      <c r="KNU43" s="214"/>
      <c r="KNV43" s="214"/>
      <c r="KNW43" s="214"/>
      <c r="KNX43" s="214"/>
      <c r="KNY43" s="214"/>
      <c r="KNZ43" s="214"/>
      <c r="KOA43" s="214"/>
      <c r="KOB43" s="214"/>
      <c r="KOC43" s="214"/>
      <c r="KOD43" s="214"/>
      <c r="KOE43" s="214"/>
      <c r="KOF43" s="214"/>
      <c r="KOG43" s="214"/>
      <c r="KOH43" s="214"/>
      <c r="KOI43" s="214"/>
      <c r="KOJ43" s="214"/>
      <c r="KOK43" s="214"/>
      <c r="KOL43" s="214"/>
      <c r="KOM43" s="214"/>
      <c r="KON43" s="214"/>
      <c r="KOO43" s="214"/>
      <c r="KOP43" s="214"/>
      <c r="KOQ43" s="214"/>
      <c r="KOR43" s="214"/>
      <c r="KOS43" s="214"/>
      <c r="KOT43" s="214"/>
      <c r="KOU43" s="214"/>
      <c r="KOV43" s="214"/>
      <c r="KOW43" s="214"/>
      <c r="KOX43" s="214"/>
      <c r="KOY43" s="214"/>
      <c r="KOZ43" s="214"/>
      <c r="KPA43" s="214"/>
      <c r="KPB43" s="214"/>
      <c r="KPC43" s="214"/>
      <c r="KPD43" s="214"/>
      <c r="KPE43" s="214"/>
      <c r="KPF43" s="214"/>
      <c r="KPG43" s="214"/>
      <c r="KPH43" s="214"/>
      <c r="KPI43" s="214"/>
      <c r="KPJ43" s="214"/>
      <c r="KPK43" s="214"/>
      <c r="KPL43" s="214"/>
      <c r="KPM43" s="214"/>
      <c r="KPN43" s="214"/>
      <c r="KPO43" s="214"/>
      <c r="KPP43" s="214"/>
      <c r="KPQ43" s="214"/>
      <c r="KPR43" s="214"/>
      <c r="KPS43" s="214"/>
      <c r="KPT43" s="214"/>
      <c r="KPU43" s="214"/>
      <c r="KPV43" s="214"/>
      <c r="KPW43" s="214"/>
      <c r="KPX43" s="214"/>
      <c r="KPY43" s="214"/>
      <c r="KPZ43" s="214"/>
      <c r="KQA43" s="214"/>
      <c r="KQB43" s="214"/>
      <c r="KQC43" s="214"/>
      <c r="KQD43" s="214"/>
      <c r="KQE43" s="214"/>
      <c r="KQF43" s="214"/>
      <c r="KQG43" s="214"/>
      <c r="KQH43" s="214"/>
      <c r="KQI43" s="214"/>
      <c r="KQJ43" s="214"/>
      <c r="KQK43" s="214"/>
      <c r="KQL43" s="214"/>
      <c r="KQM43" s="214"/>
      <c r="KQN43" s="214"/>
      <c r="KQO43" s="214"/>
      <c r="KQP43" s="214"/>
      <c r="KQQ43" s="214"/>
      <c r="KQR43" s="214"/>
      <c r="KQS43" s="214"/>
      <c r="KQT43" s="214"/>
      <c r="KQU43" s="214"/>
      <c r="KQV43" s="214"/>
      <c r="KQW43" s="214"/>
      <c r="KQX43" s="214"/>
      <c r="KQY43" s="214"/>
      <c r="KQZ43" s="214"/>
      <c r="KRA43" s="214"/>
      <c r="KRB43" s="214"/>
      <c r="KRC43" s="214"/>
      <c r="KRD43" s="214"/>
      <c r="KRE43" s="214"/>
      <c r="KRF43" s="214"/>
      <c r="KRG43" s="214"/>
      <c r="KRH43" s="214"/>
      <c r="KRI43" s="214"/>
      <c r="KRJ43" s="214"/>
      <c r="KRK43" s="214"/>
      <c r="KRL43" s="214"/>
      <c r="KRM43" s="214"/>
      <c r="KRN43" s="214"/>
      <c r="KRO43" s="214"/>
      <c r="KRP43" s="214"/>
      <c r="KRQ43" s="214"/>
      <c r="KRR43" s="214"/>
      <c r="KRS43" s="214"/>
      <c r="KRT43" s="214"/>
      <c r="KRU43" s="214"/>
      <c r="KRV43" s="214"/>
      <c r="KRW43" s="214"/>
      <c r="KRX43" s="214"/>
      <c r="KRY43" s="214"/>
      <c r="KRZ43" s="214"/>
      <c r="KSA43" s="214"/>
      <c r="KSB43" s="214"/>
      <c r="KSC43" s="214"/>
      <c r="KSD43" s="214"/>
      <c r="KSE43" s="214"/>
      <c r="KSF43" s="214"/>
      <c r="KSG43" s="214"/>
      <c r="KSH43" s="214"/>
      <c r="KSI43" s="214"/>
      <c r="KSJ43" s="214"/>
      <c r="KSK43" s="214"/>
      <c r="KSL43" s="214"/>
      <c r="KSM43" s="214"/>
      <c r="KSN43" s="214"/>
      <c r="KSO43" s="214"/>
      <c r="KSP43" s="214"/>
      <c r="KSQ43" s="214"/>
      <c r="KSR43" s="214"/>
      <c r="KSS43" s="214"/>
      <c r="KST43" s="214"/>
      <c r="KSU43" s="214"/>
      <c r="KSV43" s="214"/>
      <c r="KSW43" s="214"/>
      <c r="KSX43" s="214"/>
      <c r="KSY43" s="214"/>
      <c r="KSZ43" s="214"/>
      <c r="KTA43" s="214"/>
      <c r="KTB43" s="214"/>
      <c r="KTC43" s="214"/>
      <c r="KTD43" s="214"/>
      <c r="KTE43" s="214"/>
      <c r="KTF43" s="214"/>
      <c r="KTG43" s="214"/>
      <c r="KTH43" s="214"/>
      <c r="KTI43" s="214"/>
      <c r="KTJ43" s="214"/>
      <c r="KTK43" s="214"/>
      <c r="KTL43" s="214"/>
      <c r="KTM43" s="214"/>
      <c r="KTN43" s="214"/>
      <c r="KTO43" s="214"/>
      <c r="KTP43" s="214"/>
      <c r="KTQ43" s="214"/>
      <c r="KTR43" s="214"/>
      <c r="KTS43" s="214"/>
      <c r="KTT43" s="214"/>
      <c r="KTU43" s="214"/>
      <c r="KTV43" s="214"/>
      <c r="KTW43" s="214"/>
      <c r="KTX43" s="214"/>
      <c r="KTY43" s="214"/>
      <c r="KTZ43" s="214"/>
      <c r="KUA43" s="214"/>
      <c r="KUB43" s="214"/>
      <c r="KUC43" s="214"/>
      <c r="KUD43" s="214"/>
      <c r="KUE43" s="214"/>
      <c r="KUF43" s="214"/>
      <c r="KUG43" s="214"/>
      <c r="KUH43" s="214"/>
      <c r="KUI43" s="214"/>
      <c r="KUJ43" s="214"/>
      <c r="KUK43" s="214"/>
      <c r="KUL43" s="214"/>
      <c r="KUM43" s="214"/>
      <c r="KUN43" s="214"/>
      <c r="KUO43" s="214"/>
      <c r="KUP43" s="214"/>
      <c r="KUQ43" s="214"/>
      <c r="KUR43" s="214"/>
      <c r="KUS43" s="214"/>
      <c r="KUT43" s="214"/>
      <c r="KUU43" s="214"/>
      <c r="KUV43" s="214"/>
      <c r="KUW43" s="214"/>
      <c r="KUX43" s="214"/>
      <c r="KUY43" s="214"/>
      <c r="KUZ43" s="214"/>
      <c r="KVA43" s="214"/>
      <c r="KVB43" s="214"/>
      <c r="KVC43" s="214"/>
      <c r="KVD43" s="214"/>
      <c r="KVE43" s="214"/>
      <c r="KVF43" s="214"/>
      <c r="KVG43" s="214"/>
      <c r="KVH43" s="214"/>
      <c r="KVI43" s="214"/>
      <c r="KVJ43" s="214"/>
      <c r="KVK43" s="214"/>
      <c r="KVL43" s="214"/>
      <c r="KVM43" s="214"/>
      <c r="KVN43" s="214"/>
      <c r="KVO43" s="214"/>
      <c r="KVP43" s="214"/>
      <c r="KVQ43" s="214"/>
      <c r="KVR43" s="214"/>
      <c r="KVS43" s="214"/>
      <c r="KVT43" s="214"/>
      <c r="KVU43" s="214"/>
      <c r="KVV43" s="214"/>
      <c r="KVW43" s="214"/>
      <c r="KVX43" s="214"/>
      <c r="KVY43" s="214"/>
      <c r="KVZ43" s="214"/>
      <c r="KWA43" s="214"/>
      <c r="KWB43" s="214"/>
      <c r="KWC43" s="214"/>
      <c r="KWD43" s="214"/>
      <c r="KWE43" s="214"/>
      <c r="KWF43" s="214"/>
      <c r="KWG43" s="214"/>
      <c r="KWH43" s="214"/>
      <c r="KWI43" s="214"/>
      <c r="KWJ43" s="214"/>
      <c r="KWK43" s="214"/>
      <c r="KWL43" s="214"/>
      <c r="KWM43" s="214"/>
      <c r="KWN43" s="214"/>
      <c r="KWO43" s="214"/>
      <c r="KWP43" s="214"/>
      <c r="KWQ43" s="214"/>
      <c r="KWR43" s="214"/>
      <c r="KWS43" s="214"/>
      <c r="KWT43" s="214"/>
      <c r="KWU43" s="214"/>
      <c r="KWV43" s="214"/>
      <c r="KWW43" s="214"/>
      <c r="KWX43" s="214"/>
      <c r="KWY43" s="214"/>
      <c r="KWZ43" s="214"/>
      <c r="KXA43" s="214"/>
      <c r="KXB43" s="214"/>
      <c r="KXC43" s="214"/>
      <c r="KXD43" s="214"/>
      <c r="KXE43" s="214"/>
      <c r="KXF43" s="214"/>
      <c r="KXG43" s="214"/>
      <c r="KXH43" s="214"/>
      <c r="KXI43" s="214"/>
      <c r="KXJ43" s="214"/>
      <c r="KXK43" s="214"/>
      <c r="KXL43" s="214"/>
      <c r="KXM43" s="214"/>
      <c r="KXN43" s="214"/>
      <c r="KXO43" s="214"/>
      <c r="KXP43" s="214"/>
      <c r="KXQ43" s="214"/>
      <c r="KXR43" s="214"/>
      <c r="KXS43" s="214"/>
      <c r="KXT43" s="214"/>
      <c r="KXU43" s="214"/>
      <c r="KXV43" s="214"/>
      <c r="KXW43" s="214"/>
      <c r="KXX43" s="214"/>
      <c r="KXY43" s="214"/>
      <c r="KXZ43" s="214"/>
      <c r="KYA43" s="214"/>
      <c r="KYB43" s="214"/>
      <c r="KYC43" s="214"/>
      <c r="KYD43" s="214"/>
      <c r="KYE43" s="214"/>
      <c r="KYF43" s="214"/>
      <c r="KYG43" s="214"/>
      <c r="KYH43" s="214"/>
      <c r="KYI43" s="214"/>
      <c r="KYJ43" s="214"/>
      <c r="KYK43" s="214"/>
      <c r="KYL43" s="214"/>
      <c r="KYM43" s="214"/>
      <c r="KYN43" s="214"/>
      <c r="KYO43" s="214"/>
      <c r="KYP43" s="214"/>
      <c r="KYQ43" s="214"/>
      <c r="KYR43" s="214"/>
      <c r="KYS43" s="214"/>
      <c r="KYT43" s="214"/>
      <c r="KYU43" s="214"/>
      <c r="KYV43" s="214"/>
      <c r="KYW43" s="214"/>
      <c r="KYX43" s="214"/>
      <c r="KYY43" s="214"/>
      <c r="KYZ43" s="214"/>
      <c r="KZA43" s="214"/>
      <c r="KZB43" s="214"/>
      <c r="KZC43" s="214"/>
      <c r="KZD43" s="214"/>
      <c r="KZE43" s="214"/>
      <c r="KZF43" s="214"/>
      <c r="KZG43" s="214"/>
      <c r="KZH43" s="214"/>
      <c r="KZI43" s="214"/>
      <c r="KZJ43" s="214"/>
      <c r="KZK43" s="214"/>
      <c r="KZL43" s="214"/>
      <c r="KZM43" s="214"/>
      <c r="KZN43" s="214"/>
      <c r="KZO43" s="214"/>
      <c r="KZP43" s="214"/>
      <c r="KZQ43" s="214"/>
      <c r="KZR43" s="214"/>
      <c r="KZS43" s="214"/>
      <c r="KZT43" s="214"/>
      <c r="KZU43" s="214"/>
      <c r="KZV43" s="214"/>
      <c r="KZW43" s="214"/>
      <c r="KZX43" s="214"/>
      <c r="KZY43" s="214"/>
      <c r="KZZ43" s="214"/>
      <c r="LAA43" s="214"/>
      <c r="LAB43" s="214"/>
      <c r="LAC43" s="214"/>
      <c r="LAD43" s="214"/>
      <c r="LAE43" s="214"/>
      <c r="LAF43" s="214"/>
      <c r="LAG43" s="214"/>
      <c r="LAH43" s="214"/>
      <c r="LAI43" s="214"/>
      <c r="LAJ43" s="214"/>
      <c r="LAK43" s="214"/>
      <c r="LAL43" s="214"/>
      <c r="LAM43" s="214"/>
      <c r="LAN43" s="214"/>
      <c r="LAO43" s="214"/>
      <c r="LAP43" s="214"/>
      <c r="LAQ43" s="214"/>
      <c r="LAR43" s="214"/>
      <c r="LAS43" s="214"/>
      <c r="LAT43" s="214"/>
      <c r="LAU43" s="214"/>
      <c r="LAV43" s="214"/>
      <c r="LAW43" s="214"/>
      <c r="LAX43" s="214"/>
      <c r="LAY43" s="214"/>
      <c r="LAZ43" s="214"/>
      <c r="LBA43" s="214"/>
      <c r="LBB43" s="214"/>
      <c r="LBC43" s="214"/>
      <c r="LBD43" s="214"/>
      <c r="LBE43" s="214"/>
      <c r="LBF43" s="214"/>
      <c r="LBG43" s="214"/>
      <c r="LBH43" s="214"/>
      <c r="LBI43" s="214"/>
      <c r="LBJ43" s="214"/>
      <c r="LBK43" s="214"/>
      <c r="LBL43" s="214"/>
      <c r="LBM43" s="214"/>
      <c r="LBN43" s="214"/>
      <c r="LBO43" s="214"/>
      <c r="LBP43" s="214"/>
      <c r="LBQ43" s="214"/>
      <c r="LBR43" s="214"/>
      <c r="LBS43" s="214"/>
      <c r="LBT43" s="214"/>
      <c r="LBU43" s="214"/>
      <c r="LBV43" s="214"/>
      <c r="LBW43" s="214"/>
      <c r="LBX43" s="214"/>
      <c r="LBY43" s="214"/>
      <c r="LBZ43" s="214"/>
      <c r="LCA43" s="214"/>
      <c r="LCB43" s="214"/>
      <c r="LCC43" s="214"/>
      <c r="LCD43" s="214"/>
      <c r="LCE43" s="214"/>
      <c r="LCF43" s="214"/>
      <c r="LCG43" s="214"/>
      <c r="LCH43" s="214"/>
      <c r="LCI43" s="214"/>
      <c r="LCJ43" s="214"/>
      <c r="LCK43" s="214"/>
      <c r="LCL43" s="214"/>
      <c r="LCM43" s="214"/>
      <c r="LCN43" s="214"/>
      <c r="LCO43" s="214"/>
      <c r="LCP43" s="214"/>
      <c r="LCQ43" s="214"/>
      <c r="LCR43" s="214"/>
      <c r="LCS43" s="214"/>
      <c r="LCT43" s="214"/>
      <c r="LCU43" s="214"/>
      <c r="LCV43" s="214"/>
      <c r="LCW43" s="214"/>
      <c r="LCX43" s="214"/>
      <c r="LCY43" s="214"/>
      <c r="LCZ43" s="214"/>
      <c r="LDA43" s="214"/>
      <c r="LDB43" s="214"/>
      <c r="LDC43" s="214"/>
      <c r="LDD43" s="214"/>
      <c r="LDE43" s="214"/>
      <c r="LDF43" s="214"/>
      <c r="LDG43" s="214"/>
      <c r="LDH43" s="214"/>
      <c r="LDI43" s="214"/>
      <c r="LDJ43" s="214"/>
      <c r="LDK43" s="214"/>
      <c r="LDL43" s="214"/>
      <c r="LDM43" s="214"/>
      <c r="LDN43" s="214"/>
      <c r="LDO43" s="214"/>
      <c r="LDP43" s="214"/>
      <c r="LDQ43" s="214"/>
      <c r="LDR43" s="214"/>
      <c r="LDS43" s="214"/>
      <c r="LDT43" s="214"/>
      <c r="LDU43" s="214"/>
      <c r="LDV43" s="214"/>
      <c r="LDW43" s="214"/>
      <c r="LDX43" s="214"/>
      <c r="LDY43" s="214"/>
      <c r="LDZ43" s="214"/>
      <c r="LEA43" s="214"/>
      <c r="LEB43" s="214"/>
      <c r="LEC43" s="214"/>
      <c r="LED43" s="214"/>
      <c r="LEE43" s="214"/>
      <c r="LEF43" s="214"/>
      <c r="LEG43" s="214"/>
      <c r="LEH43" s="214"/>
      <c r="LEI43" s="214"/>
      <c r="LEJ43" s="214"/>
      <c r="LEK43" s="214"/>
      <c r="LEL43" s="214"/>
      <c r="LEM43" s="214"/>
      <c r="LEN43" s="214"/>
      <c r="LEO43" s="214"/>
      <c r="LEP43" s="214"/>
      <c r="LEQ43" s="214"/>
      <c r="LER43" s="214"/>
      <c r="LES43" s="214"/>
      <c r="LET43" s="214"/>
      <c r="LEU43" s="214"/>
      <c r="LEV43" s="214"/>
      <c r="LEW43" s="214"/>
      <c r="LEX43" s="214"/>
      <c r="LEY43" s="214"/>
      <c r="LEZ43" s="214"/>
      <c r="LFA43" s="214"/>
      <c r="LFB43" s="214"/>
      <c r="LFC43" s="214"/>
      <c r="LFD43" s="214"/>
      <c r="LFE43" s="214"/>
      <c r="LFF43" s="214"/>
      <c r="LFG43" s="214"/>
      <c r="LFH43" s="214"/>
      <c r="LFI43" s="214"/>
      <c r="LFJ43" s="214"/>
      <c r="LFK43" s="214"/>
      <c r="LFL43" s="214"/>
      <c r="LFM43" s="214"/>
      <c r="LFN43" s="214"/>
      <c r="LFO43" s="214"/>
      <c r="LFP43" s="214"/>
      <c r="LFQ43" s="214"/>
      <c r="LFR43" s="214"/>
      <c r="LFS43" s="214"/>
      <c r="LFT43" s="214"/>
      <c r="LFU43" s="214"/>
      <c r="LFV43" s="214"/>
      <c r="LFW43" s="214"/>
      <c r="LFX43" s="214"/>
      <c r="LFY43" s="214"/>
      <c r="LFZ43" s="214"/>
      <c r="LGA43" s="214"/>
      <c r="LGB43" s="214"/>
      <c r="LGC43" s="214"/>
      <c r="LGD43" s="214"/>
      <c r="LGE43" s="214"/>
      <c r="LGF43" s="214"/>
      <c r="LGG43" s="214"/>
      <c r="LGH43" s="214"/>
      <c r="LGI43" s="214"/>
      <c r="LGJ43" s="214"/>
      <c r="LGK43" s="214"/>
      <c r="LGL43" s="214"/>
      <c r="LGM43" s="214"/>
      <c r="LGN43" s="214"/>
      <c r="LGO43" s="214"/>
      <c r="LGP43" s="214"/>
      <c r="LGQ43" s="214"/>
      <c r="LGR43" s="214"/>
      <c r="LGS43" s="214"/>
      <c r="LGT43" s="214"/>
      <c r="LGU43" s="214"/>
      <c r="LGV43" s="214"/>
      <c r="LGW43" s="214"/>
      <c r="LGX43" s="214"/>
      <c r="LGY43" s="214"/>
      <c r="LGZ43" s="214"/>
      <c r="LHA43" s="214"/>
      <c r="LHB43" s="214"/>
      <c r="LHC43" s="214"/>
      <c r="LHD43" s="214"/>
      <c r="LHE43" s="214"/>
      <c r="LHF43" s="214"/>
      <c r="LHG43" s="214"/>
      <c r="LHH43" s="214"/>
      <c r="LHI43" s="214"/>
      <c r="LHJ43" s="214"/>
      <c r="LHK43" s="214"/>
      <c r="LHL43" s="214"/>
      <c r="LHM43" s="214"/>
      <c r="LHN43" s="214"/>
      <c r="LHO43" s="214"/>
      <c r="LHP43" s="214"/>
      <c r="LHQ43" s="214"/>
      <c r="LHR43" s="214"/>
      <c r="LHS43" s="214"/>
      <c r="LHT43" s="214"/>
      <c r="LHU43" s="214"/>
      <c r="LHV43" s="214"/>
      <c r="LHW43" s="214"/>
      <c r="LHX43" s="214"/>
      <c r="LHY43" s="214"/>
      <c r="LHZ43" s="214"/>
      <c r="LIA43" s="214"/>
      <c r="LIB43" s="214"/>
      <c r="LIC43" s="214"/>
      <c r="LID43" s="214"/>
      <c r="LIE43" s="214"/>
      <c r="LIF43" s="214"/>
      <c r="LIG43" s="214"/>
      <c r="LIH43" s="214"/>
      <c r="LII43" s="214"/>
      <c r="LIJ43" s="214"/>
      <c r="LIK43" s="214"/>
      <c r="LIL43" s="214"/>
      <c r="LIM43" s="214"/>
      <c r="LIN43" s="214"/>
      <c r="LIO43" s="214"/>
      <c r="LIP43" s="214"/>
      <c r="LIQ43" s="214"/>
      <c r="LIR43" s="214"/>
      <c r="LIS43" s="214"/>
      <c r="LIT43" s="214"/>
      <c r="LIU43" s="214"/>
      <c r="LIV43" s="214"/>
      <c r="LIW43" s="214"/>
      <c r="LIX43" s="214"/>
      <c r="LIY43" s="214"/>
      <c r="LIZ43" s="214"/>
      <c r="LJA43" s="214"/>
      <c r="LJB43" s="214"/>
      <c r="LJC43" s="214"/>
      <c r="LJD43" s="214"/>
      <c r="LJE43" s="214"/>
      <c r="LJF43" s="214"/>
      <c r="LJG43" s="214"/>
      <c r="LJH43" s="214"/>
      <c r="LJI43" s="214"/>
      <c r="LJJ43" s="214"/>
      <c r="LJK43" s="214"/>
      <c r="LJL43" s="214"/>
      <c r="LJM43" s="214"/>
      <c r="LJN43" s="214"/>
      <c r="LJO43" s="214"/>
      <c r="LJP43" s="214"/>
      <c r="LJQ43" s="214"/>
      <c r="LJR43" s="214"/>
      <c r="LJS43" s="214"/>
      <c r="LJT43" s="214"/>
      <c r="LJU43" s="214"/>
      <c r="LJV43" s="214"/>
      <c r="LJW43" s="214"/>
      <c r="LJX43" s="214"/>
      <c r="LJY43" s="214"/>
      <c r="LJZ43" s="214"/>
      <c r="LKA43" s="214"/>
      <c r="LKB43" s="214"/>
      <c r="LKC43" s="214"/>
      <c r="LKD43" s="214"/>
      <c r="LKE43" s="214"/>
      <c r="LKF43" s="214"/>
      <c r="LKG43" s="214"/>
      <c r="LKH43" s="214"/>
      <c r="LKI43" s="214"/>
      <c r="LKJ43" s="214"/>
      <c r="LKK43" s="214"/>
      <c r="LKL43" s="214"/>
      <c r="LKM43" s="214"/>
      <c r="LKN43" s="214"/>
      <c r="LKO43" s="214"/>
      <c r="LKP43" s="214"/>
      <c r="LKQ43" s="214"/>
      <c r="LKR43" s="214"/>
      <c r="LKS43" s="214"/>
      <c r="LKT43" s="214"/>
      <c r="LKU43" s="214"/>
      <c r="LKV43" s="214"/>
      <c r="LKW43" s="214"/>
      <c r="LKX43" s="214"/>
      <c r="LKY43" s="214"/>
      <c r="LKZ43" s="214"/>
      <c r="LLA43" s="214"/>
      <c r="LLB43" s="214"/>
      <c r="LLC43" s="214"/>
      <c r="LLD43" s="214"/>
      <c r="LLE43" s="214"/>
      <c r="LLF43" s="214"/>
      <c r="LLG43" s="214"/>
      <c r="LLH43" s="214"/>
      <c r="LLI43" s="214"/>
      <c r="LLJ43" s="214"/>
      <c r="LLK43" s="214"/>
      <c r="LLL43" s="214"/>
      <c r="LLM43" s="214"/>
      <c r="LLN43" s="214"/>
      <c r="LLO43" s="214"/>
      <c r="LLP43" s="214"/>
      <c r="LLQ43" s="214"/>
      <c r="LLR43" s="214"/>
      <c r="LLS43" s="214"/>
      <c r="LLT43" s="214"/>
      <c r="LLU43" s="214"/>
      <c r="LLV43" s="214"/>
      <c r="LLW43" s="214"/>
      <c r="LLX43" s="214"/>
      <c r="LLY43" s="214"/>
      <c r="LLZ43" s="214"/>
      <c r="LMA43" s="214"/>
      <c r="LMB43" s="214"/>
      <c r="LMC43" s="214"/>
      <c r="LMD43" s="214"/>
      <c r="LME43" s="214"/>
      <c r="LMF43" s="214"/>
      <c r="LMG43" s="214"/>
      <c r="LMH43" s="214"/>
      <c r="LMI43" s="214"/>
      <c r="LMJ43" s="214"/>
      <c r="LMK43" s="214"/>
      <c r="LML43" s="214"/>
      <c r="LMM43" s="214"/>
      <c r="LMN43" s="214"/>
      <c r="LMO43" s="214"/>
      <c r="LMP43" s="214"/>
      <c r="LMQ43" s="214"/>
      <c r="LMR43" s="214"/>
      <c r="LMS43" s="214"/>
      <c r="LMT43" s="214"/>
      <c r="LMU43" s="214"/>
      <c r="LMV43" s="214"/>
      <c r="LMW43" s="214"/>
      <c r="LMX43" s="214"/>
      <c r="LMY43" s="214"/>
      <c r="LMZ43" s="214"/>
      <c r="LNA43" s="214"/>
      <c r="LNB43" s="214"/>
      <c r="LNC43" s="214"/>
      <c r="LND43" s="214"/>
      <c r="LNE43" s="214"/>
      <c r="LNF43" s="214"/>
      <c r="LNG43" s="214"/>
      <c r="LNH43" s="214"/>
      <c r="LNI43" s="214"/>
      <c r="LNJ43" s="214"/>
      <c r="LNK43" s="214"/>
      <c r="LNL43" s="214"/>
      <c r="LNM43" s="214"/>
      <c r="LNN43" s="214"/>
      <c r="LNO43" s="214"/>
      <c r="LNP43" s="214"/>
      <c r="LNQ43" s="214"/>
      <c r="LNR43" s="214"/>
      <c r="LNS43" s="214"/>
      <c r="LNT43" s="214"/>
      <c r="LNU43" s="214"/>
      <c r="LNV43" s="214"/>
      <c r="LNW43" s="214"/>
      <c r="LNX43" s="214"/>
      <c r="LNY43" s="214"/>
      <c r="LNZ43" s="214"/>
      <c r="LOA43" s="214"/>
      <c r="LOB43" s="214"/>
      <c r="LOC43" s="214"/>
      <c r="LOD43" s="214"/>
      <c r="LOE43" s="214"/>
      <c r="LOF43" s="214"/>
      <c r="LOG43" s="214"/>
      <c r="LOH43" s="214"/>
      <c r="LOI43" s="214"/>
      <c r="LOJ43" s="214"/>
      <c r="LOK43" s="214"/>
      <c r="LOL43" s="214"/>
      <c r="LOM43" s="214"/>
      <c r="LON43" s="214"/>
      <c r="LOO43" s="214"/>
      <c r="LOP43" s="214"/>
      <c r="LOQ43" s="214"/>
      <c r="LOR43" s="214"/>
      <c r="LOS43" s="214"/>
      <c r="LOT43" s="214"/>
      <c r="LOU43" s="214"/>
      <c r="LOV43" s="214"/>
      <c r="LOW43" s="214"/>
      <c r="LOX43" s="214"/>
      <c r="LOY43" s="214"/>
      <c r="LOZ43" s="214"/>
      <c r="LPA43" s="214"/>
      <c r="LPB43" s="214"/>
      <c r="LPC43" s="214"/>
      <c r="LPD43" s="214"/>
      <c r="LPE43" s="214"/>
      <c r="LPF43" s="214"/>
      <c r="LPG43" s="214"/>
      <c r="LPH43" s="214"/>
      <c r="LPI43" s="214"/>
      <c r="LPJ43" s="214"/>
      <c r="LPK43" s="214"/>
      <c r="LPL43" s="214"/>
      <c r="LPM43" s="214"/>
      <c r="LPN43" s="214"/>
      <c r="LPO43" s="214"/>
      <c r="LPP43" s="214"/>
      <c r="LPQ43" s="214"/>
      <c r="LPR43" s="214"/>
      <c r="LPS43" s="214"/>
      <c r="LPT43" s="214"/>
      <c r="LPU43" s="214"/>
      <c r="LPV43" s="214"/>
      <c r="LPW43" s="214"/>
      <c r="LPX43" s="214"/>
      <c r="LPY43" s="214"/>
      <c r="LPZ43" s="214"/>
      <c r="LQA43" s="214"/>
      <c r="LQB43" s="214"/>
      <c r="LQC43" s="214"/>
      <c r="LQD43" s="214"/>
      <c r="LQE43" s="214"/>
      <c r="LQF43" s="214"/>
      <c r="LQG43" s="214"/>
      <c r="LQH43" s="214"/>
      <c r="LQI43" s="214"/>
      <c r="LQJ43" s="214"/>
      <c r="LQK43" s="214"/>
      <c r="LQL43" s="214"/>
      <c r="LQM43" s="214"/>
      <c r="LQN43" s="214"/>
      <c r="LQO43" s="214"/>
      <c r="LQP43" s="214"/>
      <c r="LQQ43" s="214"/>
      <c r="LQR43" s="214"/>
      <c r="LQS43" s="214"/>
      <c r="LQT43" s="214"/>
      <c r="LQU43" s="214"/>
      <c r="LQV43" s="214"/>
      <c r="LQW43" s="214"/>
      <c r="LQX43" s="214"/>
      <c r="LQY43" s="214"/>
      <c r="LQZ43" s="214"/>
      <c r="LRA43" s="214"/>
      <c r="LRB43" s="214"/>
      <c r="LRC43" s="214"/>
      <c r="LRD43" s="214"/>
      <c r="LRE43" s="214"/>
      <c r="LRF43" s="214"/>
      <c r="LRG43" s="214"/>
      <c r="LRH43" s="214"/>
      <c r="LRI43" s="214"/>
      <c r="LRJ43" s="214"/>
      <c r="LRK43" s="214"/>
      <c r="LRL43" s="214"/>
      <c r="LRM43" s="214"/>
      <c r="LRN43" s="214"/>
      <c r="LRO43" s="214"/>
      <c r="LRP43" s="214"/>
      <c r="LRQ43" s="214"/>
      <c r="LRR43" s="214"/>
      <c r="LRS43" s="214"/>
      <c r="LRT43" s="214"/>
      <c r="LRU43" s="214"/>
      <c r="LRV43" s="214"/>
      <c r="LRW43" s="214"/>
      <c r="LRX43" s="214"/>
      <c r="LRY43" s="214"/>
      <c r="LRZ43" s="214"/>
      <c r="LSA43" s="214"/>
      <c r="LSB43" s="214"/>
      <c r="LSC43" s="214"/>
      <c r="LSD43" s="214"/>
      <c r="LSE43" s="214"/>
      <c r="LSF43" s="214"/>
      <c r="LSG43" s="214"/>
      <c r="LSH43" s="214"/>
      <c r="LSI43" s="214"/>
      <c r="LSJ43" s="214"/>
      <c r="LSK43" s="214"/>
      <c r="LSL43" s="214"/>
      <c r="LSM43" s="214"/>
      <c r="LSN43" s="214"/>
      <c r="LSO43" s="214"/>
      <c r="LSP43" s="214"/>
      <c r="LSQ43" s="214"/>
      <c r="LSR43" s="214"/>
      <c r="LSS43" s="214"/>
      <c r="LST43" s="214"/>
      <c r="LSU43" s="214"/>
      <c r="LSV43" s="214"/>
      <c r="LSW43" s="214"/>
      <c r="LSX43" s="214"/>
      <c r="LSY43" s="214"/>
      <c r="LSZ43" s="214"/>
      <c r="LTA43" s="214"/>
      <c r="LTB43" s="214"/>
      <c r="LTC43" s="214"/>
      <c r="LTD43" s="214"/>
      <c r="LTE43" s="214"/>
      <c r="LTF43" s="214"/>
      <c r="LTG43" s="214"/>
      <c r="LTH43" s="214"/>
      <c r="LTI43" s="214"/>
      <c r="LTJ43" s="214"/>
      <c r="LTK43" s="214"/>
      <c r="LTL43" s="214"/>
      <c r="LTM43" s="214"/>
      <c r="LTN43" s="214"/>
      <c r="LTO43" s="214"/>
      <c r="LTP43" s="214"/>
      <c r="LTQ43" s="214"/>
      <c r="LTR43" s="214"/>
      <c r="LTS43" s="214"/>
      <c r="LTT43" s="214"/>
      <c r="LTU43" s="214"/>
      <c r="LTV43" s="214"/>
      <c r="LTW43" s="214"/>
      <c r="LTX43" s="214"/>
      <c r="LTY43" s="214"/>
      <c r="LTZ43" s="214"/>
      <c r="LUA43" s="214"/>
      <c r="LUB43" s="214"/>
      <c r="LUC43" s="214"/>
      <c r="LUD43" s="214"/>
      <c r="LUE43" s="214"/>
      <c r="LUF43" s="214"/>
      <c r="LUG43" s="214"/>
      <c r="LUH43" s="214"/>
      <c r="LUI43" s="214"/>
      <c r="LUJ43" s="214"/>
      <c r="LUK43" s="214"/>
      <c r="LUL43" s="214"/>
      <c r="LUM43" s="214"/>
      <c r="LUN43" s="214"/>
      <c r="LUO43" s="214"/>
      <c r="LUP43" s="214"/>
      <c r="LUQ43" s="214"/>
      <c r="LUR43" s="214"/>
      <c r="LUS43" s="214"/>
      <c r="LUT43" s="214"/>
      <c r="LUU43" s="214"/>
      <c r="LUV43" s="214"/>
      <c r="LUW43" s="214"/>
      <c r="LUX43" s="214"/>
      <c r="LUY43" s="214"/>
      <c r="LUZ43" s="214"/>
      <c r="LVA43" s="214"/>
      <c r="LVB43" s="214"/>
      <c r="LVC43" s="214"/>
      <c r="LVD43" s="214"/>
      <c r="LVE43" s="214"/>
      <c r="LVF43" s="214"/>
      <c r="LVG43" s="214"/>
      <c r="LVH43" s="214"/>
      <c r="LVI43" s="214"/>
      <c r="LVJ43" s="214"/>
      <c r="LVK43" s="214"/>
      <c r="LVL43" s="214"/>
      <c r="LVM43" s="214"/>
      <c r="LVN43" s="214"/>
      <c r="LVO43" s="214"/>
      <c r="LVP43" s="214"/>
      <c r="LVQ43" s="214"/>
      <c r="LVR43" s="214"/>
      <c r="LVS43" s="214"/>
      <c r="LVT43" s="214"/>
      <c r="LVU43" s="214"/>
      <c r="LVV43" s="214"/>
      <c r="LVW43" s="214"/>
      <c r="LVX43" s="214"/>
      <c r="LVY43" s="214"/>
      <c r="LVZ43" s="214"/>
      <c r="LWA43" s="214"/>
      <c r="LWB43" s="214"/>
      <c r="LWC43" s="214"/>
      <c r="LWD43" s="214"/>
      <c r="LWE43" s="214"/>
      <c r="LWF43" s="214"/>
      <c r="LWG43" s="214"/>
      <c r="LWH43" s="214"/>
      <c r="LWI43" s="214"/>
      <c r="LWJ43" s="214"/>
      <c r="LWK43" s="214"/>
      <c r="LWL43" s="214"/>
      <c r="LWM43" s="214"/>
      <c r="LWN43" s="214"/>
      <c r="LWO43" s="214"/>
      <c r="LWP43" s="214"/>
      <c r="LWQ43" s="214"/>
      <c r="LWR43" s="214"/>
      <c r="LWS43" s="214"/>
      <c r="LWT43" s="214"/>
      <c r="LWU43" s="214"/>
      <c r="LWV43" s="214"/>
      <c r="LWW43" s="214"/>
      <c r="LWX43" s="214"/>
      <c r="LWY43" s="214"/>
      <c r="LWZ43" s="214"/>
      <c r="LXA43" s="214"/>
      <c r="LXB43" s="214"/>
      <c r="LXC43" s="214"/>
      <c r="LXD43" s="214"/>
      <c r="LXE43" s="214"/>
      <c r="LXF43" s="214"/>
      <c r="LXG43" s="214"/>
      <c r="LXH43" s="214"/>
      <c r="LXI43" s="214"/>
      <c r="LXJ43" s="214"/>
      <c r="LXK43" s="214"/>
      <c r="LXL43" s="214"/>
      <c r="LXM43" s="214"/>
      <c r="LXN43" s="214"/>
      <c r="LXO43" s="214"/>
      <c r="LXP43" s="214"/>
      <c r="LXQ43" s="214"/>
      <c r="LXR43" s="214"/>
      <c r="LXS43" s="214"/>
      <c r="LXT43" s="214"/>
      <c r="LXU43" s="214"/>
      <c r="LXV43" s="214"/>
      <c r="LXW43" s="214"/>
      <c r="LXX43" s="214"/>
      <c r="LXY43" s="214"/>
      <c r="LXZ43" s="214"/>
      <c r="LYA43" s="214"/>
      <c r="LYB43" s="214"/>
      <c r="LYC43" s="214"/>
      <c r="LYD43" s="214"/>
      <c r="LYE43" s="214"/>
      <c r="LYF43" s="214"/>
      <c r="LYG43" s="214"/>
      <c r="LYH43" s="214"/>
      <c r="LYI43" s="214"/>
      <c r="LYJ43" s="214"/>
      <c r="LYK43" s="214"/>
      <c r="LYL43" s="214"/>
      <c r="LYM43" s="214"/>
      <c r="LYN43" s="214"/>
      <c r="LYO43" s="214"/>
      <c r="LYP43" s="214"/>
      <c r="LYQ43" s="214"/>
      <c r="LYR43" s="214"/>
      <c r="LYS43" s="214"/>
      <c r="LYT43" s="214"/>
      <c r="LYU43" s="214"/>
      <c r="LYV43" s="214"/>
      <c r="LYW43" s="214"/>
      <c r="LYX43" s="214"/>
      <c r="LYY43" s="214"/>
      <c r="LYZ43" s="214"/>
      <c r="LZA43" s="214"/>
      <c r="LZB43" s="214"/>
      <c r="LZC43" s="214"/>
      <c r="LZD43" s="214"/>
      <c r="LZE43" s="214"/>
      <c r="LZF43" s="214"/>
      <c r="LZG43" s="214"/>
      <c r="LZH43" s="214"/>
      <c r="LZI43" s="214"/>
      <c r="LZJ43" s="214"/>
      <c r="LZK43" s="214"/>
      <c r="LZL43" s="214"/>
      <c r="LZM43" s="214"/>
      <c r="LZN43" s="214"/>
      <c r="LZO43" s="214"/>
      <c r="LZP43" s="214"/>
      <c r="LZQ43" s="214"/>
      <c r="LZR43" s="214"/>
      <c r="LZS43" s="214"/>
      <c r="LZT43" s="214"/>
      <c r="LZU43" s="214"/>
      <c r="LZV43" s="214"/>
      <c r="LZW43" s="214"/>
      <c r="LZX43" s="214"/>
      <c r="LZY43" s="214"/>
      <c r="LZZ43" s="214"/>
      <c r="MAA43" s="214"/>
      <c r="MAB43" s="214"/>
      <c r="MAC43" s="214"/>
      <c r="MAD43" s="214"/>
      <c r="MAE43" s="214"/>
      <c r="MAF43" s="214"/>
      <c r="MAG43" s="214"/>
      <c r="MAH43" s="214"/>
      <c r="MAI43" s="214"/>
      <c r="MAJ43" s="214"/>
      <c r="MAK43" s="214"/>
      <c r="MAL43" s="214"/>
      <c r="MAM43" s="214"/>
      <c r="MAN43" s="214"/>
      <c r="MAO43" s="214"/>
      <c r="MAP43" s="214"/>
      <c r="MAQ43" s="214"/>
      <c r="MAR43" s="214"/>
      <c r="MAS43" s="214"/>
      <c r="MAT43" s="214"/>
      <c r="MAU43" s="214"/>
      <c r="MAV43" s="214"/>
      <c r="MAW43" s="214"/>
      <c r="MAX43" s="214"/>
      <c r="MAY43" s="214"/>
      <c r="MAZ43" s="214"/>
      <c r="MBA43" s="214"/>
      <c r="MBB43" s="214"/>
      <c r="MBC43" s="214"/>
      <c r="MBD43" s="214"/>
      <c r="MBE43" s="214"/>
      <c r="MBF43" s="214"/>
      <c r="MBG43" s="214"/>
      <c r="MBH43" s="214"/>
      <c r="MBI43" s="214"/>
      <c r="MBJ43" s="214"/>
      <c r="MBK43" s="214"/>
      <c r="MBL43" s="214"/>
      <c r="MBM43" s="214"/>
      <c r="MBN43" s="214"/>
      <c r="MBO43" s="214"/>
      <c r="MBP43" s="214"/>
      <c r="MBQ43" s="214"/>
      <c r="MBR43" s="214"/>
      <c r="MBS43" s="214"/>
      <c r="MBT43" s="214"/>
      <c r="MBU43" s="214"/>
      <c r="MBV43" s="214"/>
      <c r="MBW43" s="214"/>
      <c r="MBX43" s="214"/>
      <c r="MBY43" s="214"/>
      <c r="MBZ43" s="214"/>
      <c r="MCA43" s="214"/>
      <c r="MCB43" s="214"/>
      <c r="MCC43" s="214"/>
      <c r="MCD43" s="214"/>
      <c r="MCE43" s="214"/>
      <c r="MCF43" s="214"/>
      <c r="MCG43" s="214"/>
      <c r="MCH43" s="214"/>
      <c r="MCI43" s="214"/>
      <c r="MCJ43" s="214"/>
      <c r="MCK43" s="214"/>
      <c r="MCL43" s="214"/>
      <c r="MCM43" s="214"/>
      <c r="MCN43" s="214"/>
      <c r="MCO43" s="214"/>
      <c r="MCP43" s="214"/>
      <c r="MCQ43" s="214"/>
      <c r="MCR43" s="214"/>
      <c r="MCS43" s="214"/>
      <c r="MCT43" s="214"/>
      <c r="MCU43" s="214"/>
      <c r="MCV43" s="214"/>
      <c r="MCW43" s="214"/>
      <c r="MCX43" s="214"/>
      <c r="MCY43" s="214"/>
      <c r="MCZ43" s="214"/>
      <c r="MDA43" s="214"/>
      <c r="MDB43" s="214"/>
      <c r="MDC43" s="214"/>
      <c r="MDD43" s="214"/>
      <c r="MDE43" s="214"/>
      <c r="MDF43" s="214"/>
      <c r="MDG43" s="214"/>
      <c r="MDH43" s="214"/>
      <c r="MDI43" s="214"/>
      <c r="MDJ43" s="214"/>
      <c r="MDK43" s="214"/>
      <c r="MDL43" s="214"/>
      <c r="MDM43" s="214"/>
      <c r="MDN43" s="214"/>
      <c r="MDO43" s="214"/>
      <c r="MDP43" s="214"/>
      <c r="MDQ43" s="214"/>
      <c r="MDR43" s="214"/>
      <c r="MDS43" s="214"/>
      <c r="MDT43" s="214"/>
      <c r="MDU43" s="214"/>
      <c r="MDV43" s="214"/>
      <c r="MDW43" s="214"/>
      <c r="MDX43" s="214"/>
      <c r="MDY43" s="214"/>
      <c r="MDZ43" s="214"/>
      <c r="MEA43" s="214"/>
      <c r="MEB43" s="214"/>
      <c r="MEC43" s="214"/>
      <c r="MED43" s="214"/>
      <c r="MEE43" s="214"/>
      <c r="MEF43" s="214"/>
      <c r="MEG43" s="214"/>
      <c r="MEH43" s="214"/>
      <c r="MEI43" s="214"/>
      <c r="MEJ43" s="214"/>
      <c r="MEK43" s="214"/>
      <c r="MEL43" s="214"/>
      <c r="MEM43" s="214"/>
      <c r="MEN43" s="214"/>
      <c r="MEO43" s="214"/>
      <c r="MEP43" s="214"/>
      <c r="MEQ43" s="214"/>
      <c r="MER43" s="214"/>
      <c r="MES43" s="214"/>
      <c r="MET43" s="214"/>
      <c r="MEU43" s="214"/>
      <c r="MEV43" s="214"/>
      <c r="MEW43" s="214"/>
      <c r="MEX43" s="214"/>
      <c r="MEY43" s="214"/>
      <c r="MEZ43" s="214"/>
      <c r="MFA43" s="214"/>
      <c r="MFB43" s="214"/>
      <c r="MFC43" s="214"/>
      <c r="MFD43" s="214"/>
      <c r="MFE43" s="214"/>
      <c r="MFF43" s="214"/>
      <c r="MFG43" s="214"/>
      <c r="MFH43" s="214"/>
      <c r="MFI43" s="214"/>
      <c r="MFJ43" s="214"/>
      <c r="MFK43" s="214"/>
      <c r="MFL43" s="214"/>
      <c r="MFM43" s="214"/>
      <c r="MFN43" s="214"/>
      <c r="MFO43" s="214"/>
      <c r="MFP43" s="214"/>
      <c r="MFQ43" s="214"/>
      <c r="MFR43" s="214"/>
      <c r="MFS43" s="214"/>
      <c r="MFT43" s="214"/>
      <c r="MFU43" s="214"/>
      <c r="MFV43" s="214"/>
      <c r="MFW43" s="214"/>
      <c r="MFX43" s="214"/>
      <c r="MFY43" s="214"/>
      <c r="MFZ43" s="214"/>
      <c r="MGA43" s="214"/>
      <c r="MGB43" s="214"/>
      <c r="MGC43" s="214"/>
      <c r="MGD43" s="214"/>
      <c r="MGE43" s="214"/>
      <c r="MGF43" s="214"/>
      <c r="MGG43" s="214"/>
      <c r="MGH43" s="214"/>
      <c r="MGI43" s="214"/>
      <c r="MGJ43" s="214"/>
      <c r="MGK43" s="214"/>
      <c r="MGL43" s="214"/>
      <c r="MGM43" s="214"/>
      <c r="MGN43" s="214"/>
      <c r="MGO43" s="214"/>
      <c r="MGP43" s="214"/>
      <c r="MGQ43" s="214"/>
      <c r="MGR43" s="214"/>
      <c r="MGS43" s="214"/>
      <c r="MGT43" s="214"/>
      <c r="MGU43" s="214"/>
      <c r="MGV43" s="214"/>
      <c r="MGW43" s="214"/>
      <c r="MGX43" s="214"/>
      <c r="MGY43" s="214"/>
      <c r="MGZ43" s="214"/>
      <c r="MHA43" s="214"/>
      <c r="MHB43" s="214"/>
      <c r="MHC43" s="214"/>
      <c r="MHD43" s="214"/>
      <c r="MHE43" s="214"/>
      <c r="MHF43" s="214"/>
      <c r="MHG43" s="214"/>
      <c r="MHH43" s="214"/>
      <c r="MHI43" s="214"/>
      <c r="MHJ43" s="214"/>
      <c r="MHK43" s="214"/>
      <c r="MHL43" s="214"/>
      <c r="MHM43" s="214"/>
      <c r="MHN43" s="214"/>
      <c r="MHO43" s="214"/>
      <c r="MHP43" s="214"/>
      <c r="MHQ43" s="214"/>
      <c r="MHR43" s="214"/>
      <c r="MHS43" s="214"/>
      <c r="MHT43" s="214"/>
      <c r="MHU43" s="214"/>
      <c r="MHV43" s="214"/>
      <c r="MHW43" s="214"/>
      <c r="MHX43" s="214"/>
      <c r="MHY43" s="214"/>
      <c r="MHZ43" s="214"/>
      <c r="MIA43" s="214"/>
      <c r="MIB43" s="214"/>
      <c r="MIC43" s="214"/>
      <c r="MID43" s="214"/>
      <c r="MIE43" s="214"/>
      <c r="MIF43" s="214"/>
      <c r="MIG43" s="214"/>
      <c r="MIH43" s="214"/>
      <c r="MII43" s="214"/>
      <c r="MIJ43" s="214"/>
      <c r="MIK43" s="214"/>
      <c r="MIL43" s="214"/>
      <c r="MIM43" s="214"/>
      <c r="MIN43" s="214"/>
      <c r="MIO43" s="214"/>
      <c r="MIP43" s="214"/>
      <c r="MIQ43" s="214"/>
      <c r="MIR43" s="214"/>
      <c r="MIS43" s="214"/>
      <c r="MIT43" s="214"/>
      <c r="MIU43" s="214"/>
      <c r="MIV43" s="214"/>
      <c r="MIW43" s="214"/>
      <c r="MIX43" s="214"/>
      <c r="MIY43" s="214"/>
      <c r="MIZ43" s="214"/>
      <c r="MJA43" s="214"/>
      <c r="MJB43" s="214"/>
      <c r="MJC43" s="214"/>
      <c r="MJD43" s="214"/>
      <c r="MJE43" s="214"/>
      <c r="MJF43" s="214"/>
      <c r="MJG43" s="214"/>
      <c r="MJH43" s="214"/>
      <c r="MJI43" s="214"/>
      <c r="MJJ43" s="214"/>
      <c r="MJK43" s="214"/>
      <c r="MJL43" s="214"/>
      <c r="MJM43" s="214"/>
      <c r="MJN43" s="214"/>
      <c r="MJO43" s="214"/>
      <c r="MJP43" s="214"/>
      <c r="MJQ43" s="214"/>
      <c r="MJR43" s="214"/>
      <c r="MJS43" s="214"/>
      <c r="MJT43" s="214"/>
      <c r="MJU43" s="214"/>
      <c r="MJV43" s="214"/>
      <c r="MJW43" s="214"/>
      <c r="MJX43" s="214"/>
      <c r="MJY43" s="214"/>
      <c r="MJZ43" s="214"/>
      <c r="MKA43" s="214"/>
      <c r="MKB43" s="214"/>
      <c r="MKC43" s="214"/>
      <c r="MKD43" s="214"/>
      <c r="MKE43" s="214"/>
      <c r="MKF43" s="214"/>
      <c r="MKG43" s="214"/>
      <c r="MKH43" s="214"/>
      <c r="MKI43" s="214"/>
      <c r="MKJ43" s="214"/>
      <c r="MKK43" s="214"/>
      <c r="MKL43" s="214"/>
      <c r="MKM43" s="214"/>
      <c r="MKN43" s="214"/>
      <c r="MKO43" s="214"/>
      <c r="MKP43" s="214"/>
      <c r="MKQ43" s="214"/>
      <c r="MKR43" s="214"/>
      <c r="MKS43" s="214"/>
      <c r="MKT43" s="214"/>
      <c r="MKU43" s="214"/>
      <c r="MKV43" s="214"/>
      <c r="MKW43" s="214"/>
      <c r="MKX43" s="214"/>
      <c r="MKY43" s="214"/>
      <c r="MKZ43" s="214"/>
      <c r="MLA43" s="214"/>
      <c r="MLB43" s="214"/>
      <c r="MLC43" s="214"/>
      <c r="MLD43" s="214"/>
      <c r="MLE43" s="214"/>
      <c r="MLF43" s="214"/>
      <c r="MLG43" s="214"/>
      <c r="MLH43" s="214"/>
      <c r="MLI43" s="214"/>
      <c r="MLJ43" s="214"/>
      <c r="MLK43" s="214"/>
      <c r="MLL43" s="214"/>
      <c r="MLM43" s="214"/>
      <c r="MLN43" s="214"/>
      <c r="MLO43" s="214"/>
      <c r="MLP43" s="214"/>
      <c r="MLQ43" s="214"/>
      <c r="MLR43" s="214"/>
      <c r="MLS43" s="214"/>
      <c r="MLT43" s="214"/>
      <c r="MLU43" s="214"/>
      <c r="MLV43" s="214"/>
      <c r="MLW43" s="214"/>
      <c r="MLX43" s="214"/>
      <c r="MLY43" s="214"/>
      <c r="MLZ43" s="214"/>
      <c r="MMA43" s="214"/>
      <c r="MMB43" s="214"/>
      <c r="MMC43" s="214"/>
      <c r="MMD43" s="214"/>
      <c r="MME43" s="214"/>
      <c r="MMF43" s="214"/>
      <c r="MMG43" s="214"/>
      <c r="MMH43" s="214"/>
      <c r="MMI43" s="214"/>
      <c r="MMJ43" s="214"/>
      <c r="MMK43" s="214"/>
      <c r="MML43" s="214"/>
      <c r="MMM43" s="214"/>
      <c r="MMN43" s="214"/>
      <c r="MMO43" s="214"/>
      <c r="MMP43" s="214"/>
      <c r="MMQ43" s="214"/>
      <c r="MMR43" s="214"/>
      <c r="MMS43" s="214"/>
      <c r="MMT43" s="214"/>
      <c r="MMU43" s="214"/>
      <c r="MMV43" s="214"/>
      <c r="MMW43" s="214"/>
      <c r="MMX43" s="214"/>
      <c r="MMY43" s="214"/>
      <c r="MMZ43" s="214"/>
      <c r="MNA43" s="214"/>
      <c r="MNB43" s="214"/>
      <c r="MNC43" s="214"/>
      <c r="MND43" s="214"/>
      <c r="MNE43" s="214"/>
      <c r="MNF43" s="214"/>
      <c r="MNG43" s="214"/>
      <c r="MNH43" s="214"/>
      <c r="MNI43" s="214"/>
      <c r="MNJ43" s="214"/>
      <c r="MNK43" s="214"/>
      <c r="MNL43" s="214"/>
      <c r="MNM43" s="214"/>
      <c r="MNN43" s="214"/>
      <c r="MNO43" s="214"/>
      <c r="MNP43" s="214"/>
      <c r="MNQ43" s="214"/>
      <c r="MNR43" s="214"/>
      <c r="MNS43" s="214"/>
      <c r="MNT43" s="214"/>
      <c r="MNU43" s="214"/>
      <c r="MNV43" s="214"/>
      <c r="MNW43" s="214"/>
      <c r="MNX43" s="214"/>
      <c r="MNY43" s="214"/>
      <c r="MNZ43" s="214"/>
      <c r="MOA43" s="214"/>
      <c r="MOB43" s="214"/>
      <c r="MOC43" s="214"/>
      <c r="MOD43" s="214"/>
      <c r="MOE43" s="214"/>
      <c r="MOF43" s="214"/>
      <c r="MOG43" s="214"/>
      <c r="MOH43" s="214"/>
      <c r="MOI43" s="214"/>
      <c r="MOJ43" s="214"/>
      <c r="MOK43" s="214"/>
      <c r="MOL43" s="214"/>
      <c r="MOM43" s="214"/>
      <c r="MON43" s="214"/>
      <c r="MOO43" s="214"/>
      <c r="MOP43" s="214"/>
      <c r="MOQ43" s="214"/>
      <c r="MOR43" s="214"/>
      <c r="MOS43" s="214"/>
      <c r="MOT43" s="214"/>
      <c r="MOU43" s="214"/>
      <c r="MOV43" s="214"/>
      <c r="MOW43" s="214"/>
      <c r="MOX43" s="214"/>
      <c r="MOY43" s="214"/>
      <c r="MOZ43" s="214"/>
      <c r="MPA43" s="214"/>
      <c r="MPB43" s="214"/>
      <c r="MPC43" s="214"/>
      <c r="MPD43" s="214"/>
      <c r="MPE43" s="214"/>
      <c r="MPF43" s="214"/>
      <c r="MPG43" s="214"/>
      <c r="MPH43" s="214"/>
      <c r="MPI43" s="214"/>
      <c r="MPJ43" s="214"/>
      <c r="MPK43" s="214"/>
      <c r="MPL43" s="214"/>
      <c r="MPM43" s="214"/>
      <c r="MPN43" s="214"/>
      <c r="MPO43" s="214"/>
      <c r="MPP43" s="214"/>
      <c r="MPQ43" s="214"/>
      <c r="MPR43" s="214"/>
      <c r="MPS43" s="214"/>
      <c r="MPT43" s="214"/>
      <c r="MPU43" s="214"/>
      <c r="MPV43" s="214"/>
      <c r="MPW43" s="214"/>
      <c r="MPX43" s="214"/>
      <c r="MPY43" s="214"/>
      <c r="MPZ43" s="214"/>
      <c r="MQA43" s="214"/>
      <c r="MQB43" s="214"/>
      <c r="MQC43" s="214"/>
      <c r="MQD43" s="214"/>
      <c r="MQE43" s="214"/>
      <c r="MQF43" s="214"/>
      <c r="MQG43" s="214"/>
      <c r="MQH43" s="214"/>
      <c r="MQI43" s="214"/>
      <c r="MQJ43" s="214"/>
      <c r="MQK43" s="214"/>
      <c r="MQL43" s="214"/>
      <c r="MQM43" s="214"/>
      <c r="MQN43" s="214"/>
      <c r="MQO43" s="214"/>
      <c r="MQP43" s="214"/>
      <c r="MQQ43" s="214"/>
      <c r="MQR43" s="214"/>
      <c r="MQS43" s="214"/>
      <c r="MQT43" s="214"/>
      <c r="MQU43" s="214"/>
      <c r="MQV43" s="214"/>
      <c r="MQW43" s="214"/>
      <c r="MQX43" s="214"/>
      <c r="MQY43" s="214"/>
      <c r="MQZ43" s="214"/>
      <c r="MRA43" s="214"/>
      <c r="MRB43" s="214"/>
      <c r="MRC43" s="214"/>
      <c r="MRD43" s="214"/>
      <c r="MRE43" s="214"/>
      <c r="MRF43" s="214"/>
      <c r="MRG43" s="214"/>
      <c r="MRH43" s="214"/>
      <c r="MRI43" s="214"/>
      <c r="MRJ43" s="214"/>
      <c r="MRK43" s="214"/>
      <c r="MRL43" s="214"/>
      <c r="MRM43" s="214"/>
      <c r="MRN43" s="214"/>
      <c r="MRO43" s="214"/>
      <c r="MRP43" s="214"/>
      <c r="MRQ43" s="214"/>
      <c r="MRR43" s="214"/>
      <c r="MRS43" s="214"/>
      <c r="MRT43" s="214"/>
      <c r="MRU43" s="214"/>
      <c r="MRV43" s="214"/>
      <c r="MRW43" s="214"/>
      <c r="MRX43" s="214"/>
      <c r="MRY43" s="214"/>
      <c r="MRZ43" s="214"/>
      <c r="MSA43" s="214"/>
      <c r="MSB43" s="214"/>
      <c r="MSC43" s="214"/>
      <c r="MSD43" s="214"/>
      <c r="MSE43" s="214"/>
      <c r="MSF43" s="214"/>
      <c r="MSG43" s="214"/>
      <c r="MSH43" s="214"/>
      <c r="MSI43" s="214"/>
      <c r="MSJ43" s="214"/>
      <c r="MSK43" s="214"/>
      <c r="MSL43" s="214"/>
      <c r="MSM43" s="214"/>
      <c r="MSN43" s="214"/>
      <c r="MSO43" s="214"/>
      <c r="MSP43" s="214"/>
      <c r="MSQ43" s="214"/>
      <c r="MSR43" s="214"/>
      <c r="MSS43" s="214"/>
      <c r="MST43" s="214"/>
      <c r="MSU43" s="214"/>
      <c r="MSV43" s="214"/>
      <c r="MSW43" s="214"/>
      <c r="MSX43" s="214"/>
      <c r="MSY43" s="214"/>
      <c r="MSZ43" s="214"/>
      <c r="MTA43" s="214"/>
      <c r="MTB43" s="214"/>
      <c r="MTC43" s="214"/>
      <c r="MTD43" s="214"/>
      <c r="MTE43" s="214"/>
      <c r="MTF43" s="214"/>
      <c r="MTG43" s="214"/>
      <c r="MTH43" s="214"/>
      <c r="MTI43" s="214"/>
      <c r="MTJ43" s="214"/>
      <c r="MTK43" s="214"/>
      <c r="MTL43" s="214"/>
      <c r="MTM43" s="214"/>
      <c r="MTN43" s="214"/>
      <c r="MTO43" s="214"/>
      <c r="MTP43" s="214"/>
      <c r="MTQ43" s="214"/>
      <c r="MTR43" s="214"/>
      <c r="MTS43" s="214"/>
      <c r="MTT43" s="214"/>
      <c r="MTU43" s="214"/>
      <c r="MTV43" s="214"/>
      <c r="MTW43" s="214"/>
      <c r="MTX43" s="214"/>
      <c r="MTY43" s="214"/>
      <c r="MTZ43" s="214"/>
      <c r="MUA43" s="214"/>
      <c r="MUB43" s="214"/>
      <c r="MUC43" s="214"/>
      <c r="MUD43" s="214"/>
      <c r="MUE43" s="214"/>
      <c r="MUF43" s="214"/>
      <c r="MUG43" s="214"/>
      <c r="MUH43" s="214"/>
      <c r="MUI43" s="214"/>
      <c r="MUJ43" s="214"/>
      <c r="MUK43" s="214"/>
      <c r="MUL43" s="214"/>
      <c r="MUM43" s="214"/>
      <c r="MUN43" s="214"/>
      <c r="MUO43" s="214"/>
      <c r="MUP43" s="214"/>
      <c r="MUQ43" s="214"/>
      <c r="MUR43" s="214"/>
      <c r="MUS43" s="214"/>
      <c r="MUT43" s="214"/>
      <c r="MUU43" s="214"/>
      <c r="MUV43" s="214"/>
      <c r="MUW43" s="214"/>
      <c r="MUX43" s="214"/>
      <c r="MUY43" s="214"/>
      <c r="MUZ43" s="214"/>
      <c r="MVA43" s="214"/>
      <c r="MVB43" s="214"/>
      <c r="MVC43" s="214"/>
      <c r="MVD43" s="214"/>
      <c r="MVE43" s="214"/>
      <c r="MVF43" s="214"/>
      <c r="MVG43" s="214"/>
      <c r="MVH43" s="214"/>
      <c r="MVI43" s="214"/>
      <c r="MVJ43" s="214"/>
      <c r="MVK43" s="214"/>
      <c r="MVL43" s="214"/>
      <c r="MVM43" s="214"/>
      <c r="MVN43" s="214"/>
      <c r="MVO43" s="214"/>
      <c r="MVP43" s="214"/>
      <c r="MVQ43" s="214"/>
      <c r="MVR43" s="214"/>
      <c r="MVS43" s="214"/>
      <c r="MVT43" s="214"/>
      <c r="MVU43" s="214"/>
      <c r="MVV43" s="214"/>
      <c r="MVW43" s="214"/>
      <c r="MVX43" s="214"/>
      <c r="MVY43" s="214"/>
      <c r="MVZ43" s="214"/>
      <c r="MWA43" s="214"/>
      <c r="MWB43" s="214"/>
      <c r="MWC43" s="214"/>
      <c r="MWD43" s="214"/>
      <c r="MWE43" s="214"/>
      <c r="MWF43" s="214"/>
      <c r="MWG43" s="214"/>
      <c r="MWH43" s="214"/>
      <c r="MWI43" s="214"/>
      <c r="MWJ43" s="214"/>
      <c r="MWK43" s="214"/>
      <c r="MWL43" s="214"/>
      <c r="MWM43" s="214"/>
      <c r="MWN43" s="214"/>
      <c r="MWO43" s="214"/>
      <c r="MWP43" s="214"/>
      <c r="MWQ43" s="214"/>
      <c r="MWR43" s="214"/>
      <c r="MWS43" s="214"/>
      <c r="MWT43" s="214"/>
      <c r="MWU43" s="214"/>
      <c r="MWV43" s="214"/>
      <c r="MWW43" s="214"/>
      <c r="MWX43" s="214"/>
      <c r="MWY43" s="214"/>
      <c r="MWZ43" s="214"/>
      <c r="MXA43" s="214"/>
      <c r="MXB43" s="214"/>
      <c r="MXC43" s="214"/>
      <c r="MXD43" s="214"/>
      <c r="MXE43" s="214"/>
      <c r="MXF43" s="214"/>
      <c r="MXG43" s="214"/>
      <c r="MXH43" s="214"/>
      <c r="MXI43" s="214"/>
      <c r="MXJ43" s="214"/>
      <c r="MXK43" s="214"/>
      <c r="MXL43" s="214"/>
      <c r="MXM43" s="214"/>
      <c r="MXN43" s="214"/>
      <c r="MXO43" s="214"/>
      <c r="MXP43" s="214"/>
      <c r="MXQ43" s="214"/>
      <c r="MXR43" s="214"/>
      <c r="MXS43" s="214"/>
      <c r="MXT43" s="214"/>
      <c r="MXU43" s="214"/>
      <c r="MXV43" s="214"/>
      <c r="MXW43" s="214"/>
      <c r="MXX43" s="214"/>
      <c r="MXY43" s="214"/>
      <c r="MXZ43" s="214"/>
      <c r="MYA43" s="214"/>
      <c r="MYB43" s="214"/>
      <c r="MYC43" s="214"/>
      <c r="MYD43" s="214"/>
      <c r="MYE43" s="214"/>
      <c r="MYF43" s="214"/>
      <c r="MYG43" s="214"/>
      <c r="MYH43" s="214"/>
      <c r="MYI43" s="214"/>
      <c r="MYJ43" s="214"/>
      <c r="MYK43" s="214"/>
      <c r="MYL43" s="214"/>
      <c r="MYM43" s="214"/>
      <c r="MYN43" s="214"/>
      <c r="MYO43" s="214"/>
      <c r="MYP43" s="214"/>
      <c r="MYQ43" s="214"/>
      <c r="MYR43" s="214"/>
      <c r="MYS43" s="214"/>
      <c r="MYT43" s="214"/>
      <c r="MYU43" s="214"/>
      <c r="MYV43" s="214"/>
      <c r="MYW43" s="214"/>
      <c r="MYX43" s="214"/>
      <c r="MYY43" s="214"/>
      <c r="MYZ43" s="214"/>
      <c r="MZA43" s="214"/>
      <c r="MZB43" s="214"/>
      <c r="MZC43" s="214"/>
      <c r="MZD43" s="214"/>
      <c r="MZE43" s="214"/>
      <c r="MZF43" s="214"/>
      <c r="MZG43" s="214"/>
      <c r="MZH43" s="214"/>
      <c r="MZI43" s="214"/>
      <c r="MZJ43" s="214"/>
      <c r="MZK43" s="214"/>
      <c r="MZL43" s="214"/>
      <c r="MZM43" s="214"/>
      <c r="MZN43" s="214"/>
      <c r="MZO43" s="214"/>
      <c r="MZP43" s="214"/>
      <c r="MZQ43" s="214"/>
      <c r="MZR43" s="214"/>
      <c r="MZS43" s="214"/>
      <c r="MZT43" s="214"/>
      <c r="MZU43" s="214"/>
      <c r="MZV43" s="214"/>
      <c r="MZW43" s="214"/>
      <c r="MZX43" s="214"/>
      <c r="MZY43" s="214"/>
      <c r="MZZ43" s="214"/>
      <c r="NAA43" s="214"/>
      <c r="NAB43" s="214"/>
      <c r="NAC43" s="214"/>
      <c r="NAD43" s="214"/>
      <c r="NAE43" s="214"/>
      <c r="NAF43" s="214"/>
      <c r="NAG43" s="214"/>
      <c r="NAH43" s="214"/>
      <c r="NAI43" s="214"/>
      <c r="NAJ43" s="214"/>
      <c r="NAK43" s="214"/>
      <c r="NAL43" s="214"/>
      <c r="NAM43" s="214"/>
      <c r="NAN43" s="214"/>
      <c r="NAO43" s="214"/>
      <c r="NAP43" s="214"/>
      <c r="NAQ43" s="214"/>
      <c r="NAR43" s="214"/>
      <c r="NAS43" s="214"/>
      <c r="NAT43" s="214"/>
      <c r="NAU43" s="214"/>
      <c r="NAV43" s="214"/>
      <c r="NAW43" s="214"/>
      <c r="NAX43" s="214"/>
      <c r="NAY43" s="214"/>
      <c r="NAZ43" s="214"/>
      <c r="NBA43" s="214"/>
      <c r="NBB43" s="214"/>
      <c r="NBC43" s="214"/>
      <c r="NBD43" s="214"/>
      <c r="NBE43" s="214"/>
      <c r="NBF43" s="214"/>
      <c r="NBG43" s="214"/>
      <c r="NBH43" s="214"/>
      <c r="NBI43" s="214"/>
      <c r="NBJ43" s="214"/>
      <c r="NBK43" s="214"/>
      <c r="NBL43" s="214"/>
      <c r="NBM43" s="214"/>
      <c r="NBN43" s="214"/>
      <c r="NBO43" s="214"/>
      <c r="NBP43" s="214"/>
      <c r="NBQ43" s="214"/>
      <c r="NBR43" s="214"/>
      <c r="NBS43" s="214"/>
      <c r="NBT43" s="214"/>
      <c r="NBU43" s="214"/>
      <c r="NBV43" s="214"/>
      <c r="NBW43" s="214"/>
      <c r="NBX43" s="214"/>
      <c r="NBY43" s="214"/>
      <c r="NBZ43" s="214"/>
      <c r="NCA43" s="214"/>
      <c r="NCB43" s="214"/>
      <c r="NCC43" s="214"/>
      <c r="NCD43" s="214"/>
      <c r="NCE43" s="214"/>
      <c r="NCF43" s="214"/>
      <c r="NCG43" s="214"/>
      <c r="NCH43" s="214"/>
      <c r="NCI43" s="214"/>
      <c r="NCJ43" s="214"/>
      <c r="NCK43" s="214"/>
      <c r="NCL43" s="214"/>
      <c r="NCM43" s="214"/>
      <c r="NCN43" s="214"/>
      <c r="NCO43" s="214"/>
      <c r="NCP43" s="214"/>
      <c r="NCQ43" s="214"/>
      <c r="NCR43" s="214"/>
      <c r="NCS43" s="214"/>
      <c r="NCT43" s="214"/>
      <c r="NCU43" s="214"/>
      <c r="NCV43" s="214"/>
      <c r="NCW43" s="214"/>
      <c r="NCX43" s="214"/>
      <c r="NCY43" s="214"/>
      <c r="NCZ43" s="214"/>
      <c r="NDA43" s="214"/>
      <c r="NDB43" s="214"/>
      <c r="NDC43" s="214"/>
      <c r="NDD43" s="214"/>
      <c r="NDE43" s="214"/>
      <c r="NDF43" s="214"/>
      <c r="NDG43" s="214"/>
      <c r="NDH43" s="214"/>
      <c r="NDI43" s="214"/>
      <c r="NDJ43" s="214"/>
      <c r="NDK43" s="214"/>
      <c r="NDL43" s="214"/>
      <c r="NDM43" s="214"/>
      <c r="NDN43" s="214"/>
      <c r="NDO43" s="214"/>
      <c r="NDP43" s="214"/>
      <c r="NDQ43" s="214"/>
      <c r="NDR43" s="214"/>
      <c r="NDS43" s="214"/>
      <c r="NDT43" s="214"/>
      <c r="NDU43" s="214"/>
      <c r="NDV43" s="214"/>
      <c r="NDW43" s="214"/>
      <c r="NDX43" s="214"/>
      <c r="NDY43" s="214"/>
      <c r="NDZ43" s="214"/>
      <c r="NEA43" s="214"/>
      <c r="NEB43" s="214"/>
      <c r="NEC43" s="214"/>
      <c r="NED43" s="214"/>
      <c r="NEE43" s="214"/>
      <c r="NEF43" s="214"/>
      <c r="NEG43" s="214"/>
      <c r="NEH43" s="214"/>
      <c r="NEI43" s="214"/>
      <c r="NEJ43" s="214"/>
      <c r="NEK43" s="214"/>
      <c r="NEL43" s="214"/>
      <c r="NEM43" s="214"/>
      <c r="NEN43" s="214"/>
      <c r="NEO43" s="214"/>
      <c r="NEP43" s="214"/>
      <c r="NEQ43" s="214"/>
      <c r="NER43" s="214"/>
      <c r="NES43" s="214"/>
      <c r="NET43" s="214"/>
      <c r="NEU43" s="214"/>
      <c r="NEV43" s="214"/>
      <c r="NEW43" s="214"/>
      <c r="NEX43" s="214"/>
      <c r="NEY43" s="214"/>
      <c r="NEZ43" s="214"/>
      <c r="NFA43" s="214"/>
      <c r="NFB43" s="214"/>
      <c r="NFC43" s="214"/>
      <c r="NFD43" s="214"/>
      <c r="NFE43" s="214"/>
      <c r="NFF43" s="214"/>
      <c r="NFG43" s="214"/>
      <c r="NFH43" s="214"/>
      <c r="NFI43" s="214"/>
      <c r="NFJ43" s="214"/>
      <c r="NFK43" s="214"/>
      <c r="NFL43" s="214"/>
      <c r="NFM43" s="214"/>
      <c r="NFN43" s="214"/>
      <c r="NFO43" s="214"/>
      <c r="NFP43" s="214"/>
      <c r="NFQ43" s="214"/>
      <c r="NFR43" s="214"/>
      <c r="NFS43" s="214"/>
      <c r="NFT43" s="214"/>
      <c r="NFU43" s="214"/>
      <c r="NFV43" s="214"/>
      <c r="NFW43" s="214"/>
      <c r="NFX43" s="214"/>
      <c r="NFY43" s="214"/>
      <c r="NFZ43" s="214"/>
      <c r="NGA43" s="214"/>
      <c r="NGB43" s="214"/>
      <c r="NGC43" s="214"/>
      <c r="NGD43" s="214"/>
      <c r="NGE43" s="214"/>
      <c r="NGF43" s="214"/>
      <c r="NGG43" s="214"/>
      <c r="NGH43" s="214"/>
      <c r="NGI43" s="214"/>
      <c r="NGJ43" s="214"/>
      <c r="NGK43" s="214"/>
      <c r="NGL43" s="214"/>
      <c r="NGM43" s="214"/>
      <c r="NGN43" s="214"/>
      <c r="NGO43" s="214"/>
      <c r="NGP43" s="214"/>
      <c r="NGQ43" s="214"/>
      <c r="NGR43" s="214"/>
      <c r="NGS43" s="214"/>
      <c r="NGT43" s="214"/>
      <c r="NGU43" s="214"/>
      <c r="NGV43" s="214"/>
      <c r="NGW43" s="214"/>
      <c r="NGX43" s="214"/>
      <c r="NGY43" s="214"/>
      <c r="NGZ43" s="214"/>
      <c r="NHA43" s="214"/>
      <c r="NHB43" s="214"/>
      <c r="NHC43" s="214"/>
      <c r="NHD43" s="214"/>
      <c r="NHE43" s="214"/>
      <c r="NHF43" s="214"/>
      <c r="NHG43" s="214"/>
      <c r="NHH43" s="214"/>
      <c r="NHI43" s="214"/>
      <c r="NHJ43" s="214"/>
      <c r="NHK43" s="214"/>
      <c r="NHL43" s="214"/>
      <c r="NHM43" s="214"/>
      <c r="NHN43" s="214"/>
      <c r="NHO43" s="214"/>
      <c r="NHP43" s="214"/>
      <c r="NHQ43" s="214"/>
      <c r="NHR43" s="214"/>
      <c r="NHS43" s="214"/>
      <c r="NHT43" s="214"/>
      <c r="NHU43" s="214"/>
      <c r="NHV43" s="214"/>
      <c r="NHW43" s="214"/>
      <c r="NHX43" s="214"/>
      <c r="NHY43" s="214"/>
      <c r="NHZ43" s="214"/>
      <c r="NIA43" s="214"/>
      <c r="NIB43" s="214"/>
      <c r="NIC43" s="214"/>
      <c r="NID43" s="214"/>
      <c r="NIE43" s="214"/>
      <c r="NIF43" s="214"/>
      <c r="NIG43" s="214"/>
      <c r="NIH43" s="214"/>
      <c r="NII43" s="214"/>
      <c r="NIJ43" s="214"/>
      <c r="NIK43" s="214"/>
      <c r="NIL43" s="214"/>
      <c r="NIM43" s="214"/>
      <c r="NIN43" s="214"/>
      <c r="NIO43" s="214"/>
      <c r="NIP43" s="214"/>
      <c r="NIQ43" s="214"/>
      <c r="NIR43" s="214"/>
      <c r="NIS43" s="214"/>
      <c r="NIT43" s="214"/>
      <c r="NIU43" s="214"/>
      <c r="NIV43" s="214"/>
      <c r="NIW43" s="214"/>
      <c r="NIX43" s="214"/>
      <c r="NIY43" s="214"/>
      <c r="NIZ43" s="214"/>
      <c r="NJA43" s="214"/>
      <c r="NJB43" s="214"/>
      <c r="NJC43" s="214"/>
      <c r="NJD43" s="214"/>
      <c r="NJE43" s="214"/>
      <c r="NJF43" s="214"/>
      <c r="NJG43" s="214"/>
      <c r="NJH43" s="214"/>
      <c r="NJI43" s="214"/>
      <c r="NJJ43" s="214"/>
      <c r="NJK43" s="214"/>
      <c r="NJL43" s="214"/>
      <c r="NJM43" s="214"/>
      <c r="NJN43" s="214"/>
      <c r="NJO43" s="214"/>
      <c r="NJP43" s="214"/>
      <c r="NJQ43" s="214"/>
      <c r="NJR43" s="214"/>
      <c r="NJS43" s="214"/>
      <c r="NJT43" s="214"/>
      <c r="NJU43" s="214"/>
      <c r="NJV43" s="214"/>
      <c r="NJW43" s="214"/>
      <c r="NJX43" s="214"/>
      <c r="NJY43" s="214"/>
      <c r="NJZ43" s="214"/>
      <c r="NKA43" s="214"/>
      <c r="NKB43" s="214"/>
      <c r="NKC43" s="214"/>
      <c r="NKD43" s="214"/>
      <c r="NKE43" s="214"/>
      <c r="NKF43" s="214"/>
      <c r="NKG43" s="214"/>
      <c r="NKH43" s="214"/>
      <c r="NKI43" s="214"/>
      <c r="NKJ43" s="214"/>
      <c r="NKK43" s="214"/>
      <c r="NKL43" s="214"/>
      <c r="NKM43" s="214"/>
      <c r="NKN43" s="214"/>
      <c r="NKO43" s="214"/>
      <c r="NKP43" s="214"/>
      <c r="NKQ43" s="214"/>
      <c r="NKR43" s="214"/>
      <c r="NKS43" s="214"/>
      <c r="NKT43" s="214"/>
      <c r="NKU43" s="214"/>
      <c r="NKV43" s="214"/>
      <c r="NKW43" s="214"/>
      <c r="NKX43" s="214"/>
      <c r="NKY43" s="214"/>
      <c r="NKZ43" s="214"/>
      <c r="NLA43" s="214"/>
      <c r="NLB43" s="214"/>
      <c r="NLC43" s="214"/>
      <c r="NLD43" s="214"/>
      <c r="NLE43" s="214"/>
      <c r="NLF43" s="214"/>
      <c r="NLG43" s="214"/>
      <c r="NLH43" s="214"/>
      <c r="NLI43" s="214"/>
      <c r="NLJ43" s="214"/>
      <c r="NLK43" s="214"/>
      <c r="NLL43" s="214"/>
      <c r="NLM43" s="214"/>
      <c r="NLN43" s="214"/>
      <c r="NLO43" s="214"/>
      <c r="NLP43" s="214"/>
      <c r="NLQ43" s="214"/>
      <c r="NLR43" s="214"/>
      <c r="NLS43" s="214"/>
      <c r="NLT43" s="214"/>
      <c r="NLU43" s="214"/>
      <c r="NLV43" s="214"/>
      <c r="NLW43" s="214"/>
      <c r="NLX43" s="214"/>
      <c r="NLY43" s="214"/>
      <c r="NLZ43" s="214"/>
      <c r="NMA43" s="214"/>
      <c r="NMB43" s="214"/>
      <c r="NMC43" s="214"/>
      <c r="NMD43" s="214"/>
      <c r="NME43" s="214"/>
      <c r="NMF43" s="214"/>
      <c r="NMG43" s="214"/>
      <c r="NMH43" s="214"/>
      <c r="NMI43" s="214"/>
      <c r="NMJ43" s="214"/>
      <c r="NMK43" s="214"/>
      <c r="NML43" s="214"/>
      <c r="NMM43" s="214"/>
      <c r="NMN43" s="214"/>
      <c r="NMO43" s="214"/>
      <c r="NMP43" s="214"/>
      <c r="NMQ43" s="214"/>
      <c r="NMR43" s="214"/>
      <c r="NMS43" s="214"/>
      <c r="NMT43" s="214"/>
      <c r="NMU43" s="214"/>
      <c r="NMV43" s="214"/>
      <c r="NMW43" s="214"/>
      <c r="NMX43" s="214"/>
      <c r="NMY43" s="214"/>
      <c r="NMZ43" s="214"/>
      <c r="NNA43" s="214"/>
      <c r="NNB43" s="214"/>
      <c r="NNC43" s="214"/>
      <c r="NND43" s="214"/>
      <c r="NNE43" s="214"/>
      <c r="NNF43" s="214"/>
      <c r="NNG43" s="214"/>
      <c r="NNH43" s="214"/>
      <c r="NNI43" s="214"/>
      <c r="NNJ43" s="214"/>
      <c r="NNK43" s="214"/>
      <c r="NNL43" s="214"/>
      <c r="NNM43" s="214"/>
      <c r="NNN43" s="214"/>
      <c r="NNO43" s="214"/>
      <c r="NNP43" s="214"/>
      <c r="NNQ43" s="214"/>
      <c r="NNR43" s="214"/>
      <c r="NNS43" s="214"/>
      <c r="NNT43" s="214"/>
      <c r="NNU43" s="214"/>
      <c r="NNV43" s="214"/>
      <c r="NNW43" s="214"/>
      <c r="NNX43" s="214"/>
      <c r="NNY43" s="214"/>
      <c r="NNZ43" s="214"/>
      <c r="NOA43" s="214"/>
      <c r="NOB43" s="214"/>
      <c r="NOC43" s="214"/>
      <c r="NOD43" s="214"/>
      <c r="NOE43" s="214"/>
      <c r="NOF43" s="214"/>
      <c r="NOG43" s="214"/>
      <c r="NOH43" s="214"/>
      <c r="NOI43" s="214"/>
      <c r="NOJ43" s="214"/>
      <c r="NOK43" s="214"/>
      <c r="NOL43" s="214"/>
      <c r="NOM43" s="214"/>
      <c r="NON43" s="214"/>
      <c r="NOO43" s="214"/>
      <c r="NOP43" s="214"/>
      <c r="NOQ43" s="214"/>
      <c r="NOR43" s="214"/>
      <c r="NOS43" s="214"/>
      <c r="NOT43" s="214"/>
      <c r="NOU43" s="214"/>
      <c r="NOV43" s="214"/>
      <c r="NOW43" s="214"/>
      <c r="NOX43" s="214"/>
      <c r="NOY43" s="214"/>
      <c r="NOZ43" s="214"/>
      <c r="NPA43" s="214"/>
      <c r="NPB43" s="214"/>
      <c r="NPC43" s="214"/>
      <c r="NPD43" s="214"/>
      <c r="NPE43" s="214"/>
      <c r="NPF43" s="214"/>
      <c r="NPG43" s="214"/>
      <c r="NPH43" s="214"/>
      <c r="NPI43" s="214"/>
      <c r="NPJ43" s="214"/>
      <c r="NPK43" s="214"/>
      <c r="NPL43" s="214"/>
      <c r="NPM43" s="214"/>
      <c r="NPN43" s="214"/>
      <c r="NPO43" s="214"/>
      <c r="NPP43" s="214"/>
      <c r="NPQ43" s="214"/>
      <c r="NPR43" s="214"/>
      <c r="NPS43" s="214"/>
      <c r="NPT43" s="214"/>
      <c r="NPU43" s="214"/>
      <c r="NPV43" s="214"/>
      <c r="NPW43" s="214"/>
      <c r="NPX43" s="214"/>
      <c r="NPY43" s="214"/>
      <c r="NPZ43" s="214"/>
      <c r="NQA43" s="214"/>
      <c r="NQB43" s="214"/>
      <c r="NQC43" s="214"/>
      <c r="NQD43" s="214"/>
      <c r="NQE43" s="214"/>
      <c r="NQF43" s="214"/>
      <c r="NQG43" s="214"/>
      <c r="NQH43" s="214"/>
      <c r="NQI43" s="214"/>
      <c r="NQJ43" s="214"/>
      <c r="NQK43" s="214"/>
      <c r="NQL43" s="214"/>
      <c r="NQM43" s="214"/>
      <c r="NQN43" s="214"/>
      <c r="NQO43" s="214"/>
      <c r="NQP43" s="214"/>
      <c r="NQQ43" s="214"/>
      <c r="NQR43" s="214"/>
      <c r="NQS43" s="214"/>
      <c r="NQT43" s="214"/>
      <c r="NQU43" s="214"/>
      <c r="NQV43" s="214"/>
      <c r="NQW43" s="214"/>
      <c r="NQX43" s="214"/>
      <c r="NQY43" s="214"/>
      <c r="NQZ43" s="214"/>
      <c r="NRA43" s="214"/>
      <c r="NRB43" s="214"/>
      <c r="NRC43" s="214"/>
      <c r="NRD43" s="214"/>
      <c r="NRE43" s="214"/>
      <c r="NRF43" s="214"/>
      <c r="NRG43" s="214"/>
      <c r="NRH43" s="214"/>
      <c r="NRI43" s="214"/>
      <c r="NRJ43" s="214"/>
      <c r="NRK43" s="214"/>
      <c r="NRL43" s="214"/>
      <c r="NRM43" s="214"/>
      <c r="NRN43" s="214"/>
      <c r="NRO43" s="214"/>
      <c r="NRP43" s="214"/>
      <c r="NRQ43" s="214"/>
      <c r="NRR43" s="214"/>
      <c r="NRS43" s="214"/>
      <c r="NRT43" s="214"/>
      <c r="NRU43" s="214"/>
      <c r="NRV43" s="214"/>
      <c r="NRW43" s="214"/>
      <c r="NRX43" s="214"/>
      <c r="NRY43" s="214"/>
      <c r="NRZ43" s="214"/>
      <c r="NSA43" s="214"/>
      <c r="NSB43" s="214"/>
      <c r="NSC43" s="214"/>
      <c r="NSD43" s="214"/>
      <c r="NSE43" s="214"/>
      <c r="NSF43" s="214"/>
      <c r="NSG43" s="214"/>
      <c r="NSH43" s="214"/>
      <c r="NSI43" s="214"/>
      <c r="NSJ43" s="214"/>
      <c r="NSK43" s="214"/>
      <c r="NSL43" s="214"/>
      <c r="NSM43" s="214"/>
      <c r="NSN43" s="214"/>
      <c r="NSO43" s="214"/>
      <c r="NSP43" s="214"/>
      <c r="NSQ43" s="214"/>
      <c r="NSR43" s="214"/>
      <c r="NSS43" s="214"/>
      <c r="NST43" s="214"/>
      <c r="NSU43" s="214"/>
      <c r="NSV43" s="214"/>
      <c r="NSW43" s="214"/>
      <c r="NSX43" s="214"/>
      <c r="NSY43" s="214"/>
      <c r="NSZ43" s="214"/>
      <c r="NTA43" s="214"/>
      <c r="NTB43" s="214"/>
      <c r="NTC43" s="214"/>
      <c r="NTD43" s="214"/>
      <c r="NTE43" s="214"/>
      <c r="NTF43" s="214"/>
      <c r="NTG43" s="214"/>
      <c r="NTH43" s="214"/>
      <c r="NTI43" s="214"/>
      <c r="NTJ43" s="214"/>
      <c r="NTK43" s="214"/>
      <c r="NTL43" s="214"/>
      <c r="NTM43" s="214"/>
      <c r="NTN43" s="214"/>
      <c r="NTO43" s="214"/>
      <c r="NTP43" s="214"/>
      <c r="NTQ43" s="214"/>
      <c r="NTR43" s="214"/>
      <c r="NTS43" s="214"/>
      <c r="NTT43" s="214"/>
      <c r="NTU43" s="214"/>
      <c r="NTV43" s="214"/>
      <c r="NTW43" s="214"/>
      <c r="NTX43" s="214"/>
      <c r="NTY43" s="214"/>
      <c r="NTZ43" s="214"/>
      <c r="NUA43" s="214"/>
      <c r="NUB43" s="214"/>
      <c r="NUC43" s="214"/>
      <c r="NUD43" s="214"/>
      <c r="NUE43" s="214"/>
      <c r="NUF43" s="214"/>
      <c r="NUG43" s="214"/>
      <c r="NUH43" s="214"/>
      <c r="NUI43" s="214"/>
      <c r="NUJ43" s="214"/>
      <c r="NUK43" s="214"/>
      <c r="NUL43" s="214"/>
      <c r="NUM43" s="214"/>
      <c r="NUN43" s="214"/>
      <c r="NUO43" s="214"/>
      <c r="NUP43" s="214"/>
      <c r="NUQ43" s="214"/>
      <c r="NUR43" s="214"/>
      <c r="NUS43" s="214"/>
      <c r="NUT43" s="214"/>
      <c r="NUU43" s="214"/>
      <c r="NUV43" s="214"/>
      <c r="NUW43" s="214"/>
      <c r="NUX43" s="214"/>
      <c r="NUY43" s="214"/>
      <c r="NUZ43" s="214"/>
      <c r="NVA43" s="214"/>
      <c r="NVB43" s="214"/>
      <c r="NVC43" s="214"/>
      <c r="NVD43" s="214"/>
      <c r="NVE43" s="214"/>
      <c r="NVF43" s="214"/>
      <c r="NVG43" s="214"/>
      <c r="NVH43" s="214"/>
      <c r="NVI43" s="214"/>
      <c r="NVJ43" s="214"/>
      <c r="NVK43" s="214"/>
      <c r="NVL43" s="214"/>
      <c r="NVM43" s="214"/>
      <c r="NVN43" s="214"/>
      <c r="NVO43" s="214"/>
      <c r="NVP43" s="214"/>
      <c r="NVQ43" s="214"/>
      <c r="NVR43" s="214"/>
      <c r="NVS43" s="214"/>
      <c r="NVT43" s="214"/>
      <c r="NVU43" s="214"/>
      <c r="NVV43" s="214"/>
      <c r="NVW43" s="214"/>
      <c r="NVX43" s="214"/>
      <c r="NVY43" s="214"/>
      <c r="NVZ43" s="214"/>
      <c r="NWA43" s="214"/>
      <c r="NWB43" s="214"/>
      <c r="NWC43" s="214"/>
      <c r="NWD43" s="214"/>
      <c r="NWE43" s="214"/>
      <c r="NWF43" s="214"/>
      <c r="NWG43" s="214"/>
      <c r="NWH43" s="214"/>
      <c r="NWI43" s="214"/>
      <c r="NWJ43" s="214"/>
      <c r="NWK43" s="214"/>
      <c r="NWL43" s="214"/>
      <c r="NWM43" s="214"/>
      <c r="NWN43" s="214"/>
      <c r="NWO43" s="214"/>
      <c r="NWP43" s="214"/>
      <c r="NWQ43" s="214"/>
      <c r="NWR43" s="214"/>
      <c r="NWS43" s="214"/>
      <c r="NWT43" s="214"/>
      <c r="NWU43" s="214"/>
      <c r="NWV43" s="214"/>
      <c r="NWW43" s="214"/>
      <c r="NWX43" s="214"/>
      <c r="NWY43" s="214"/>
      <c r="NWZ43" s="214"/>
      <c r="NXA43" s="214"/>
      <c r="NXB43" s="214"/>
      <c r="NXC43" s="214"/>
      <c r="NXD43" s="214"/>
      <c r="NXE43" s="214"/>
      <c r="NXF43" s="214"/>
      <c r="NXG43" s="214"/>
      <c r="NXH43" s="214"/>
      <c r="NXI43" s="214"/>
      <c r="NXJ43" s="214"/>
      <c r="NXK43" s="214"/>
      <c r="NXL43" s="214"/>
      <c r="NXM43" s="214"/>
      <c r="NXN43" s="214"/>
      <c r="NXO43" s="214"/>
      <c r="NXP43" s="214"/>
      <c r="NXQ43" s="214"/>
      <c r="NXR43" s="214"/>
      <c r="NXS43" s="214"/>
      <c r="NXT43" s="214"/>
      <c r="NXU43" s="214"/>
      <c r="NXV43" s="214"/>
      <c r="NXW43" s="214"/>
      <c r="NXX43" s="214"/>
      <c r="NXY43" s="214"/>
      <c r="NXZ43" s="214"/>
      <c r="NYA43" s="214"/>
      <c r="NYB43" s="214"/>
      <c r="NYC43" s="214"/>
      <c r="NYD43" s="214"/>
      <c r="NYE43" s="214"/>
      <c r="NYF43" s="214"/>
      <c r="NYG43" s="214"/>
      <c r="NYH43" s="214"/>
      <c r="NYI43" s="214"/>
      <c r="NYJ43" s="214"/>
      <c r="NYK43" s="214"/>
      <c r="NYL43" s="214"/>
      <c r="NYM43" s="214"/>
      <c r="NYN43" s="214"/>
      <c r="NYO43" s="214"/>
      <c r="NYP43" s="214"/>
      <c r="NYQ43" s="214"/>
      <c r="NYR43" s="214"/>
      <c r="NYS43" s="214"/>
      <c r="NYT43" s="214"/>
      <c r="NYU43" s="214"/>
      <c r="NYV43" s="214"/>
      <c r="NYW43" s="214"/>
      <c r="NYX43" s="214"/>
      <c r="NYY43" s="214"/>
      <c r="NYZ43" s="214"/>
      <c r="NZA43" s="214"/>
      <c r="NZB43" s="214"/>
      <c r="NZC43" s="214"/>
      <c r="NZD43" s="214"/>
      <c r="NZE43" s="214"/>
      <c r="NZF43" s="214"/>
      <c r="NZG43" s="214"/>
      <c r="NZH43" s="214"/>
      <c r="NZI43" s="214"/>
      <c r="NZJ43" s="214"/>
      <c r="NZK43" s="214"/>
      <c r="NZL43" s="214"/>
      <c r="NZM43" s="214"/>
      <c r="NZN43" s="214"/>
      <c r="NZO43" s="214"/>
      <c r="NZP43" s="214"/>
      <c r="NZQ43" s="214"/>
      <c r="NZR43" s="214"/>
      <c r="NZS43" s="214"/>
      <c r="NZT43" s="214"/>
      <c r="NZU43" s="214"/>
      <c r="NZV43" s="214"/>
      <c r="NZW43" s="214"/>
      <c r="NZX43" s="214"/>
      <c r="NZY43" s="214"/>
      <c r="NZZ43" s="214"/>
      <c r="OAA43" s="214"/>
      <c r="OAB43" s="214"/>
      <c r="OAC43" s="214"/>
      <c r="OAD43" s="214"/>
      <c r="OAE43" s="214"/>
      <c r="OAF43" s="214"/>
      <c r="OAG43" s="214"/>
      <c r="OAH43" s="214"/>
      <c r="OAI43" s="214"/>
      <c r="OAJ43" s="214"/>
      <c r="OAK43" s="214"/>
      <c r="OAL43" s="214"/>
      <c r="OAM43" s="214"/>
      <c r="OAN43" s="214"/>
      <c r="OAO43" s="214"/>
      <c r="OAP43" s="214"/>
      <c r="OAQ43" s="214"/>
      <c r="OAR43" s="214"/>
      <c r="OAS43" s="214"/>
      <c r="OAT43" s="214"/>
      <c r="OAU43" s="214"/>
      <c r="OAV43" s="214"/>
      <c r="OAW43" s="214"/>
      <c r="OAX43" s="214"/>
      <c r="OAY43" s="214"/>
      <c r="OAZ43" s="214"/>
      <c r="OBA43" s="214"/>
      <c r="OBB43" s="214"/>
      <c r="OBC43" s="214"/>
      <c r="OBD43" s="214"/>
      <c r="OBE43" s="214"/>
      <c r="OBF43" s="214"/>
      <c r="OBG43" s="214"/>
      <c r="OBH43" s="214"/>
      <c r="OBI43" s="214"/>
      <c r="OBJ43" s="214"/>
      <c r="OBK43" s="214"/>
      <c r="OBL43" s="214"/>
      <c r="OBM43" s="214"/>
      <c r="OBN43" s="214"/>
      <c r="OBO43" s="214"/>
      <c r="OBP43" s="214"/>
      <c r="OBQ43" s="214"/>
      <c r="OBR43" s="214"/>
      <c r="OBS43" s="214"/>
      <c r="OBT43" s="214"/>
      <c r="OBU43" s="214"/>
      <c r="OBV43" s="214"/>
      <c r="OBW43" s="214"/>
      <c r="OBX43" s="214"/>
      <c r="OBY43" s="214"/>
      <c r="OBZ43" s="214"/>
      <c r="OCA43" s="214"/>
      <c r="OCB43" s="214"/>
      <c r="OCC43" s="214"/>
      <c r="OCD43" s="214"/>
      <c r="OCE43" s="214"/>
      <c r="OCF43" s="214"/>
      <c r="OCG43" s="214"/>
      <c r="OCH43" s="214"/>
      <c r="OCI43" s="214"/>
      <c r="OCJ43" s="214"/>
      <c r="OCK43" s="214"/>
      <c r="OCL43" s="214"/>
      <c r="OCM43" s="214"/>
      <c r="OCN43" s="214"/>
      <c r="OCO43" s="214"/>
      <c r="OCP43" s="214"/>
      <c r="OCQ43" s="214"/>
      <c r="OCR43" s="214"/>
      <c r="OCS43" s="214"/>
      <c r="OCT43" s="214"/>
      <c r="OCU43" s="214"/>
      <c r="OCV43" s="214"/>
      <c r="OCW43" s="214"/>
      <c r="OCX43" s="214"/>
      <c r="OCY43" s="214"/>
      <c r="OCZ43" s="214"/>
      <c r="ODA43" s="214"/>
      <c r="ODB43" s="214"/>
      <c r="ODC43" s="214"/>
      <c r="ODD43" s="214"/>
      <c r="ODE43" s="214"/>
      <c r="ODF43" s="214"/>
      <c r="ODG43" s="214"/>
      <c r="ODH43" s="214"/>
      <c r="ODI43" s="214"/>
      <c r="ODJ43" s="214"/>
      <c r="ODK43" s="214"/>
      <c r="ODL43" s="214"/>
      <c r="ODM43" s="214"/>
      <c r="ODN43" s="214"/>
      <c r="ODO43" s="214"/>
      <c r="ODP43" s="214"/>
      <c r="ODQ43" s="214"/>
      <c r="ODR43" s="214"/>
      <c r="ODS43" s="214"/>
      <c r="ODT43" s="214"/>
      <c r="ODU43" s="214"/>
      <c r="ODV43" s="214"/>
      <c r="ODW43" s="214"/>
      <c r="ODX43" s="214"/>
      <c r="ODY43" s="214"/>
      <c r="ODZ43" s="214"/>
      <c r="OEA43" s="214"/>
      <c r="OEB43" s="214"/>
      <c r="OEC43" s="214"/>
      <c r="OED43" s="214"/>
      <c r="OEE43" s="214"/>
      <c r="OEF43" s="214"/>
      <c r="OEG43" s="214"/>
      <c r="OEH43" s="214"/>
      <c r="OEI43" s="214"/>
      <c r="OEJ43" s="214"/>
      <c r="OEK43" s="214"/>
      <c r="OEL43" s="214"/>
      <c r="OEM43" s="214"/>
      <c r="OEN43" s="214"/>
      <c r="OEO43" s="214"/>
      <c r="OEP43" s="214"/>
      <c r="OEQ43" s="214"/>
      <c r="OER43" s="214"/>
      <c r="OES43" s="214"/>
      <c r="OET43" s="214"/>
      <c r="OEU43" s="214"/>
      <c r="OEV43" s="214"/>
      <c r="OEW43" s="214"/>
      <c r="OEX43" s="214"/>
      <c r="OEY43" s="214"/>
      <c r="OEZ43" s="214"/>
      <c r="OFA43" s="214"/>
      <c r="OFB43" s="214"/>
      <c r="OFC43" s="214"/>
      <c r="OFD43" s="214"/>
      <c r="OFE43" s="214"/>
      <c r="OFF43" s="214"/>
      <c r="OFG43" s="214"/>
      <c r="OFH43" s="214"/>
      <c r="OFI43" s="214"/>
      <c r="OFJ43" s="214"/>
      <c r="OFK43" s="214"/>
      <c r="OFL43" s="214"/>
      <c r="OFM43" s="214"/>
      <c r="OFN43" s="214"/>
      <c r="OFO43" s="214"/>
      <c r="OFP43" s="214"/>
      <c r="OFQ43" s="214"/>
      <c r="OFR43" s="214"/>
      <c r="OFS43" s="214"/>
      <c r="OFT43" s="214"/>
      <c r="OFU43" s="214"/>
      <c r="OFV43" s="214"/>
      <c r="OFW43" s="214"/>
      <c r="OFX43" s="214"/>
      <c r="OFY43" s="214"/>
      <c r="OFZ43" s="214"/>
      <c r="OGA43" s="214"/>
      <c r="OGB43" s="214"/>
      <c r="OGC43" s="214"/>
      <c r="OGD43" s="214"/>
      <c r="OGE43" s="214"/>
      <c r="OGF43" s="214"/>
      <c r="OGG43" s="214"/>
      <c r="OGH43" s="214"/>
      <c r="OGI43" s="214"/>
      <c r="OGJ43" s="214"/>
      <c r="OGK43" s="214"/>
      <c r="OGL43" s="214"/>
      <c r="OGM43" s="214"/>
      <c r="OGN43" s="214"/>
      <c r="OGO43" s="214"/>
      <c r="OGP43" s="214"/>
      <c r="OGQ43" s="214"/>
      <c r="OGR43" s="214"/>
      <c r="OGS43" s="214"/>
      <c r="OGT43" s="214"/>
      <c r="OGU43" s="214"/>
      <c r="OGV43" s="214"/>
      <c r="OGW43" s="214"/>
      <c r="OGX43" s="214"/>
      <c r="OGY43" s="214"/>
      <c r="OGZ43" s="214"/>
      <c r="OHA43" s="214"/>
      <c r="OHB43" s="214"/>
      <c r="OHC43" s="214"/>
      <c r="OHD43" s="214"/>
      <c r="OHE43" s="214"/>
      <c r="OHF43" s="214"/>
      <c r="OHG43" s="214"/>
      <c r="OHH43" s="214"/>
      <c r="OHI43" s="214"/>
      <c r="OHJ43" s="214"/>
      <c r="OHK43" s="214"/>
      <c r="OHL43" s="214"/>
      <c r="OHM43" s="214"/>
      <c r="OHN43" s="214"/>
      <c r="OHO43" s="214"/>
      <c r="OHP43" s="214"/>
      <c r="OHQ43" s="214"/>
      <c r="OHR43" s="214"/>
      <c r="OHS43" s="214"/>
      <c r="OHT43" s="214"/>
      <c r="OHU43" s="214"/>
      <c r="OHV43" s="214"/>
      <c r="OHW43" s="214"/>
      <c r="OHX43" s="214"/>
      <c r="OHY43" s="214"/>
      <c r="OHZ43" s="214"/>
      <c r="OIA43" s="214"/>
      <c r="OIB43" s="214"/>
      <c r="OIC43" s="214"/>
      <c r="OID43" s="214"/>
      <c r="OIE43" s="214"/>
      <c r="OIF43" s="214"/>
      <c r="OIG43" s="214"/>
      <c r="OIH43" s="214"/>
      <c r="OII43" s="214"/>
      <c r="OIJ43" s="214"/>
      <c r="OIK43" s="214"/>
      <c r="OIL43" s="214"/>
      <c r="OIM43" s="214"/>
      <c r="OIN43" s="214"/>
      <c r="OIO43" s="214"/>
      <c r="OIP43" s="214"/>
      <c r="OIQ43" s="214"/>
      <c r="OIR43" s="214"/>
      <c r="OIS43" s="214"/>
      <c r="OIT43" s="214"/>
      <c r="OIU43" s="214"/>
      <c r="OIV43" s="214"/>
      <c r="OIW43" s="214"/>
      <c r="OIX43" s="214"/>
      <c r="OIY43" s="214"/>
      <c r="OIZ43" s="214"/>
      <c r="OJA43" s="214"/>
      <c r="OJB43" s="214"/>
      <c r="OJC43" s="214"/>
      <c r="OJD43" s="214"/>
      <c r="OJE43" s="214"/>
      <c r="OJF43" s="214"/>
      <c r="OJG43" s="214"/>
      <c r="OJH43" s="214"/>
      <c r="OJI43" s="214"/>
      <c r="OJJ43" s="214"/>
      <c r="OJK43" s="214"/>
      <c r="OJL43" s="214"/>
      <c r="OJM43" s="214"/>
      <c r="OJN43" s="214"/>
      <c r="OJO43" s="214"/>
      <c r="OJP43" s="214"/>
      <c r="OJQ43" s="214"/>
      <c r="OJR43" s="214"/>
      <c r="OJS43" s="214"/>
      <c r="OJT43" s="214"/>
      <c r="OJU43" s="214"/>
      <c r="OJV43" s="214"/>
      <c r="OJW43" s="214"/>
      <c r="OJX43" s="214"/>
      <c r="OJY43" s="214"/>
      <c r="OJZ43" s="214"/>
      <c r="OKA43" s="214"/>
      <c r="OKB43" s="214"/>
      <c r="OKC43" s="214"/>
      <c r="OKD43" s="214"/>
      <c r="OKE43" s="214"/>
      <c r="OKF43" s="214"/>
      <c r="OKG43" s="214"/>
      <c r="OKH43" s="214"/>
      <c r="OKI43" s="214"/>
      <c r="OKJ43" s="214"/>
      <c r="OKK43" s="214"/>
      <c r="OKL43" s="214"/>
      <c r="OKM43" s="214"/>
      <c r="OKN43" s="214"/>
      <c r="OKO43" s="214"/>
      <c r="OKP43" s="214"/>
      <c r="OKQ43" s="214"/>
      <c r="OKR43" s="214"/>
      <c r="OKS43" s="214"/>
      <c r="OKT43" s="214"/>
      <c r="OKU43" s="214"/>
      <c r="OKV43" s="214"/>
      <c r="OKW43" s="214"/>
      <c r="OKX43" s="214"/>
      <c r="OKY43" s="214"/>
      <c r="OKZ43" s="214"/>
      <c r="OLA43" s="214"/>
      <c r="OLB43" s="214"/>
      <c r="OLC43" s="214"/>
      <c r="OLD43" s="214"/>
      <c r="OLE43" s="214"/>
      <c r="OLF43" s="214"/>
      <c r="OLG43" s="214"/>
      <c r="OLH43" s="214"/>
      <c r="OLI43" s="214"/>
      <c r="OLJ43" s="214"/>
      <c r="OLK43" s="214"/>
      <c r="OLL43" s="214"/>
      <c r="OLM43" s="214"/>
      <c r="OLN43" s="214"/>
      <c r="OLO43" s="214"/>
      <c r="OLP43" s="214"/>
      <c r="OLQ43" s="214"/>
      <c r="OLR43" s="214"/>
      <c r="OLS43" s="214"/>
      <c r="OLT43" s="214"/>
      <c r="OLU43" s="214"/>
      <c r="OLV43" s="214"/>
      <c r="OLW43" s="214"/>
      <c r="OLX43" s="214"/>
      <c r="OLY43" s="214"/>
      <c r="OLZ43" s="214"/>
      <c r="OMA43" s="214"/>
      <c r="OMB43" s="214"/>
      <c r="OMC43" s="214"/>
      <c r="OMD43" s="214"/>
      <c r="OME43" s="214"/>
      <c r="OMF43" s="214"/>
      <c r="OMG43" s="214"/>
      <c r="OMH43" s="214"/>
      <c r="OMI43" s="214"/>
      <c r="OMJ43" s="214"/>
      <c r="OMK43" s="214"/>
      <c r="OML43" s="214"/>
      <c r="OMM43" s="214"/>
      <c r="OMN43" s="214"/>
      <c r="OMO43" s="214"/>
      <c r="OMP43" s="214"/>
      <c r="OMQ43" s="214"/>
      <c r="OMR43" s="214"/>
      <c r="OMS43" s="214"/>
      <c r="OMT43" s="214"/>
      <c r="OMU43" s="214"/>
      <c r="OMV43" s="214"/>
      <c r="OMW43" s="214"/>
      <c r="OMX43" s="214"/>
      <c r="OMY43" s="214"/>
      <c r="OMZ43" s="214"/>
      <c r="ONA43" s="214"/>
      <c r="ONB43" s="214"/>
      <c r="ONC43" s="214"/>
      <c r="OND43" s="214"/>
      <c r="ONE43" s="214"/>
      <c r="ONF43" s="214"/>
      <c r="ONG43" s="214"/>
      <c r="ONH43" s="214"/>
      <c r="ONI43" s="214"/>
      <c r="ONJ43" s="214"/>
      <c r="ONK43" s="214"/>
      <c r="ONL43" s="214"/>
      <c r="ONM43" s="214"/>
      <c r="ONN43" s="214"/>
      <c r="ONO43" s="214"/>
      <c r="ONP43" s="214"/>
      <c r="ONQ43" s="214"/>
      <c r="ONR43" s="214"/>
      <c r="ONS43" s="214"/>
      <c r="ONT43" s="214"/>
      <c r="ONU43" s="214"/>
      <c r="ONV43" s="214"/>
      <c r="ONW43" s="214"/>
      <c r="ONX43" s="214"/>
      <c r="ONY43" s="214"/>
      <c r="ONZ43" s="214"/>
      <c r="OOA43" s="214"/>
      <c r="OOB43" s="214"/>
      <c r="OOC43" s="214"/>
      <c r="OOD43" s="214"/>
      <c r="OOE43" s="214"/>
      <c r="OOF43" s="214"/>
      <c r="OOG43" s="214"/>
      <c r="OOH43" s="214"/>
      <c r="OOI43" s="214"/>
      <c r="OOJ43" s="214"/>
      <c r="OOK43" s="214"/>
      <c r="OOL43" s="214"/>
      <c r="OOM43" s="214"/>
      <c r="OON43" s="214"/>
      <c r="OOO43" s="214"/>
      <c r="OOP43" s="214"/>
      <c r="OOQ43" s="214"/>
      <c r="OOR43" s="214"/>
      <c r="OOS43" s="214"/>
      <c r="OOT43" s="214"/>
      <c r="OOU43" s="214"/>
      <c r="OOV43" s="214"/>
      <c r="OOW43" s="214"/>
      <c r="OOX43" s="214"/>
      <c r="OOY43" s="214"/>
      <c r="OOZ43" s="214"/>
      <c r="OPA43" s="214"/>
      <c r="OPB43" s="214"/>
      <c r="OPC43" s="214"/>
      <c r="OPD43" s="214"/>
      <c r="OPE43" s="214"/>
      <c r="OPF43" s="214"/>
      <c r="OPG43" s="214"/>
      <c r="OPH43" s="214"/>
      <c r="OPI43" s="214"/>
      <c r="OPJ43" s="214"/>
      <c r="OPK43" s="214"/>
      <c r="OPL43" s="214"/>
      <c r="OPM43" s="214"/>
      <c r="OPN43" s="214"/>
      <c r="OPO43" s="214"/>
      <c r="OPP43" s="214"/>
      <c r="OPQ43" s="214"/>
      <c r="OPR43" s="214"/>
      <c r="OPS43" s="214"/>
      <c r="OPT43" s="214"/>
      <c r="OPU43" s="214"/>
      <c r="OPV43" s="214"/>
      <c r="OPW43" s="214"/>
      <c r="OPX43" s="214"/>
      <c r="OPY43" s="214"/>
      <c r="OPZ43" s="214"/>
      <c r="OQA43" s="214"/>
      <c r="OQB43" s="214"/>
      <c r="OQC43" s="214"/>
      <c r="OQD43" s="214"/>
      <c r="OQE43" s="214"/>
      <c r="OQF43" s="214"/>
      <c r="OQG43" s="214"/>
      <c r="OQH43" s="214"/>
      <c r="OQI43" s="214"/>
      <c r="OQJ43" s="214"/>
      <c r="OQK43" s="214"/>
      <c r="OQL43" s="214"/>
      <c r="OQM43" s="214"/>
      <c r="OQN43" s="214"/>
      <c r="OQO43" s="214"/>
      <c r="OQP43" s="214"/>
      <c r="OQQ43" s="214"/>
      <c r="OQR43" s="214"/>
      <c r="OQS43" s="214"/>
      <c r="OQT43" s="214"/>
      <c r="OQU43" s="214"/>
      <c r="OQV43" s="214"/>
      <c r="OQW43" s="214"/>
      <c r="OQX43" s="214"/>
      <c r="OQY43" s="214"/>
      <c r="OQZ43" s="214"/>
      <c r="ORA43" s="214"/>
      <c r="ORB43" s="214"/>
      <c r="ORC43" s="214"/>
      <c r="ORD43" s="214"/>
      <c r="ORE43" s="214"/>
      <c r="ORF43" s="214"/>
      <c r="ORG43" s="214"/>
      <c r="ORH43" s="214"/>
      <c r="ORI43" s="214"/>
      <c r="ORJ43" s="214"/>
      <c r="ORK43" s="214"/>
      <c r="ORL43" s="214"/>
      <c r="ORM43" s="214"/>
      <c r="ORN43" s="214"/>
      <c r="ORO43" s="214"/>
      <c r="ORP43" s="214"/>
      <c r="ORQ43" s="214"/>
      <c r="ORR43" s="214"/>
      <c r="ORS43" s="214"/>
      <c r="ORT43" s="214"/>
      <c r="ORU43" s="214"/>
      <c r="ORV43" s="214"/>
      <c r="ORW43" s="214"/>
      <c r="ORX43" s="214"/>
      <c r="ORY43" s="214"/>
      <c r="ORZ43" s="214"/>
      <c r="OSA43" s="214"/>
      <c r="OSB43" s="214"/>
      <c r="OSC43" s="214"/>
      <c r="OSD43" s="214"/>
      <c r="OSE43" s="214"/>
      <c r="OSF43" s="214"/>
      <c r="OSG43" s="214"/>
      <c r="OSH43" s="214"/>
      <c r="OSI43" s="214"/>
      <c r="OSJ43" s="214"/>
      <c r="OSK43" s="214"/>
      <c r="OSL43" s="214"/>
      <c r="OSM43" s="214"/>
      <c r="OSN43" s="214"/>
      <c r="OSO43" s="214"/>
      <c r="OSP43" s="214"/>
      <c r="OSQ43" s="214"/>
      <c r="OSR43" s="214"/>
      <c r="OSS43" s="214"/>
      <c r="OST43" s="214"/>
      <c r="OSU43" s="214"/>
      <c r="OSV43" s="214"/>
      <c r="OSW43" s="214"/>
      <c r="OSX43" s="214"/>
      <c r="OSY43" s="214"/>
      <c r="OSZ43" s="214"/>
      <c r="OTA43" s="214"/>
      <c r="OTB43" s="214"/>
      <c r="OTC43" s="214"/>
      <c r="OTD43" s="214"/>
      <c r="OTE43" s="214"/>
      <c r="OTF43" s="214"/>
      <c r="OTG43" s="214"/>
      <c r="OTH43" s="214"/>
      <c r="OTI43" s="214"/>
      <c r="OTJ43" s="214"/>
      <c r="OTK43" s="214"/>
      <c r="OTL43" s="214"/>
      <c r="OTM43" s="214"/>
      <c r="OTN43" s="214"/>
      <c r="OTO43" s="214"/>
      <c r="OTP43" s="214"/>
      <c r="OTQ43" s="214"/>
      <c r="OTR43" s="214"/>
      <c r="OTS43" s="214"/>
      <c r="OTT43" s="214"/>
      <c r="OTU43" s="214"/>
      <c r="OTV43" s="214"/>
      <c r="OTW43" s="214"/>
      <c r="OTX43" s="214"/>
      <c r="OTY43" s="214"/>
      <c r="OTZ43" s="214"/>
      <c r="OUA43" s="214"/>
      <c r="OUB43" s="214"/>
      <c r="OUC43" s="214"/>
      <c r="OUD43" s="214"/>
      <c r="OUE43" s="214"/>
      <c r="OUF43" s="214"/>
      <c r="OUG43" s="214"/>
      <c r="OUH43" s="214"/>
      <c r="OUI43" s="214"/>
      <c r="OUJ43" s="214"/>
      <c r="OUK43" s="214"/>
      <c r="OUL43" s="214"/>
      <c r="OUM43" s="214"/>
      <c r="OUN43" s="214"/>
      <c r="OUO43" s="214"/>
      <c r="OUP43" s="214"/>
      <c r="OUQ43" s="214"/>
      <c r="OUR43" s="214"/>
      <c r="OUS43" s="214"/>
      <c r="OUT43" s="214"/>
      <c r="OUU43" s="214"/>
      <c r="OUV43" s="214"/>
      <c r="OUW43" s="214"/>
      <c r="OUX43" s="214"/>
      <c r="OUY43" s="214"/>
      <c r="OUZ43" s="214"/>
      <c r="OVA43" s="214"/>
      <c r="OVB43" s="214"/>
      <c r="OVC43" s="214"/>
      <c r="OVD43" s="214"/>
      <c r="OVE43" s="214"/>
      <c r="OVF43" s="214"/>
      <c r="OVG43" s="214"/>
      <c r="OVH43" s="214"/>
      <c r="OVI43" s="214"/>
      <c r="OVJ43" s="214"/>
      <c r="OVK43" s="214"/>
      <c r="OVL43" s="214"/>
      <c r="OVM43" s="214"/>
      <c r="OVN43" s="214"/>
      <c r="OVO43" s="214"/>
      <c r="OVP43" s="214"/>
      <c r="OVQ43" s="214"/>
      <c r="OVR43" s="214"/>
      <c r="OVS43" s="214"/>
      <c r="OVT43" s="214"/>
      <c r="OVU43" s="214"/>
      <c r="OVV43" s="214"/>
      <c r="OVW43" s="214"/>
      <c r="OVX43" s="214"/>
      <c r="OVY43" s="214"/>
      <c r="OVZ43" s="214"/>
      <c r="OWA43" s="214"/>
      <c r="OWB43" s="214"/>
      <c r="OWC43" s="214"/>
      <c r="OWD43" s="214"/>
      <c r="OWE43" s="214"/>
      <c r="OWF43" s="214"/>
      <c r="OWG43" s="214"/>
      <c r="OWH43" s="214"/>
      <c r="OWI43" s="214"/>
      <c r="OWJ43" s="214"/>
      <c r="OWK43" s="214"/>
      <c r="OWL43" s="214"/>
      <c r="OWM43" s="214"/>
      <c r="OWN43" s="214"/>
      <c r="OWO43" s="214"/>
      <c r="OWP43" s="214"/>
      <c r="OWQ43" s="214"/>
      <c r="OWR43" s="214"/>
      <c r="OWS43" s="214"/>
      <c r="OWT43" s="214"/>
      <c r="OWU43" s="214"/>
      <c r="OWV43" s="214"/>
      <c r="OWW43" s="214"/>
      <c r="OWX43" s="214"/>
      <c r="OWY43" s="214"/>
      <c r="OWZ43" s="214"/>
      <c r="OXA43" s="214"/>
      <c r="OXB43" s="214"/>
      <c r="OXC43" s="214"/>
      <c r="OXD43" s="214"/>
      <c r="OXE43" s="214"/>
      <c r="OXF43" s="214"/>
      <c r="OXG43" s="214"/>
      <c r="OXH43" s="214"/>
      <c r="OXI43" s="214"/>
      <c r="OXJ43" s="214"/>
      <c r="OXK43" s="214"/>
      <c r="OXL43" s="214"/>
      <c r="OXM43" s="214"/>
      <c r="OXN43" s="214"/>
      <c r="OXO43" s="214"/>
      <c r="OXP43" s="214"/>
      <c r="OXQ43" s="214"/>
      <c r="OXR43" s="214"/>
      <c r="OXS43" s="214"/>
      <c r="OXT43" s="214"/>
      <c r="OXU43" s="214"/>
      <c r="OXV43" s="214"/>
      <c r="OXW43" s="214"/>
      <c r="OXX43" s="214"/>
      <c r="OXY43" s="214"/>
      <c r="OXZ43" s="214"/>
      <c r="OYA43" s="214"/>
      <c r="OYB43" s="214"/>
      <c r="OYC43" s="214"/>
      <c r="OYD43" s="214"/>
      <c r="OYE43" s="214"/>
      <c r="OYF43" s="214"/>
      <c r="OYG43" s="214"/>
      <c r="OYH43" s="214"/>
      <c r="OYI43" s="214"/>
      <c r="OYJ43" s="214"/>
      <c r="OYK43" s="214"/>
      <c r="OYL43" s="214"/>
      <c r="OYM43" s="214"/>
      <c r="OYN43" s="214"/>
      <c r="OYO43" s="214"/>
      <c r="OYP43" s="214"/>
      <c r="OYQ43" s="214"/>
      <c r="OYR43" s="214"/>
      <c r="OYS43" s="214"/>
      <c r="OYT43" s="214"/>
      <c r="OYU43" s="214"/>
      <c r="OYV43" s="214"/>
      <c r="OYW43" s="214"/>
      <c r="OYX43" s="214"/>
      <c r="OYY43" s="214"/>
      <c r="OYZ43" s="214"/>
      <c r="OZA43" s="214"/>
      <c r="OZB43" s="214"/>
      <c r="OZC43" s="214"/>
      <c r="OZD43" s="214"/>
      <c r="OZE43" s="214"/>
      <c r="OZF43" s="214"/>
      <c r="OZG43" s="214"/>
      <c r="OZH43" s="214"/>
      <c r="OZI43" s="214"/>
      <c r="OZJ43" s="214"/>
      <c r="OZK43" s="214"/>
      <c r="OZL43" s="214"/>
      <c r="OZM43" s="214"/>
      <c r="OZN43" s="214"/>
      <c r="OZO43" s="214"/>
      <c r="OZP43" s="214"/>
      <c r="OZQ43" s="214"/>
      <c r="OZR43" s="214"/>
      <c r="OZS43" s="214"/>
      <c r="OZT43" s="214"/>
      <c r="OZU43" s="214"/>
      <c r="OZV43" s="214"/>
      <c r="OZW43" s="214"/>
      <c r="OZX43" s="214"/>
      <c r="OZY43" s="214"/>
      <c r="OZZ43" s="214"/>
      <c r="PAA43" s="214"/>
      <c r="PAB43" s="214"/>
      <c r="PAC43" s="214"/>
      <c r="PAD43" s="214"/>
      <c r="PAE43" s="214"/>
      <c r="PAF43" s="214"/>
      <c r="PAG43" s="214"/>
      <c r="PAH43" s="214"/>
      <c r="PAI43" s="214"/>
      <c r="PAJ43" s="214"/>
      <c r="PAK43" s="214"/>
      <c r="PAL43" s="214"/>
      <c r="PAM43" s="214"/>
      <c r="PAN43" s="214"/>
      <c r="PAO43" s="214"/>
      <c r="PAP43" s="214"/>
      <c r="PAQ43" s="214"/>
      <c r="PAR43" s="214"/>
      <c r="PAS43" s="214"/>
      <c r="PAT43" s="214"/>
      <c r="PAU43" s="214"/>
      <c r="PAV43" s="214"/>
      <c r="PAW43" s="214"/>
      <c r="PAX43" s="214"/>
      <c r="PAY43" s="214"/>
      <c r="PAZ43" s="214"/>
      <c r="PBA43" s="214"/>
      <c r="PBB43" s="214"/>
      <c r="PBC43" s="214"/>
      <c r="PBD43" s="214"/>
      <c r="PBE43" s="214"/>
      <c r="PBF43" s="214"/>
      <c r="PBG43" s="214"/>
      <c r="PBH43" s="214"/>
      <c r="PBI43" s="214"/>
      <c r="PBJ43" s="214"/>
      <c r="PBK43" s="214"/>
      <c r="PBL43" s="214"/>
      <c r="PBM43" s="214"/>
      <c r="PBN43" s="214"/>
      <c r="PBO43" s="214"/>
      <c r="PBP43" s="214"/>
      <c r="PBQ43" s="214"/>
      <c r="PBR43" s="214"/>
      <c r="PBS43" s="214"/>
      <c r="PBT43" s="214"/>
      <c r="PBU43" s="214"/>
      <c r="PBV43" s="214"/>
      <c r="PBW43" s="214"/>
      <c r="PBX43" s="214"/>
      <c r="PBY43" s="214"/>
      <c r="PBZ43" s="214"/>
      <c r="PCA43" s="214"/>
      <c r="PCB43" s="214"/>
      <c r="PCC43" s="214"/>
      <c r="PCD43" s="214"/>
      <c r="PCE43" s="214"/>
      <c r="PCF43" s="214"/>
      <c r="PCG43" s="214"/>
      <c r="PCH43" s="214"/>
      <c r="PCI43" s="214"/>
      <c r="PCJ43" s="214"/>
      <c r="PCK43" s="214"/>
      <c r="PCL43" s="214"/>
      <c r="PCM43" s="214"/>
      <c r="PCN43" s="214"/>
      <c r="PCO43" s="214"/>
      <c r="PCP43" s="214"/>
      <c r="PCQ43" s="214"/>
      <c r="PCR43" s="214"/>
      <c r="PCS43" s="214"/>
      <c r="PCT43" s="214"/>
      <c r="PCU43" s="214"/>
      <c r="PCV43" s="214"/>
      <c r="PCW43" s="214"/>
      <c r="PCX43" s="214"/>
      <c r="PCY43" s="214"/>
      <c r="PCZ43" s="214"/>
      <c r="PDA43" s="214"/>
      <c r="PDB43" s="214"/>
      <c r="PDC43" s="214"/>
      <c r="PDD43" s="214"/>
      <c r="PDE43" s="214"/>
      <c r="PDF43" s="214"/>
      <c r="PDG43" s="214"/>
      <c r="PDH43" s="214"/>
      <c r="PDI43" s="214"/>
      <c r="PDJ43" s="214"/>
      <c r="PDK43" s="214"/>
      <c r="PDL43" s="214"/>
      <c r="PDM43" s="214"/>
      <c r="PDN43" s="214"/>
      <c r="PDO43" s="214"/>
      <c r="PDP43" s="214"/>
      <c r="PDQ43" s="214"/>
      <c r="PDR43" s="214"/>
      <c r="PDS43" s="214"/>
      <c r="PDT43" s="214"/>
      <c r="PDU43" s="214"/>
      <c r="PDV43" s="214"/>
      <c r="PDW43" s="214"/>
      <c r="PDX43" s="214"/>
      <c r="PDY43" s="214"/>
      <c r="PDZ43" s="214"/>
      <c r="PEA43" s="214"/>
      <c r="PEB43" s="214"/>
      <c r="PEC43" s="214"/>
      <c r="PED43" s="214"/>
      <c r="PEE43" s="214"/>
      <c r="PEF43" s="214"/>
      <c r="PEG43" s="214"/>
      <c r="PEH43" s="214"/>
      <c r="PEI43" s="214"/>
      <c r="PEJ43" s="214"/>
      <c r="PEK43" s="214"/>
      <c r="PEL43" s="214"/>
      <c r="PEM43" s="214"/>
      <c r="PEN43" s="214"/>
      <c r="PEO43" s="214"/>
      <c r="PEP43" s="214"/>
      <c r="PEQ43" s="214"/>
      <c r="PER43" s="214"/>
      <c r="PES43" s="214"/>
      <c r="PET43" s="214"/>
      <c r="PEU43" s="214"/>
      <c r="PEV43" s="214"/>
      <c r="PEW43" s="214"/>
      <c r="PEX43" s="214"/>
      <c r="PEY43" s="214"/>
      <c r="PEZ43" s="214"/>
      <c r="PFA43" s="214"/>
      <c r="PFB43" s="214"/>
      <c r="PFC43" s="214"/>
      <c r="PFD43" s="214"/>
      <c r="PFE43" s="214"/>
      <c r="PFF43" s="214"/>
      <c r="PFG43" s="214"/>
      <c r="PFH43" s="214"/>
      <c r="PFI43" s="214"/>
      <c r="PFJ43" s="214"/>
      <c r="PFK43" s="214"/>
      <c r="PFL43" s="214"/>
      <c r="PFM43" s="214"/>
      <c r="PFN43" s="214"/>
      <c r="PFO43" s="214"/>
      <c r="PFP43" s="214"/>
      <c r="PFQ43" s="214"/>
      <c r="PFR43" s="214"/>
      <c r="PFS43" s="214"/>
      <c r="PFT43" s="214"/>
      <c r="PFU43" s="214"/>
      <c r="PFV43" s="214"/>
      <c r="PFW43" s="214"/>
      <c r="PFX43" s="214"/>
      <c r="PFY43" s="214"/>
      <c r="PFZ43" s="214"/>
      <c r="PGA43" s="214"/>
      <c r="PGB43" s="214"/>
      <c r="PGC43" s="214"/>
      <c r="PGD43" s="214"/>
      <c r="PGE43" s="214"/>
      <c r="PGF43" s="214"/>
      <c r="PGG43" s="214"/>
      <c r="PGH43" s="214"/>
      <c r="PGI43" s="214"/>
      <c r="PGJ43" s="214"/>
      <c r="PGK43" s="214"/>
      <c r="PGL43" s="214"/>
      <c r="PGM43" s="214"/>
      <c r="PGN43" s="214"/>
      <c r="PGO43" s="214"/>
      <c r="PGP43" s="214"/>
      <c r="PGQ43" s="214"/>
      <c r="PGR43" s="214"/>
      <c r="PGS43" s="214"/>
      <c r="PGT43" s="214"/>
      <c r="PGU43" s="214"/>
      <c r="PGV43" s="214"/>
      <c r="PGW43" s="214"/>
      <c r="PGX43" s="214"/>
      <c r="PGY43" s="214"/>
      <c r="PGZ43" s="214"/>
      <c r="PHA43" s="214"/>
      <c r="PHB43" s="214"/>
      <c r="PHC43" s="214"/>
      <c r="PHD43" s="214"/>
      <c r="PHE43" s="214"/>
      <c r="PHF43" s="214"/>
      <c r="PHG43" s="214"/>
      <c r="PHH43" s="214"/>
      <c r="PHI43" s="214"/>
      <c r="PHJ43" s="214"/>
      <c r="PHK43" s="214"/>
      <c r="PHL43" s="214"/>
      <c r="PHM43" s="214"/>
      <c r="PHN43" s="214"/>
      <c r="PHO43" s="214"/>
      <c r="PHP43" s="214"/>
      <c r="PHQ43" s="214"/>
      <c r="PHR43" s="214"/>
      <c r="PHS43" s="214"/>
      <c r="PHT43" s="214"/>
      <c r="PHU43" s="214"/>
      <c r="PHV43" s="214"/>
      <c r="PHW43" s="214"/>
      <c r="PHX43" s="214"/>
      <c r="PHY43" s="214"/>
      <c r="PHZ43" s="214"/>
      <c r="PIA43" s="214"/>
      <c r="PIB43" s="214"/>
      <c r="PIC43" s="214"/>
      <c r="PID43" s="214"/>
      <c r="PIE43" s="214"/>
      <c r="PIF43" s="214"/>
      <c r="PIG43" s="214"/>
      <c r="PIH43" s="214"/>
      <c r="PII43" s="214"/>
      <c r="PIJ43" s="214"/>
      <c r="PIK43" s="214"/>
      <c r="PIL43" s="214"/>
      <c r="PIM43" s="214"/>
      <c r="PIN43" s="214"/>
      <c r="PIO43" s="214"/>
      <c r="PIP43" s="214"/>
      <c r="PIQ43" s="214"/>
      <c r="PIR43" s="214"/>
      <c r="PIS43" s="214"/>
      <c r="PIT43" s="214"/>
      <c r="PIU43" s="214"/>
      <c r="PIV43" s="214"/>
      <c r="PIW43" s="214"/>
      <c r="PIX43" s="214"/>
      <c r="PIY43" s="214"/>
      <c r="PIZ43" s="214"/>
      <c r="PJA43" s="214"/>
      <c r="PJB43" s="214"/>
      <c r="PJC43" s="214"/>
      <c r="PJD43" s="214"/>
      <c r="PJE43" s="214"/>
      <c r="PJF43" s="214"/>
      <c r="PJG43" s="214"/>
      <c r="PJH43" s="214"/>
      <c r="PJI43" s="214"/>
      <c r="PJJ43" s="214"/>
      <c r="PJK43" s="214"/>
      <c r="PJL43" s="214"/>
      <c r="PJM43" s="214"/>
      <c r="PJN43" s="214"/>
      <c r="PJO43" s="214"/>
      <c r="PJP43" s="214"/>
      <c r="PJQ43" s="214"/>
      <c r="PJR43" s="214"/>
      <c r="PJS43" s="214"/>
      <c r="PJT43" s="214"/>
      <c r="PJU43" s="214"/>
      <c r="PJV43" s="214"/>
      <c r="PJW43" s="214"/>
      <c r="PJX43" s="214"/>
      <c r="PJY43" s="214"/>
      <c r="PJZ43" s="214"/>
      <c r="PKA43" s="214"/>
      <c r="PKB43" s="214"/>
      <c r="PKC43" s="214"/>
      <c r="PKD43" s="214"/>
      <c r="PKE43" s="214"/>
      <c r="PKF43" s="214"/>
      <c r="PKG43" s="214"/>
      <c r="PKH43" s="214"/>
      <c r="PKI43" s="214"/>
      <c r="PKJ43" s="214"/>
      <c r="PKK43" s="214"/>
      <c r="PKL43" s="214"/>
      <c r="PKM43" s="214"/>
      <c r="PKN43" s="214"/>
      <c r="PKO43" s="214"/>
      <c r="PKP43" s="214"/>
      <c r="PKQ43" s="214"/>
      <c r="PKR43" s="214"/>
      <c r="PKS43" s="214"/>
      <c r="PKT43" s="214"/>
      <c r="PKU43" s="214"/>
      <c r="PKV43" s="214"/>
      <c r="PKW43" s="214"/>
      <c r="PKX43" s="214"/>
      <c r="PKY43" s="214"/>
      <c r="PKZ43" s="214"/>
      <c r="PLA43" s="214"/>
      <c r="PLB43" s="214"/>
      <c r="PLC43" s="214"/>
      <c r="PLD43" s="214"/>
      <c r="PLE43" s="214"/>
      <c r="PLF43" s="214"/>
      <c r="PLG43" s="214"/>
      <c r="PLH43" s="214"/>
      <c r="PLI43" s="214"/>
      <c r="PLJ43" s="214"/>
      <c r="PLK43" s="214"/>
      <c r="PLL43" s="214"/>
      <c r="PLM43" s="214"/>
      <c r="PLN43" s="214"/>
      <c r="PLO43" s="214"/>
      <c r="PLP43" s="214"/>
      <c r="PLQ43" s="214"/>
      <c r="PLR43" s="214"/>
      <c r="PLS43" s="214"/>
      <c r="PLT43" s="214"/>
      <c r="PLU43" s="214"/>
      <c r="PLV43" s="214"/>
      <c r="PLW43" s="214"/>
      <c r="PLX43" s="214"/>
      <c r="PLY43" s="214"/>
      <c r="PLZ43" s="214"/>
      <c r="PMA43" s="214"/>
      <c r="PMB43" s="214"/>
      <c r="PMC43" s="214"/>
      <c r="PMD43" s="214"/>
      <c r="PME43" s="214"/>
      <c r="PMF43" s="214"/>
      <c r="PMG43" s="214"/>
      <c r="PMH43" s="214"/>
      <c r="PMI43" s="214"/>
      <c r="PMJ43" s="214"/>
      <c r="PMK43" s="214"/>
      <c r="PML43" s="214"/>
      <c r="PMM43" s="214"/>
      <c r="PMN43" s="214"/>
      <c r="PMO43" s="214"/>
      <c r="PMP43" s="214"/>
      <c r="PMQ43" s="214"/>
      <c r="PMR43" s="214"/>
      <c r="PMS43" s="214"/>
      <c r="PMT43" s="214"/>
      <c r="PMU43" s="214"/>
      <c r="PMV43" s="214"/>
      <c r="PMW43" s="214"/>
      <c r="PMX43" s="214"/>
      <c r="PMY43" s="214"/>
      <c r="PMZ43" s="214"/>
      <c r="PNA43" s="214"/>
      <c r="PNB43" s="214"/>
      <c r="PNC43" s="214"/>
      <c r="PND43" s="214"/>
      <c r="PNE43" s="214"/>
      <c r="PNF43" s="214"/>
      <c r="PNG43" s="214"/>
      <c r="PNH43" s="214"/>
      <c r="PNI43" s="214"/>
      <c r="PNJ43" s="214"/>
      <c r="PNK43" s="214"/>
      <c r="PNL43" s="214"/>
      <c r="PNM43" s="214"/>
      <c r="PNN43" s="214"/>
      <c r="PNO43" s="214"/>
      <c r="PNP43" s="214"/>
      <c r="PNQ43" s="214"/>
      <c r="PNR43" s="214"/>
      <c r="PNS43" s="214"/>
      <c r="PNT43" s="214"/>
      <c r="PNU43" s="214"/>
      <c r="PNV43" s="214"/>
      <c r="PNW43" s="214"/>
      <c r="PNX43" s="214"/>
      <c r="PNY43" s="214"/>
      <c r="PNZ43" s="214"/>
      <c r="POA43" s="214"/>
      <c r="POB43" s="214"/>
      <c r="POC43" s="214"/>
      <c r="POD43" s="214"/>
      <c r="POE43" s="214"/>
      <c r="POF43" s="214"/>
      <c r="POG43" s="214"/>
      <c r="POH43" s="214"/>
      <c r="POI43" s="214"/>
      <c r="POJ43" s="214"/>
      <c r="POK43" s="214"/>
      <c r="POL43" s="214"/>
      <c r="POM43" s="214"/>
      <c r="PON43" s="214"/>
      <c r="POO43" s="214"/>
      <c r="POP43" s="214"/>
      <c r="POQ43" s="214"/>
      <c r="POR43" s="214"/>
      <c r="POS43" s="214"/>
      <c r="POT43" s="214"/>
      <c r="POU43" s="214"/>
      <c r="POV43" s="214"/>
      <c r="POW43" s="214"/>
      <c r="POX43" s="214"/>
      <c r="POY43" s="214"/>
      <c r="POZ43" s="214"/>
      <c r="PPA43" s="214"/>
      <c r="PPB43" s="214"/>
      <c r="PPC43" s="214"/>
      <c r="PPD43" s="214"/>
      <c r="PPE43" s="214"/>
      <c r="PPF43" s="214"/>
      <c r="PPG43" s="214"/>
      <c r="PPH43" s="214"/>
      <c r="PPI43" s="214"/>
      <c r="PPJ43" s="214"/>
      <c r="PPK43" s="214"/>
      <c r="PPL43" s="214"/>
      <c r="PPM43" s="214"/>
      <c r="PPN43" s="214"/>
      <c r="PPO43" s="214"/>
      <c r="PPP43" s="214"/>
      <c r="PPQ43" s="214"/>
      <c r="PPR43" s="214"/>
      <c r="PPS43" s="214"/>
      <c r="PPT43" s="214"/>
      <c r="PPU43" s="214"/>
      <c r="PPV43" s="214"/>
      <c r="PPW43" s="214"/>
      <c r="PPX43" s="214"/>
      <c r="PPY43" s="214"/>
      <c r="PPZ43" s="214"/>
      <c r="PQA43" s="214"/>
      <c r="PQB43" s="214"/>
      <c r="PQC43" s="214"/>
      <c r="PQD43" s="214"/>
      <c r="PQE43" s="214"/>
      <c r="PQF43" s="214"/>
      <c r="PQG43" s="214"/>
      <c r="PQH43" s="214"/>
      <c r="PQI43" s="214"/>
      <c r="PQJ43" s="214"/>
      <c r="PQK43" s="214"/>
      <c r="PQL43" s="214"/>
      <c r="PQM43" s="214"/>
      <c r="PQN43" s="214"/>
      <c r="PQO43" s="214"/>
      <c r="PQP43" s="214"/>
      <c r="PQQ43" s="214"/>
      <c r="PQR43" s="214"/>
      <c r="PQS43" s="214"/>
      <c r="PQT43" s="214"/>
      <c r="PQU43" s="214"/>
      <c r="PQV43" s="214"/>
      <c r="PQW43" s="214"/>
      <c r="PQX43" s="214"/>
      <c r="PQY43" s="214"/>
      <c r="PQZ43" s="214"/>
      <c r="PRA43" s="214"/>
      <c r="PRB43" s="214"/>
      <c r="PRC43" s="214"/>
      <c r="PRD43" s="214"/>
      <c r="PRE43" s="214"/>
      <c r="PRF43" s="214"/>
      <c r="PRG43" s="214"/>
      <c r="PRH43" s="214"/>
      <c r="PRI43" s="214"/>
      <c r="PRJ43" s="214"/>
      <c r="PRK43" s="214"/>
      <c r="PRL43" s="214"/>
      <c r="PRM43" s="214"/>
      <c r="PRN43" s="214"/>
      <c r="PRO43" s="214"/>
      <c r="PRP43" s="214"/>
      <c r="PRQ43" s="214"/>
      <c r="PRR43" s="214"/>
      <c r="PRS43" s="214"/>
      <c r="PRT43" s="214"/>
      <c r="PRU43" s="214"/>
      <c r="PRV43" s="214"/>
      <c r="PRW43" s="214"/>
      <c r="PRX43" s="214"/>
      <c r="PRY43" s="214"/>
      <c r="PRZ43" s="214"/>
      <c r="PSA43" s="214"/>
      <c r="PSB43" s="214"/>
      <c r="PSC43" s="214"/>
      <c r="PSD43" s="214"/>
      <c r="PSE43" s="214"/>
      <c r="PSF43" s="214"/>
      <c r="PSG43" s="214"/>
      <c r="PSH43" s="214"/>
      <c r="PSI43" s="214"/>
      <c r="PSJ43" s="214"/>
      <c r="PSK43" s="214"/>
      <c r="PSL43" s="214"/>
      <c r="PSM43" s="214"/>
      <c r="PSN43" s="214"/>
      <c r="PSO43" s="214"/>
      <c r="PSP43" s="214"/>
      <c r="PSQ43" s="214"/>
      <c r="PSR43" s="214"/>
      <c r="PSS43" s="214"/>
      <c r="PST43" s="214"/>
      <c r="PSU43" s="214"/>
      <c r="PSV43" s="214"/>
      <c r="PSW43" s="214"/>
      <c r="PSX43" s="214"/>
      <c r="PSY43" s="214"/>
      <c r="PSZ43" s="214"/>
      <c r="PTA43" s="214"/>
      <c r="PTB43" s="214"/>
      <c r="PTC43" s="214"/>
      <c r="PTD43" s="214"/>
      <c r="PTE43" s="214"/>
      <c r="PTF43" s="214"/>
      <c r="PTG43" s="214"/>
      <c r="PTH43" s="214"/>
      <c r="PTI43" s="214"/>
      <c r="PTJ43" s="214"/>
      <c r="PTK43" s="214"/>
      <c r="PTL43" s="214"/>
      <c r="PTM43" s="214"/>
      <c r="PTN43" s="214"/>
      <c r="PTO43" s="214"/>
      <c r="PTP43" s="214"/>
      <c r="PTQ43" s="214"/>
      <c r="PTR43" s="214"/>
      <c r="PTS43" s="214"/>
      <c r="PTT43" s="214"/>
      <c r="PTU43" s="214"/>
      <c r="PTV43" s="214"/>
      <c r="PTW43" s="214"/>
      <c r="PTX43" s="214"/>
      <c r="PTY43" s="214"/>
      <c r="PTZ43" s="214"/>
      <c r="PUA43" s="214"/>
      <c r="PUB43" s="214"/>
      <c r="PUC43" s="214"/>
      <c r="PUD43" s="214"/>
      <c r="PUE43" s="214"/>
      <c r="PUF43" s="214"/>
      <c r="PUG43" s="214"/>
      <c r="PUH43" s="214"/>
      <c r="PUI43" s="214"/>
      <c r="PUJ43" s="214"/>
      <c r="PUK43" s="214"/>
      <c r="PUL43" s="214"/>
      <c r="PUM43" s="214"/>
      <c r="PUN43" s="214"/>
      <c r="PUO43" s="214"/>
      <c r="PUP43" s="214"/>
      <c r="PUQ43" s="214"/>
      <c r="PUR43" s="214"/>
      <c r="PUS43" s="214"/>
      <c r="PUT43" s="214"/>
      <c r="PUU43" s="214"/>
      <c r="PUV43" s="214"/>
      <c r="PUW43" s="214"/>
      <c r="PUX43" s="214"/>
      <c r="PUY43" s="214"/>
      <c r="PUZ43" s="214"/>
      <c r="PVA43" s="214"/>
      <c r="PVB43" s="214"/>
      <c r="PVC43" s="214"/>
      <c r="PVD43" s="214"/>
      <c r="PVE43" s="214"/>
      <c r="PVF43" s="214"/>
      <c r="PVG43" s="214"/>
      <c r="PVH43" s="214"/>
      <c r="PVI43" s="214"/>
      <c r="PVJ43" s="214"/>
      <c r="PVK43" s="214"/>
      <c r="PVL43" s="214"/>
      <c r="PVM43" s="214"/>
      <c r="PVN43" s="214"/>
      <c r="PVO43" s="214"/>
      <c r="PVP43" s="214"/>
      <c r="PVQ43" s="214"/>
      <c r="PVR43" s="214"/>
      <c r="PVS43" s="214"/>
      <c r="PVT43" s="214"/>
      <c r="PVU43" s="214"/>
      <c r="PVV43" s="214"/>
      <c r="PVW43" s="214"/>
      <c r="PVX43" s="214"/>
      <c r="PVY43" s="214"/>
      <c r="PVZ43" s="214"/>
      <c r="PWA43" s="214"/>
      <c r="PWB43" s="214"/>
      <c r="PWC43" s="214"/>
      <c r="PWD43" s="214"/>
      <c r="PWE43" s="214"/>
      <c r="PWF43" s="214"/>
      <c r="PWG43" s="214"/>
      <c r="PWH43" s="214"/>
      <c r="PWI43" s="214"/>
      <c r="PWJ43" s="214"/>
      <c r="PWK43" s="214"/>
      <c r="PWL43" s="214"/>
      <c r="PWM43" s="214"/>
      <c r="PWN43" s="214"/>
      <c r="PWO43" s="214"/>
      <c r="PWP43" s="214"/>
      <c r="PWQ43" s="214"/>
      <c r="PWR43" s="214"/>
      <c r="PWS43" s="214"/>
      <c r="PWT43" s="214"/>
      <c r="PWU43" s="214"/>
      <c r="PWV43" s="214"/>
      <c r="PWW43" s="214"/>
      <c r="PWX43" s="214"/>
      <c r="PWY43" s="214"/>
      <c r="PWZ43" s="214"/>
      <c r="PXA43" s="214"/>
      <c r="PXB43" s="214"/>
      <c r="PXC43" s="214"/>
      <c r="PXD43" s="214"/>
      <c r="PXE43" s="214"/>
      <c r="PXF43" s="214"/>
      <c r="PXG43" s="214"/>
      <c r="PXH43" s="214"/>
      <c r="PXI43" s="214"/>
      <c r="PXJ43" s="214"/>
      <c r="PXK43" s="214"/>
      <c r="PXL43" s="214"/>
      <c r="PXM43" s="214"/>
      <c r="PXN43" s="214"/>
      <c r="PXO43" s="214"/>
      <c r="PXP43" s="214"/>
      <c r="PXQ43" s="214"/>
      <c r="PXR43" s="214"/>
      <c r="PXS43" s="214"/>
      <c r="PXT43" s="214"/>
      <c r="PXU43" s="214"/>
      <c r="PXV43" s="214"/>
      <c r="PXW43" s="214"/>
      <c r="PXX43" s="214"/>
      <c r="PXY43" s="214"/>
      <c r="PXZ43" s="214"/>
      <c r="PYA43" s="214"/>
      <c r="PYB43" s="214"/>
      <c r="PYC43" s="214"/>
      <c r="PYD43" s="214"/>
      <c r="PYE43" s="214"/>
      <c r="PYF43" s="214"/>
      <c r="PYG43" s="214"/>
      <c r="PYH43" s="214"/>
      <c r="PYI43" s="214"/>
      <c r="PYJ43" s="214"/>
      <c r="PYK43" s="214"/>
      <c r="PYL43" s="214"/>
      <c r="PYM43" s="214"/>
      <c r="PYN43" s="214"/>
      <c r="PYO43" s="214"/>
      <c r="PYP43" s="214"/>
      <c r="PYQ43" s="214"/>
      <c r="PYR43" s="214"/>
      <c r="PYS43" s="214"/>
      <c r="PYT43" s="214"/>
      <c r="PYU43" s="214"/>
      <c r="PYV43" s="214"/>
      <c r="PYW43" s="214"/>
      <c r="PYX43" s="214"/>
      <c r="PYY43" s="214"/>
      <c r="PYZ43" s="214"/>
      <c r="PZA43" s="214"/>
      <c r="PZB43" s="214"/>
      <c r="PZC43" s="214"/>
      <c r="PZD43" s="214"/>
      <c r="PZE43" s="214"/>
      <c r="PZF43" s="214"/>
      <c r="PZG43" s="214"/>
      <c r="PZH43" s="214"/>
      <c r="PZI43" s="214"/>
      <c r="PZJ43" s="214"/>
      <c r="PZK43" s="214"/>
      <c r="PZL43" s="214"/>
      <c r="PZM43" s="214"/>
      <c r="PZN43" s="214"/>
      <c r="PZO43" s="214"/>
      <c r="PZP43" s="214"/>
      <c r="PZQ43" s="214"/>
      <c r="PZR43" s="214"/>
      <c r="PZS43" s="214"/>
      <c r="PZT43" s="214"/>
      <c r="PZU43" s="214"/>
      <c r="PZV43" s="214"/>
      <c r="PZW43" s="214"/>
      <c r="PZX43" s="214"/>
      <c r="PZY43" s="214"/>
      <c r="PZZ43" s="214"/>
      <c r="QAA43" s="214"/>
      <c r="QAB43" s="214"/>
      <c r="QAC43" s="214"/>
      <c r="QAD43" s="214"/>
      <c r="QAE43" s="214"/>
      <c r="QAF43" s="214"/>
      <c r="QAG43" s="214"/>
      <c r="QAH43" s="214"/>
      <c r="QAI43" s="214"/>
      <c r="QAJ43" s="214"/>
      <c r="QAK43" s="214"/>
      <c r="QAL43" s="214"/>
      <c r="QAM43" s="214"/>
      <c r="QAN43" s="214"/>
      <c r="QAO43" s="214"/>
      <c r="QAP43" s="214"/>
      <c r="QAQ43" s="214"/>
      <c r="QAR43" s="214"/>
      <c r="QAS43" s="214"/>
      <c r="QAT43" s="214"/>
      <c r="QAU43" s="214"/>
      <c r="QAV43" s="214"/>
      <c r="QAW43" s="214"/>
      <c r="QAX43" s="214"/>
      <c r="QAY43" s="214"/>
      <c r="QAZ43" s="214"/>
      <c r="QBA43" s="214"/>
      <c r="QBB43" s="214"/>
      <c r="QBC43" s="214"/>
      <c r="QBD43" s="214"/>
      <c r="QBE43" s="214"/>
      <c r="QBF43" s="214"/>
      <c r="QBG43" s="214"/>
      <c r="QBH43" s="214"/>
      <c r="QBI43" s="214"/>
      <c r="QBJ43" s="214"/>
      <c r="QBK43" s="214"/>
      <c r="QBL43" s="214"/>
      <c r="QBM43" s="214"/>
      <c r="QBN43" s="214"/>
      <c r="QBO43" s="214"/>
      <c r="QBP43" s="214"/>
      <c r="QBQ43" s="214"/>
      <c r="QBR43" s="214"/>
      <c r="QBS43" s="214"/>
      <c r="QBT43" s="214"/>
      <c r="QBU43" s="214"/>
      <c r="QBV43" s="214"/>
      <c r="QBW43" s="214"/>
      <c r="QBX43" s="214"/>
      <c r="QBY43" s="214"/>
      <c r="QBZ43" s="214"/>
      <c r="QCA43" s="214"/>
      <c r="QCB43" s="214"/>
      <c r="QCC43" s="214"/>
      <c r="QCD43" s="214"/>
      <c r="QCE43" s="214"/>
      <c r="QCF43" s="214"/>
      <c r="QCG43" s="214"/>
      <c r="QCH43" s="214"/>
      <c r="QCI43" s="214"/>
      <c r="QCJ43" s="214"/>
      <c r="QCK43" s="214"/>
      <c r="QCL43" s="214"/>
      <c r="QCM43" s="214"/>
      <c r="QCN43" s="214"/>
      <c r="QCO43" s="214"/>
      <c r="QCP43" s="214"/>
      <c r="QCQ43" s="214"/>
      <c r="QCR43" s="214"/>
      <c r="QCS43" s="214"/>
      <c r="QCT43" s="214"/>
      <c r="QCU43" s="214"/>
      <c r="QCV43" s="214"/>
      <c r="QCW43" s="214"/>
      <c r="QCX43" s="214"/>
      <c r="QCY43" s="214"/>
      <c r="QCZ43" s="214"/>
      <c r="QDA43" s="214"/>
      <c r="QDB43" s="214"/>
      <c r="QDC43" s="214"/>
      <c r="QDD43" s="214"/>
      <c r="QDE43" s="214"/>
      <c r="QDF43" s="214"/>
      <c r="QDG43" s="214"/>
      <c r="QDH43" s="214"/>
      <c r="QDI43" s="214"/>
      <c r="QDJ43" s="214"/>
      <c r="QDK43" s="214"/>
      <c r="QDL43" s="214"/>
      <c r="QDM43" s="214"/>
      <c r="QDN43" s="214"/>
      <c r="QDO43" s="214"/>
      <c r="QDP43" s="214"/>
      <c r="QDQ43" s="214"/>
      <c r="QDR43" s="214"/>
      <c r="QDS43" s="214"/>
      <c r="QDT43" s="214"/>
      <c r="QDU43" s="214"/>
      <c r="QDV43" s="214"/>
      <c r="QDW43" s="214"/>
      <c r="QDX43" s="214"/>
      <c r="QDY43" s="214"/>
      <c r="QDZ43" s="214"/>
      <c r="QEA43" s="214"/>
      <c r="QEB43" s="214"/>
      <c r="QEC43" s="214"/>
      <c r="QED43" s="214"/>
      <c r="QEE43" s="214"/>
      <c r="QEF43" s="214"/>
      <c r="QEG43" s="214"/>
      <c r="QEH43" s="214"/>
      <c r="QEI43" s="214"/>
      <c r="QEJ43" s="214"/>
      <c r="QEK43" s="214"/>
      <c r="QEL43" s="214"/>
      <c r="QEM43" s="214"/>
      <c r="QEN43" s="214"/>
      <c r="QEO43" s="214"/>
      <c r="QEP43" s="214"/>
      <c r="QEQ43" s="214"/>
      <c r="QER43" s="214"/>
      <c r="QES43" s="214"/>
      <c r="QET43" s="214"/>
      <c r="QEU43" s="214"/>
      <c r="QEV43" s="214"/>
      <c r="QEW43" s="214"/>
      <c r="QEX43" s="214"/>
      <c r="QEY43" s="214"/>
      <c r="QEZ43" s="214"/>
      <c r="QFA43" s="214"/>
      <c r="QFB43" s="214"/>
      <c r="QFC43" s="214"/>
      <c r="QFD43" s="214"/>
      <c r="QFE43" s="214"/>
      <c r="QFF43" s="214"/>
      <c r="QFG43" s="214"/>
      <c r="QFH43" s="214"/>
      <c r="QFI43" s="214"/>
      <c r="QFJ43" s="214"/>
      <c r="QFK43" s="214"/>
      <c r="QFL43" s="214"/>
      <c r="QFM43" s="214"/>
      <c r="QFN43" s="214"/>
      <c r="QFO43" s="214"/>
      <c r="QFP43" s="214"/>
      <c r="QFQ43" s="214"/>
      <c r="QFR43" s="214"/>
      <c r="QFS43" s="214"/>
      <c r="QFT43" s="214"/>
      <c r="QFU43" s="214"/>
      <c r="QFV43" s="214"/>
      <c r="QFW43" s="214"/>
      <c r="QFX43" s="214"/>
      <c r="QFY43" s="214"/>
      <c r="QFZ43" s="214"/>
      <c r="QGA43" s="214"/>
      <c r="QGB43" s="214"/>
      <c r="QGC43" s="214"/>
      <c r="QGD43" s="214"/>
      <c r="QGE43" s="214"/>
      <c r="QGF43" s="214"/>
      <c r="QGG43" s="214"/>
      <c r="QGH43" s="214"/>
      <c r="QGI43" s="214"/>
      <c r="QGJ43" s="214"/>
      <c r="QGK43" s="214"/>
      <c r="QGL43" s="214"/>
      <c r="QGM43" s="214"/>
      <c r="QGN43" s="214"/>
      <c r="QGO43" s="214"/>
      <c r="QGP43" s="214"/>
      <c r="QGQ43" s="214"/>
      <c r="QGR43" s="214"/>
      <c r="QGS43" s="214"/>
      <c r="QGT43" s="214"/>
      <c r="QGU43" s="214"/>
      <c r="QGV43" s="214"/>
      <c r="QGW43" s="214"/>
      <c r="QGX43" s="214"/>
      <c r="QGY43" s="214"/>
      <c r="QGZ43" s="214"/>
      <c r="QHA43" s="214"/>
      <c r="QHB43" s="214"/>
      <c r="QHC43" s="214"/>
      <c r="QHD43" s="214"/>
      <c r="QHE43" s="214"/>
      <c r="QHF43" s="214"/>
      <c r="QHG43" s="214"/>
      <c r="QHH43" s="214"/>
      <c r="QHI43" s="214"/>
      <c r="QHJ43" s="214"/>
      <c r="QHK43" s="214"/>
      <c r="QHL43" s="214"/>
      <c r="QHM43" s="214"/>
      <c r="QHN43" s="214"/>
      <c r="QHO43" s="214"/>
      <c r="QHP43" s="214"/>
      <c r="QHQ43" s="214"/>
      <c r="QHR43" s="214"/>
      <c r="QHS43" s="214"/>
      <c r="QHT43" s="214"/>
      <c r="QHU43" s="214"/>
      <c r="QHV43" s="214"/>
      <c r="QHW43" s="214"/>
      <c r="QHX43" s="214"/>
      <c r="QHY43" s="214"/>
      <c r="QHZ43" s="214"/>
      <c r="QIA43" s="214"/>
      <c r="QIB43" s="214"/>
      <c r="QIC43" s="214"/>
      <c r="QID43" s="214"/>
      <c r="QIE43" s="214"/>
      <c r="QIF43" s="214"/>
      <c r="QIG43" s="214"/>
      <c r="QIH43" s="214"/>
      <c r="QII43" s="214"/>
      <c r="QIJ43" s="214"/>
      <c r="QIK43" s="214"/>
      <c r="QIL43" s="214"/>
      <c r="QIM43" s="214"/>
      <c r="QIN43" s="214"/>
      <c r="QIO43" s="214"/>
      <c r="QIP43" s="214"/>
      <c r="QIQ43" s="214"/>
      <c r="QIR43" s="214"/>
      <c r="QIS43" s="214"/>
      <c r="QIT43" s="214"/>
      <c r="QIU43" s="214"/>
      <c r="QIV43" s="214"/>
      <c r="QIW43" s="214"/>
      <c r="QIX43" s="214"/>
      <c r="QIY43" s="214"/>
      <c r="QIZ43" s="214"/>
      <c r="QJA43" s="214"/>
      <c r="QJB43" s="214"/>
      <c r="QJC43" s="214"/>
      <c r="QJD43" s="214"/>
      <c r="QJE43" s="214"/>
      <c r="QJF43" s="214"/>
      <c r="QJG43" s="214"/>
      <c r="QJH43" s="214"/>
      <c r="QJI43" s="214"/>
      <c r="QJJ43" s="214"/>
      <c r="QJK43" s="214"/>
      <c r="QJL43" s="214"/>
      <c r="QJM43" s="214"/>
      <c r="QJN43" s="214"/>
      <c r="QJO43" s="214"/>
      <c r="QJP43" s="214"/>
      <c r="QJQ43" s="214"/>
      <c r="QJR43" s="214"/>
      <c r="QJS43" s="214"/>
      <c r="QJT43" s="214"/>
      <c r="QJU43" s="214"/>
      <c r="QJV43" s="214"/>
      <c r="QJW43" s="214"/>
      <c r="QJX43" s="214"/>
      <c r="QJY43" s="214"/>
      <c r="QJZ43" s="214"/>
      <c r="QKA43" s="214"/>
      <c r="QKB43" s="214"/>
      <c r="QKC43" s="214"/>
      <c r="QKD43" s="214"/>
      <c r="QKE43" s="214"/>
      <c r="QKF43" s="214"/>
      <c r="QKG43" s="214"/>
      <c r="QKH43" s="214"/>
      <c r="QKI43" s="214"/>
      <c r="QKJ43" s="214"/>
      <c r="QKK43" s="214"/>
      <c r="QKL43" s="214"/>
      <c r="QKM43" s="214"/>
      <c r="QKN43" s="214"/>
      <c r="QKO43" s="214"/>
      <c r="QKP43" s="214"/>
      <c r="QKQ43" s="214"/>
      <c r="QKR43" s="214"/>
      <c r="QKS43" s="214"/>
      <c r="QKT43" s="214"/>
      <c r="QKU43" s="214"/>
      <c r="QKV43" s="214"/>
      <c r="QKW43" s="214"/>
      <c r="QKX43" s="214"/>
      <c r="QKY43" s="214"/>
      <c r="QKZ43" s="214"/>
      <c r="QLA43" s="214"/>
      <c r="QLB43" s="214"/>
      <c r="QLC43" s="214"/>
      <c r="QLD43" s="214"/>
      <c r="QLE43" s="214"/>
      <c r="QLF43" s="214"/>
      <c r="QLG43" s="214"/>
      <c r="QLH43" s="214"/>
      <c r="QLI43" s="214"/>
      <c r="QLJ43" s="214"/>
      <c r="QLK43" s="214"/>
      <c r="QLL43" s="214"/>
      <c r="QLM43" s="214"/>
      <c r="QLN43" s="214"/>
      <c r="QLO43" s="214"/>
      <c r="QLP43" s="214"/>
      <c r="QLQ43" s="214"/>
      <c r="QLR43" s="214"/>
      <c r="QLS43" s="214"/>
      <c r="QLT43" s="214"/>
      <c r="QLU43" s="214"/>
      <c r="QLV43" s="214"/>
      <c r="QLW43" s="214"/>
      <c r="QLX43" s="214"/>
      <c r="QLY43" s="214"/>
      <c r="QLZ43" s="214"/>
      <c r="QMA43" s="214"/>
      <c r="QMB43" s="214"/>
      <c r="QMC43" s="214"/>
      <c r="QMD43" s="214"/>
      <c r="QME43" s="214"/>
      <c r="QMF43" s="214"/>
      <c r="QMG43" s="214"/>
      <c r="QMH43" s="214"/>
      <c r="QMI43" s="214"/>
      <c r="QMJ43" s="214"/>
      <c r="QMK43" s="214"/>
      <c r="QML43" s="214"/>
      <c r="QMM43" s="214"/>
      <c r="QMN43" s="214"/>
      <c r="QMO43" s="214"/>
      <c r="QMP43" s="214"/>
      <c r="QMQ43" s="214"/>
      <c r="QMR43" s="214"/>
      <c r="QMS43" s="214"/>
      <c r="QMT43" s="214"/>
      <c r="QMU43" s="214"/>
      <c r="QMV43" s="214"/>
      <c r="QMW43" s="214"/>
      <c r="QMX43" s="214"/>
      <c r="QMY43" s="214"/>
      <c r="QMZ43" s="214"/>
      <c r="QNA43" s="214"/>
      <c r="QNB43" s="214"/>
      <c r="QNC43" s="214"/>
      <c r="QND43" s="214"/>
      <c r="QNE43" s="214"/>
      <c r="QNF43" s="214"/>
      <c r="QNG43" s="214"/>
      <c r="QNH43" s="214"/>
      <c r="QNI43" s="214"/>
      <c r="QNJ43" s="214"/>
      <c r="QNK43" s="214"/>
      <c r="QNL43" s="214"/>
      <c r="QNM43" s="214"/>
      <c r="QNN43" s="214"/>
      <c r="QNO43" s="214"/>
      <c r="QNP43" s="214"/>
      <c r="QNQ43" s="214"/>
      <c r="QNR43" s="214"/>
      <c r="QNS43" s="214"/>
      <c r="QNT43" s="214"/>
      <c r="QNU43" s="214"/>
      <c r="QNV43" s="214"/>
      <c r="QNW43" s="214"/>
      <c r="QNX43" s="214"/>
      <c r="QNY43" s="214"/>
      <c r="QNZ43" s="214"/>
      <c r="QOA43" s="214"/>
      <c r="QOB43" s="214"/>
      <c r="QOC43" s="214"/>
      <c r="QOD43" s="214"/>
      <c r="QOE43" s="214"/>
      <c r="QOF43" s="214"/>
      <c r="QOG43" s="214"/>
      <c r="QOH43" s="214"/>
      <c r="QOI43" s="214"/>
      <c r="QOJ43" s="214"/>
      <c r="QOK43" s="214"/>
      <c r="QOL43" s="214"/>
      <c r="QOM43" s="214"/>
      <c r="QON43" s="214"/>
      <c r="QOO43" s="214"/>
      <c r="QOP43" s="214"/>
      <c r="QOQ43" s="214"/>
      <c r="QOR43" s="214"/>
      <c r="QOS43" s="214"/>
      <c r="QOT43" s="214"/>
      <c r="QOU43" s="214"/>
      <c r="QOV43" s="214"/>
      <c r="QOW43" s="214"/>
      <c r="QOX43" s="214"/>
      <c r="QOY43" s="214"/>
      <c r="QOZ43" s="214"/>
      <c r="QPA43" s="214"/>
      <c r="QPB43" s="214"/>
      <c r="QPC43" s="214"/>
      <c r="QPD43" s="214"/>
      <c r="QPE43" s="214"/>
      <c r="QPF43" s="214"/>
      <c r="QPG43" s="214"/>
      <c r="QPH43" s="214"/>
      <c r="QPI43" s="214"/>
      <c r="QPJ43" s="214"/>
      <c r="QPK43" s="214"/>
      <c r="QPL43" s="214"/>
      <c r="QPM43" s="214"/>
      <c r="QPN43" s="214"/>
      <c r="QPO43" s="214"/>
      <c r="QPP43" s="214"/>
      <c r="QPQ43" s="214"/>
      <c r="QPR43" s="214"/>
      <c r="QPS43" s="214"/>
      <c r="QPT43" s="214"/>
      <c r="QPU43" s="214"/>
      <c r="QPV43" s="214"/>
      <c r="QPW43" s="214"/>
      <c r="QPX43" s="214"/>
      <c r="QPY43" s="214"/>
      <c r="QPZ43" s="214"/>
      <c r="QQA43" s="214"/>
      <c r="QQB43" s="214"/>
      <c r="QQC43" s="214"/>
      <c r="QQD43" s="214"/>
      <c r="QQE43" s="214"/>
      <c r="QQF43" s="214"/>
      <c r="QQG43" s="214"/>
      <c r="QQH43" s="214"/>
      <c r="QQI43" s="214"/>
      <c r="QQJ43" s="214"/>
      <c r="QQK43" s="214"/>
      <c r="QQL43" s="214"/>
      <c r="QQM43" s="214"/>
      <c r="QQN43" s="214"/>
      <c r="QQO43" s="214"/>
      <c r="QQP43" s="214"/>
      <c r="QQQ43" s="214"/>
      <c r="QQR43" s="214"/>
      <c r="QQS43" s="214"/>
      <c r="QQT43" s="214"/>
      <c r="QQU43" s="214"/>
      <c r="QQV43" s="214"/>
      <c r="QQW43" s="214"/>
      <c r="QQX43" s="214"/>
      <c r="QQY43" s="214"/>
      <c r="QQZ43" s="214"/>
      <c r="QRA43" s="214"/>
      <c r="QRB43" s="214"/>
      <c r="QRC43" s="214"/>
      <c r="QRD43" s="214"/>
      <c r="QRE43" s="214"/>
      <c r="QRF43" s="214"/>
      <c r="QRG43" s="214"/>
      <c r="QRH43" s="214"/>
      <c r="QRI43" s="214"/>
      <c r="QRJ43" s="214"/>
      <c r="QRK43" s="214"/>
      <c r="QRL43" s="214"/>
      <c r="QRM43" s="214"/>
      <c r="QRN43" s="214"/>
      <c r="QRO43" s="214"/>
      <c r="QRP43" s="214"/>
      <c r="QRQ43" s="214"/>
      <c r="QRR43" s="214"/>
      <c r="QRS43" s="214"/>
      <c r="QRT43" s="214"/>
      <c r="QRU43" s="214"/>
      <c r="QRV43" s="214"/>
      <c r="QRW43" s="214"/>
      <c r="QRX43" s="214"/>
      <c r="QRY43" s="214"/>
      <c r="QRZ43" s="214"/>
      <c r="QSA43" s="214"/>
      <c r="QSB43" s="214"/>
      <c r="QSC43" s="214"/>
      <c r="QSD43" s="214"/>
      <c r="QSE43" s="214"/>
      <c r="QSF43" s="214"/>
      <c r="QSG43" s="214"/>
      <c r="QSH43" s="214"/>
      <c r="QSI43" s="214"/>
      <c r="QSJ43" s="214"/>
      <c r="QSK43" s="214"/>
      <c r="QSL43" s="214"/>
      <c r="QSM43" s="214"/>
      <c r="QSN43" s="214"/>
      <c r="QSO43" s="214"/>
      <c r="QSP43" s="214"/>
      <c r="QSQ43" s="214"/>
      <c r="QSR43" s="214"/>
      <c r="QSS43" s="214"/>
      <c r="QST43" s="214"/>
      <c r="QSU43" s="214"/>
      <c r="QSV43" s="214"/>
      <c r="QSW43" s="214"/>
      <c r="QSX43" s="214"/>
      <c r="QSY43" s="214"/>
      <c r="QSZ43" s="214"/>
      <c r="QTA43" s="214"/>
      <c r="QTB43" s="214"/>
      <c r="QTC43" s="214"/>
      <c r="QTD43" s="214"/>
      <c r="QTE43" s="214"/>
      <c r="QTF43" s="214"/>
      <c r="QTG43" s="214"/>
      <c r="QTH43" s="214"/>
      <c r="QTI43" s="214"/>
      <c r="QTJ43" s="214"/>
      <c r="QTK43" s="214"/>
      <c r="QTL43" s="214"/>
      <c r="QTM43" s="214"/>
      <c r="QTN43" s="214"/>
      <c r="QTO43" s="214"/>
      <c r="QTP43" s="214"/>
      <c r="QTQ43" s="214"/>
      <c r="QTR43" s="214"/>
      <c r="QTS43" s="214"/>
      <c r="QTT43" s="214"/>
      <c r="QTU43" s="214"/>
      <c r="QTV43" s="214"/>
      <c r="QTW43" s="214"/>
      <c r="QTX43" s="214"/>
      <c r="QTY43" s="214"/>
      <c r="QTZ43" s="214"/>
      <c r="QUA43" s="214"/>
      <c r="QUB43" s="214"/>
      <c r="QUC43" s="214"/>
      <c r="QUD43" s="214"/>
      <c r="QUE43" s="214"/>
      <c r="QUF43" s="214"/>
      <c r="QUG43" s="214"/>
      <c r="QUH43" s="214"/>
      <c r="QUI43" s="214"/>
      <c r="QUJ43" s="214"/>
      <c r="QUK43" s="214"/>
      <c r="QUL43" s="214"/>
      <c r="QUM43" s="214"/>
      <c r="QUN43" s="214"/>
      <c r="QUO43" s="214"/>
      <c r="QUP43" s="214"/>
      <c r="QUQ43" s="214"/>
      <c r="QUR43" s="214"/>
      <c r="QUS43" s="214"/>
      <c r="QUT43" s="214"/>
      <c r="QUU43" s="214"/>
      <c r="QUV43" s="214"/>
      <c r="QUW43" s="214"/>
      <c r="QUX43" s="214"/>
      <c r="QUY43" s="214"/>
      <c r="QUZ43" s="214"/>
      <c r="QVA43" s="214"/>
      <c r="QVB43" s="214"/>
      <c r="QVC43" s="214"/>
      <c r="QVD43" s="214"/>
      <c r="QVE43" s="214"/>
      <c r="QVF43" s="214"/>
      <c r="QVG43" s="214"/>
      <c r="QVH43" s="214"/>
      <c r="QVI43" s="214"/>
      <c r="QVJ43" s="214"/>
      <c r="QVK43" s="214"/>
      <c r="QVL43" s="214"/>
      <c r="QVM43" s="214"/>
      <c r="QVN43" s="214"/>
      <c r="QVO43" s="214"/>
      <c r="QVP43" s="214"/>
      <c r="QVQ43" s="214"/>
      <c r="QVR43" s="214"/>
      <c r="QVS43" s="214"/>
      <c r="QVT43" s="214"/>
      <c r="QVU43" s="214"/>
      <c r="QVV43" s="214"/>
      <c r="QVW43" s="214"/>
      <c r="QVX43" s="214"/>
      <c r="QVY43" s="214"/>
      <c r="QVZ43" s="214"/>
      <c r="QWA43" s="214"/>
      <c r="QWB43" s="214"/>
      <c r="QWC43" s="214"/>
      <c r="QWD43" s="214"/>
      <c r="QWE43" s="214"/>
      <c r="QWF43" s="214"/>
      <c r="QWG43" s="214"/>
      <c r="QWH43" s="214"/>
      <c r="QWI43" s="214"/>
      <c r="QWJ43" s="214"/>
      <c r="QWK43" s="214"/>
      <c r="QWL43" s="214"/>
      <c r="QWM43" s="214"/>
      <c r="QWN43" s="214"/>
      <c r="QWO43" s="214"/>
      <c r="QWP43" s="214"/>
      <c r="QWQ43" s="214"/>
      <c r="QWR43" s="214"/>
      <c r="QWS43" s="214"/>
      <c r="QWT43" s="214"/>
      <c r="QWU43" s="214"/>
      <c r="QWV43" s="214"/>
      <c r="QWW43" s="214"/>
      <c r="QWX43" s="214"/>
      <c r="QWY43" s="214"/>
      <c r="QWZ43" s="214"/>
      <c r="QXA43" s="214"/>
      <c r="QXB43" s="214"/>
      <c r="QXC43" s="214"/>
      <c r="QXD43" s="214"/>
      <c r="QXE43" s="214"/>
      <c r="QXF43" s="214"/>
      <c r="QXG43" s="214"/>
      <c r="QXH43" s="214"/>
      <c r="QXI43" s="214"/>
      <c r="QXJ43" s="214"/>
      <c r="QXK43" s="214"/>
      <c r="QXL43" s="214"/>
      <c r="QXM43" s="214"/>
      <c r="QXN43" s="214"/>
      <c r="QXO43" s="214"/>
      <c r="QXP43" s="214"/>
      <c r="QXQ43" s="214"/>
      <c r="QXR43" s="214"/>
      <c r="QXS43" s="214"/>
      <c r="QXT43" s="214"/>
      <c r="QXU43" s="214"/>
      <c r="QXV43" s="214"/>
      <c r="QXW43" s="214"/>
      <c r="QXX43" s="214"/>
      <c r="QXY43" s="214"/>
      <c r="QXZ43" s="214"/>
      <c r="QYA43" s="214"/>
      <c r="QYB43" s="214"/>
      <c r="QYC43" s="214"/>
      <c r="QYD43" s="214"/>
      <c r="QYE43" s="214"/>
      <c r="QYF43" s="214"/>
      <c r="QYG43" s="214"/>
      <c r="QYH43" s="214"/>
      <c r="QYI43" s="214"/>
      <c r="QYJ43" s="214"/>
      <c r="QYK43" s="214"/>
      <c r="QYL43" s="214"/>
      <c r="QYM43" s="214"/>
      <c r="QYN43" s="214"/>
      <c r="QYO43" s="214"/>
      <c r="QYP43" s="214"/>
      <c r="QYQ43" s="214"/>
      <c r="QYR43" s="214"/>
      <c r="QYS43" s="214"/>
      <c r="QYT43" s="214"/>
      <c r="QYU43" s="214"/>
      <c r="QYV43" s="214"/>
      <c r="QYW43" s="214"/>
      <c r="QYX43" s="214"/>
      <c r="QYY43" s="214"/>
      <c r="QYZ43" s="214"/>
      <c r="QZA43" s="214"/>
      <c r="QZB43" s="214"/>
      <c r="QZC43" s="214"/>
      <c r="QZD43" s="214"/>
      <c r="QZE43" s="214"/>
      <c r="QZF43" s="214"/>
      <c r="QZG43" s="214"/>
      <c r="QZH43" s="214"/>
      <c r="QZI43" s="214"/>
      <c r="QZJ43" s="214"/>
      <c r="QZK43" s="214"/>
      <c r="QZL43" s="214"/>
      <c r="QZM43" s="214"/>
      <c r="QZN43" s="214"/>
      <c r="QZO43" s="214"/>
      <c r="QZP43" s="214"/>
      <c r="QZQ43" s="214"/>
      <c r="QZR43" s="214"/>
      <c r="QZS43" s="214"/>
      <c r="QZT43" s="214"/>
      <c r="QZU43" s="214"/>
      <c r="QZV43" s="214"/>
      <c r="QZW43" s="214"/>
      <c r="QZX43" s="214"/>
      <c r="QZY43" s="214"/>
      <c r="QZZ43" s="214"/>
      <c r="RAA43" s="214"/>
      <c r="RAB43" s="214"/>
      <c r="RAC43" s="214"/>
      <c r="RAD43" s="214"/>
      <c r="RAE43" s="214"/>
      <c r="RAF43" s="214"/>
      <c r="RAG43" s="214"/>
      <c r="RAH43" s="214"/>
      <c r="RAI43" s="214"/>
      <c r="RAJ43" s="214"/>
      <c r="RAK43" s="214"/>
      <c r="RAL43" s="214"/>
      <c r="RAM43" s="214"/>
      <c r="RAN43" s="214"/>
      <c r="RAO43" s="214"/>
      <c r="RAP43" s="214"/>
      <c r="RAQ43" s="214"/>
      <c r="RAR43" s="214"/>
      <c r="RAS43" s="214"/>
      <c r="RAT43" s="214"/>
      <c r="RAU43" s="214"/>
      <c r="RAV43" s="214"/>
      <c r="RAW43" s="214"/>
      <c r="RAX43" s="214"/>
      <c r="RAY43" s="214"/>
      <c r="RAZ43" s="214"/>
      <c r="RBA43" s="214"/>
      <c r="RBB43" s="214"/>
      <c r="RBC43" s="214"/>
      <c r="RBD43" s="214"/>
      <c r="RBE43" s="214"/>
      <c r="RBF43" s="214"/>
      <c r="RBG43" s="214"/>
      <c r="RBH43" s="214"/>
      <c r="RBI43" s="214"/>
      <c r="RBJ43" s="214"/>
      <c r="RBK43" s="214"/>
      <c r="RBL43" s="214"/>
      <c r="RBM43" s="214"/>
      <c r="RBN43" s="214"/>
      <c r="RBO43" s="214"/>
      <c r="RBP43" s="214"/>
      <c r="RBQ43" s="214"/>
      <c r="RBR43" s="214"/>
      <c r="RBS43" s="214"/>
      <c r="RBT43" s="214"/>
      <c r="RBU43" s="214"/>
      <c r="RBV43" s="214"/>
      <c r="RBW43" s="214"/>
      <c r="RBX43" s="214"/>
      <c r="RBY43" s="214"/>
      <c r="RBZ43" s="214"/>
      <c r="RCA43" s="214"/>
      <c r="RCB43" s="214"/>
      <c r="RCC43" s="214"/>
      <c r="RCD43" s="214"/>
      <c r="RCE43" s="214"/>
      <c r="RCF43" s="214"/>
      <c r="RCG43" s="214"/>
      <c r="RCH43" s="214"/>
      <c r="RCI43" s="214"/>
      <c r="RCJ43" s="214"/>
      <c r="RCK43" s="214"/>
      <c r="RCL43" s="214"/>
      <c r="RCM43" s="214"/>
      <c r="RCN43" s="214"/>
      <c r="RCO43" s="214"/>
      <c r="RCP43" s="214"/>
      <c r="RCQ43" s="214"/>
      <c r="RCR43" s="214"/>
      <c r="RCS43" s="214"/>
      <c r="RCT43" s="214"/>
      <c r="RCU43" s="214"/>
      <c r="RCV43" s="214"/>
      <c r="RCW43" s="214"/>
      <c r="RCX43" s="214"/>
      <c r="RCY43" s="214"/>
      <c r="RCZ43" s="214"/>
      <c r="RDA43" s="214"/>
      <c r="RDB43" s="214"/>
      <c r="RDC43" s="214"/>
      <c r="RDD43" s="214"/>
      <c r="RDE43" s="214"/>
      <c r="RDF43" s="214"/>
      <c r="RDG43" s="214"/>
      <c r="RDH43" s="214"/>
      <c r="RDI43" s="214"/>
      <c r="RDJ43" s="214"/>
      <c r="RDK43" s="214"/>
      <c r="RDL43" s="214"/>
      <c r="RDM43" s="214"/>
      <c r="RDN43" s="214"/>
      <c r="RDO43" s="214"/>
      <c r="RDP43" s="214"/>
      <c r="RDQ43" s="214"/>
      <c r="RDR43" s="214"/>
      <c r="RDS43" s="214"/>
      <c r="RDT43" s="214"/>
      <c r="RDU43" s="214"/>
      <c r="RDV43" s="214"/>
      <c r="RDW43" s="214"/>
      <c r="RDX43" s="214"/>
      <c r="RDY43" s="214"/>
      <c r="RDZ43" s="214"/>
      <c r="REA43" s="214"/>
      <c r="REB43" s="214"/>
      <c r="REC43" s="214"/>
      <c r="RED43" s="214"/>
      <c r="REE43" s="214"/>
      <c r="REF43" s="214"/>
      <c r="REG43" s="214"/>
      <c r="REH43" s="214"/>
      <c r="REI43" s="214"/>
      <c r="REJ43" s="214"/>
      <c r="REK43" s="214"/>
      <c r="REL43" s="214"/>
      <c r="REM43" s="214"/>
      <c r="REN43" s="214"/>
      <c r="REO43" s="214"/>
      <c r="REP43" s="214"/>
      <c r="REQ43" s="214"/>
      <c r="RER43" s="214"/>
      <c r="RES43" s="214"/>
      <c r="RET43" s="214"/>
      <c r="REU43" s="214"/>
      <c r="REV43" s="214"/>
      <c r="REW43" s="214"/>
      <c r="REX43" s="214"/>
      <c r="REY43" s="214"/>
      <c r="REZ43" s="214"/>
      <c r="RFA43" s="214"/>
      <c r="RFB43" s="214"/>
      <c r="RFC43" s="214"/>
      <c r="RFD43" s="214"/>
      <c r="RFE43" s="214"/>
      <c r="RFF43" s="214"/>
      <c r="RFG43" s="214"/>
      <c r="RFH43" s="214"/>
      <c r="RFI43" s="214"/>
      <c r="RFJ43" s="214"/>
      <c r="RFK43" s="214"/>
      <c r="RFL43" s="214"/>
      <c r="RFM43" s="214"/>
      <c r="RFN43" s="214"/>
      <c r="RFO43" s="214"/>
      <c r="RFP43" s="214"/>
      <c r="RFQ43" s="214"/>
      <c r="RFR43" s="214"/>
      <c r="RFS43" s="214"/>
      <c r="RFT43" s="214"/>
      <c r="RFU43" s="214"/>
      <c r="RFV43" s="214"/>
      <c r="RFW43" s="214"/>
      <c r="RFX43" s="214"/>
      <c r="RFY43" s="214"/>
      <c r="RFZ43" s="214"/>
      <c r="RGA43" s="214"/>
      <c r="RGB43" s="214"/>
      <c r="RGC43" s="214"/>
      <c r="RGD43" s="214"/>
      <c r="RGE43" s="214"/>
      <c r="RGF43" s="214"/>
      <c r="RGG43" s="214"/>
      <c r="RGH43" s="214"/>
      <c r="RGI43" s="214"/>
      <c r="RGJ43" s="214"/>
      <c r="RGK43" s="214"/>
      <c r="RGL43" s="214"/>
      <c r="RGM43" s="214"/>
      <c r="RGN43" s="214"/>
      <c r="RGO43" s="214"/>
      <c r="RGP43" s="214"/>
      <c r="RGQ43" s="214"/>
      <c r="RGR43" s="214"/>
      <c r="RGS43" s="214"/>
      <c r="RGT43" s="214"/>
      <c r="RGU43" s="214"/>
      <c r="RGV43" s="214"/>
      <c r="RGW43" s="214"/>
      <c r="RGX43" s="214"/>
      <c r="RGY43" s="214"/>
      <c r="RGZ43" s="214"/>
      <c r="RHA43" s="214"/>
      <c r="RHB43" s="214"/>
      <c r="RHC43" s="214"/>
      <c r="RHD43" s="214"/>
      <c r="RHE43" s="214"/>
      <c r="RHF43" s="214"/>
      <c r="RHG43" s="214"/>
      <c r="RHH43" s="214"/>
      <c r="RHI43" s="214"/>
      <c r="RHJ43" s="214"/>
      <c r="RHK43" s="214"/>
      <c r="RHL43" s="214"/>
      <c r="RHM43" s="214"/>
      <c r="RHN43" s="214"/>
      <c r="RHO43" s="214"/>
      <c r="RHP43" s="214"/>
      <c r="RHQ43" s="214"/>
      <c r="RHR43" s="214"/>
      <c r="RHS43" s="214"/>
      <c r="RHT43" s="214"/>
      <c r="RHU43" s="214"/>
      <c r="RHV43" s="214"/>
      <c r="RHW43" s="214"/>
      <c r="RHX43" s="214"/>
      <c r="RHY43" s="214"/>
      <c r="RHZ43" s="214"/>
      <c r="RIA43" s="214"/>
      <c r="RIB43" s="214"/>
      <c r="RIC43" s="214"/>
      <c r="RID43" s="214"/>
      <c r="RIE43" s="214"/>
      <c r="RIF43" s="214"/>
      <c r="RIG43" s="214"/>
      <c r="RIH43" s="214"/>
      <c r="RII43" s="214"/>
      <c r="RIJ43" s="214"/>
      <c r="RIK43" s="214"/>
      <c r="RIL43" s="214"/>
      <c r="RIM43" s="214"/>
      <c r="RIN43" s="214"/>
      <c r="RIO43" s="214"/>
      <c r="RIP43" s="214"/>
      <c r="RIQ43" s="214"/>
      <c r="RIR43" s="214"/>
      <c r="RIS43" s="214"/>
      <c r="RIT43" s="214"/>
      <c r="RIU43" s="214"/>
      <c r="RIV43" s="214"/>
      <c r="RIW43" s="214"/>
      <c r="RIX43" s="214"/>
      <c r="RIY43" s="214"/>
      <c r="RIZ43" s="214"/>
      <c r="RJA43" s="214"/>
      <c r="RJB43" s="214"/>
      <c r="RJC43" s="214"/>
      <c r="RJD43" s="214"/>
      <c r="RJE43" s="214"/>
      <c r="RJF43" s="214"/>
      <c r="RJG43" s="214"/>
      <c r="RJH43" s="214"/>
      <c r="RJI43" s="214"/>
      <c r="RJJ43" s="214"/>
      <c r="RJK43" s="214"/>
      <c r="RJL43" s="214"/>
      <c r="RJM43" s="214"/>
      <c r="RJN43" s="214"/>
      <c r="RJO43" s="214"/>
      <c r="RJP43" s="214"/>
      <c r="RJQ43" s="214"/>
      <c r="RJR43" s="214"/>
      <c r="RJS43" s="214"/>
      <c r="RJT43" s="214"/>
      <c r="RJU43" s="214"/>
      <c r="RJV43" s="214"/>
      <c r="RJW43" s="214"/>
      <c r="RJX43" s="214"/>
      <c r="RJY43" s="214"/>
      <c r="RJZ43" s="214"/>
      <c r="RKA43" s="214"/>
      <c r="RKB43" s="214"/>
      <c r="RKC43" s="214"/>
      <c r="RKD43" s="214"/>
      <c r="RKE43" s="214"/>
      <c r="RKF43" s="214"/>
      <c r="RKG43" s="214"/>
      <c r="RKH43" s="214"/>
      <c r="RKI43" s="214"/>
      <c r="RKJ43" s="214"/>
      <c r="RKK43" s="214"/>
      <c r="RKL43" s="214"/>
      <c r="RKM43" s="214"/>
      <c r="RKN43" s="214"/>
      <c r="RKO43" s="214"/>
      <c r="RKP43" s="214"/>
      <c r="RKQ43" s="214"/>
      <c r="RKR43" s="214"/>
      <c r="RKS43" s="214"/>
      <c r="RKT43" s="214"/>
      <c r="RKU43" s="214"/>
      <c r="RKV43" s="214"/>
      <c r="RKW43" s="214"/>
      <c r="RKX43" s="214"/>
      <c r="RKY43" s="214"/>
      <c r="RKZ43" s="214"/>
      <c r="RLA43" s="214"/>
      <c r="RLB43" s="214"/>
      <c r="RLC43" s="214"/>
      <c r="RLD43" s="214"/>
      <c r="RLE43" s="214"/>
      <c r="RLF43" s="214"/>
      <c r="RLG43" s="214"/>
      <c r="RLH43" s="214"/>
      <c r="RLI43" s="214"/>
      <c r="RLJ43" s="214"/>
      <c r="RLK43" s="214"/>
      <c r="RLL43" s="214"/>
      <c r="RLM43" s="214"/>
      <c r="RLN43" s="214"/>
      <c r="RLO43" s="214"/>
      <c r="RLP43" s="214"/>
      <c r="RLQ43" s="214"/>
      <c r="RLR43" s="214"/>
      <c r="RLS43" s="214"/>
      <c r="RLT43" s="214"/>
      <c r="RLU43" s="214"/>
      <c r="RLV43" s="214"/>
      <c r="RLW43" s="214"/>
      <c r="RLX43" s="214"/>
      <c r="RLY43" s="214"/>
      <c r="RLZ43" s="214"/>
      <c r="RMA43" s="214"/>
      <c r="RMB43" s="214"/>
      <c r="RMC43" s="214"/>
      <c r="RMD43" s="214"/>
      <c r="RME43" s="214"/>
      <c r="RMF43" s="214"/>
      <c r="RMG43" s="214"/>
      <c r="RMH43" s="214"/>
      <c r="RMI43" s="214"/>
      <c r="RMJ43" s="214"/>
      <c r="RMK43" s="214"/>
      <c r="RML43" s="214"/>
      <c r="RMM43" s="214"/>
      <c r="RMN43" s="214"/>
      <c r="RMO43" s="214"/>
      <c r="RMP43" s="214"/>
      <c r="RMQ43" s="214"/>
      <c r="RMR43" s="214"/>
      <c r="RMS43" s="214"/>
      <c r="RMT43" s="214"/>
      <c r="RMU43" s="214"/>
      <c r="RMV43" s="214"/>
      <c r="RMW43" s="214"/>
      <c r="RMX43" s="214"/>
      <c r="RMY43" s="214"/>
      <c r="RMZ43" s="214"/>
      <c r="RNA43" s="214"/>
      <c r="RNB43" s="214"/>
      <c r="RNC43" s="214"/>
      <c r="RND43" s="214"/>
      <c r="RNE43" s="214"/>
      <c r="RNF43" s="214"/>
      <c r="RNG43" s="214"/>
      <c r="RNH43" s="214"/>
      <c r="RNI43" s="214"/>
      <c r="RNJ43" s="214"/>
      <c r="RNK43" s="214"/>
      <c r="RNL43" s="214"/>
      <c r="RNM43" s="214"/>
      <c r="RNN43" s="214"/>
      <c r="RNO43" s="214"/>
      <c r="RNP43" s="214"/>
      <c r="RNQ43" s="214"/>
      <c r="RNR43" s="214"/>
      <c r="RNS43" s="214"/>
      <c r="RNT43" s="214"/>
      <c r="RNU43" s="214"/>
      <c r="RNV43" s="214"/>
      <c r="RNW43" s="214"/>
      <c r="RNX43" s="214"/>
      <c r="RNY43" s="214"/>
      <c r="RNZ43" s="214"/>
      <c r="ROA43" s="214"/>
      <c r="ROB43" s="214"/>
      <c r="ROC43" s="214"/>
      <c r="ROD43" s="214"/>
      <c r="ROE43" s="214"/>
      <c r="ROF43" s="214"/>
      <c r="ROG43" s="214"/>
      <c r="ROH43" s="214"/>
      <c r="ROI43" s="214"/>
      <c r="ROJ43" s="214"/>
      <c r="ROK43" s="214"/>
      <c r="ROL43" s="214"/>
      <c r="ROM43" s="214"/>
      <c r="RON43" s="214"/>
      <c r="ROO43" s="214"/>
      <c r="ROP43" s="214"/>
      <c r="ROQ43" s="214"/>
      <c r="ROR43" s="214"/>
      <c r="ROS43" s="214"/>
      <c r="ROT43" s="214"/>
      <c r="ROU43" s="214"/>
      <c r="ROV43" s="214"/>
      <c r="ROW43" s="214"/>
      <c r="ROX43" s="214"/>
      <c r="ROY43" s="214"/>
      <c r="ROZ43" s="214"/>
      <c r="RPA43" s="214"/>
      <c r="RPB43" s="214"/>
      <c r="RPC43" s="214"/>
      <c r="RPD43" s="214"/>
      <c r="RPE43" s="214"/>
      <c r="RPF43" s="214"/>
      <c r="RPG43" s="214"/>
      <c r="RPH43" s="214"/>
      <c r="RPI43" s="214"/>
      <c r="RPJ43" s="214"/>
      <c r="RPK43" s="214"/>
      <c r="RPL43" s="214"/>
      <c r="RPM43" s="214"/>
      <c r="RPN43" s="214"/>
      <c r="RPO43" s="214"/>
      <c r="RPP43" s="214"/>
      <c r="RPQ43" s="214"/>
      <c r="RPR43" s="214"/>
      <c r="RPS43" s="214"/>
      <c r="RPT43" s="214"/>
      <c r="RPU43" s="214"/>
      <c r="RPV43" s="214"/>
      <c r="RPW43" s="214"/>
      <c r="RPX43" s="214"/>
      <c r="RPY43" s="214"/>
      <c r="RPZ43" s="214"/>
      <c r="RQA43" s="214"/>
      <c r="RQB43" s="214"/>
      <c r="RQC43" s="214"/>
      <c r="RQD43" s="214"/>
      <c r="RQE43" s="214"/>
      <c r="RQF43" s="214"/>
      <c r="RQG43" s="214"/>
      <c r="RQH43" s="214"/>
      <c r="RQI43" s="214"/>
      <c r="RQJ43" s="214"/>
      <c r="RQK43" s="214"/>
      <c r="RQL43" s="214"/>
      <c r="RQM43" s="214"/>
      <c r="RQN43" s="214"/>
      <c r="RQO43" s="214"/>
      <c r="RQP43" s="214"/>
      <c r="RQQ43" s="214"/>
      <c r="RQR43" s="214"/>
      <c r="RQS43" s="214"/>
      <c r="RQT43" s="214"/>
      <c r="RQU43" s="214"/>
      <c r="RQV43" s="214"/>
      <c r="RQW43" s="214"/>
      <c r="RQX43" s="214"/>
      <c r="RQY43" s="214"/>
      <c r="RQZ43" s="214"/>
      <c r="RRA43" s="214"/>
      <c r="RRB43" s="214"/>
      <c r="RRC43" s="214"/>
      <c r="RRD43" s="214"/>
      <c r="RRE43" s="214"/>
      <c r="RRF43" s="214"/>
      <c r="RRG43" s="214"/>
      <c r="RRH43" s="214"/>
      <c r="RRI43" s="214"/>
      <c r="RRJ43" s="214"/>
      <c r="RRK43" s="214"/>
      <c r="RRL43" s="214"/>
      <c r="RRM43" s="214"/>
      <c r="RRN43" s="214"/>
      <c r="RRO43" s="214"/>
      <c r="RRP43" s="214"/>
      <c r="RRQ43" s="214"/>
      <c r="RRR43" s="214"/>
      <c r="RRS43" s="214"/>
      <c r="RRT43" s="214"/>
      <c r="RRU43" s="214"/>
      <c r="RRV43" s="214"/>
      <c r="RRW43" s="214"/>
      <c r="RRX43" s="214"/>
      <c r="RRY43" s="214"/>
      <c r="RRZ43" s="214"/>
      <c r="RSA43" s="214"/>
      <c r="RSB43" s="214"/>
      <c r="RSC43" s="214"/>
      <c r="RSD43" s="214"/>
      <c r="RSE43" s="214"/>
      <c r="RSF43" s="214"/>
      <c r="RSG43" s="214"/>
      <c r="RSH43" s="214"/>
      <c r="RSI43" s="214"/>
      <c r="RSJ43" s="214"/>
      <c r="RSK43" s="214"/>
      <c r="RSL43" s="214"/>
      <c r="RSM43" s="214"/>
      <c r="RSN43" s="214"/>
      <c r="RSO43" s="214"/>
      <c r="RSP43" s="214"/>
      <c r="RSQ43" s="214"/>
      <c r="RSR43" s="214"/>
      <c r="RSS43" s="214"/>
      <c r="RST43" s="214"/>
      <c r="RSU43" s="214"/>
      <c r="RSV43" s="214"/>
      <c r="RSW43" s="214"/>
      <c r="RSX43" s="214"/>
      <c r="RSY43" s="214"/>
      <c r="RSZ43" s="214"/>
      <c r="RTA43" s="214"/>
      <c r="RTB43" s="214"/>
      <c r="RTC43" s="214"/>
      <c r="RTD43" s="214"/>
      <c r="RTE43" s="214"/>
      <c r="RTF43" s="214"/>
      <c r="RTG43" s="214"/>
      <c r="RTH43" s="214"/>
      <c r="RTI43" s="214"/>
      <c r="RTJ43" s="214"/>
      <c r="RTK43" s="214"/>
      <c r="RTL43" s="214"/>
      <c r="RTM43" s="214"/>
      <c r="RTN43" s="214"/>
      <c r="RTO43" s="214"/>
      <c r="RTP43" s="214"/>
      <c r="RTQ43" s="214"/>
      <c r="RTR43" s="214"/>
      <c r="RTS43" s="214"/>
      <c r="RTT43" s="214"/>
      <c r="RTU43" s="214"/>
      <c r="RTV43" s="214"/>
      <c r="RTW43" s="214"/>
      <c r="RTX43" s="214"/>
      <c r="RTY43" s="214"/>
      <c r="RTZ43" s="214"/>
      <c r="RUA43" s="214"/>
      <c r="RUB43" s="214"/>
      <c r="RUC43" s="214"/>
      <c r="RUD43" s="214"/>
      <c r="RUE43" s="214"/>
      <c r="RUF43" s="214"/>
      <c r="RUG43" s="214"/>
      <c r="RUH43" s="214"/>
      <c r="RUI43" s="214"/>
      <c r="RUJ43" s="214"/>
      <c r="RUK43" s="214"/>
      <c r="RUL43" s="214"/>
      <c r="RUM43" s="214"/>
      <c r="RUN43" s="214"/>
      <c r="RUO43" s="214"/>
      <c r="RUP43" s="214"/>
      <c r="RUQ43" s="214"/>
      <c r="RUR43" s="214"/>
      <c r="RUS43" s="214"/>
      <c r="RUT43" s="214"/>
      <c r="RUU43" s="214"/>
      <c r="RUV43" s="214"/>
      <c r="RUW43" s="214"/>
      <c r="RUX43" s="214"/>
      <c r="RUY43" s="214"/>
      <c r="RUZ43" s="214"/>
      <c r="RVA43" s="214"/>
      <c r="RVB43" s="214"/>
      <c r="RVC43" s="214"/>
      <c r="RVD43" s="214"/>
      <c r="RVE43" s="214"/>
      <c r="RVF43" s="214"/>
      <c r="RVG43" s="214"/>
      <c r="RVH43" s="214"/>
      <c r="RVI43" s="214"/>
      <c r="RVJ43" s="214"/>
      <c r="RVK43" s="214"/>
      <c r="RVL43" s="214"/>
      <c r="RVM43" s="214"/>
      <c r="RVN43" s="214"/>
      <c r="RVO43" s="214"/>
      <c r="RVP43" s="214"/>
      <c r="RVQ43" s="214"/>
      <c r="RVR43" s="214"/>
      <c r="RVS43" s="214"/>
      <c r="RVT43" s="214"/>
      <c r="RVU43" s="214"/>
      <c r="RVV43" s="214"/>
      <c r="RVW43" s="214"/>
      <c r="RVX43" s="214"/>
      <c r="RVY43" s="214"/>
      <c r="RVZ43" s="214"/>
      <c r="RWA43" s="214"/>
      <c r="RWB43" s="214"/>
      <c r="RWC43" s="214"/>
      <c r="RWD43" s="214"/>
      <c r="RWE43" s="214"/>
      <c r="RWF43" s="214"/>
      <c r="RWG43" s="214"/>
      <c r="RWH43" s="214"/>
      <c r="RWI43" s="214"/>
      <c r="RWJ43" s="214"/>
      <c r="RWK43" s="214"/>
      <c r="RWL43" s="214"/>
      <c r="RWM43" s="214"/>
      <c r="RWN43" s="214"/>
      <c r="RWO43" s="214"/>
      <c r="RWP43" s="214"/>
      <c r="RWQ43" s="214"/>
      <c r="RWR43" s="214"/>
      <c r="RWS43" s="214"/>
      <c r="RWT43" s="214"/>
      <c r="RWU43" s="214"/>
      <c r="RWV43" s="214"/>
      <c r="RWW43" s="214"/>
      <c r="RWX43" s="214"/>
      <c r="RWY43" s="214"/>
      <c r="RWZ43" s="214"/>
      <c r="RXA43" s="214"/>
      <c r="RXB43" s="214"/>
      <c r="RXC43" s="214"/>
      <c r="RXD43" s="214"/>
      <c r="RXE43" s="214"/>
      <c r="RXF43" s="214"/>
      <c r="RXG43" s="214"/>
      <c r="RXH43" s="214"/>
      <c r="RXI43" s="214"/>
      <c r="RXJ43" s="214"/>
      <c r="RXK43" s="214"/>
      <c r="RXL43" s="214"/>
      <c r="RXM43" s="214"/>
      <c r="RXN43" s="214"/>
      <c r="RXO43" s="214"/>
      <c r="RXP43" s="214"/>
      <c r="RXQ43" s="214"/>
      <c r="RXR43" s="214"/>
      <c r="RXS43" s="214"/>
      <c r="RXT43" s="214"/>
      <c r="RXU43" s="214"/>
      <c r="RXV43" s="214"/>
      <c r="RXW43" s="214"/>
      <c r="RXX43" s="214"/>
      <c r="RXY43" s="214"/>
      <c r="RXZ43" s="214"/>
      <c r="RYA43" s="214"/>
      <c r="RYB43" s="214"/>
      <c r="RYC43" s="214"/>
      <c r="RYD43" s="214"/>
      <c r="RYE43" s="214"/>
      <c r="RYF43" s="214"/>
      <c r="RYG43" s="214"/>
      <c r="RYH43" s="214"/>
      <c r="RYI43" s="214"/>
      <c r="RYJ43" s="214"/>
      <c r="RYK43" s="214"/>
      <c r="RYL43" s="214"/>
      <c r="RYM43" s="214"/>
      <c r="RYN43" s="214"/>
      <c r="RYO43" s="214"/>
      <c r="RYP43" s="214"/>
      <c r="RYQ43" s="214"/>
      <c r="RYR43" s="214"/>
      <c r="RYS43" s="214"/>
      <c r="RYT43" s="214"/>
      <c r="RYU43" s="214"/>
      <c r="RYV43" s="214"/>
      <c r="RYW43" s="214"/>
      <c r="RYX43" s="214"/>
      <c r="RYY43" s="214"/>
      <c r="RYZ43" s="214"/>
      <c r="RZA43" s="214"/>
      <c r="RZB43" s="214"/>
      <c r="RZC43" s="214"/>
      <c r="RZD43" s="214"/>
      <c r="RZE43" s="214"/>
      <c r="RZF43" s="214"/>
      <c r="RZG43" s="214"/>
      <c r="RZH43" s="214"/>
      <c r="RZI43" s="214"/>
      <c r="RZJ43" s="214"/>
      <c r="RZK43" s="214"/>
      <c r="RZL43" s="214"/>
      <c r="RZM43" s="214"/>
      <c r="RZN43" s="214"/>
      <c r="RZO43" s="214"/>
      <c r="RZP43" s="214"/>
      <c r="RZQ43" s="214"/>
      <c r="RZR43" s="214"/>
      <c r="RZS43" s="214"/>
      <c r="RZT43" s="214"/>
      <c r="RZU43" s="214"/>
      <c r="RZV43" s="214"/>
      <c r="RZW43" s="214"/>
      <c r="RZX43" s="214"/>
      <c r="RZY43" s="214"/>
      <c r="RZZ43" s="214"/>
      <c r="SAA43" s="214"/>
      <c r="SAB43" s="214"/>
      <c r="SAC43" s="214"/>
      <c r="SAD43" s="214"/>
      <c r="SAE43" s="214"/>
      <c r="SAF43" s="214"/>
      <c r="SAG43" s="214"/>
      <c r="SAH43" s="214"/>
      <c r="SAI43" s="214"/>
      <c r="SAJ43" s="214"/>
      <c r="SAK43" s="214"/>
      <c r="SAL43" s="214"/>
      <c r="SAM43" s="214"/>
      <c r="SAN43" s="214"/>
      <c r="SAO43" s="214"/>
      <c r="SAP43" s="214"/>
      <c r="SAQ43" s="214"/>
      <c r="SAR43" s="214"/>
      <c r="SAS43" s="214"/>
      <c r="SAT43" s="214"/>
      <c r="SAU43" s="214"/>
      <c r="SAV43" s="214"/>
      <c r="SAW43" s="214"/>
      <c r="SAX43" s="214"/>
      <c r="SAY43" s="214"/>
      <c r="SAZ43" s="214"/>
      <c r="SBA43" s="214"/>
      <c r="SBB43" s="214"/>
      <c r="SBC43" s="214"/>
      <c r="SBD43" s="214"/>
      <c r="SBE43" s="214"/>
      <c r="SBF43" s="214"/>
      <c r="SBG43" s="214"/>
      <c r="SBH43" s="214"/>
      <c r="SBI43" s="214"/>
      <c r="SBJ43" s="214"/>
      <c r="SBK43" s="214"/>
      <c r="SBL43" s="214"/>
      <c r="SBM43" s="214"/>
      <c r="SBN43" s="214"/>
      <c r="SBO43" s="214"/>
      <c r="SBP43" s="214"/>
      <c r="SBQ43" s="214"/>
      <c r="SBR43" s="214"/>
      <c r="SBS43" s="214"/>
      <c r="SBT43" s="214"/>
      <c r="SBU43" s="214"/>
      <c r="SBV43" s="214"/>
      <c r="SBW43" s="214"/>
      <c r="SBX43" s="214"/>
      <c r="SBY43" s="214"/>
      <c r="SBZ43" s="214"/>
      <c r="SCA43" s="214"/>
      <c r="SCB43" s="214"/>
      <c r="SCC43" s="214"/>
      <c r="SCD43" s="214"/>
      <c r="SCE43" s="214"/>
      <c r="SCF43" s="214"/>
      <c r="SCG43" s="214"/>
      <c r="SCH43" s="214"/>
      <c r="SCI43" s="214"/>
      <c r="SCJ43" s="214"/>
      <c r="SCK43" s="214"/>
      <c r="SCL43" s="214"/>
      <c r="SCM43" s="214"/>
      <c r="SCN43" s="214"/>
      <c r="SCO43" s="214"/>
      <c r="SCP43" s="214"/>
      <c r="SCQ43" s="214"/>
      <c r="SCR43" s="214"/>
      <c r="SCS43" s="214"/>
      <c r="SCT43" s="214"/>
      <c r="SCU43" s="214"/>
      <c r="SCV43" s="214"/>
      <c r="SCW43" s="214"/>
      <c r="SCX43" s="214"/>
      <c r="SCY43" s="214"/>
      <c r="SCZ43" s="214"/>
      <c r="SDA43" s="214"/>
      <c r="SDB43" s="214"/>
      <c r="SDC43" s="214"/>
      <c r="SDD43" s="214"/>
      <c r="SDE43" s="214"/>
      <c r="SDF43" s="214"/>
      <c r="SDG43" s="214"/>
      <c r="SDH43" s="214"/>
      <c r="SDI43" s="214"/>
      <c r="SDJ43" s="214"/>
      <c r="SDK43" s="214"/>
      <c r="SDL43" s="214"/>
      <c r="SDM43" s="214"/>
      <c r="SDN43" s="214"/>
      <c r="SDO43" s="214"/>
      <c r="SDP43" s="214"/>
      <c r="SDQ43" s="214"/>
      <c r="SDR43" s="214"/>
      <c r="SDS43" s="214"/>
      <c r="SDT43" s="214"/>
      <c r="SDU43" s="214"/>
      <c r="SDV43" s="214"/>
      <c r="SDW43" s="214"/>
      <c r="SDX43" s="214"/>
      <c r="SDY43" s="214"/>
      <c r="SDZ43" s="214"/>
      <c r="SEA43" s="214"/>
      <c r="SEB43" s="214"/>
      <c r="SEC43" s="214"/>
      <c r="SED43" s="214"/>
      <c r="SEE43" s="214"/>
      <c r="SEF43" s="214"/>
      <c r="SEG43" s="214"/>
      <c r="SEH43" s="214"/>
      <c r="SEI43" s="214"/>
      <c r="SEJ43" s="214"/>
      <c r="SEK43" s="214"/>
      <c r="SEL43" s="214"/>
      <c r="SEM43" s="214"/>
      <c r="SEN43" s="214"/>
      <c r="SEO43" s="214"/>
      <c r="SEP43" s="214"/>
      <c r="SEQ43" s="214"/>
      <c r="SER43" s="214"/>
      <c r="SES43" s="214"/>
      <c r="SET43" s="214"/>
      <c r="SEU43" s="214"/>
      <c r="SEV43" s="214"/>
      <c r="SEW43" s="214"/>
      <c r="SEX43" s="214"/>
      <c r="SEY43" s="214"/>
      <c r="SEZ43" s="214"/>
      <c r="SFA43" s="214"/>
      <c r="SFB43" s="214"/>
      <c r="SFC43" s="214"/>
      <c r="SFD43" s="214"/>
      <c r="SFE43" s="214"/>
      <c r="SFF43" s="214"/>
      <c r="SFG43" s="214"/>
      <c r="SFH43" s="214"/>
      <c r="SFI43" s="214"/>
      <c r="SFJ43" s="214"/>
      <c r="SFK43" s="214"/>
      <c r="SFL43" s="214"/>
      <c r="SFM43" s="214"/>
      <c r="SFN43" s="214"/>
      <c r="SFO43" s="214"/>
      <c r="SFP43" s="214"/>
      <c r="SFQ43" s="214"/>
      <c r="SFR43" s="214"/>
      <c r="SFS43" s="214"/>
      <c r="SFT43" s="214"/>
      <c r="SFU43" s="214"/>
      <c r="SFV43" s="214"/>
      <c r="SFW43" s="214"/>
      <c r="SFX43" s="214"/>
      <c r="SFY43" s="214"/>
      <c r="SFZ43" s="214"/>
      <c r="SGA43" s="214"/>
      <c r="SGB43" s="214"/>
      <c r="SGC43" s="214"/>
      <c r="SGD43" s="214"/>
      <c r="SGE43" s="214"/>
      <c r="SGF43" s="214"/>
      <c r="SGG43" s="214"/>
      <c r="SGH43" s="214"/>
      <c r="SGI43" s="214"/>
      <c r="SGJ43" s="214"/>
      <c r="SGK43" s="214"/>
      <c r="SGL43" s="214"/>
      <c r="SGM43" s="214"/>
      <c r="SGN43" s="214"/>
      <c r="SGO43" s="214"/>
      <c r="SGP43" s="214"/>
      <c r="SGQ43" s="214"/>
      <c r="SGR43" s="214"/>
      <c r="SGS43" s="214"/>
      <c r="SGT43" s="214"/>
      <c r="SGU43" s="214"/>
      <c r="SGV43" s="214"/>
      <c r="SGW43" s="214"/>
      <c r="SGX43" s="214"/>
      <c r="SGY43" s="214"/>
      <c r="SGZ43" s="214"/>
      <c r="SHA43" s="214"/>
      <c r="SHB43" s="214"/>
      <c r="SHC43" s="214"/>
      <c r="SHD43" s="214"/>
      <c r="SHE43" s="214"/>
      <c r="SHF43" s="214"/>
      <c r="SHG43" s="214"/>
      <c r="SHH43" s="214"/>
      <c r="SHI43" s="214"/>
      <c r="SHJ43" s="214"/>
      <c r="SHK43" s="214"/>
      <c r="SHL43" s="214"/>
      <c r="SHM43" s="214"/>
      <c r="SHN43" s="214"/>
      <c r="SHO43" s="214"/>
      <c r="SHP43" s="214"/>
      <c r="SHQ43" s="214"/>
      <c r="SHR43" s="214"/>
      <c r="SHS43" s="214"/>
      <c r="SHT43" s="214"/>
      <c r="SHU43" s="214"/>
      <c r="SHV43" s="214"/>
      <c r="SHW43" s="214"/>
      <c r="SHX43" s="214"/>
      <c r="SHY43" s="214"/>
      <c r="SHZ43" s="214"/>
      <c r="SIA43" s="214"/>
      <c r="SIB43" s="214"/>
      <c r="SIC43" s="214"/>
      <c r="SID43" s="214"/>
      <c r="SIE43" s="214"/>
      <c r="SIF43" s="214"/>
      <c r="SIG43" s="214"/>
      <c r="SIH43" s="214"/>
      <c r="SII43" s="214"/>
      <c r="SIJ43" s="214"/>
      <c r="SIK43" s="214"/>
      <c r="SIL43" s="214"/>
      <c r="SIM43" s="214"/>
      <c r="SIN43" s="214"/>
      <c r="SIO43" s="214"/>
      <c r="SIP43" s="214"/>
      <c r="SIQ43" s="214"/>
      <c r="SIR43" s="214"/>
      <c r="SIS43" s="214"/>
      <c r="SIT43" s="214"/>
      <c r="SIU43" s="214"/>
      <c r="SIV43" s="214"/>
      <c r="SIW43" s="214"/>
      <c r="SIX43" s="214"/>
      <c r="SIY43" s="214"/>
      <c r="SIZ43" s="214"/>
      <c r="SJA43" s="214"/>
      <c r="SJB43" s="214"/>
      <c r="SJC43" s="214"/>
      <c r="SJD43" s="214"/>
      <c r="SJE43" s="214"/>
      <c r="SJF43" s="214"/>
      <c r="SJG43" s="214"/>
      <c r="SJH43" s="214"/>
      <c r="SJI43" s="214"/>
      <c r="SJJ43" s="214"/>
      <c r="SJK43" s="214"/>
      <c r="SJL43" s="214"/>
      <c r="SJM43" s="214"/>
      <c r="SJN43" s="214"/>
      <c r="SJO43" s="214"/>
      <c r="SJP43" s="214"/>
      <c r="SJQ43" s="214"/>
      <c r="SJR43" s="214"/>
      <c r="SJS43" s="214"/>
      <c r="SJT43" s="214"/>
      <c r="SJU43" s="214"/>
      <c r="SJV43" s="214"/>
      <c r="SJW43" s="214"/>
      <c r="SJX43" s="214"/>
      <c r="SJY43" s="214"/>
      <c r="SJZ43" s="214"/>
      <c r="SKA43" s="214"/>
      <c r="SKB43" s="214"/>
      <c r="SKC43" s="214"/>
      <c r="SKD43" s="214"/>
      <c r="SKE43" s="214"/>
      <c r="SKF43" s="214"/>
      <c r="SKG43" s="214"/>
      <c r="SKH43" s="214"/>
      <c r="SKI43" s="214"/>
      <c r="SKJ43" s="214"/>
      <c r="SKK43" s="214"/>
      <c r="SKL43" s="214"/>
      <c r="SKM43" s="214"/>
      <c r="SKN43" s="214"/>
      <c r="SKO43" s="214"/>
      <c r="SKP43" s="214"/>
      <c r="SKQ43" s="214"/>
      <c r="SKR43" s="214"/>
      <c r="SKS43" s="214"/>
      <c r="SKT43" s="214"/>
      <c r="SKU43" s="214"/>
      <c r="SKV43" s="214"/>
      <c r="SKW43" s="214"/>
      <c r="SKX43" s="214"/>
      <c r="SKY43" s="214"/>
      <c r="SKZ43" s="214"/>
      <c r="SLA43" s="214"/>
      <c r="SLB43" s="214"/>
      <c r="SLC43" s="214"/>
      <c r="SLD43" s="214"/>
      <c r="SLE43" s="214"/>
      <c r="SLF43" s="214"/>
      <c r="SLG43" s="214"/>
      <c r="SLH43" s="214"/>
      <c r="SLI43" s="214"/>
      <c r="SLJ43" s="214"/>
      <c r="SLK43" s="214"/>
      <c r="SLL43" s="214"/>
      <c r="SLM43" s="214"/>
      <c r="SLN43" s="214"/>
      <c r="SLO43" s="214"/>
      <c r="SLP43" s="214"/>
      <c r="SLQ43" s="214"/>
      <c r="SLR43" s="214"/>
      <c r="SLS43" s="214"/>
      <c r="SLT43" s="214"/>
      <c r="SLU43" s="214"/>
      <c r="SLV43" s="214"/>
      <c r="SLW43" s="214"/>
      <c r="SLX43" s="214"/>
      <c r="SLY43" s="214"/>
      <c r="SLZ43" s="214"/>
      <c r="SMA43" s="214"/>
      <c r="SMB43" s="214"/>
      <c r="SMC43" s="214"/>
      <c r="SMD43" s="214"/>
      <c r="SME43" s="214"/>
      <c r="SMF43" s="214"/>
      <c r="SMG43" s="214"/>
      <c r="SMH43" s="214"/>
      <c r="SMI43" s="214"/>
      <c r="SMJ43" s="214"/>
      <c r="SMK43" s="214"/>
      <c r="SML43" s="214"/>
      <c r="SMM43" s="214"/>
      <c r="SMN43" s="214"/>
      <c r="SMO43" s="214"/>
      <c r="SMP43" s="214"/>
      <c r="SMQ43" s="214"/>
      <c r="SMR43" s="214"/>
      <c r="SMS43" s="214"/>
      <c r="SMT43" s="214"/>
      <c r="SMU43" s="214"/>
      <c r="SMV43" s="214"/>
      <c r="SMW43" s="214"/>
      <c r="SMX43" s="214"/>
      <c r="SMY43" s="214"/>
      <c r="SMZ43" s="214"/>
      <c r="SNA43" s="214"/>
      <c r="SNB43" s="214"/>
      <c r="SNC43" s="214"/>
      <c r="SND43" s="214"/>
      <c r="SNE43" s="214"/>
      <c r="SNF43" s="214"/>
      <c r="SNG43" s="214"/>
      <c r="SNH43" s="214"/>
      <c r="SNI43" s="214"/>
      <c r="SNJ43" s="214"/>
      <c r="SNK43" s="214"/>
      <c r="SNL43" s="214"/>
      <c r="SNM43" s="214"/>
      <c r="SNN43" s="214"/>
      <c r="SNO43" s="214"/>
      <c r="SNP43" s="214"/>
      <c r="SNQ43" s="214"/>
      <c r="SNR43" s="214"/>
      <c r="SNS43" s="214"/>
      <c r="SNT43" s="214"/>
      <c r="SNU43" s="214"/>
      <c r="SNV43" s="214"/>
      <c r="SNW43" s="214"/>
      <c r="SNX43" s="214"/>
      <c r="SNY43" s="214"/>
      <c r="SNZ43" s="214"/>
      <c r="SOA43" s="214"/>
      <c r="SOB43" s="214"/>
      <c r="SOC43" s="214"/>
      <c r="SOD43" s="214"/>
      <c r="SOE43" s="214"/>
      <c r="SOF43" s="214"/>
      <c r="SOG43" s="214"/>
      <c r="SOH43" s="214"/>
      <c r="SOI43" s="214"/>
      <c r="SOJ43" s="214"/>
      <c r="SOK43" s="214"/>
      <c r="SOL43" s="214"/>
      <c r="SOM43" s="214"/>
      <c r="SON43" s="214"/>
      <c r="SOO43" s="214"/>
      <c r="SOP43" s="214"/>
      <c r="SOQ43" s="214"/>
      <c r="SOR43" s="214"/>
      <c r="SOS43" s="214"/>
      <c r="SOT43" s="214"/>
      <c r="SOU43" s="214"/>
      <c r="SOV43" s="214"/>
      <c r="SOW43" s="214"/>
      <c r="SOX43" s="214"/>
      <c r="SOY43" s="214"/>
      <c r="SOZ43" s="214"/>
      <c r="SPA43" s="214"/>
      <c r="SPB43" s="214"/>
      <c r="SPC43" s="214"/>
      <c r="SPD43" s="214"/>
      <c r="SPE43" s="214"/>
      <c r="SPF43" s="214"/>
      <c r="SPG43" s="214"/>
      <c r="SPH43" s="214"/>
      <c r="SPI43" s="214"/>
      <c r="SPJ43" s="214"/>
      <c r="SPK43" s="214"/>
      <c r="SPL43" s="214"/>
      <c r="SPM43" s="214"/>
      <c r="SPN43" s="214"/>
      <c r="SPO43" s="214"/>
      <c r="SPP43" s="214"/>
      <c r="SPQ43" s="214"/>
      <c r="SPR43" s="214"/>
      <c r="SPS43" s="214"/>
      <c r="SPT43" s="214"/>
      <c r="SPU43" s="214"/>
      <c r="SPV43" s="214"/>
      <c r="SPW43" s="214"/>
      <c r="SPX43" s="214"/>
      <c r="SPY43" s="214"/>
      <c r="SPZ43" s="214"/>
      <c r="SQA43" s="214"/>
      <c r="SQB43" s="214"/>
      <c r="SQC43" s="214"/>
      <c r="SQD43" s="214"/>
      <c r="SQE43" s="214"/>
      <c r="SQF43" s="214"/>
      <c r="SQG43" s="214"/>
      <c r="SQH43" s="214"/>
      <c r="SQI43" s="214"/>
      <c r="SQJ43" s="214"/>
      <c r="SQK43" s="214"/>
      <c r="SQL43" s="214"/>
      <c r="SQM43" s="214"/>
      <c r="SQN43" s="214"/>
      <c r="SQO43" s="214"/>
      <c r="SQP43" s="214"/>
      <c r="SQQ43" s="214"/>
      <c r="SQR43" s="214"/>
      <c r="SQS43" s="214"/>
      <c r="SQT43" s="214"/>
      <c r="SQU43" s="214"/>
      <c r="SQV43" s="214"/>
      <c r="SQW43" s="214"/>
      <c r="SQX43" s="214"/>
      <c r="SQY43" s="214"/>
      <c r="SQZ43" s="214"/>
      <c r="SRA43" s="214"/>
      <c r="SRB43" s="214"/>
      <c r="SRC43" s="214"/>
      <c r="SRD43" s="214"/>
      <c r="SRE43" s="214"/>
      <c r="SRF43" s="214"/>
      <c r="SRG43" s="214"/>
      <c r="SRH43" s="214"/>
      <c r="SRI43" s="214"/>
      <c r="SRJ43" s="214"/>
      <c r="SRK43" s="214"/>
      <c r="SRL43" s="214"/>
      <c r="SRM43" s="214"/>
      <c r="SRN43" s="214"/>
      <c r="SRO43" s="214"/>
      <c r="SRP43" s="214"/>
      <c r="SRQ43" s="214"/>
      <c r="SRR43" s="214"/>
      <c r="SRS43" s="214"/>
      <c r="SRT43" s="214"/>
      <c r="SRU43" s="214"/>
      <c r="SRV43" s="214"/>
      <c r="SRW43" s="214"/>
      <c r="SRX43" s="214"/>
      <c r="SRY43" s="214"/>
      <c r="SRZ43" s="214"/>
      <c r="SSA43" s="214"/>
      <c r="SSB43" s="214"/>
      <c r="SSC43" s="214"/>
      <c r="SSD43" s="214"/>
      <c r="SSE43" s="214"/>
      <c r="SSF43" s="214"/>
      <c r="SSG43" s="214"/>
      <c r="SSH43" s="214"/>
      <c r="SSI43" s="214"/>
      <c r="SSJ43" s="214"/>
      <c r="SSK43" s="214"/>
      <c r="SSL43" s="214"/>
      <c r="SSM43" s="214"/>
      <c r="SSN43" s="214"/>
      <c r="SSO43" s="214"/>
      <c r="SSP43" s="214"/>
      <c r="SSQ43" s="214"/>
      <c r="SSR43" s="214"/>
      <c r="SSS43" s="214"/>
      <c r="SST43" s="214"/>
      <c r="SSU43" s="214"/>
      <c r="SSV43" s="214"/>
      <c r="SSW43" s="214"/>
      <c r="SSX43" s="214"/>
      <c r="SSY43" s="214"/>
      <c r="SSZ43" s="214"/>
      <c r="STA43" s="214"/>
      <c r="STB43" s="214"/>
      <c r="STC43" s="214"/>
      <c r="STD43" s="214"/>
      <c r="STE43" s="214"/>
      <c r="STF43" s="214"/>
      <c r="STG43" s="214"/>
      <c r="STH43" s="214"/>
      <c r="STI43" s="214"/>
      <c r="STJ43" s="214"/>
      <c r="STK43" s="214"/>
      <c r="STL43" s="214"/>
      <c r="STM43" s="214"/>
      <c r="STN43" s="214"/>
      <c r="STO43" s="214"/>
      <c r="STP43" s="214"/>
      <c r="STQ43" s="214"/>
      <c r="STR43" s="214"/>
      <c r="STS43" s="214"/>
      <c r="STT43" s="214"/>
      <c r="STU43" s="214"/>
      <c r="STV43" s="214"/>
      <c r="STW43" s="214"/>
      <c r="STX43" s="214"/>
      <c r="STY43" s="214"/>
      <c r="STZ43" s="214"/>
      <c r="SUA43" s="214"/>
      <c r="SUB43" s="214"/>
      <c r="SUC43" s="214"/>
      <c r="SUD43" s="214"/>
      <c r="SUE43" s="214"/>
      <c r="SUF43" s="214"/>
      <c r="SUG43" s="214"/>
      <c r="SUH43" s="214"/>
      <c r="SUI43" s="214"/>
      <c r="SUJ43" s="214"/>
      <c r="SUK43" s="214"/>
      <c r="SUL43" s="214"/>
      <c r="SUM43" s="214"/>
      <c r="SUN43" s="214"/>
      <c r="SUO43" s="214"/>
      <c r="SUP43" s="214"/>
      <c r="SUQ43" s="214"/>
      <c r="SUR43" s="214"/>
      <c r="SUS43" s="214"/>
      <c r="SUT43" s="214"/>
      <c r="SUU43" s="214"/>
      <c r="SUV43" s="214"/>
      <c r="SUW43" s="214"/>
      <c r="SUX43" s="214"/>
      <c r="SUY43" s="214"/>
      <c r="SUZ43" s="214"/>
      <c r="SVA43" s="214"/>
      <c r="SVB43" s="214"/>
      <c r="SVC43" s="214"/>
      <c r="SVD43" s="214"/>
      <c r="SVE43" s="214"/>
      <c r="SVF43" s="214"/>
      <c r="SVG43" s="214"/>
      <c r="SVH43" s="214"/>
      <c r="SVI43" s="214"/>
      <c r="SVJ43" s="214"/>
      <c r="SVK43" s="214"/>
      <c r="SVL43" s="214"/>
      <c r="SVM43" s="214"/>
      <c r="SVN43" s="214"/>
      <c r="SVO43" s="214"/>
      <c r="SVP43" s="214"/>
      <c r="SVQ43" s="214"/>
      <c r="SVR43" s="214"/>
      <c r="SVS43" s="214"/>
      <c r="SVT43" s="214"/>
      <c r="SVU43" s="214"/>
      <c r="SVV43" s="214"/>
      <c r="SVW43" s="214"/>
      <c r="SVX43" s="214"/>
      <c r="SVY43" s="214"/>
      <c r="SVZ43" s="214"/>
      <c r="SWA43" s="214"/>
      <c r="SWB43" s="214"/>
      <c r="SWC43" s="214"/>
      <c r="SWD43" s="214"/>
      <c r="SWE43" s="214"/>
      <c r="SWF43" s="214"/>
      <c r="SWG43" s="214"/>
      <c r="SWH43" s="214"/>
      <c r="SWI43" s="214"/>
      <c r="SWJ43" s="214"/>
      <c r="SWK43" s="214"/>
      <c r="SWL43" s="214"/>
      <c r="SWM43" s="214"/>
      <c r="SWN43" s="214"/>
      <c r="SWO43" s="214"/>
      <c r="SWP43" s="214"/>
      <c r="SWQ43" s="214"/>
      <c r="SWR43" s="214"/>
      <c r="SWS43" s="214"/>
      <c r="SWT43" s="214"/>
      <c r="SWU43" s="214"/>
      <c r="SWV43" s="214"/>
      <c r="SWW43" s="214"/>
      <c r="SWX43" s="214"/>
      <c r="SWY43" s="214"/>
      <c r="SWZ43" s="214"/>
      <c r="SXA43" s="214"/>
      <c r="SXB43" s="214"/>
      <c r="SXC43" s="214"/>
      <c r="SXD43" s="214"/>
      <c r="SXE43" s="214"/>
      <c r="SXF43" s="214"/>
      <c r="SXG43" s="214"/>
      <c r="SXH43" s="214"/>
      <c r="SXI43" s="214"/>
      <c r="SXJ43" s="214"/>
      <c r="SXK43" s="214"/>
      <c r="SXL43" s="214"/>
      <c r="SXM43" s="214"/>
      <c r="SXN43" s="214"/>
      <c r="SXO43" s="214"/>
      <c r="SXP43" s="214"/>
      <c r="SXQ43" s="214"/>
      <c r="SXR43" s="214"/>
      <c r="SXS43" s="214"/>
      <c r="SXT43" s="214"/>
      <c r="SXU43" s="214"/>
      <c r="SXV43" s="214"/>
      <c r="SXW43" s="214"/>
      <c r="SXX43" s="214"/>
      <c r="SXY43" s="214"/>
      <c r="SXZ43" s="214"/>
      <c r="SYA43" s="214"/>
      <c r="SYB43" s="214"/>
      <c r="SYC43" s="214"/>
      <c r="SYD43" s="214"/>
      <c r="SYE43" s="214"/>
      <c r="SYF43" s="214"/>
      <c r="SYG43" s="214"/>
      <c r="SYH43" s="214"/>
      <c r="SYI43" s="214"/>
      <c r="SYJ43" s="214"/>
      <c r="SYK43" s="214"/>
      <c r="SYL43" s="214"/>
      <c r="SYM43" s="214"/>
      <c r="SYN43" s="214"/>
      <c r="SYO43" s="214"/>
      <c r="SYP43" s="214"/>
      <c r="SYQ43" s="214"/>
      <c r="SYR43" s="214"/>
      <c r="SYS43" s="214"/>
      <c r="SYT43" s="214"/>
      <c r="SYU43" s="214"/>
      <c r="SYV43" s="214"/>
      <c r="SYW43" s="214"/>
      <c r="SYX43" s="214"/>
      <c r="SYY43" s="214"/>
      <c r="SYZ43" s="214"/>
      <c r="SZA43" s="214"/>
      <c r="SZB43" s="214"/>
      <c r="SZC43" s="214"/>
      <c r="SZD43" s="214"/>
      <c r="SZE43" s="214"/>
      <c r="SZF43" s="214"/>
      <c r="SZG43" s="214"/>
      <c r="SZH43" s="214"/>
      <c r="SZI43" s="214"/>
      <c r="SZJ43" s="214"/>
      <c r="SZK43" s="214"/>
      <c r="SZL43" s="214"/>
      <c r="SZM43" s="214"/>
      <c r="SZN43" s="214"/>
      <c r="SZO43" s="214"/>
      <c r="SZP43" s="214"/>
      <c r="SZQ43" s="214"/>
      <c r="SZR43" s="214"/>
      <c r="SZS43" s="214"/>
      <c r="SZT43" s="214"/>
      <c r="SZU43" s="214"/>
      <c r="SZV43" s="214"/>
      <c r="SZW43" s="214"/>
      <c r="SZX43" s="214"/>
      <c r="SZY43" s="214"/>
      <c r="SZZ43" s="214"/>
      <c r="TAA43" s="214"/>
      <c r="TAB43" s="214"/>
      <c r="TAC43" s="214"/>
      <c r="TAD43" s="214"/>
      <c r="TAE43" s="214"/>
      <c r="TAF43" s="214"/>
      <c r="TAG43" s="214"/>
      <c r="TAH43" s="214"/>
      <c r="TAI43" s="214"/>
      <c r="TAJ43" s="214"/>
      <c r="TAK43" s="214"/>
      <c r="TAL43" s="214"/>
      <c r="TAM43" s="214"/>
      <c r="TAN43" s="214"/>
      <c r="TAO43" s="214"/>
      <c r="TAP43" s="214"/>
      <c r="TAQ43" s="214"/>
      <c r="TAR43" s="214"/>
      <c r="TAS43" s="214"/>
      <c r="TAT43" s="214"/>
      <c r="TAU43" s="214"/>
      <c r="TAV43" s="214"/>
      <c r="TAW43" s="214"/>
      <c r="TAX43" s="214"/>
      <c r="TAY43" s="214"/>
      <c r="TAZ43" s="214"/>
      <c r="TBA43" s="214"/>
      <c r="TBB43" s="214"/>
      <c r="TBC43" s="214"/>
      <c r="TBD43" s="214"/>
      <c r="TBE43" s="214"/>
      <c r="TBF43" s="214"/>
      <c r="TBG43" s="214"/>
      <c r="TBH43" s="214"/>
      <c r="TBI43" s="214"/>
      <c r="TBJ43" s="214"/>
      <c r="TBK43" s="214"/>
      <c r="TBL43" s="214"/>
      <c r="TBM43" s="214"/>
      <c r="TBN43" s="214"/>
      <c r="TBO43" s="214"/>
      <c r="TBP43" s="214"/>
      <c r="TBQ43" s="214"/>
      <c r="TBR43" s="214"/>
      <c r="TBS43" s="214"/>
      <c r="TBT43" s="214"/>
      <c r="TBU43" s="214"/>
      <c r="TBV43" s="214"/>
      <c r="TBW43" s="214"/>
      <c r="TBX43" s="214"/>
      <c r="TBY43" s="214"/>
      <c r="TBZ43" s="214"/>
      <c r="TCA43" s="214"/>
      <c r="TCB43" s="214"/>
      <c r="TCC43" s="214"/>
      <c r="TCD43" s="214"/>
      <c r="TCE43" s="214"/>
      <c r="TCF43" s="214"/>
      <c r="TCG43" s="214"/>
      <c r="TCH43" s="214"/>
      <c r="TCI43" s="214"/>
      <c r="TCJ43" s="214"/>
      <c r="TCK43" s="214"/>
      <c r="TCL43" s="214"/>
      <c r="TCM43" s="214"/>
      <c r="TCN43" s="214"/>
      <c r="TCO43" s="214"/>
      <c r="TCP43" s="214"/>
      <c r="TCQ43" s="214"/>
      <c r="TCR43" s="214"/>
      <c r="TCS43" s="214"/>
      <c r="TCT43" s="214"/>
      <c r="TCU43" s="214"/>
      <c r="TCV43" s="214"/>
      <c r="TCW43" s="214"/>
      <c r="TCX43" s="214"/>
      <c r="TCY43" s="214"/>
      <c r="TCZ43" s="214"/>
      <c r="TDA43" s="214"/>
      <c r="TDB43" s="214"/>
      <c r="TDC43" s="214"/>
      <c r="TDD43" s="214"/>
      <c r="TDE43" s="214"/>
      <c r="TDF43" s="214"/>
      <c r="TDG43" s="214"/>
      <c r="TDH43" s="214"/>
      <c r="TDI43" s="214"/>
      <c r="TDJ43" s="214"/>
      <c r="TDK43" s="214"/>
      <c r="TDL43" s="214"/>
      <c r="TDM43" s="214"/>
      <c r="TDN43" s="214"/>
      <c r="TDO43" s="214"/>
      <c r="TDP43" s="214"/>
      <c r="TDQ43" s="214"/>
      <c r="TDR43" s="214"/>
      <c r="TDS43" s="214"/>
      <c r="TDT43" s="214"/>
      <c r="TDU43" s="214"/>
      <c r="TDV43" s="214"/>
      <c r="TDW43" s="214"/>
      <c r="TDX43" s="214"/>
      <c r="TDY43" s="214"/>
      <c r="TDZ43" s="214"/>
      <c r="TEA43" s="214"/>
      <c r="TEB43" s="214"/>
      <c r="TEC43" s="214"/>
      <c r="TED43" s="214"/>
      <c r="TEE43" s="214"/>
      <c r="TEF43" s="214"/>
      <c r="TEG43" s="214"/>
      <c r="TEH43" s="214"/>
      <c r="TEI43" s="214"/>
      <c r="TEJ43" s="214"/>
      <c r="TEK43" s="214"/>
      <c r="TEL43" s="214"/>
      <c r="TEM43" s="214"/>
      <c r="TEN43" s="214"/>
      <c r="TEO43" s="214"/>
      <c r="TEP43" s="214"/>
      <c r="TEQ43" s="214"/>
      <c r="TER43" s="214"/>
      <c r="TES43" s="214"/>
      <c r="TET43" s="214"/>
      <c r="TEU43" s="214"/>
      <c r="TEV43" s="214"/>
      <c r="TEW43" s="214"/>
      <c r="TEX43" s="214"/>
      <c r="TEY43" s="214"/>
      <c r="TEZ43" s="214"/>
      <c r="TFA43" s="214"/>
      <c r="TFB43" s="214"/>
      <c r="TFC43" s="214"/>
      <c r="TFD43" s="214"/>
      <c r="TFE43" s="214"/>
      <c r="TFF43" s="214"/>
      <c r="TFG43" s="214"/>
      <c r="TFH43" s="214"/>
      <c r="TFI43" s="214"/>
      <c r="TFJ43" s="214"/>
      <c r="TFK43" s="214"/>
      <c r="TFL43" s="214"/>
      <c r="TFM43" s="214"/>
      <c r="TFN43" s="214"/>
      <c r="TFO43" s="214"/>
      <c r="TFP43" s="214"/>
      <c r="TFQ43" s="214"/>
      <c r="TFR43" s="214"/>
      <c r="TFS43" s="214"/>
      <c r="TFT43" s="214"/>
      <c r="TFU43" s="214"/>
      <c r="TFV43" s="214"/>
      <c r="TFW43" s="214"/>
      <c r="TFX43" s="214"/>
      <c r="TFY43" s="214"/>
      <c r="TFZ43" s="214"/>
      <c r="TGA43" s="214"/>
      <c r="TGB43" s="214"/>
      <c r="TGC43" s="214"/>
      <c r="TGD43" s="214"/>
      <c r="TGE43" s="214"/>
      <c r="TGF43" s="214"/>
      <c r="TGG43" s="214"/>
      <c r="TGH43" s="214"/>
      <c r="TGI43" s="214"/>
      <c r="TGJ43" s="214"/>
      <c r="TGK43" s="214"/>
      <c r="TGL43" s="214"/>
      <c r="TGM43" s="214"/>
      <c r="TGN43" s="214"/>
      <c r="TGO43" s="214"/>
      <c r="TGP43" s="214"/>
      <c r="TGQ43" s="214"/>
      <c r="TGR43" s="214"/>
      <c r="TGS43" s="214"/>
      <c r="TGT43" s="214"/>
      <c r="TGU43" s="214"/>
      <c r="TGV43" s="214"/>
      <c r="TGW43" s="214"/>
      <c r="TGX43" s="214"/>
      <c r="TGY43" s="214"/>
      <c r="TGZ43" s="214"/>
      <c r="THA43" s="214"/>
      <c r="THB43" s="214"/>
      <c r="THC43" s="214"/>
      <c r="THD43" s="214"/>
      <c r="THE43" s="214"/>
      <c r="THF43" s="214"/>
      <c r="THG43" s="214"/>
      <c r="THH43" s="214"/>
      <c r="THI43" s="214"/>
      <c r="THJ43" s="214"/>
      <c r="THK43" s="214"/>
      <c r="THL43" s="214"/>
      <c r="THM43" s="214"/>
      <c r="THN43" s="214"/>
      <c r="THO43" s="214"/>
      <c r="THP43" s="214"/>
      <c r="THQ43" s="214"/>
      <c r="THR43" s="214"/>
      <c r="THS43" s="214"/>
      <c r="THT43" s="214"/>
      <c r="THU43" s="214"/>
      <c r="THV43" s="214"/>
      <c r="THW43" s="214"/>
      <c r="THX43" s="214"/>
      <c r="THY43" s="214"/>
      <c r="THZ43" s="214"/>
      <c r="TIA43" s="214"/>
      <c r="TIB43" s="214"/>
      <c r="TIC43" s="214"/>
      <c r="TID43" s="214"/>
      <c r="TIE43" s="214"/>
      <c r="TIF43" s="214"/>
      <c r="TIG43" s="214"/>
      <c r="TIH43" s="214"/>
      <c r="TII43" s="214"/>
      <c r="TIJ43" s="214"/>
      <c r="TIK43" s="214"/>
      <c r="TIL43" s="214"/>
      <c r="TIM43" s="214"/>
      <c r="TIN43" s="214"/>
      <c r="TIO43" s="214"/>
      <c r="TIP43" s="214"/>
      <c r="TIQ43" s="214"/>
      <c r="TIR43" s="214"/>
      <c r="TIS43" s="214"/>
      <c r="TIT43" s="214"/>
      <c r="TIU43" s="214"/>
      <c r="TIV43" s="214"/>
      <c r="TIW43" s="214"/>
      <c r="TIX43" s="214"/>
      <c r="TIY43" s="214"/>
      <c r="TIZ43" s="214"/>
      <c r="TJA43" s="214"/>
      <c r="TJB43" s="214"/>
      <c r="TJC43" s="214"/>
      <c r="TJD43" s="214"/>
      <c r="TJE43" s="214"/>
      <c r="TJF43" s="214"/>
      <c r="TJG43" s="214"/>
      <c r="TJH43" s="214"/>
      <c r="TJI43" s="214"/>
      <c r="TJJ43" s="214"/>
      <c r="TJK43" s="214"/>
      <c r="TJL43" s="214"/>
      <c r="TJM43" s="214"/>
      <c r="TJN43" s="214"/>
      <c r="TJO43" s="214"/>
      <c r="TJP43" s="214"/>
      <c r="TJQ43" s="214"/>
      <c r="TJR43" s="214"/>
      <c r="TJS43" s="214"/>
      <c r="TJT43" s="214"/>
      <c r="TJU43" s="214"/>
      <c r="TJV43" s="214"/>
      <c r="TJW43" s="214"/>
      <c r="TJX43" s="214"/>
      <c r="TJY43" s="214"/>
      <c r="TJZ43" s="214"/>
      <c r="TKA43" s="214"/>
      <c r="TKB43" s="214"/>
      <c r="TKC43" s="214"/>
      <c r="TKD43" s="214"/>
      <c r="TKE43" s="214"/>
      <c r="TKF43" s="214"/>
      <c r="TKG43" s="214"/>
      <c r="TKH43" s="214"/>
      <c r="TKI43" s="214"/>
      <c r="TKJ43" s="214"/>
      <c r="TKK43" s="214"/>
      <c r="TKL43" s="214"/>
      <c r="TKM43" s="214"/>
      <c r="TKN43" s="214"/>
      <c r="TKO43" s="214"/>
      <c r="TKP43" s="214"/>
      <c r="TKQ43" s="214"/>
      <c r="TKR43" s="214"/>
      <c r="TKS43" s="214"/>
      <c r="TKT43" s="214"/>
      <c r="TKU43" s="214"/>
      <c r="TKV43" s="214"/>
      <c r="TKW43" s="214"/>
      <c r="TKX43" s="214"/>
      <c r="TKY43" s="214"/>
      <c r="TKZ43" s="214"/>
      <c r="TLA43" s="214"/>
      <c r="TLB43" s="214"/>
      <c r="TLC43" s="214"/>
      <c r="TLD43" s="214"/>
      <c r="TLE43" s="214"/>
      <c r="TLF43" s="214"/>
      <c r="TLG43" s="214"/>
      <c r="TLH43" s="214"/>
      <c r="TLI43" s="214"/>
      <c r="TLJ43" s="214"/>
      <c r="TLK43" s="214"/>
      <c r="TLL43" s="214"/>
      <c r="TLM43" s="214"/>
      <c r="TLN43" s="214"/>
      <c r="TLO43" s="214"/>
      <c r="TLP43" s="214"/>
      <c r="TLQ43" s="214"/>
      <c r="TLR43" s="214"/>
      <c r="TLS43" s="214"/>
      <c r="TLT43" s="214"/>
      <c r="TLU43" s="214"/>
      <c r="TLV43" s="214"/>
      <c r="TLW43" s="214"/>
      <c r="TLX43" s="214"/>
      <c r="TLY43" s="214"/>
      <c r="TLZ43" s="214"/>
      <c r="TMA43" s="214"/>
      <c r="TMB43" s="214"/>
      <c r="TMC43" s="214"/>
      <c r="TMD43" s="214"/>
      <c r="TME43" s="214"/>
      <c r="TMF43" s="214"/>
      <c r="TMG43" s="214"/>
      <c r="TMH43" s="214"/>
      <c r="TMI43" s="214"/>
      <c r="TMJ43" s="214"/>
      <c r="TMK43" s="214"/>
      <c r="TML43" s="214"/>
      <c r="TMM43" s="214"/>
      <c r="TMN43" s="214"/>
      <c r="TMO43" s="214"/>
      <c r="TMP43" s="214"/>
      <c r="TMQ43" s="214"/>
      <c r="TMR43" s="214"/>
      <c r="TMS43" s="214"/>
      <c r="TMT43" s="214"/>
      <c r="TMU43" s="214"/>
      <c r="TMV43" s="214"/>
      <c r="TMW43" s="214"/>
      <c r="TMX43" s="214"/>
      <c r="TMY43" s="214"/>
      <c r="TMZ43" s="214"/>
      <c r="TNA43" s="214"/>
      <c r="TNB43" s="214"/>
      <c r="TNC43" s="214"/>
      <c r="TND43" s="214"/>
      <c r="TNE43" s="214"/>
      <c r="TNF43" s="214"/>
      <c r="TNG43" s="214"/>
      <c r="TNH43" s="214"/>
      <c r="TNI43" s="214"/>
      <c r="TNJ43" s="214"/>
      <c r="TNK43" s="214"/>
      <c r="TNL43" s="214"/>
      <c r="TNM43" s="214"/>
      <c r="TNN43" s="214"/>
      <c r="TNO43" s="214"/>
      <c r="TNP43" s="214"/>
      <c r="TNQ43" s="214"/>
      <c r="TNR43" s="214"/>
      <c r="TNS43" s="214"/>
      <c r="TNT43" s="214"/>
      <c r="TNU43" s="214"/>
      <c r="TNV43" s="214"/>
      <c r="TNW43" s="214"/>
      <c r="TNX43" s="214"/>
      <c r="TNY43" s="214"/>
      <c r="TNZ43" s="214"/>
      <c r="TOA43" s="214"/>
      <c r="TOB43" s="214"/>
      <c r="TOC43" s="214"/>
      <c r="TOD43" s="214"/>
      <c r="TOE43" s="214"/>
      <c r="TOF43" s="214"/>
      <c r="TOG43" s="214"/>
      <c r="TOH43" s="214"/>
      <c r="TOI43" s="214"/>
      <c r="TOJ43" s="214"/>
      <c r="TOK43" s="214"/>
      <c r="TOL43" s="214"/>
      <c r="TOM43" s="214"/>
      <c r="TON43" s="214"/>
      <c r="TOO43" s="214"/>
      <c r="TOP43" s="214"/>
      <c r="TOQ43" s="214"/>
      <c r="TOR43" s="214"/>
      <c r="TOS43" s="214"/>
      <c r="TOT43" s="214"/>
      <c r="TOU43" s="214"/>
      <c r="TOV43" s="214"/>
      <c r="TOW43" s="214"/>
      <c r="TOX43" s="214"/>
      <c r="TOY43" s="214"/>
      <c r="TOZ43" s="214"/>
      <c r="TPA43" s="214"/>
      <c r="TPB43" s="214"/>
      <c r="TPC43" s="214"/>
      <c r="TPD43" s="214"/>
      <c r="TPE43" s="214"/>
      <c r="TPF43" s="214"/>
      <c r="TPG43" s="214"/>
      <c r="TPH43" s="214"/>
      <c r="TPI43" s="214"/>
      <c r="TPJ43" s="214"/>
      <c r="TPK43" s="214"/>
      <c r="TPL43" s="214"/>
      <c r="TPM43" s="214"/>
      <c r="TPN43" s="214"/>
      <c r="TPO43" s="214"/>
      <c r="TPP43" s="214"/>
      <c r="TPQ43" s="214"/>
      <c r="TPR43" s="214"/>
      <c r="TPS43" s="214"/>
      <c r="TPT43" s="214"/>
      <c r="TPU43" s="214"/>
      <c r="TPV43" s="214"/>
      <c r="TPW43" s="214"/>
      <c r="TPX43" s="214"/>
      <c r="TPY43" s="214"/>
      <c r="TPZ43" s="214"/>
      <c r="TQA43" s="214"/>
      <c r="TQB43" s="214"/>
      <c r="TQC43" s="214"/>
      <c r="TQD43" s="214"/>
      <c r="TQE43" s="214"/>
      <c r="TQF43" s="214"/>
      <c r="TQG43" s="214"/>
      <c r="TQH43" s="214"/>
      <c r="TQI43" s="214"/>
      <c r="TQJ43" s="214"/>
      <c r="TQK43" s="214"/>
      <c r="TQL43" s="214"/>
      <c r="TQM43" s="214"/>
      <c r="TQN43" s="214"/>
      <c r="TQO43" s="214"/>
      <c r="TQP43" s="214"/>
      <c r="TQQ43" s="214"/>
      <c r="TQR43" s="214"/>
      <c r="TQS43" s="214"/>
      <c r="TQT43" s="214"/>
      <c r="TQU43" s="214"/>
      <c r="TQV43" s="214"/>
      <c r="TQW43" s="214"/>
      <c r="TQX43" s="214"/>
      <c r="TQY43" s="214"/>
      <c r="TQZ43" s="214"/>
      <c r="TRA43" s="214"/>
      <c r="TRB43" s="214"/>
      <c r="TRC43" s="214"/>
      <c r="TRD43" s="214"/>
      <c r="TRE43" s="214"/>
      <c r="TRF43" s="214"/>
      <c r="TRG43" s="214"/>
      <c r="TRH43" s="214"/>
      <c r="TRI43" s="214"/>
      <c r="TRJ43" s="214"/>
      <c r="TRK43" s="214"/>
      <c r="TRL43" s="214"/>
      <c r="TRM43" s="214"/>
      <c r="TRN43" s="214"/>
      <c r="TRO43" s="214"/>
      <c r="TRP43" s="214"/>
      <c r="TRQ43" s="214"/>
      <c r="TRR43" s="214"/>
      <c r="TRS43" s="214"/>
      <c r="TRT43" s="214"/>
      <c r="TRU43" s="214"/>
      <c r="TRV43" s="214"/>
      <c r="TRW43" s="214"/>
      <c r="TRX43" s="214"/>
      <c r="TRY43" s="214"/>
      <c r="TRZ43" s="214"/>
      <c r="TSA43" s="214"/>
      <c r="TSB43" s="214"/>
      <c r="TSC43" s="214"/>
      <c r="TSD43" s="214"/>
      <c r="TSE43" s="214"/>
      <c r="TSF43" s="214"/>
      <c r="TSG43" s="214"/>
      <c r="TSH43" s="214"/>
      <c r="TSI43" s="214"/>
      <c r="TSJ43" s="214"/>
      <c r="TSK43" s="214"/>
      <c r="TSL43" s="214"/>
      <c r="TSM43" s="214"/>
      <c r="TSN43" s="214"/>
      <c r="TSO43" s="214"/>
      <c r="TSP43" s="214"/>
      <c r="TSQ43" s="214"/>
      <c r="TSR43" s="214"/>
      <c r="TSS43" s="214"/>
      <c r="TST43" s="214"/>
      <c r="TSU43" s="214"/>
      <c r="TSV43" s="214"/>
      <c r="TSW43" s="214"/>
      <c r="TSX43" s="214"/>
      <c r="TSY43" s="214"/>
      <c r="TSZ43" s="214"/>
      <c r="TTA43" s="214"/>
      <c r="TTB43" s="214"/>
      <c r="TTC43" s="214"/>
      <c r="TTD43" s="214"/>
      <c r="TTE43" s="214"/>
      <c r="TTF43" s="214"/>
      <c r="TTG43" s="214"/>
      <c r="TTH43" s="214"/>
      <c r="TTI43" s="214"/>
      <c r="TTJ43" s="214"/>
      <c r="TTK43" s="214"/>
      <c r="TTL43" s="214"/>
      <c r="TTM43" s="214"/>
      <c r="TTN43" s="214"/>
      <c r="TTO43" s="214"/>
      <c r="TTP43" s="214"/>
      <c r="TTQ43" s="214"/>
      <c r="TTR43" s="214"/>
      <c r="TTS43" s="214"/>
      <c r="TTT43" s="214"/>
      <c r="TTU43" s="214"/>
      <c r="TTV43" s="214"/>
      <c r="TTW43" s="214"/>
      <c r="TTX43" s="214"/>
      <c r="TTY43" s="214"/>
      <c r="TTZ43" s="214"/>
      <c r="TUA43" s="214"/>
      <c r="TUB43" s="214"/>
      <c r="TUC43" s="214"/>
      <c r="TUD43" s="214"/>
      <c r="TUE43" s="214"/>
      <c r="TUF43" s="214"/>
      <c r="TUG43" s="214"/>
      <c r="TUH43" s="214"/>
      <c r="TUI43" s="214"/>
      <c r="TUJ43" s="214"/>
      <c r="TUK43" s="214"/>
      <c r="TUL43" s="214"/>
      <c r="TUM43" s="214"/>
      <c r="TUN43" s="214"/>
      <c r="TUO43" s="214"/>
      <c r="TUP43" s="214"/>
      <c r="TUQ43" s="214"/>
      <c r="TUR43" s="214"/>
      <c r="TUS43" s="214"/>
      <c r="TUT43" s="214"/>
      <c r="TUU43" s="214"/>
      <c r="TUV43" s="214"/>
      <c r="TUW43" s="214"/>
      <c r="TUX43" s="214"/>
      <c r="TUY43" s="214"/>
      <c r="TUZ43" s="214"/>
      <c r="TVA43" s="214"/>
      <c r="TVB43" s="214"/>
      <c r="TVC43" s="214"/>
      <c r="TVD43" s="214"/>
      <c r="TVE43" s="214"/>
      <c r="TVF43" s="214"/>
      <c r="TVG43" s="214"/>
      <c r="TVH43" s="214"/>
      <c r="TVI43" s="214"/>
      <c r="TVJ43" s="214"/>
      <c r="TVK43" s="214"/>
      <c r="TVL43" s="214"/>
      <c r="TVM43" s="214"/>
      <c r="TVN43" s="214"/>
      <c r="TVO43" s="214"/>
      <c r="TVP43" s="214"/>
      <c r="TVQ43" s="214"/>
      <c r="TVR43" s="214"/>
      <c r="TVS43" s="214"/>
      <c r="TVT43" s="214"/>
      <c r="TVU43" s="214"/>
      <c r="TVV43" s="214"/>
      <c r="TVW43" s="214"/>
      <c r="TVX43" s="214"/>
      <c r="TVY43" s="214"/>
      <c r="TVZ43" s="214"/>
      <c r="TWA43" s="214"/>
      <c r="TWB43" s="214"/>
      <c r="TWC43" s="214"/>
      <c r="TWD43" s="214"/>
      <c r="TWE43" s="214"/>
      <c r="TWF43" s="214"/>
      <c r="TWG43" s="214"/>
      <c r="TWH43" s="214"/>
      <c r="TWI43" s="214"/>
      <c r="TWJ43" s="214"/>
      <c r="TWK43" s="214"/>
      <c r="TWL43" s="214"/>
      <c r="TWM43" s="214"/>
      <c r="TWN43" s="214"/>
      <c r="TWO43" s="214"/>
      <c r="TWP43" s="214"/>
      <c r="TWQ43" s="214"/>
      <c r="TWR43" s="214"/>
      <c r="TWS43" s="214"/>
      <c r="TWT43" s="214"/>
      <c r="TWU43" s="214"/>
      <c r="TWV43" s="214"/>
      <c r="TWW43" s="214"/>
      <c r="TWX43" s="214"/>
      <c r="TWY43" s="214"/>
      <c r="TWZ43" s="214"/>
      <c r="TXA43" s="214"/>
      <c r="TXB43" s="214"/>
      <c r="TXC43" s="214"/>
      <c r="TXD43" s="214"/>
      <c r="TXE43" s="214"/>
      <c r="TXF43" s="214"/>
      <c r="TXG43" s="214"/>
      <c r="TXH43" s="214"/>
      <c r="TXI43" s="214"/>
      <c r="TXJ43" s="214"/>
      <c r="TXK43" s="214"/>
      <c r="TXL43" s="214"/>
      <c r="TXM43" s="214"/>
      <c r="TXN43" s="214"/>
      <c r="TXO43" s="214"/>
      <c r="TXP43" s="214"/>
      <c r="TXQ43" s="214"/>
      <c r="TXR43" s="214"/>
      <c r="TXS43" s="214"/>
      <c r="TXT43" s="214"/>
      <c r="TXU43" s="214"/>
      <c r="TXV43" s="214"/>
      <c r="TXW43" s="214"/>
      <c r="TXX43" s="214"/>
      <c r="TXY43" s="214"/>
      <c r="TXZ43" s="214"/>
      <c r="TYA43" s="214"/>
      <c r="TYB43" s="214"/>
      <c r="TYC43" s="214"/>
      <c r="TYD43" s="214"/>
      <c r="TYE43" s="214"/>
      <c r="TYF43" s="214"/>
      <c r="TYG43" s="214"/>
      <c r="TYH43" s="214"/>
      <c r="TYI43" s="214"/>
      <c r="TYJ43" s="214"/>
      <c r="TYK43" s="214"/>
      <c r="TYL43" s="214"/>
      <c r="TYM43" s="214"/>
      <c r="TYN43" s="214"/>
      <c r="TYO43" s="214"/>
      <c r="TYP43" s="214"/>
      <c r="TYQ43" s="214"/>
      <c r="TYR43" s="214"/>
      <c r="TYS43" s="214"/>
      <c r="TYT43" s="214"/>
      <c r="TYU43" s="214"/>
      <c r="TYV43" s="214"/>
      <c r="TYW43" s="214"/>
      <c r="TYX43" s="214"/>
      <c r="TYY43" s="214"/>
      <c r="TYZ43" s="214"/>
      <c r="TZA43" s="214"/>
      <c r="TZB43" s="214"/>
      <c r="TZC43" s="214"/>
      <c r="TZD43" s="214"/>
      <c r="TZE43" s="214"/>
      <c r="TZF43" s="214"/>
      <c r="TZG43" s="214"/>
      <c r="TZH43" s="214"/>
      <c r="TZI43" s="214"/>
      <c r="TZJ43" s="214"/>
      <c r="TZK43" s="214"/>
      <c r="TZL43" s="214"/>
      <c r="TZM43" s="214"/>
      <c r="TZN43" s="214"/>
      <c r="TZO43" s="214"/>
      <c r="TZP43" s="214"/>
      <c r="TZQ43" s="214"/>
      <c r="TZR43" s="214"/>
      <c r="TZS43" s="214"/>
      <c r="TZT43" s="214"/>
      <c r="TZU43" s="214"/>
      <c r="TZV43" s="214"/>
      <c r="TZW43" s="214"/>
      <c r="TZX43" s="214"/>
      <c r="TZY43" s="214"/>
      <c r="TZZ43" s="214"/>
      <c r="UAA43" s="214"/>
      <c r="UAB43" s="214"/>
      <c r="UAC43" s="214"/>
      <c r="UAD43" s="214"/>
      <c r="UAE43" s="214"/>
      <c r="UAF43" s="214"/>
      <c r="UAG43" s="214"/>
      <c r="UAH43" s="214"/>
      <c r="UAI43" s="214"/>
      <c r="UAJ43" s="214"/>
      <c r="UAK43" s="214"/>
      <c r="UAL43" s="214"/>
      <c r="UAM43" s="214"/>
      <c r="UAN43" s="214"/>
      <c r="UAO43" s="214"/>
      <c r="UAP43" s="214"/>
      <c r="UAQ43" s="214"/>
      <c r="UAR43" s="214"/>
      <c r="UAS43" s="214"/>
      <c r="UAT43" s="214"/>
      <c r="UAU43" s="214"/>
      <c r="UAV43" s="214"/>
      <c r="UAW43" s="214"/>
      <c r="UAX43" s="214"/>
      <c r="UAY43" s="214"/>
      <c r="UAZ43" s="214"/>
      <c r="UBA43" s="214"/>
      <c r="UBB43" s="214"/>
      <c r="UBC43" s="214"/>
      <c r="UBD43" s="214"/>
      <c r="UBE43" s="214"/>
      <c r="UBF43" s="214"/>
      <c r="UBG43" s="214"/>
      <c r="UBH43" s="214"/>
      <c r="UBI43" s="214"/>
      <c r="UBJ43" s="214"/>
      <c r="UBK43" s="214"/>
      <c r="UBL43" s="214"/>
      <c r="UBM43" s="214"/>
      <c r="UBN43" s="214"/>
      <c r="UBO43" s="214"/>
      <c r="UBP43" s="214"/>
      <c r="UBQ43" s="214"/>
      <c r="UBR43" s="214"/>
      <c r="UBS43" s="214"/>
      <c r="UBT43" s="214"/>
      <c r="UBU43" s="214"/>
      <c r="UBV43" s="214"/>
      <c r="UBW43" s="214"/>
      <c r="UBX43" s="214"/>
      <c r="UBY43" s="214"/>
      <c r="UBZ43" s="214"/>
      <c r="UCA43" s="214"/>
      <c r="UCB43" s="214"/>
      <c r="UCC43" s="214"/>
      <c r="UCD43" s="214"/>
      <c r="UCE43" s="214"/>
      <c r="UCF43" s="214"/>
      <c r="UCG43" s="214"/>
      <c r="UCH43" s="214"/>
      <c r="UCI43" s="214"/>
      <c r="UCJ43" s="214"/>
      <c r="UCK43" s="214"/>
      <c r="UCL43" s="214"/>
      <c r="UCM43" s="214"/>
      <c r="UCN43" s="214"/>
      <c r="UCO43" s="214"/>
      <c r="UCP43" s="214"/>
      <c r="UCQ43" s="214"/>
      <c r="UCR43" s="214"/>
      <c r="UCS43" s="214"/>
      <c r="UCT43" s="214"/>
      <c r="UCU43" s="214"/>
      <c r="UCV43" s="214"/>
      <c r="UCW43" s="214"/>
      <c r="UCX43" s="214"/>
      <c r="UCY43" s="214"/>
      <c r="UCZ43" s="214"/>
      <c r="UDA43" s="214"/>
      <c r="UDB43" s="214"/>
      <c r="UDC43" s="214"/>
      <c r="UDD43" s="214"/>
      <c r="UDE43" s="214"/>
      <c r="UDF43" s="214"/>
      <c r="UDG43" s="214"/>
      <c r="UDH43" s="214"/>
      <c r="UDI43" s="214"/>
      <c r="UDJ43" s="214"/>
      <c r="UDK43" s="214"/>
      <c r="UDL43" s="214"/>
      <c r="UDM43" s="214"/>
      <c r="UDN43" s="214"/>
      <c r="UDO43" s="214"/>
      <c r="UDP43" s="214"/>
      <c r="UDQ43" s="214"/>
      <c r="UDR43" s="214"/>
      <c r="UDS43" s="214"/>
      <c r="UDT43" s="214"/>
      <c r="UDU43" s="214"/>
      <c r="UDV43" s="214"/>
      <c r="UDW43" s="214"/>
      <c r="UDX43" s="214"/>
      <c r="UDY43" s="214"/>
      <c r="UDZ43" s="214"/>
      <c r="UEA43" s="214"/>
      <c r="UEB43" s="214"/>
      <c r="UEC43" s="214"/>
      <c r="UED43" s="214"/>
      <c r="UEE43" s="214"/>
      <c r="UEF43" s="214"/>
      <c r="UEG43" s="214"/>
      <c r="UEH43" s="214"/>
      <c r="UEI43" s="214"/>
      <c r="UEJ43" s="214"/>
      <c r="UEK43" s="214"/>
      <c r="UEL43" s="214"/>
      <c r="UEM43" s="214"/>
      <c r="UEN43" s="214"/>
      <c r="UEO43" s="214"/>
      <c r="UEP43" s="214"/>
      <c r="UEQ43" s="214"/>
      <c r="UER43" s="214"/>
      <c r="UES43" s="214"/>
      <c r="UET43" s="214"/>
      <c r="UEU43" s="214"/>
      <c r="UEV43" s="214"/>
      <c r="UEW43" s="214"/>
      <c r="UEX43" s="214"/>
      <c r="UEY43" s="214"/>
      <c r="UEZ43" s="214"/>
      <c r="UFA43" s="214"/>
      <c r="UFB43" s="214"/>
      <c r="UFC43" s="214"/>
      <c r="UFD43" s="214"/>
      <c r="UFE43" s="214"/>
      <c r="UFF43" s="214"/>
      <c r="UFG43" s="214"/>
      <c r="UFH43" s="214"/>
      <c r="UFI43" s="214"/>
      <c r="UFJ43" s="214"/>
      <c r="UFK43" s="214"/>
      <c r="UFL43" s="214"/>
      <c r="UFM43" s="214"/>
      <c r="UFN43" s="214"/>
      <c r="UFO43" s="214"/>
      <c r="UFP43" s="214"/>
      <c r="UFQ43" s="214"/>
      <c r="UFR43" s="214"/>
      <c r="UFS43" s="214"/>
      <c r="UFT43" s="214"/>
      <c r="UFU43" s="214"/>
      <c r="UFV43" s="214"/>
      <c r="UFW43" s="214"/>
      <c r="UFX43" s="214"/>
      <c r="UFY43" s="214"/>
      <c r="UFZ43" s="214"/>
      <c r="UGA43" s="214"/>
      <c r="UGB43" s="214"/>
      <c r="UGC43" s="214"/>
      <c r="UGD43" s="214"/>
      <c r="UGE43" s="214"/>
      <c r="UGF43" s="214"/>
      <c r="UGG43" s="214"/>
      <c r="UGH43" s="214"/>
      <c r="UGI43" s="214"/>
      <c r="UGJ43" s="214"/>
      <c r="UGK43" s="214"/>
      <c r="UGL43" s="214"/>
      <c r="UGM43" s="214"/>
      <c r="UGN43" s="214"/>
      <c r="UGO43" s="214"/>
      <c r="UGP43" s="214"/>
      <c r="UGQ43" s="214"/>
      <c r="UGR43" s="214"/>
      <c r="UGS43" s="214"/>
      <c r="UGT43" s="214"/>
      <c r="UGU43" s="214"/>
      <c r="UGV43" s="214"/>
      <c r="UGW43" s="214"/>
      <c r="UGX43" s="214"/>
      <c r="UGY43" s="214"/>
      <c r="UGZ43" s="214"/>
      <c r="UHA43" s="214"/>
      <c r="UHB43" s="214"/>
      <c r="UHC43" s="214"/>
      <c r="UHD43" s="214"/>
      <c r="UHE43" s="214"/>
      <c r="UHF43" s="214"/>
      <c r="UHG43" s="214"/>
      <c r="UHH43" s="214"/>
      <c r="UHI43" s="214"/>
      <c r="UHJ43" s="214"/>
      <c r="UHK43" s="214"/>
      <c r="UHL43" s="214"/>
      <c r="UHM43" s="214"/>
      <c r="UHN43" s="214"/>
      <c r="UHO43" s="214"/>
      <c r="UHP43" s="214"/>
      <c r="UHQ43" s="214"/>
      <c r="UHR43" s="214"/>
      <c r="UHS43" s="214"/>
      <c r="UHT43" s="214"/>
      <c r="UHU43" s="214"/>
      <c r="UHV43" s="214"/>
      <c r="UHW43" s="214"/>
      <c r="UHX43" s="214"/>
      <c r="UHY43" s="214"/>
      <c r="UHZ43" s="214"/>
      <c r="UIA43" s="214"/>
      <c r="UIB43" s="214"/>
      <c r="UIC43" s="214"/>
      <c r="UID43" s="214"/>
      <c r="UIE43" s="214"/>
      <c r="UIF43" s="214"/>
      <c r="UIG43" s="214"/>
      <c r="UIH43" s="214"/>
      <c r="UII43" s="214"/>
      <c r="UIJ43" s="214"/>
      <c r="UIK43" s="214"/>
      <c r="UIL43" s="214"/>
      <c r="UIM43" s="214"/>
      <c r="UIN43" s="214"/>
      <c r="UIO43" s="214"/>
      <c r="UIP43" s="214"/>
      <c r="UIQ43" s="214"/>
      <c r="UIR43" s="214"/>
      <c r="UIS43" s="214"/>
      <c r="UIT43" s="214"/>
      <c r="UIU43" s="214"/>
      <c r="UIV43" s="214"/>
      <c r="UIW43" s="214"/>
      <c r="UIX43" s="214"/>
      <c r="UIY43" s="214"/>
      <c r="UIZ43" s="214"/>
      <c r="UJA43" s="214"/>
      <c r="UJB43" s="214"/>
      <c r="UJC43" s="214"/>
      <c r="UJD43" s="214"/>
      <c r="UJE43" s="214"/>
      <c r="UJF43" s="214"/>
      <c r="UJG43" s="214"/>
      <c r="UJH43" s="214"/>
      <c r="UJI43" s="214"/>
      <c r="UJJ43" s="214"/>
      <c r="UJK43" s="214"/>
      <c r="UJL43" s="214"/>
      <c r="UJM43" s="214"/>
      <c r="UJN43" s="214"/>
      <c r="UJO43" s="214"/>
      <c r="UJP43" s="214"/>
      <c r="UJQ43" s="214"/>
      <c r="UJR43" s="214"/>
      <c r="UJS43" s="214"/>
      <c r="UJT43" s="214"/>
      <c r="UJU43" s="214"/>
      <c r="UJV43" s="214"/>
      <c r="UJW43" s="214"/>
      <c r="UJX43" s="214"/>
      <c r="UJY43" s="214"/>
      <c r="UJZ43" s="214"/>
      <c r="UKA43" s="214"/>
      <c r="UKB43" s="214"/>
      <c r="UKC43" s="214"/>
      <c r="UKD43" s="214"/>
      <c r="UKE43" s="214"/>
      <c r="UKF43" s="214"/>
      <c r="UKG43" s="214"/>
      <c r="UKH43" s="214"/>
      <c r="UKI43" s="214"/>
      <c r="UKJ43" s="214"/>
      <c r="UKK43" s="214"/>
      <c r="UKL43" s="214"/>
      <c r="UKM43" s="214"/>
      <c r="UKN43" s="214"/>
      <c r="UKO43" s="214"/>
      <c r="UKP43" s="214"/>
      <c r="UKQ43" s="214"/>
      <c r="UKR43" s="214"/>
      <c r="UKS43" s="214"/>
      <c r="UKT43" s="214"/>
      <c r="UKU43" s="214"/>
      <c r="UKV43" s="214"/>
      <c r="UKW43" s="214"/>
      <c r="UKX43" s="214"/>
      <c r="UKY43" s="214"/>
      <c r="UKZ43" s="214"/>
      <c r="ULA43" s="214"/>
      <c r="ULB43" s="214"/>
      <c r="ULC43" s="214"/>
      <c r="ULD43" s="214"/>
      <c r="ULE43" s="214"/>
      <c r="ULF43" s="214"/>
      <c r="ULG43" s="214"/>
      <c r="ULH43" s="214"/>
      <c r="ULI43" s="214"/>
      <c r="ULJ43" s="214"/>
      <c r="ULK43" s="214"/>
      <c r="ULL43" s="214"/>
      <c r="ULM43" s="214"/>
      <c r="ULN43" s="214"/>
      <c r="ULO43" s="214"/>
      <c r="ULP43" s="214"/>
      <c r="ULQ43" s="214"/>
      <c r="ULR43" s="214"/>
      <c r="ULS43" s="214"/>
      <c r="ULT43" s="214"/>
      <c r="ULU43" s="214"/>
      <c r="ULV43" s="214"/>
      <c r="ULW43" s="214"/>
      <c r="ULX43" s="214"/>
      <c r="ULY43" s="214"/>
      <c r="ULZ43" s="214"/>
      <c r="UMA43" s="214"/>
      <c r="UMB43" s="214"/>
      <c r="UMC43" s="214"/>
      <c r="UMD43" s="214"/>
      <c r="UME43" s="214"/>
      <c r="UMF43" s="214"/>
      <c r="UMG43" s="214"/>
      <c r="UMH43" s="214"/>
      <c r="UMI43" s="214"/>
      <c r="UMJ43" s="214"/>
      <c r="UMK43" s="214"/>
      <c r="UML43" s="214"/>
      <c r="UMM43" s="214"/>
      <c r="UMN43" s="214"/>
      <c r="UMO43" s="214"/>
      <c r="UMP43" s="214"/>
      <c r="UMQ43" s="214"/>
      <c r="UMR43" s="214"/>
      <c r="UMS43" s="214"/>
      <c r="UMT43" s="214"/>
      <c r="UMU43" s="214"/>
      <c r="UMV43" s="214"/>
      <c r="UMW43" s="214"/>
      <c r="UMX43" s="214"/>
      <c r="UMY43" s="214"/>
      <c r="UMZ43" s="214"/>
      <c r="UNA43" s="214"/>
      <c r="UNB43" s="214"/>
      <c r="UNC43" s="214"/>
      <c r="UND43" s="214"/>
      <c r="UNE43" s="214"/>
      <c r="UNF43" s="214"/>
      <c r="UNG43" s="214"/>
      <c r="UNH43" s="214"/>
      <c r="UNI43" s="214"/>
      <c r="UNJ43" s="214"/>
      <c r="UNK43" s="214"/>
      <c r="UNL43" s="214"/>
      <c r="UNM43" s="214"/>
      <c r="UNN43" s="214"/>
      <c r="UNO43" s="214"/>
      <c r="UNP43" s="214"/>
      <c r="UNQ43" s="214"/>
      <c r="UNR43" s="214"/>
      <c r="UNS43" s="214"/>
      <c r="UNT43" s="214"/>
      <c r="UNU43" s="214"/>
      <c r="UNV43" s="214"/>
      <c r="UNW43" s="214"/>
      <c r="UNX43" s="214"/>
      <c r="UNY43" s="214"/>
      <c r="UNZ43" s="214"/>
      <c r="UOA43" s="214"/>
      <c r="UOB43" s="214"/>
      <c r="UOC43" s="214"/>
      <c r="UOD43" s="214"/>
      <c r="UOE43" s="214"/>
      <c r="UOF43" s="214"/>
      <c r="UOG43" s="214"/>
      <c r="UOH43" s="214"/>
      <c r="UOI43" s="214"/>
      <c r="UOJ43" s="214"/>
      <c r="UOK43" s="214"/>
      <c r="UOL43" s="214"/>
      <c r="UOM43" s="214"/>
      <c r="UON43" s="214"/>
      <c r="UOO43" s="214"/>
      <c r="UOP43" s="214"/>
      <c r="UOQ43" s="214"/>
      <c r="UOR43" s="214"/>
      <c r="UOS43" s="214"/>
      <c r="UOT43" s="214"/>
      <c r="UOU43" s="214"/>
      <c r="UOV43" s="214"/>
      <c r="UOW43" s="214"/>
      <c r="UOX43" s="214"/>
      <c r="UOY43" s="214"/>
      <c r="UOZ43" s="214"/>
      <c r="UPA43" s="214"/>
      <c r="UPB43" s="214"/>
      <c r="UPC43" s="214"/>
      <c r="UPD43" s="214"/>
      <c r="UPE43" s="214"/>
      <c r="UPF43" s="214"/>
      <c r="UPG43" s="214"/>
      <c r="UPH43" s="214"/>
      <c r="UPI43" s="214"/>
      <c r="UPJ43" s="214"/>
      <c r="UPK43" s="214"/>
      <c r="UPL43" s="214"/>
      <c r="UPM43" s="214"/>
      <c r="UPN43" s="214"/>
      <c r="UPO43" s="214"/>
      <c r="UPP43" s="214"/>
      <c r="UPQ43" s="214"/>
      <c r="UPR43" s="214"/>
      <c r="UPS43" s="214"/>
      <c r="UPT43" s="214"/>
      <c r="UPU43" s="214"/>
      <c r="UPV43" s="214"/>
      <c r="UPW43" s="214"/>
      <c r="UPX43" s="214"/>
      <c r="UPY43" s="214"/>
      <c r="UPZ43" s="214"/>
      <c r="UQA43" s="214"/>
      <c r="UQB43" s="214"/>
      <c r="UQC43" s="214"/>
      <c r="UQD43" s="214"/>
      <c r="UQE43" s="214"/>
      <c r="UQF43" s="214"/>
      <c r="UQG43" s="214"/>
      <c r="UQH43" s="214"/>
      <c r="UQI43" s="214"/>
      <c r="UQJ43" s="214"/>
      <c r="UQK43" s="214"/>
      <c r="UQL43" s="214"/>
      <c r="UQM43" s="214"/>
      <c r="UQN43" s="214"/>
      <c r="UQO43" s="214"/>
      <c r="UQP43" s="214"/>
      <c r="UQQ43" s="214"/>
      <c r="UQR43" s="214"/>
      <c r="UQS43" s="214"/>
      <c r="UQT43" s="214"/>
      <c r="UQU43" s="214"/>
      <c r="UQV43" s="214"/>
      <c r="UQW43" s="214"/>
      <c r="UQX43" s="214"/>
      <c r="UQY43" s="214"/>
      <c r="UQZ43" s="214"/>
      <c r="URA43" s="214"/>
      <c r="URB43" s="214"/>
      <c r="URC43" s="214"/>
      <c r="URD43" s="214"/>
      <c r="URE43" s="214"/>
      <c r="URF43" s="214"/>
      <c r="URG43" s="214"/>
      <c r="URH43" s="214"/>
      <c r="URI43" s="214"/>
      <c r="URJ43" s="214"/>
      <c r="URK43" s="214"/>
      <c r="URL43" s="214"/>
      <c r="URM43" s="214"/>
      <c r="URN43" s="214"/>
      <c r="URO43" s="214"/>
      <c r="URP43" s="214"/>
      <c r="URQ43" s="214"/>
      <c r="URR43" s="214"/>
      <c r="URS43" s="214"/>
      <c r="URT43" s="214"/>
      <c r="URU43" s="214"/>
      <c r="URV43" s="214"/>
      <c r="URW43" s="214"/>
      <c r="URX43" s="214"/>
      <c r="URY43" s="214"/>
      <c r="URZ43" s="214"/>
      <c r="USA43" s="214"/>
      <c r="USB43" s="214"/>
      <c r="USC43" s="214"/>
      <c r="USD43" s="214"/>
      <c r="USE43" s="214"/>
      <c r="USF43" s="214"/>
      <c r="USG43" s="214"/>
      <c r="USH43" s="214"/>
      <c r="USI43" s="214"/>
      <c r="USJ43" s="214"/>
      <c r="USK43" s="214"/>
      <c r="USL43" s="214"/>
      <c r="USM43" s="214"/>
      <c r="USN43" s="214"/>
      <c r="USO43" s="214"/>
      <c r="USP43" s="214"/>
      <c r="USQ43" s="214"/>
      <c r="USR43" s="214"/>
      <c r="USS43" s="214"/>
      <c r="UST43" s="214"/>
      <c r="USU43" s="214"/>
      <c r="USV43" s="214"/>
      <c r="USW43" s="214"/>
      <c r="USX43" s="214"/>
      <c r="USY43" s="214"/>
      <c r="USZ43" s="214"/>
      <c r="UTA43" s="214"/>
      <c r="UTB43" s="214"/>
      <c r="UTC43" s="214"/>
      <c r="UTD43" s="214"/>
      <c r="UTE43" s="214"/>
      <c r="UTF43" s="214"/>
      <c r="UTG43" s="214"/>
      <c r="UTH43" s="214"/>
      <c r="UTI43" s="214"/>
      <c r="UTJ43" s="214"/>
      <c r="UTK43" s="214"/>
      <c r="UTL43" s="214"/>
      <c r="UTM43" s="214"/>
      <c r="UTN43" s="214"/>
      <c r="UTO43" s="214"/>
      <c r="UTP43" s="214"/>
      <c r="UTQ43" s="214"/>
      <c r="UTR43" s="214"/>
      <c r="UTS43" s="214"/>
      <c r="UTT43" s="214"/>
      <c r="UTU43" s="214"/>
      <c r="UTV43" s="214"/>
      <c r="UTW43" s="214"/>
      <c r="UTX43" s="214"/>
      <c r="UTY43" s="214"/>
      <c r="UTZ43" s="214"/>
      <c r="UUA43" s="214"/>
      <c r="UUB43" s="214"/>
      <c r="UUC43" s="214"/>
      <c r="UUD43" s="214"/>
      <c r="UUE43" s="214"/>
      <c r="UUF43" s="214"/>
      <c r="UUG43" s="214"/>
      <c r="UUH43" s="214"/>
      <c r="UUI43" s="214"/>
      <c r="UUJ43" s="214"/>
      <c r="UUK43" s="214"/>
      <c r="UUL43" s="214"/>
      <c r="UUM43" s="214"/>
      <c r="UUN43" s="214"/>
      <c r="UUO43" s="214"/>
      <c r="UUP43" s="214"/>
      <c r="UUQ43" s="214"/>
      <c r="UUR43" s="214"/>
      <c r="UUS43" s="214"/>
      <c r="UUT43" s="214"/>
      <c r="UUU43" s="214"/>
      <c r="UUV43" s="214"/>
      <c r="UUW43" s="214"/>
      <c r="UUX43" s="214"/>
      <c r="UUY43" s="214"/>
      <c r="UUZ43" s="214"/>
      <c r="UVA43" s="214"/>
      <c r="UVB43" s="214"/>
      <c r="UVC43" s="214"/>
      <c r="UVD43" s="214"/>
      <c r="UVE43" s="214"/>
      <c r="UVF43" s="214"/>
      <c r="UVG43" s="214"/>
      <c r="UVH43" s="214"/>
      <c r="UVI43" s="214"/>
      <c r="UVJ43" s="214"/>
      <c r="UVK43" s="214"/>
      <c r="UVL43" s="214"/>
      <c r="UVM43" s="214"/>
      <c r="UVN43" s="214"/>
      <c r="UVO43" s="214"/>
      <c r="UVP43" s="214"/>
      <c r="UVQ43" s="214"/>
      <c r="UVR43" s="214"/>
      <c r="UVS43" s="214"/>
      <c r="UVT43" s="214"/>
      <c r="UVU43" s="214"/>
      <c r="UVV43" s="214"/>
      <c r="UVW43" s="214"/>
      <c r="UVX43" s="214"/>
      <c r="UVY43" s="214"/>
      <c r="UVZ43" s="214"/>
      <c r="UWA43" s="214"/>
      <c r="UWB43" s="214"/>
      <c r="UWC43" s="214"/>
      <c r="UWD43" s="214"/>
      <c r="UWE43" s="214"/>
      <c r="UWF43" s="214"/>
      <c r="UWG43" s="214"/>
      <c r="UWH43" s="214"/>
      <c r="UWI43" s="214"/>
      <c r="UWJ43" s="214"/>
      <c r="UWK43" s="214"/>
      <c r="UWL43" s="214"/>
      <c r="UWM43" s="214"/>
      <c r="UWN43" s="214"/>
      <c r="UWO43" s="214"/>
      <c r="UWP43" s="214"/>
      <c r="UWQ43" s="214"/>
      <c r="UWR43" s="214"/>
      <c r="UWS43" s="214"/>
      <c r="UWT43" s="214"/>
      <c r="UWU43" s="214"/>
      <c r="UWV43" s="214"/>
      <c r="UWW43" s="214"/>
      <c r="UWX43" s="214"/>
      <c r="UWY43" s="214"/>
      <c r="UWZ43" s="214"/>
      <c r="UXA43" s="214"/>
      <c r="UXB43" s="214"/>
      <c r="UXC43" s="214"/>
      <c r="UXD43" s="214"/>
      <c r="UXE43" s="214"/>
      <c r="UXF43" s="214"/>
      <c r="UXG43" s="214"/>
      <c r="UXH43" s="214"/>
      <c r="UXI43" s="214"/>
      <c r="UXJ43" s="214"/>
      <c r="UXK43" s="214"/>
      <c r="UXL43" s="214"/>
      <c r="UXM43" s="214"/>
      <c r="UXN43" s="214"/>
      <c r="UXO43" s="214"/>
      <c r="UXP43" s="214"/>
      <c r="UXQ43" s="214"/>
      <c r="UXR43" s="214"/>
      <c r="UXS43" s="214"/>
      <c r="UXT43" s="214"/>
      <c r="UXU43" s="214"/>
      <c r="UXV43" s="214"/>
      <c r="UXW43" s="214"/>
      <c r="UXX43" s="214"/>
      <c r="UXY43" s="214"/>
      <c r="UXZ43" s="214"/>
      <c r="UYA43" s="214"/>
      <c r="UYB43" s="214"/>
      <c r="UYC43" s="214"/>
      <c r="UYD43" s="214"/>
      <c r="UYE43" s="214"/>
      <c r="UYF43" s="214"/>
      <c r="UYG43" s="214"/>
      <c r="UYH43" s="214"/>
      <c r="UYI43" s="214"/>
      <c r="UYJ43" s="214"/>
      <c r="UYK43" s="214"/>
      <c r="UYL43" s="214"/>
      <c r="UYM43" s="214"/>
      <c r="UYN43" s="214"/>
      <c r="UYO43" s="214"/>
      <c r="UYP43" s="214"/>
      <c r="UYQ43" s="214"/>
      <c r="UYR43" s="214"/>
      <c r="UYS43" s="214"/>
      <c r="UYT43" s="214"/>
      <c r="UYU43" s="214"/>
      <c r="UYV43" s="214"/>
      <c r="UYW43" s="214"/>
      <c r="UYX43" s="214"/>
      <c r="UYY43" s="214"/>
      <c r="UYZ43" s="214"/>
      <c r="UZA43" s="214"/>
      <c r="UZB43" s="214"/>
      <c r="UZC43" s="214"/>
      <c r="UZD43" s="214"/>
      <c r="UZE43" s="214"/>
      <c r="UZF43" s="214"/>
      <c r="UZG43" s="214"/>
      <c r="UZH43" s="214"/>
      <c r="UZI43" s="214"/>
      <c r="UZJ43" s="214"/>
      <c r="UZK43" s="214"/>
      <c r="UZL43" s="214"/>
      <c r="UZM43" s="214"/>
      <c r="UZN43" s="214"/>
      <c r="UZO43" s="214"/>
      <c r="UZP43" s="214"/>
      <c r="UZQ43" s="214"/>
      <c r="UZR43" s="214"/>
      <c r="UZS43" s="214"/>
      <c r="UZT43" s="214"/>
      <c r="UZU43" s="214"/>
      <c r="UZV43" s="214"/>
      <c r="UZW43" s="214"/>
      <c r="UZX43" s="214"/>
      <c r="UZY43" s="214"/>
      <c r="UZZ43" s="214"/>
      <c r="VAA43" s="214"/>
      <c r="VAB43" s="214"/>
      <c r="VAC43" s="214"/>
      <c r="VAD43" s="214"/>
      <c r="VAE43" s="214"/>
      <c r="VAF43" s="214"/>
      <c r="VAG43" s="214"/>
      <c r="VAH43" s="214"/>
      <c r="VAI43" s="214"/>
      <c r="VAJ43" s="214"/>
      <c r="VAK43" s="214"/>
      <c r="VAL43" s="214"/>
      <c r="VAM43" s="214"/>
      <c r="VAN43" s="214"/>
      <c r="VAO43" s="214"/>
      <c r="VAP43" s="214"/>
      <c r="VAQ43" s="214"/>
      <c r="VAR43" s="214"/>
      <c r="VAS43" s="214"/>
      <c r="VAT43" s="214"/>
      <c r="VAU43" s="214"/>
      <c r="VAV43" s="214"/>
      <c r="VAW43" s="214"/>
      <c r="VAX43" s="214"/>
      <c r="VAY43" s="214"/>
      <c r="VAZ43" s="214"/>
      <c r="VBA43" s="214"/>
      <c r="VBB43" s="214"/>
      <c r="VBC43" s="214"/>
      <c r="VBD43" s="214"/>
      <c r="VBE43" s="214"/>
      <c r="VBF43" s="214"/>
      <c r="VBG43" s="214"/>
      <c r="VBH43" s="214"/>
      <c r="VBI43" s="214"/>
      <c r="VBJ43" s="214"/>
      <c r="VBK43" s="214"/>
      <c r="VBL43" s="214"/>
      <c r="VBM43" s="214"/>
      <c r="VBN43" s="214"/>
      <c r="VBO43" s="214"/>
      <c r="VBP43" s="214"/>
      <c r="VBQ43" s="214"/>
      <c r="VBR43" s="214"/>
      <c r="VBS43" s="214"/>
      <c r="VBT43" s="214"/>
      <c r="VBU43" s="214"/>
      <c r="VBV43" s="214"/>
      <c r="VBW43" s="214"/>
      <c r="VBX43" s="214"/>
      <c r="VBY43" s="214"/>
      <c r="VBZ43" s="214"/>
      <c r="VCA43" s="214"/>
      <c r="VCB43" s="214"/>
      <c r="VCC43" s="214"/>
      <c r="VCD43" s="214"/>
      <c r="VCE43" s="214"/>
      <c r="VCF43" s="214"/>
      <c r="VCG43" s="214"/>
      <c r="VCH43" s="214"/>
      <c r="VCI43" s="214"/>
      <c r="VCJ43" s="214"/>
      <c r="VCK43" s="214"/>
      <c r="VCL43" s="214"/>
      <c r="VCM43" s="214"/>
      <c r="VCN43" s="214"/>
      <c r="VCO43" s="214"/>
      <c r="VCP43" s="214"/>
      <c r="VCQ43" s="214"/>
      <c r="VCR43" s="214"/>
      <c r="VCS43" s="214"/>
      <c r="VCT43" s="214"/>
      <c r="VCU43" s="214"/>
      <c r="VCV43" s="214"/>
      <c r="VCW43" s="214"/>
      <c r="VCX43" s="214"/>
      <c r="VCY43" s="214"/>
      <c r="VCZ43" s="214"/>
      <c r="VDA43" s="214"/>
      <c r="VDB43" s="214"/>
      <c r="VDC43" s="214"/>
      <c r="VDD43" s="214"/>
      <c r="VDE43" s="214"/>
      <c r="VDF43" s="214"/>
      <c r="VDG43" s="214"/>
      <c r="VDH43" s="214"/>
      <c r="VDI43" s="214"/>
      <c r="VDJ43" s="214"/>
      <c r="VDK43" s="214"/>
      <c r="VDL43" s="214"/>
      <c r="VDM43" s="214"/>
      <c r="VDN43" s="214"/>
      <c r="VDO43" s="214"/>
      <c r="VDP43" s="214"/>
      <c r="VDQ43" s="214"/>
      <c r="VDR43" s="214"/>
      <c r="VDS43" s="214"/>
      <c r="VDT43" s="214"/>
      <c r="VDU43" s="214"/>
      <c r="VDV43" s="214"/>
      <c r="VDW43" s="214"/>
      <c r="VDX43" s="214"/>
      <c r="VDY43" s="214"/>
      <c r="VDZ43" s="214"/>
      <c r="VEA43" s="214"/>
      <c r="VEB43" s="214"/>
      <c r="VEC43" s="214"/>
      <c r="VED43" s="214"/>
      <c r="VEE43" s="214"/>
      <c r="VEF43" s="214"/>
      <c r="VEG43" s="214"/>
      <c r="VEH43" s="214"/>
      <c r="VEI43" s="214"/>
      <c r="VEJ43" s="214"/>
      <c r="VEK43" s="214"/>
      <c r="VEL43" s="214"/>
      <c r="VEM43" s="214"/>
      <c r="VEN43" s="214"/>
      <c r="VEO43" s="214"/>
      <c r="VEP43" s="214"/>
      <c r="VEQ43" s="214"/>
      <c r="VER43" s="214"/>
      <c r="VES43" s="214"/>
      <c r="VET43" s="214"/>
      <c r="VEU43" s="214"/>
      <c r="VEV43" s="214"/>
      <c r="VEW43" s="214"/>
      <c r="VEX43" s="214"/>
      <c r="VEY43" s="214"/>
      <c r="VEZ43" s="214"/>
      <c r="VFA43" s="214"/>
      <c r="VFB43" s="214"/>
      <c r="VFC43" s="214"/>
      <c r="VFD43" s="214"/>
      <c r="VFE43" s="214"/>
      <c r="VFF43" s="214"/>
      <c r="VFG43" s="214"/>
      <c r="VFH43" s="214"/>
      <c r="VFI43" s="214"/>
      <c r="VFJ43" s="214"/>
      <c r="VFK43" s="214"/>
      <c r="VFL43" s="214"/>
      <c r="VFM43" s="214"/>
      <c r="VFN43" s="214"/>
      <c r="VFO43" s="214"/>
      <c r="VFP43" s="214"/>
      <c r="VFQ43" s="214"/>
      <c r="VFR43" s="214"/>
      <c r="VFS43" s="214"/>
      <c r="VFT43" s="214"/>
      <c r="VFU43" s="214"/>
      <c r="VFV43" s="214"/>
      <c r="VFW43" s="214"/>
      <c r="VFX43" s="214"/>
      <c r="VFY43" s="214"/>
      <c r="VFZ43" s="214"/>
      <c r="VGA43" s="214"/>
      <c r="VGB43" s="214"/>
      <c r="VGC43" s="214"/>
      <c r="VGD43" s="214"/>
      <c r="VGE43" s="214"/>
      <c r="VGF43" s="214"/>
      <c r="VGG43" s="214"/>
      <c r="VGH43" s="214"/>
      <c r="VGI43" s="214"/>
      <c r="VGJ43" s="214"/>
      <c r="VGK43" s="214"/>
      <c r="VGL43" s="214"/>
      <c r="VGM43" s="214"/>
      <c r="VGN43" s="214"/>
      <c r="VGO43" s="214"/>
      <c r="VGP43" s="214"/>
      <c r="VGQ43" s="214"/>
      <c r="VGR43" s="214"/>
      <c r="VGS43" s="214"/>
      <c r="VGT43" s="214"/>
      <c r="VGU43" s="214"/>
      <c r="VGV43" s="214"/>
      <c r="VGW43" s="214"/>
      <c r="VGX43" s="214"/>
      <c r="VGY43" s="214"/>
      <c r="VGZ43" s="214"/>
      <c r="VHA43" s="214"/>
      <c r="VHB43" s="214"/>
      <c r="VHC43" s="214"/>
      <c r="VHD43" s="214"/>
      <c r="VHE43" s="214"/>
      <c r="VHF43" s="214"/>
      <c r="VHG43" s="214"/>
      <c r="VHH43" s="214"/>
      <c r="VHI43" s="214"/>
      <c r="VHJ43" s="214"/>
      <c r="VHK43" s="214"/>
      <c r="VHL43" s="214"/>
      <c r="VHM43" s="214"/>
      <c r="VHN43" s="214"/>
      <c r="VHO43" s="214"/>
      <c r="VHP43" s="214"/>
      <c r="VHQ43" s="214"/>
      <c r="VHR43" s="214"/>
      <c r="VHS43" s="214"/>
      <c r="VHT43" s="214"/>
      <c r="VHU43" s="214"/>
      <c r="VHV43" s="214"/>
      <c r="VHW43" s="214"/>
      <c r="VHX43" s="214"/>
      <c r="VHY43" s="214"/>
      <c r="VHZ43" s="214"/>
      <c r="VIA43" s="214"/>
      <c r="VIB43" s="214"/>
      <c r="VIC43" s="214"/>
      <c r="VID43" s="214"/>
      <c r="VIE43" s="214"/>
      <c r="VIF43" s="214"/>
      <c r="VIG43" s="214"/>
      <c r="VIH43" s="214"/>
      <c r="VII43" s="214"/>
      <c r="VIJ43" s="214"/>
      <c r="VIK43" s="214"/>
      <c r="VIL43" s="214"/>
      <c r="VIM43" s="214"/>
      <c r="VIN43" s="214"/>
      <c r="VIO43" s="214"/>
      <c r="VIP43" s="214"/>
      <c r="VIQ43" s="214"/>
      <c r="VIR43" s="214"/>
      <c r="VIS43" s="214"/>
      <c r="VIT43" s="214"/>
      <c r="VIU43" s="214"/>
      <c r="VIV43" s="214"/>
      <c r="VIW43" s="214"/>
      <c r="VIX43" s="214"/>
      <c r="VIY43" s="214"/>
      <c r="VIZ43" s="214"/>
      <c r="VJA43" s="214"/>
      <c r="VJB43" s="214"/>
      <c r="VJC43" s="214"/>
      <c r="VJD43" s="214"/>
      <c r="VJE43" s="214"/>
      <c r="VJF43" s="214"/>
      <c r="VJG43" s="214"/>
      <c r="VJH43" s="214"/>
      <c r="VJI43" s="214"/>
      <c r="VJJ43" s="214"/>
      <c r="VJK43" s="214"/>
      <c r="VJL43" s="214"/>
      <c r="VJM43" s="214"/>
      <c r="VJN43" s="214"/>
      <c r="VJO43" s="214"/>
      <c r="VJP43" s="214"/>
      <c r="VJQ43" s="214"/>
      <c r="VJR43" s="214"/>
      <c r="VJS43" s="214"/>
      <c r="VJT43" s="214"/>
      <c r="VJU43" s="214"/>
      <c r="VJV43" s="214"/>
      <c r="VJW43" s="214"/>
      <c r="VJX43" s="214"/>
      <c r="VJY43" s="214"/>
      <c r="VJZ43" s="214"/>
      <c r="VKA43" s="214"/>
      <c r="VKB43" s="214"/>
      <c r="VKC43" s="214"/>
      <c r="VKD43" s="214"/>
      <c r="VKE43" s="214"/>
      <c r="VKF43" s="214"/>
      <c r="VKG43" s="214"/>
      <c r="VKH43" s="214"/>
      <c r="VKI43" s="214"/>
      <c r="VKJ43" s="214"/>
      <c r="VKK43" s="214"/>
      <c r="VKL43" s="214"/>
      <c r="VKM43" s="214"/>
      <c r="VKN43" s="214"/>
      <c r="VKO43" s="214"/>
      <c r="VKP43" s="214"/>
      <c r="VKQ43" s="214"/>
      <c r="VKR43" s="214"/>
      <c r="VKS43" s="214"/>
      <c r="VKT43" s="214"/>
      <c r="VKU43" s="214"/>
      <c r="VKV43" s="214"/>
      <c r="VKW43" s="214"/>
      <c r="VKX43" s="214"/>
      <c r="VKY43" s="214"/>
      <c r="VKZ43" s="214"/>
      <c r="VLA43" s="214"/>
      <c r="VLB43" s="214"/>
      <c r="VLC43" s="214"/>
      <c r="VLD43" s="214"/>
      <c r="VLE43" s="214"/>
      <c r="VLF43" s="214"/>
      <c r="VLG43" s="214"/>
      <c r="VLH43" s="214"/>
      <c r="VLI43" s="214"/>
      <c r="VLJ43" s="214"/>
      <c r="VLK43" s="214"/>
      <c r="VLL43" s="214"/>
      <c r="VLM43" s="214"/>
      <c r="VLN43" s="214"/>
      <c r="VLO43" s="214"/>
      <c r="VLP43" s="214"/>
      <c r="VLQ43" s="214"/>
      <c r="VLR43" s="214"/>
      <c r="VLS43" s="214"/>
      <c r="VLT43" s="214"/>
      <c r="VLU43" s="214"/>
      <c r="VLV43" s="214"/>
      <c r="VLW43" s="214"/>
      <c r="VLX43" s="214"/>
      <c r="VLY43" s="214"/>
      <c r="VLZ43" s="214"/>
      <c r="VMA43" s="214"/>
      <c r="VMB43" s="214"/>
      <c r="VMC43" s="214"/>
      <c r="VMD43" s="214"/>
      <c r="VME43" s="214"/>
      <c r="VMF43" s="214"/>
      <c r="VMG43" s="214"/>
      <c r="VMH43" s="214"/>
      <c r="VMI43" s="214"/>
      <c r="VMJ43" s="214"/>
      <c r="VMK43" s="214"/>
      <c r="VML43" s="214"/>
      <c r="VMM43" s="214"/>
      <c r="VMN43" s="214"/>
      <c r="VMO43" s="214"/>
      <c r="VMP43" s="214"/>
      <c r="VMQ43" s="214"/>
      <c r="VMR43" s="214"/>
      <c r="VMS43" s="214"/>
      <c r="VMT43" s="214"/>
      <c r="VMU43" s="214"/>
      <c r="VMV43" s="214"/>
      <c r="VMW43" s="214"/>
      <c r="VMX43" s="214"/>
      <c r="VMY43" s="214"/>
      <c r="VMZ43" s="214"/>
      <c r="VNA43" s="214"/>
      <c r="VNB43" s="214"/>
      <c r="VNC43" s="214"/>
      <c r="VND43" s="214"/>
      <c r="VNE43" s="214"/>
      <c r="VNF43" s="214"/>
      <c r="VNG43" s="214"/>
      <c r="VNH43" s="214"/>
      <c r="VNI43" s="214"/>
      <c r="VNJ43" s="214"/>
      <c r="VNK43" s="214"/>
      <c r="VNL43" s="214"/>
      <c r="VNM43" s="214"/>
      <c r="VNN43" s="214"/>
      <c r="VNO43" s="214"/>
      <c r="VNP43" s="214"/>
      <c r="VNQ43" s="214"/>
      <c r="VNR43" s="214"/>
      <c r="VNS43" s="214"/>
      <c r="VNT43" s="214"/>
      <c r="VNU43" s="214"/>
      <c r="VNV43" s="214"/>
      <c r="VNW43" s="214"/>
      <c r="VNX43" s="214"/>
      <c r="VNY43" s="214"/>
      <c r="VNZ43" s="214"/>
      <c r="VOA43" s="214"/>
      <c r="VOB43" s="214"/>
      <c r="VOC43" s="214"/>
      <c r="VOD43" s="214"/>
      <c r="VOE43" s="214"/>
      <c r="VOF43" s="214"/>
      <c r="VOG43" s="214"/>
      <c r="VOH43" s="214"/>
      <c r="VOI43" s="214"/>
      <c r="VOJ43" s="214"/>
      <c r="VOK43" s="214"/>
      <c r="VOL43" s="214"/>
      <c r="VOM43" s="214"/>
      <c r="VON43" s="214"/>
      <c r="VOO43" s="214"/>
      <c r="VOP43" s="214"/>
      <c r="VOQ43" s="214"/>
      <c r="VOR43" s="214"/>
      <c r="VOS43" s="214"/>
      <c r="VOT43" s="214"/>
      <c r="VOU43" s="214"/>
      <c r="VOV43" s="214"/>
      <c r="VOW43" s="214"/>
      <c r="VOX43" s="214"/>
      <c r="VOY43" s="214"/>
      <c r="VOZ43" s="214"/>
      <c r="VPA43" s="214"/>
      <c r="VPB43" s="214"/>
      <c r="VPC43" s="214"/>
      <c r="VPD43" s="214"/>
      <c r="VPE43" s="214"/>
      <c r="VPF43" s="214"/>
      <c r="VPG43" s="214"/>
      <c r="VPH43" s="214"/>
      <c r="VPI43" s="214"/>
      <c r="VPJ43" s="214"/>
      <c r="VPK43" s="214"/>
      <c r="VPL43" s="214"/>
      <c r="VPM43" s="214"/>
      <c r="VPN43" s="214"/>
      <c r="VPO43" s="214"/>
      <c r="VPP43" s="214"/>
      <c r="VPQ43" s="214"/>
      <c r="VPR43" s="214"/>
      <c r="VPS43" s="214"/>
      <c r="VPT43" s="214"/>
      <c r="VPU43" s="214"/>
      <c r="VPV43" s="214"/>
      <c r="VPW43" s="214"/>
      <c r="VPX43" s="214"/>
      <c r="VPY43" s="214"/>
      <c r="VPZ43" s="214"/>
      <c r="VQA43" s="214"/>
      <c r="VQB43" s="214"/>
      <c r="VQC43" s="214"/>
      <c r="VQD43" s="214"/>
      <c r="VQE43" s="214"/>
      <c r="VQF43" s="214"/>
      <c r="VQG43" s="214"/>
      <c r="VQH43" s="214"/>
      <c r="VQI43" s="214"/>
      <c r="VQJ43" s="214"/>
      <c r="VQK43" s="214"/>
      <c r="VQL43" s="214"/>
      <c r="VQM43" s="214"/>
      <c r="VQN43" s="214"/>
      <c r="VQO43" s="214"/>
      <c r="VQP43" s="214"/>
      <c r="VQQ43" s="214"/>
      <c r="VQR43" s="214"/>
      <c r="VQS43" s="214"/>
      <c r="VQT43" s="214"/>
      <c r="VQU43" s="214"/>
      <c r="VQV43" s="214"/>
      <c r="VQW43" s="214"/>
      <c r="VQX43" s="214"/>
      <c r="VQY43" s="214"/>
      <c r="VQZ43" s="214"/>
      <c r="VRA43" s="214"/>
      <c r="VRB43" s="214"/>
      <c r="VRC43" s="214"/>
      <c r="VRD43" s="214"/>
      <c r="VRE43" s="214"/>
      <c r="VRF43" s="214"/>
      <c r="VRG43" s="214"/>
      <c r="VRH43" s="214"/>
      <c r="VRI43" s="214"/>
      <c r="VRJ43" s="214"/>
      <c r="VRK43" s="214"/>
      <c r="VRL43" s="214"/>
      <c r="VRM43" s="214"/>
      <c r="VRN43" s="214"/>
      <c r="VRO43" s="214"/>
      <c r="VRP43" s="214"/>
      <c r="VRQ43" s="214"/>
      <c r="VRR43" s="214"/>
      <c r="VRS43" s="214"/>
      <c r="VRT43" s="214"/>
      <c r="VRU43" s="214"/>
      <c r="VRV43" s="214"/>
      <c r="VRW43" s="214"/>
      <c r="VRX43" s="214"/>
      <c r="VRY43" s="214"/>
      <c r="VRZ43" s="214"/>
      <c r="VSA43" s="214"/>
      <c r="VSB43" s="214"/>
      <c r="VSC43" s="214"/>
      <c r="VSD43" s="214"/>
      <c r="VSE43" s="214"/>
      <c r="VSF43" s="214"/>
      <c r="VSG43" s="214"/>
      <c r="VSH43" s="214"/>
      <c r="VSI43" s="214"/>
      <c r="VSJ43" s="214"/>
      <c r="VSK43" s="214"/>
      <c r="VSL43" s="214"/>
      <c r="VSM43" s="214"/>
      <c r="VSN43" s="214"/>
      <c r="VSO43" s="214"/>
      <c r="VSP43" s="214"/>
      <c r="VSQ43" s="214"/>
      <c r="VSR43" s="214"/>
      <c r="VSS43" s="214"/>
      <c r="VST43" s="214"/>
      <c r="VSU43" s="214"/>
      <c r="VSV43" s="214"/>
      <c r="VSW43" s="214"/>
      <c r="VSX43" s="214"/>
      <c r="VSY43" s="214"/>
      <c r="VSZ43" s="214"/>
      <c r="VTA43" s="214"/>
      <c r="VTB43" s="214"/>
      <c r="VTC43" s="214"/>
      <c r="VTD43" s="214"/>
      <c r="VTE43" s="214"/>
      <c r="VTF43" s="214"/>
      <c r="VTG43" s="214"/>
      <c r="VTH43" s="214"/>
      <c r="VTI43" s="214"/>
      <c r="VTJ43" s="214"/>
      <c r="VTK43" s="214"/>
      <c r="VTL43" s="214"/>
      <c r="VTM43" s="214"/>
      <c r="VTN43" s="214"/>
      <c r="VTO43" s="214"/>
      <c r="VTP43" s="214"/>
      <c r="VTQ43" s="214"/>
      <c r="VTR43" s="214"/>
      <c r="VTS43" s="214"/>
      <c r="VTT43" s="214"/>
      <c r="VTU43" s="214"/>
      <c r="VTV43" s="214"/>
      <c r="VTW43" s="214"/>
      <c r="VTX43" s="214"/>
      <c r="VTY43" s="214"/>
      <c r="VTZ43" s="214"/>
      <c r="VUA43" s="214"/>
      <c r="VUB43" s="214"/>
      <c r="VUC43" s="214"/>
      <c r="VUD43" s="214"/>
      <c r="VUE43" s="214"/>
      <c r="VUF43" s="214"/>
      <c r="VUG43" s="214"/>
      <c r="VUH43" s="214"/>
      <c r="VUI43" s="214"/>
      <c r="VUJ43" s="214"/>
      <c r="VUK43" s="214"/>
      <c r="VUL43" s="214"/>
      <c r="VUM43" s="214"/>
      <c r="VUN43" s="214"/>
      <c r="VUO43" s="214"/>
      <c r="VUP43" s="214"/>
      <c r="VUQ43" s="214"/>
      <c r="VUR43" s="214"/>
      <c r="VUS43" s="214"/>
      <c r="VUT43" s="214"/>
      <c r="VUU43" s="214"/>
      <c r="VUV43" s="214"/>
      <c r="VUW43" s="214"/>
      <c r="VUX43" s="214"/>
      <c r="VUY43" s="214"/>
      <c r="VUZ43" s="214"/>
      <c r="VVA43" s="214"/>
      <c r="VVB43" s="214"/>
      <c r="VVC43" s="214"/>
      <c r="VVD43" s="214"/>
      <c r="VVE43" s="214"/>
      <c r="VVF43" s="214"/>
      <c r="VVG43" s="214"/>
      <c r="VVH43" s="214"/>
      <c r="VVI43" s="214"/>
      <c r="VVJ43" s="214"/>
      <c r="VVK43" s="214"/>
      <c r="VVL43" s="214"/>
      <c r="VVM43" s="214"/>
      <c r="VVN43" s="214"/>
      <c r="VVO43" s="214"/>
      <c r="VVP43" s="214"/>
      <c r="VVQ43" s="214"/>
      <c r="VVR43" s="214"/>
      <c r="VVS43" s="214"/>
      <c r="VVT43" s="214"/>
      <c r="VVU43" s="214"/>
      <c r="VVV43" s="214"/>
      <c r="VVW43" s="214"/>
      <c r="VVX43" s="214"/>
      <c r="VVY43" s="214"/>
      <c r="VVZ43" s="214"/>
      <c r="VWA43" s="214"/>
      <c r="VWB43" s="214"/>
      <c r="VWC43" s="214"/>
      <c r="VWD43" s="214"/>
      <c r="VWE43" s="214"/>
      <c r="VWF43" s="214"/>
      <c r="VWG43" s="214"/>
      <c r="VWH43" s="214"/>
      <c r="VWI43" s="214"/>
      <c r="VWJ43" s="214"/>
      <c r="VWK43" s="214"/>
      <c r="VWL43" s="214"/>
      <c r="VWM43" s="214"/>
      <c r="VWN43" s="214"/>
      <c r="VWO43" s="214"/>
      <c r="VWP43" s="214"/>
      <c r="VWQ43" s="214"/>
      <c r="VWR43" s="214"/>
      <c r="VWS43" s="214"/>
      <c r="VWT43" s="214"/>
      <c r="VWU43" s="214"/>
      <c r="VWV43" s="214"/>
      <c r="VWW43" s="214"/>
      <c r="VWX43" s="214"/>
      <c r="VWY43" s="214"/>
      <c r="VWZ43" s="214"/>
      <c r="VXA43" s="214"/>
      <c r="VXB43" s="214"/>
      <c r="VXC43" s="214"/>
      <c r="VXD43" s="214"/>
      <c r="VXE43" s="214"/>
      <c r="VXF43" s="214"/>
      <c r="VXG43" s="214"/>
      <c r="VXH43" s="214"/>
      <c r="VXI43" s="214"/>
      <c r="VXJ43" s="214"/>
      <c r="VXK43" s="214"/>
      <c r="VXL43" s="214"/>
      <c r="VXM43" s="214"/>
      <c r="VXN43" s="214"/>
      <c r="VXO43" s="214"/>
      <c r="VXP43" s="214"/>
      <c r="VXQ43" s="214"/>
      <c r="VXR43" s="214"/>
      <c r="VXS43" s="214"/>
      <c r="VXT43" s="214"/>
      <c r="VXU43" s="214"/>
      <c r="VXV43" s="214"/>
      <c r="VXW43" s="214"/>
      <c r="VXX43" s="214"/>
      <c r="VXY43" s="214"/>
      <c r="VXZ43" s="214"/>
      <c r="VYA43" s="214"/>
      <c r="VYB43" s="214"/>
      <c r="VYC43" s="214"/>
      <c r="VYD43" s="214"/>
      <c r="VYE43" s="214"/>
      <c r="VYF43" s="214"/>
      <c r="VYG43" s="214"/>
      <c r="VYH43" s="214"/>
      <c r="VYI43" s="214"/>
      <c r="VYJ43" s="214"/>
      <c r="VYK43" s="214"/>
      <c r="VYL43" s="214"/>
      <c r="VYM43" s="214"/>
      <c r="VYN43" s="214"/>
      <c r="VYO43" s="214"/>
      <c r="VYP43" s="214"/>
      <c r="VYQ43" s="214"/>
      <c r="VYR43" s="214"/>
      <c r="VYS43" s="214"/>
      <c r="VYT43" s="214"/>
      <c r="VYU43" s="214"/>
      <c r="VYV43" s="214"/>
      <c r="VYW43" s="214"/>
      <c r="VYX43" s="214"/>
      <c r="VYY43" s="214"/>
      <c r="VYZ43" s="214"/>
      <c r="VZA43" s="214"/>
      <c r="VZB43" s="214"/>
      <c r="VZC43" s="214"/>
      <c r="VZD43" s="214"/>
      <c r="VZE43" s="214"/>
      <c r="VZF43" s="214"/>
      <c r="VZG43" s="214"/>
      <c r="VZH43" s="214"/>
      <c r="VZI43" s="214"/>
      <c r="VZJ43" s="214"/>
      <c r="VZK43" s="214"/>
      <c r="VZL43" s="214"/>
      <c r="VZM43" s="214"/>
      <c r="VZN43" s="214"/>
      <c r="VZO43" s="214"/>
      <c r="VZP43" s="214"/>
      <c r="VZQ43" s="214"/>
      <c r="VZR43" s="214"/>
      <c r="VZS43" s="214"/>
      <c r="VZT43" s="214"/>
      <c r="VZU43" s="214"/>
      <c r="VZV43" s="214"/>
      <c r="VZW43" s="214"/>
      <c r="VZX43" s="214"/>
      <c r="VZY43" s="214"/>
      <c r="VZZ43" s="214"/>
      <c r="WAA43" s="214"/>
      <c r="WAB43" s="214"/>
      <c r="WAC43" s="214"/>
      <c r="WAD43" s="214"/>
      <c r="WAE43" s="214"/>
      <c r="WAF43" s="214"/>
      <c r="WAG43" s="214"/>
      <c r="WAH43" s="214"/>
      <c r="WAI43" s="214"/>
      <c r="WAJ43" s="214"/>
      <c r="WAK43" s="214"/>
      <c r="WAL43" s="214"/>
      <c r="WAM43" s="214"/>
      <c r="WAN43" s="214"/>
      <c r="WAO43" s="214"/>
      <c r="WAP43" s="214"/>
      <c r="WAQ43" s="214"/>
      <c r="WAR43" s="214"/>
      <c r="WAS43" s="214"/>
      <c r="WAT43" s="214"/>
      <c r="WAU43" s="214"/>
      <c r="WAV43" s="214"/>
      <c r="WAW43" s="214"/>
      <c r="WAX43" s="214"/>
      <c r="WAY43" s="214"/>
      <c r="WAZ43" s="214"/>
      <c r="WBA43" s="214"/>
      <c r="WBB43" s="214"/>
      <c r="WBC43" s="214"/>
      <c r="WBD43" s="214"/>
      <c r="WBE43" s="214"/>
      <c r="WBF43" s="214"/>
      <c r="WBG43" s="214"/>
      <c r="WBH43" s="214"/>
      <c r="WBI43" s="214"/>
      <c r="WBJ43" s="214"/>
      <c r="WBK43" s="214"/>
      <c r="WBL43" s="214"/>
      <c r="WBM43" s="214"/>
      <c r="WBN43" s="214"/>
      <c r="WBO43" s="214"/>
      <c r="WBP43" s="214"/>
      <c r="WBQ43" s="214"/>
      <c r="WBR43" s="214"/>
      <c r="WBS43" s="214"/>
      <c r="WBT43" s="214"/>
      <c r="WBU43" s="214"/>
      <c r="WBV43" s="214"/>
      <c r="WBW43" s="214"/>
      <c r="WBX43" s="214"/>
      <c r="WBY43" s="214"/>
      <c r="WBZ43" s="214"/>
      <c r="WCA43" s="214"/>
      <c r="WCB43" s="214"/>
      <c r="WCC43" s="214"/>
      <c r="WCD43" s="214"/>
      <c r="WCE43" s="214"/>
      <c r="WCF43" s="214"/>
      <c r="WCG43" s="214"/>
      <c r="WCH43" s="214"/>
      <c r="WCI43" s="214"/>
      <c r="WCJ43" s="214"/>
      <c r="WCK43" s="214"/>
      <c r="WCL43" s="214"/>
      <c r="WCM43" s="214"/>
      <c r="WCN43" s="214"/>
      <c r="WCO43" s="214"/>
      <c r="WCP43" s="214"/>
      <c r="WCQ43" s="214"/>
      <c r="WCR43" s="214"/>
      <c r="WCS43" s="214"/>
      <c r="WCT43" s="214"/>
      <c r="WCU43" s="214"/>
      <c r="WCV43" s="214"/>
      <c r="WCW43" s="214"/>
      <c r="WCX43" s="214"/>
      <c r="WCY43" s="214"/>
      <c r="WCZ43" s="214"/>
      <c r="WDA43" s="214"/>
      <c r="WDB43" s="214"/>
      <c r="WDC43" s="214"/>
      <c r="WDD43" s="214"/>
      <c r="WDE43" s="214"/>
      <c r="WDF43" s="214"/>
      <c r="WDG43" s="214"/>
      <c r="WDH43" s="214"/>
      <c r="WDI43" s="214"/>
      <c r="WDJ43" s="214"/>
      <c r="WDK43" s="214"/>
      <c r="WDL43" s="214"/>
      <c r="WDM43" s="214"/>
      <c r="WDN43" s="214"/>
      <c r="WDO43" s="214"/>
      <c r="WDP43" s="214"/>
      <c r="WDQ43" s="214"/>
      <c r="WDR43" s="214"/>
      <c r="WDS43" s="214"/>
      <c r="WDT43" s="214"/>
      <c r="WDU43" s="214"/>
      <c r="WDV43" s="214"/>
      <c r="WDW43" s="214"/>
      <c r="WDX43" s="214"/>
      <c r="WDY43" s="214"/>
      <c r="WDZ43" s="214"/>
      <c r="WEA43" s="214"/>
      <c r="WEB43" s="214"/>
      <c r="WEC43" s="214"/>
      <c r="WED43" s="214"/>
      <c r="WEE43" s="214"/>
      <c r="WEF43" s="214"/>
      <c r="WEG43" s="214"/>
      <c r="WEH43" s="214"/>
      <c r="WEI43" s="214"/>
      <c r="WEJ43" s="214"/>
      <c r="WEK43" s="214"/>
      <c r="WEL43" s="214"/>
      <c r="WEM43" s="214"/>
      <c r="WEN43" s="214"/>
      <c r="WEO43" s="214"/>
      <c r="WEP43" s="214"/>
      <c r="WEQ43" s="214"/>
      <c r="WER43" s="214"/>
      <c r="WES43" s="214"/>
      <c r="WET43" s="214"/>
      <c r="WEU43" s="214"/>
      <c r="WEV43" s="214"/>
      <c r="WEW43" s="214"/>
      <c r="WEX43" s="214"/>
      <c r="WEY43" s="214"/>
      <c r="WEZ43" s="214"/>
      <c r="WFA43" s="214"/>
      <c r="WFB43" s="214"/>
      <c r="WFC43" s="214"/>
      <c r="WFD43" s="214"/>
      <c r="WFE43" s="214"/>
      <c r="WFF43" s="214"/>
      <c r="WFG43" s="214"/>
      <c r="WFH43" s="214"/>
      <c r="WFI43" s="214"/>
      <c r="WFJ43" s="214"/>
      <c r="WFK43" s="214"/>
      <c r="WFL43" s="214"/>
      <c r="WFM43" s="214"/>
      <c r="WFN43" s="214"/>
      <c r="WFO43" s="214"/>
      <c r="WFP43" s="214"/>
      <c r="WFQ43" s="214"/>
      <c r="WFR43" s="214"/>
      <c r="WFS43" s="214"/>
      <c r="WFT43" s="214"/>
      <c r="WFU43" s="214"/>
      <c r="WFV43" s="214"/>
      <c r="WFW43" s="214"/>
      <c r="WFX43" s="214"/>
      <c r="WFY43" s="214"/>
      <c r="WFZ43" s="214"/>
      <c r="WGA43" s="214"/>
      <c r="WGB43" s="214"/>
      <c r="WGC43" s="214"/>
      <c r="WGD43" s="214"/>
      <c r="WGE43" s="214"/>
      <c r="WGF43" s="214"/>
      <c r="WGG43" s="214"/>
      <c r="WGH43" s="214"/>
      <c r="WGI43" s="214"/>
      <c r="WGJ43" s="214"/>
      <c r="WGK43" s="214"/>
      <c r="WGL43" s="214"/>
      <c r="WGM43" s="214"/>
      <c r="WGN43" s="214"/>
      <c r="WGO43" s="214"/>
      <c r="WGP43" s="214"/>
      <c r="WGQ43" s="214"/>
      <c r="WGR43" s="214"/>
      <c r="WGS43" s="214"/>
      <c r="WGT43" s="214"/>
      <c r="WGU43" s="214"/>
      <c r="WGV43" s="214"/>
      <c r="WGW43" s="214"/>
      <c r="WGX43" s="214"/>
      <c r="WGY43" s="214"/>
      <c r="WGZ43" s="214"/>
      <c r="WHA43" s="214"/>
      <c r="WHB43" s="214"/>
      <c r="WHC43" s="214"/>
      <c r="WHD43" s="214"/>
      <c r="WHE43" s="214"/>
      <c r="WHF43" s="214"/>
      <c r="WHG43" s="214"/>
      <c r="WHH43" s="214"/>
      <c r="WHI43" s="214"/>
      <c r="WHJ43" s="214"/>
      <c r="WHK43" s="214"/>
      <c r="WHL43" s="214"/>
      <c r="WHM43" s="214"/>
      <c r="WHN43" s="214"/>
      <c r="WHO43" s="214"/>
      <c r="WHP43" s="214"/>
      <c r="WHQ43" s="214"/>
      <c r="WHR43" s="214"/>
      <c r="WHS43" s="214"/>
      <c r="WHT43" s="214"/>
      <c r="WHU43" s="214"/>
      <c r="WHV43" s="214"/>
      <c r="WHW43" s="214"/>
      <c r="WHX43" s="214"/>
      <c r="WHY43" s="214"/>
      <c r="WHZ43" s="214"/>
      <c r="WIA43" s="214"/>
      <c r="WIB43" s="214"/>
      <c r="WIC43" s="214"/>
      <c r="WID43" s="214"/>
      <c r="WIE43" s="214"/>
      <c r="WIF43" s="214"/>
      <c r="WIG43" s="214"/>
      <c r="WIH43" s="214"/>
      <c r="WII43" s="214"/>
      <c r="WIJ43" s="214"/>
      <c r="WIK43" s="214"/>
      <c r="WIL43" s="214"/>
      <c r="WIM43" s="214"/>
      <c r="WIN43" s="214"/>
      <c r="WIO43" s="214"/>
      <c r="WIP43" s="214"/>
      <c r="WIQ43" s="214"/>
      <c r="WIR43" s="214"/>
      <c r="WIS43" s="214"/>
      <c r="WIT43" s="214"/>
      <c r="WIU43" s="214"/>
      <c r="WIV43" s="214"/>
      <c r="WIW43" s="214"/>
      <c r="WIX43" s="214"/>
      <c r="WIY43" s="214"/>
      <c r="WIZ43" s="214"/>
      <c r="WJA43" s="214"/>
      <c r="WJB43" s="214"/>
      <c r="WJC43" s="214"/>
      <c r="WJD43" s="214"/>
      <c r="WJE43" s="214"/>
      <c r="WJF43" s="214"/>
      <c r="WJG43" s="214"/>
      <c r="WJH43" s="214"/>
      <c r="WJI43" s="214"/>
      <c r="WJJ43" s="214"/>
      <c r="WJK43" s="214"/>
      <c r="WJL43" s="214"/>
      <c r="WJM43" s="214"/>
      <c r="WJN43" s="214"/>
      <c r="WJO43" s="214"/>
      <c r="WJP43" s="214"/>
      <c r="WJQ43" s="214"/>
      <c r="WJR43" s="214"/>
      <c r="WJS43" s="214"/>
      <c r="WJT43" s="214"/>
      <c r="WJU43" s="214"/>
      <c r="WJV43" s="214"/>
      <c r="WJW43" s="214"/>
      <c r="WJX43" s="214"/>
      <c r="WJY43" s="214"/>
      <c r="WJZ43" s="214"/>
      <c r="WKA43" s="214"/>
      <c r="WKB43" s="214"/>
      <c r="WKC43" s="214"/>
      <c r="WKD43" s="214"/>
      <c r="WKE43" s="214"/>
      <c r="WKF43" s="214"/>
      <c r="WKG43" s="214"/>
      <c r="WKH43" s="214"/>
      <c r="WKI43" s="214"/>
      <c r="WKJ43" s="214"/>
      <c r="WKK43" s="214"/>
      <c r="WKL43" s="214"/>
      <c r="WKM43" s="214"/>
      <c r="WKN43" s="214"/>
      <c r="WKO43" s="214"/>
      <c r="WKP43" s="214"/>
      <c r="WKQ43" s="214"/>
      <c r="WKR43" s="214"/>
      <c r="WKS43" s="214"/>
      <c r="WKT43" s="214"/>
      <c r="WKU43" s="214"/>
      <c r="WKV43" s="214"/>
      <c r="WKW43" s="214"/>
      <c r="WKX43" s="214"/>
      <c r="WKY43" s="214"/>
      <c r="WKZ43" s="214"/>
      <c r="WLA43" s="214"/>
      <c r="WLB43" s="214"/>
      <c r="WLC43" s="214"/>
      <c r="WLD43" s="214"/>
      <c r="WLE43" s="214"/>
      <c r="WLF43" s="214"/>
      <c r="WLG43" s="214"/>
      <c r="WLH43" s="214"/>
      <c r="WLI43" s="214"/>
      <c r="WLJ43" s="214"/>
      <c r="WLK43" s="214"/>
      <c r="WLL43" s="214"/>
      <c r="WLM43" s="214"/>
      <c r="WLN43" s="214"/>
      <c r="WLO43" s="214"/>
      <c r="WLP43" s="214"/>
      <c r="WLQ43" s="214"/>
      <c r="WLR43" s="214"/>
      <c r="WLS43" s="214"/>
      <c r="WLT43" s="214"/>
      <c r="WLU43" s="214"/>
      <c r="WLV43" s="214"/>
      <c r="WLW43" s="214"/>
      <c r="WLX43" s="214"/>
      <c r="WLY43" s="214"/>
      <c r="WLZ43" s="214"/>
      <c r="WMA43" s="214"/>
      <c r="WMB43" s="214"/>
      <c r="WMC43" s="214"/>
      <c r="WMD43" s="214"/>
      <c r="WME43" s="214"/>
      <c r="WMF43" s="214"/>
      <c r="WMG43" s="214"/>
      <c r="WMH43" s="214"/>
      <c r="WMI43" s="214"/>
      <c r="WMJ43" s="214"/>
      <c r="WMK43" s="214"/>
      <c r="WML43" s="214"/>
      <c r="WMM43" s="214"/>
      <c r="WMN43" s="214"/>
      <c r="WMO43" s="214"/>
      <c r="WMP43" s="214"/>
      <c r="WMQ43" s="214"/>
      <c r="WMR43" s="214"/>
      <c r="WMS43" s="214"/>
      <c r="WMT43" s="214"/>
      <c r="WMU43" s="214"/>
      <c r="WMV43" s="214"/>
      <c r="WMW43" s="214"/>
      <c r="WMX43" s="214"/>
      <c r="WMY43" s="214"/>
      <c r="WMZ43" s="214"/>
      <c r="WNA43" s="214"/>
      <c r="WNB43" s="214"/>
      <c r="WNC43" s="214"/>
      <c r="WND43" s="214"/>
      <c r="WNE43" s="214"/>
      <c r="WNF43" s="214"/>
      <c r="WNG43" s="214"/>
      <c r="WNH43" s="214"/>
      <c r="WNI43" s="214"/>
      <c r="WNJ43" s="214"/>
      <c r="WNK43" s="214"/>
      <c r="WNL43" s="214"/>
      <c r="WNM43" s="214"/>
      <c r="WNN43" s="214"/>
      <c r="WNO43" s="214"/>
      <c r="WNP43" s="214"/>
      <c r="WNQ43" s="214"/>
      <c r="WNR43" s="214"/>
      <c r="WNS43" s="214"/>
      <c r="WNT43" s="214"/>
      <c r="WNU43" s="214"/>
      <c r="WNV43" s="214"/>
      <c r="WNW43" s="214"/>
      <c r="WNX43" s="214"/>
      <c r="WNY43" s="214"/>
      <c r="WNZ43" s="214"/>
      <c r="WOA43" s="214"/>
      <c r="WOB43" s="214"/>
      <c r="WOC43" s="214"/>
      <c r="WOD43" s="214"/>
      <c r="WOE43" s="214"/>
      <c r="WOF43" s="214"/>
      <c r="WOG43" s="214"/>
      <c r="WOH43" s="214"/>
      <c r="WOI43" s="214"/>
      <c r="WOJ43" s="214"/>
      <c r="WOK43" s="214"/>
      <c r="WOL43" s="214"/>
      <c r="WOM43" s="214"/>
      <c r="WON43" s="214"/>
      <c r="WOO43" s="214"/>
      <c r="WOP43" s="214"/>
      <c r="WOQ43" s="214"/>
      <c r="WOR43" s="214"/>
      <c r="WOS43" s="214"/>
      <c r="WOT43" s="214"/>
      <c r="WOU43" s="214"/>
      <c r="WOV43" s="214"/>
      <c r="WOW43" s="214"/>
      <c r="WOX43" s="214"/>
      <c r="WOY43" s="214"/>
      <c r="WOZ43" s="214"/>
      <c r="WPA43" s="214"/>
      <c r="WPB43" s="214"/>
      <c r="WPC43" s="214"/>
      <c r="WPD43" s="214"/>
      <c r="WPE43" s="214"/>
      <c r="WPF43" s="214"/>
      <c r="WPG43" s="214"/>
      <c r="WPH43" s="214"/>
      <c r="WPI43" s="214"/>
      <c r="WPJ43" s="214"/>
      <c r="WPK43" s="214"/>
      <c r="WPL43" s="214"/>
      <c r="WPM43" s="214"/>
      <c r="WPN43" s="214"/>
      <c r="WPO43" s="214"/>
      <c r="WPP43" s="214"/>
      <c r="WPQ43" s="214"/>
      <c r="WPR43" s="214"/>
      <c r="WPS43" s="214"/>
      <c r="WPT43" s="214"/>
      <c r="WPU43" s="214"/>
      <c r="WPV43" s="214"/>
      <c r="WPW43" s="214"/>
      <c r="WPX43" s="214"/>
      <c r="WPY43" s="214"/>
      <c r="WPZ43" s="214"/>
      <c r="WQA43" s="214"/>
      <c r="WQB43" s="214"/>
      <c r="WQC43" s="214"/>
      <c r="WQD43" s="214"/>
      <c r="WQE43" s="214"/>
      <c r="WQF43" s="214"/>
      <c r="WQG43" s="214"/>
      <c r="WQH43" s="214"/>
      <c r="WQI43" s="214"/>
      <c r="WQJ43" s="214"/>
      <c r="WQK43" s="214"/>
      <c r="WQL43" s="214"/>
      <c r="WQM43" s="214"/>
      <c r="WQN43" s="214"/>
      <c r="WQO43" s="214"/>
      <c r="WQP43" s="214"/>
      <c r="WQQ43" s="214"/>
      <c r="WQR43" s="214"/>
      <c r="WQS43" s="214"/>
      <c r="WQT43" s="214"/>
      <c r="WQU43" s="214"/>
      <c r="WQV43" s="214"/>
      <c r="WQW43" s="214"/>
      <c r="WQX43" s="214"/>
      <c r="WQY43" s="214"/>
      <c r="WQZ43" s="214"/>
      <c r="WRA43" s="214"/>
      <c r="WRB43" s="214"/>
      <c r="WRC43" s="214"/>
      <c r="WRD43" s="214"/>
      <c r="WRE43" s="214"/>
      <c r="WRF43" s="214"/>
      <c r="WRG43" s="214"/>
      <c r="WRH43" s="214"/>
      <c r="WRI43" s="214"/>
      <c r="WRJ43" s="214"/>
      <c r="WRK43" s="214"/>
      <c r="WRL43" s="214"/>
      <c r="WRM43" s="214"/>
      <c r="WRN43" s="214"/>
      <c r="WRO43" s="214"/>
      <c r="WRP43" s="214"/>
      <c r="WRQ43" s="214"/>
      <c r="WRR43" s="214"/>
      <c r="WRS43" s="214"/>
      <c r="WRT43" s="214"/>
      <c r="WRU43" s="214"/>
      <c r="WRV43" s="214"/>
      <c r="WRW43" s="214"/>
      <c r="WRX43" s="214"/>
      <c r="WRY43" s="214"/>
      <c r="WRZ43" s="214"/>
      <c r="WSA43" s="214"/>
      <c r="WSB43" s="214"/>
      <c r="WSC43" s="214"/>
      <c r="WSD43" s="214"/>
      <c r="WSE43" s="214"/>
      <c r="WSF43" s="214"/>
      <c r="WSG43" s="214"/>
      <c r="WSH43" s="214"/>
      <c r="WSI43" s="214"/>
      <c r="WSJ43" s="214"/>
      <c r="WSK43" s="214"/>
      <c r="WSL43" s="214"/>
      <c r="WSM43" s="214"/>
      <c r="WSN43" s="214"/>
      <c r="WSO43" s="214"/>
      <c r="WSP43" s="214"/>
      <c r="WSQ43" s="214"/>
      <c r="WSR43" s="214"/>
      <c r="WSS43" s="214"/>
      <c r="WST43" s="214"/>
      <c r="WSU43" s="214"/>
      <c r="WSV43" s="214"/>
      <c r="WSW43" s="214"/>
      <c r="WSX43" s="214"/>
      <c r="WSY43" s="214"/>
      <c r="WSZ43" s="214"/>
      <c r="WTA43" s="214"/>
      <c r="WTB43" s="214"/>
      <c r="WTC43" s="214"/>
      <c r="WTD43" s="214"/>
      <c r="WTE43" s="214"/>
      <c r="WTF43" s="214"/>
      <c r="WTG43" s="214"/>
      <c r="WTH43" s="214"/>
      <c r="WTI43" s="214"/>
      <c r="WTJ43" s="214"/>
      <c r="WTK43" s="214"/>
      <c r="WTL43" s="214"/>
      <c r="WTM43" s="214"/>
      <c r="WTN43" s="214"/>
      <c r="WTO43" s="214"/>
      <c r="WTP43" s="214"/>
      <c r="WTQ43" s="214"/>
      <c r="WTR43" s="214"/>
      <c r="WTS43" s="214"/>
      <c r="WTT43" s="214"/>
      <c r="WTU43" s="214"/>
      <c r="WTV43" s="214"/>
      <c r="WTW43" s="214"/>
      <c r="WTX43" s="214"/>
      <c r="WTY43" s="214"/>
      <c r="WTZ43" s="214"/>
      <c r="WUA43" s="214"/>
      <c r="WUB43" s="214"/>
      <c r="WUC43" s="214"/>
      <c r="WUD43" s="214"/>
      <c r="WUE43" s="214"/>
      <c r="WUF43" s="214"/>
      <c r="WUG43" s="214"/>
      <c r="WUH43" s="214"/>
      <c r="WUI43" s="214"/>
      <c r="WUJ43" s="214"/>
      <c r="WUK43" s="214"/>
      <c r="WUL43" s="214"/>
      <c r="WUM43" s="214"/>
      <c r="WUN43" s="214"/>
      <c r="WUO43" s="214"/>
      <c r="WUP43" s="214"/>
      <c r="WUQ43" s="214"/>
      <c r="WUR43" s="214"/>
      <c r="WUS43" s="214"/>
      <c r="WUT43" s="214"/>
      <c r="WUU43" s="214"/>
      <c r="WUV43" s="214"/>
      <c r="WUW43" s="214"/>
      <c r="WUX43" s="214"/>
      <c r="WUY43" s="214"/>
      <c r="WUZ43" s="214"/>
      <c r="WVA43" s="214"/>
      <c r="WVB43" s="214"/>
      <c r="WVC43" s="214"/>
      <c r="WVD43" s="214"/>
      <c r="WVE43" s="214"/>
      <c r="WVF43" s="214"/>
      <c r="WVG43" s="214"/>
      <c r="WVH43" s="214"/>
      <c r="WVI43" s="214"/>
      <c r="WVJ43" s="214"/>
      <c r="WVK43" s="214"/>
      <c r="WVL43" s="214"/>
      <c r="WVM43" s="214"/>
      <c r="WVN43" s="214"/>
      <c r="WVO43" s="214"/>
      <c r="WVP43" s="214"/>
      <c r="WVQ43" s="214"/>
      <c r="WVR43" s="214"/>
      <c r="WVS43" s="214"/>
      <c r="WVT43" s="214"/>
      <c r="WVU43" s="214"/>
      <c r="WVV43" s="214"/>
      <c r="WVW43" s="214"/>
      <c r="WVX43" s="214"/>
      <c r="WVY43" s="214"/>
      <c r="WVZ43" s="214"/>
      <c r="WWA43" s="214"/>
      <c r="WWB43" s="214"/>
      <c r="WWC43" s="214"/>
      <c r="WWD43" s="214"/>
      <c r="WWE43" s="214"/>
      <c r="WWF43" s="214"/>
      <c r="WWG43" s="214"/>
      <c r="WWH43" s="214"/>
      <c r="WWI43" s="214"/>
      <c r="WWJ43" s="214"/>
      <c r="WWK43" s="214"/>
      <c r="WWL43" s="214"/>
      <c r="WWM43" s="214"/>
      <c r="WWN43" s="214"/>
      <c r="WWO43" s="214"/>
      <c r="WWP43" s="214"/>
      <c r="WWQ43" s="214"/>
      <c r="WWR43" s="214"/>
      <c r="WWS43" s="214"/>
      <c r="WWT43" s="214"/>
      <c r="WWU43" s="214"/>
      <c r="WWV43" s="214"/>
      <c r="WWW43" s="214"/>
      <c r="WWX43" s="214"/>
      <c r="WWY43" s="214"/>
      <c r="WWZ43" s="214"/>
      <c r="WXA43" s="214"/>
      <c r="WXB43" s="214"/>
      <c r="WXC43" s="214"/>
      <c r="WXD43" s="214"/>
      <c r="WXE43" s="214"/>
      <c r="WXF43" s="214"/>
      <c r="WXG43" s="214"/>
      <c r="WXH43" s="214"/>
      <c r="WXI43" s="214"/>
      <c r="WXJ43" s="214"/>
      <c r="WXK43" s="214"/>
      <c r="WXL43" s="214"/>
      <c r="WXM43" s="214"/>
      <c r="WXN43" s="214"/>
      <c r="WXO43" s="214"/>
      <c r="WXP43" s="214"/>
      <c r="WXQ43" s="214"/>
      <c r="WXR43" s="214"/>
      <c r="WXS43" s="214"/>
      <c r="WXT43" s="214"/>
      <c r="WXU43" s="214"/>
      <c r="WXV43" s="214"/>
      <c r="WXW43" s="214"/>
      <c r="WXX43" s="214"/>
      <c r="WXY43" s="214"/>
      <c r="WXZ43" s="214"/>
      <c r="WYA43" s="214"/>
      <c r="WYB43" s="214"/>
      <c r="WYC43" s="214"/>
      <c r="WYD43" s="214"/>
      <c r="WYE43" s="214"/>
      <c r="WYF43" s="214"/>
      <c r="WYG43" s="214"/>
      <c r="WYH43" s="214"/>
      <c r="WYI43" s="214"/>
      <c r="WYJ43" s="214"/>
      <c r="WYK43" s="214"/>
      <c r="WYL43" s="214"/>
      <c r="WYM43" s="214"/>
      <c r="WYN43" s="214"/>
      <c r="WYO43" s="214"/>
      <c r="WYP43" s="214"/>
      <c r="WYQ43" s="214"/>
      <c r="WYR43" s="214"/>
      <c r="WYS43" s="214"/>
      <c r="WYT43" s="214"/>
      <c r="WYU43" s="214"/>
      <c r="WYV43" s="214"/>
      <c r="WYW43" s="214"/>
      <c r="WYX43" s="214"/>
      <c r="WYY43" s="214"/>
      <c r="WYZ43" s="214"/>
      <c r="WZA43" s="214"/>
      <c r="WZB43" s="214"/>
      <c r="WZC43" s="214"/>
      <c r="WZD43" s="214"/>
      <c r="WZE43" s="214"/>
      <c r="WZF43" s="214"/>
      <c r="WZG43" s="214"/>
      <c r="WZH43" s="214"/>
      <c r="WZI43" s="214"/>
      <c r="WZJ43" s="214"/>
      <c r="WZK43" s="214"/>
      <c r="WZL43" s="214"/>
      <c r="WZM43" s="214"/>
      <c r="WZN43" s="214"/>
      <c r="WZO43" s="214"/>
      <c r="WZP43" s="214"/>
      <c r="WZQ43" s="214"/>
      <c r="WZR43" s="214"/>
      <c r="WZS43" s="214"/>
      <c r="WZT43" s="214"/>
      <c r="WZU43" s="214"/>
      <c r="WZV43" s="214"/>
      <c r="WZW43" s="214"/>
      <c r="WZX43" s="214"/>
      <c r="WZY43" s="214"/>
      <c r="WZZ43" s="214"/>
      <c r="XAA43" s="214"/>
      <c r="XAB43" s="214"/>
      <c r="XAC43" s="214"/>
      <c r="XAD43" s="214"/>
      <c r="XAE43" s="214"/>
      <c r="XAF43" s="214"/>
      <c r="XAG43" s="214"/>
      <c r="XAH43" s="214"/>
      <c r="XAI43" s="214"/>
      <c r="XAJ43" s="214"/>
      <c r="XAK43" s="214"/>
      <c r="XAL43" s="214"/>
      <c r="XAM43" s="214"/>
      <c r="XAN43" s="214"/>
      <c r="XAO43" s="214"/>
      <c r="XAP43" s="214"/>
      <c r="XAQ43" s="214"/>
      <c r="XAR43" s="214"/>
      <c r="XAS43" s="214"/>
      <c r="XAT43" s="214"/>
      <c r="XAU43" s="214"/>
      <c r="XAV43" s="214"/>
      <c r="XAW43" s="214"/>
      <c r="XAX43" s="214"/>
      <c r="XAY43" s="214"/>
      <c r="XAZ43" s="214"/>
      <c r="XBA43" s="214"/>
      <c r="XBB43" s="214"/>
      <c r="XBC43" s="214"/>
      <c r="XBD43" s="214"/>
      <c r="XBE43" s="214"/>
      <c r="XBF43" s="214"/>
      <c r="XBG43" s="214"/>
      <c r="XBH43" s="214"/>
      <c r="XBI43" s="214"/>
      <c r="XBJ43" s="214"/>
      <c r="XBK43" s="214"/>
      <c r="XBL43" s="214"/>
      <c r="XBM43" s="214"/>
      <c r="XBN43" s="214"/>
      <c r="XBO43" s="214"/>
      <c r="XBP43" s="214"/>
      <c r="XBQ43" s="214"/>
      <c r="XBR43" s="214"/>
      <c r="XBS43" s="214"/>
      <c r="XBT43" s="214"/>
      <c r="XBU43" s="214"/>
      <c r="XBV43" s="214"/>
      <c r="XBW43" s="214"/>
      <c r="XBX43" s="214"/>
      <c r="XBY43" s="214"/>
      <c r="XBZ43" s="214"/>
      <c r="XCA43" s="214"/>
      <c r="XCB43" s="214"/>
      <c r="XCC43" s="214"/>
      <c r="XCD43" s="214"/>
      <c r="XCE43" s="214"/>
      <c r="XCF43" s="214"/>
      <c r="XCG43" s="214"/>
      <c r="XCH43" s="214"/>
      <c r="XCI43" s="214"/>
      <c r="XCJ43" s="214"/>
      <c r="XCK43" s="214"/>
      <c r="XCL43" s="214"/>
      <c r="XCM43" s="214"/>
      <c r="XCN43" s="214"/>
      <c r="XCO43" s="214"/>
      <c r="XCP43" s="214"/>
      <c r="XCQ43" s="214"/>
      <c r="XCR43" s="214"/>
      <c r="XCS43" s="214"/>
      <c r="XCT43" s="214"/>
      <c r="XCU43" s="214"/>
      <c r="XCV43" s="214"/>
      <c r="XCW43" s="214"/>
      <c r="XCX43" s="214"/>
      <c r="XCY43" s="214"/>
      <c r="XCZ43" s="214"/>
      <c r="XDA43" s="214"/>
      <c r="XDB43" s="214"/>
      <c r="XDC43" s="214"/>
      <c r="XDD43" s="214"/>
      <c r="XDE43" s="214"/>
      <c r="XDF43" s="214"/>
      <c r="XDG43" s="214"/>
      <c r="XDH43" s="214"/>
      <c r="XDI43" s="214"/>
      <c r="XDJ43" s="214"/>
      <c r="XDK43" s="214"/>
      <c r="XDL43" s="214"/>
      <c r="XDM43" s="214"/>
      <c r="XDN43" s="214"/>
      <c r="XDO43" s="214"/>
      <c r="XDP43" s="214"/>
      <c r="XDQ43" s="214"/>
      <c r="XDR43" s="214"/>
      <c r="XDS43" s="214"/>
      <c r="XDT43" s="214"/>
      <c r="XDU43" s="214"/>
      <c r="XDV43" s="214"/>
      <c r="XDW43" s="214"/>
      <c r="XDX43" s="214"/>
      <c r="XDY43" s="214"/>
      <c r="XDZ43" s="214"/>
      <c r="XEA43" s="214"/>
      <c r="XEB43" s="214"/>
      <c r="XEC43" s="214"/>
      <c r="XED43" s="214"/>
      <c r="XEE43" s="214"/>
      <c r="XEF43" s="214"/>
      <c r="XEG43" s="214"/>
      <c r="XEH43" s="214"/>
      <c r="XEI43" s="214"/>
      <c r="XEJ43" s="214"/>
      <c r="XEK43" s="214"/>
      <c r="XEL43" s="214"/>
      <c r="XEM43" s="214"/>
      <c r="XEN43" s="214"/>
      <c r="XEO43" s="214"/>
      <c r="XEP43" s="214"/>
      <c r="XEQ43" s="214"/>
      <c r="XER43" s="214"/>
      <c r="XES43" s="214"/>
      <c r="XET43" s="214"/>
      <c r="XEU43" s="214"/>
      <c r="XEV43" s="214"/>
      <c r="XEW43" s="214"/>
      <c r="XEX43" s="214"/>
      <c r="XEY43" s="214"/>
      <c r="XEZ43" s="214"/>
      <c r="XFA43" s="214"/>
      <c r="XFB43" s="214"/>
      <c r="XFC43" s="214"/>
      <c r="XFD43" s="214"/>
    </row>
    <row r="44" spans="1:16384" ht="15" thickBot="1" x14ac:dyDescent="0.35">
      <c r="A44" s="220" t="s">
        <v>479</v>
      </c>
      <c r="B44" s="221" t="s">
        <v>502</v>
      </c>
      <c r="C44" s="219" t="s">
        <v>526</v>
      </c>
      <c r="D44" s="55">
        <v>150000</v>
      </c>
      <c r="E44" s="54">
        <f t="shared" si="1"/>
        <v>150000</v>
      </c>
      <c r="F44" s="55">
        <f t="shared" si="0"/>
        <v>0</v>
      </c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>
        <v>1091</v>
      </c>
      <c r="S44" s="215">
        <v>1653</v>
      </c>
      <c r="T44" s="215">
        <v>2650</v>
      </c>
      <c r="U44" s="215">
        <v>3415</v>
      </c>
      <c r="V44" s="215"/>
      <c r="W44" s="215">
        <v>9431</v>
      </c>
      <c r="X44" s="55">
        <v>131760</v>
      </c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  <c r="CO44" s="214"/>
      <c r="CP44" s="214"/>
      <c r="CQ44" s="214"/>
      <c r="CR44" s="214"/>
      <c r="CS44" s="214"/>
      <c r="CT44" s="214"/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4"/>
      <c r="DG44" s="214"/>
      <c r="DH44" s="214"/>
      <c r="DI44" s="214"/>
      <c r="DJ44" s="214"/>
      <c r="DK44" s="214"/>
      <c r="DL44" s="214"/>
      <c r="DM44" s="214"/>
      <c r="DN44" s="214"/>
      <c r="DO44" s="214"/>
      <c r="DP44" s="214"/>
      <c r="DQ44" s="214"/>
      <c r="DR44" s="214"/>
      <c r="DS44" s="214"/>
      <c r="DT44" s="214"/>
      <c r="DU44" s="214"/>
      <c r="DV44" s="214"/>
      <c r="DW44" s="214"/>
      <c r="DX44" s="214"/>
      <c r="DY44" s="214"/>
      <c r="DZ44" s="214"/>
      <c r="EA44" s="214"/>
      <c r="EB44" s="214"/>
      <c r="EC44" s="214"/>
      <c r="ED44" s="214"/>
      <c r="EE44" s="214"/>
      <c r="EF44" s="214"/>
      <c r="EG44" s="214"/>
      <c r="EH44" s="214"/>
      <c r="EI44" s="214"/>
      <c r="EJ44" s="214"/>
      <c r="EK44" s="214"/>
      <c r="EL44" s="214"/>
      <c r="EM44" s="214"/>
      <c r="EN44" s="214"/>
      <c r="EO44" s="214"/>
      <c r="EP44" s="214"/>
      <c r="EQ44" s="214"/>
      <c r="ER44" s="214"/>
      <c r="ES44" s="214"/>
      <c r="ET44" s="214"/>
      <c r="EU44" s="214"/>
      <c r="EV44" s="214"/>
      <c r="EW44" s="214"/>
      <c r="EX44" s="214"/>
      <c r="EY44" s="214"/>
      <c r="EZ44" s="214"/>
      <c r="FA44" s="214"/>
      <c r="FB44" s="214"/>
      <c r="FC44" s="214"/>
      <c r="FD44" s="214"/>
      <c r="FE44" s="214"/>
      <c r="FF44" s="214"/>
      <c r="FG44" s="214"/>
      <c r="FH44" s="214"/>
      <c r="FI44" s="214"/>
      <c r="FJ44" s="214"/>
      <c r="FK44" s="214"/>
      <c r="FL44" s="214"/>
      <c r="FM44" s="214"/>
      <c r="FN44" s="214"/>
      <c r="FO44" s="214"/>
      <c r="FP44" s="214"/>
      <c r="FQ44" s="214"/>
      <c r="FR44" s="214"/>
      <c r="FS44" s="214"/>
      <c r="FT44" s="214"/>
      <c r="FU44" s="214"/>
      <c r="FV44" s="214"/>
      <c r="FW44" s="214"/>
      <c r="FX44" s="214"/>
      <c r="FY44" s="214"/>
      <c r="FZ44" s="214"/>
      <c r="GA44" s="214"/>
      <c r="GB44" s="214"/>
      <c r="GC44" s="214"/>
      <c r="GD44" s="214"/>
      <c r="GE44" s="214"/>
      <c r="GF44" s="214"/>
      <c r="GG44" s="214"/>
      <c r="GH44" s="214"/>
      <c r="GI44" s="214"/>
      <c r="GJ44" s="214"/>
      <c r="GK44" s="214"/>
      <c r="GL44" s="214"/>
      <c r="GM44" s="214"/>
      <c r="GN44" s="214"/>
      <c r="GO44" s="214"/>
      <c r="GP44" s="214"/>
      <c r="GQ44" s="214"/>
      <c r="GR44" s="214"/>
      <c r="GS44" s="214"/>
      <c r="GT44" s="214"/>
      <c r="GU44" s="214"/>
      <c r="GV44" s="214"/>
      <c r="GW44" s="214"/>
      <c r="GX44" s="214"/>
      <c r="GY44" s="214"/>
      <c r="GZ44" s="214"/>
      <c r="HA44" s="214"/>
      <c r="HB44" s="214"/>
      <c r="HC44" s="214"/>
      <c r="HD44" s="214"/>
      <c r="HE44" s="214"/>
      <c r="HF44" s="214"/>
      <c r="HG44" s="214"/>
      <c r="HH44" s="214"/>
      <c r="HI44" s="214"/>
      <c r="HJ44" s="214"/>
      <c r="HK44" s="214"/>
      <c r="HL44" s="214"/>
      <c r="HM44" s="214"/>
      <c r="HN44" s="214"/>
      <c r="HO44" s="214"/>
      <c r="HP44" s="214"/>
      <c r="HQ44" s="214"/>
      <c r="HR44" s="214"/>
      <c r="HS44" s="214"/>
      <c r="HT44" s="214"/>
      <c r="HU44" s="214"/>
      <c r="HV44" s="214"/>
      <c r="HW44" s="214"/>
      <c r="HX44" s="214"/>
      <c r="HY44" s="214"/>
      <c r="HZ44" s="214"/>
      <c r="IA44" s="214"/>
      <c r="IB44" s="214"/>
      <c r="IC44" s="214"/>
      <c r="ID44" s="214"/>
      <c r="IE44" s="214"/>
      <c r="IF44" s="214"/>
      <c r="IG44" s="214"/>
      <c r="IH44" s="214"/>
      <c r="II44" s="214"/>
      <c r="IJ44" s="214"/>
      <c r="IK44" s="214"/>
      <c r="IL44" s="214"/>
      <c r="IM44" s="214"/>
      <c r="IN44" s="214"/>
      <c r="IO44" s="214"/>
      <c r="IP44" s="214"/>
      <c r="IQ44" s="214"/>
      <c r="IR44" s="214"/>
      <c r="IS44" s="214"/>
      <c r="IT44" s="214"/>
      <c r="IU44" s="214"/>
      <c r="IV44" s="214"/>
      <c r="IW44" s="214"/>
      <c r="IX44" s="214"/>
      <c r="IY44" s="214"/>
      <c r="IZ44" s="214"/>
      <c r="JA44" s="214"/>
      <c r="JB44" s="214"/>
      <c r="JC44" s="214"/>
      <c r="JD44" s="214"/>
      <c r="JE44" s="214"/>
      <c r="JF44" s="214"/>
      <c r="JG44" s="214"/>
      <c r="JH44" s="214"/>
      <c r="JI44" s="214"/>
      <c r="JJ44" s="214"/>
      <c r="JK44" s="214"/>
      <c r="JL44" s="214"/>
      <c r="JM44" s="214"/>
      <c r="JN44" s="214"/>
      <c r="JO44" s="214"/>
      <c r="JP44" s="214"/>
      <c r="JQ44" s="214"/>
      <c r="JR44" s="214"/>
      <c r="JS44" s="214"/>
      <c r="JT44" s="214"/>
      <c r="JU44" s="214"/>
      <c r="JV44" s="214"/>
      <c r="JW44" s="214"/>
      <c r="JX44" s="214"/>
      <c r="JY44" s="214"/>
      <c r="JZ44" s="214"/>
      <c r="KA44" s="214"/>
      <c r="KB44" s="214"/>
      <c r="KC44" s="214"/>
      <c r="KD44" s="214"/>
      <c r="KE44" s="214"/>
      <c r="KF44" s="214"/>
      <c r="KG44" s="214"/>
      <c r="KH44" s="214"/>
      <c r="KI44" s="214"/>
      <c r="KJ44" s="214"/>
      <c r="KK44" s="214"/>
      <c r="KL44" s="214"/>
      <c r="KM44" s="214"/>
      <c r="KN44" s="214"/>
      <c r="KO44" s="214"/>
      <c r="KP44" s="214"/>
      <c r="KQ44" s="214"/>
      <c r="KR44" s="214"/>
      <c r="KS44" s="214"/>
      <c r="KT44" s="214"/>
      <c r="KU44" s="214"/>
      <c r="KV44" s="214"/>
      <c r="KW44" s="214"/>
      <c r="KX44" s="214"/>
      <c r="KY44" s="214"/>
      <c r="KZ44" s="214"/>
      <c r="LA44" s="214"/>
      <c r="LB44" s="214"/>
      <c r="LC44" s="214"/>
      <c r="LD44" s="214"/>
      <c r="LE44" s="214"/>
      <c r="LF44" s="214"/>
      <c r="LG44" s="214"/>
      <c r="LH44" s="214"/>
      <c r="LI44" s="214"/>
      <c r="LJ44" s="214"/>
      <c r="LK44" s="214"/>
      <c r="LL44" s="214"/>
      <c r="LM44" s="214"/>
      <c r="LN44" s="214"/>
      <c r="LO44" s="214"/>
      <c r="LP44" s="214"/>
      <c r="LQ44" s="214"/>
      <c r="LR44" s="214"/>
      <c r="LS44" s="214"/>
      <c r="LT44" s="214"/>
      <c r="LU44" s="214"/>
      <c r="LV44" s="214"/>
      <c r="LW44" s="214"/>
      <c r="LX44" s="214"/>
      <c r="LY44" s="214"/>
      <c r="LZ44" s="214"/>
      <c r="MA44" s="214"/>
      <c r="MB44" s="214"/>
      <c r="MC44" s="214"/>
      <c r="MD44" s="214"/>
      <c r="ME44" s="214"/>
      <c r="MF44" s="214"/>
      <c r="MG44" s="214"/>
      <c r="MH44" s="214"/>
      <c r="MI44" s="214"/>
      <c r="MJ44" s="214"/>
      <c r="MK44" s="214"/>
      <c r="ML44" s="214"/>
      <c r="MM44" s="214"/>
      <c r="MN44" s="214"/>
      <c r="MO44" s="214"/>
      <c r="MP44" s="214"/>
      <c r="MQ44" s="214"/>
      <c r="MR44" s="214"/>
      <c r="MS44" s="214"/>
      <c r="MT44" s="214"/>
      <c r="MU44" s="214"/>
      <c r="MV44" s="214"/>
      <c r="MW44" s="214"/>
      <c r="MX44" s="214"/>
      <c r="MY44" s="214"/>
      <c r="MZ44" s="214"/>
      <c r="NA44" s="214"/>
      <c r="NB44" s="214"/>
      <c r="NC44" s="214"/>
      <c r="ND44" s="214"/>
      <c r="NE44" s="214"/>
      <c r="NF44" s="214"/>
      <c r="NG44" s="214"/>
      <c r="NH44" s="214"/>
      <c r="NI44" s="214"/>
      <c r="NJ44" s="214"/>
      <c r="NK44" s="214"/>
      <c r="NL44" s="214"/>
      <c r="NM44" s="214"/>
      <c r="NN44" s="214"/>
      <c r="NO44" s="214"/>
      <c r="NP44" s="214"/>
      <c r="NQ44" s="214"/>
      <c r="NR44" s="214"/>
      <c r="NS44" s="214"/>
      <c r="NT44" s="214"/>
      <c r="NU44" s="214"/>
      <c r="NV44" s="214"/>
      <c r="NW44" s="214"/>
      <c r="NX44" s="214"/>
      <c r="NY44" s="214"/>
      <c r="NZ44" s="214"/>
      <c r="OA44" s="214"/>
      <c r="OB44" s="214"/>
      <c r="OC44" s="214"/>
      <c r="OD44" s="214"/>
      <c r="OE44" s="214"/>
      <c r="OF44" s="214"/>
      <c r="OG44" s="214"/>
      <c r="OH44" s="214"/>
      <c r="OI44" s="214"/>
      <c r="OJ44" s="214"/>
      <c r="OK44" s="214"/>
      <c r="OL44" s="214"/>
      <c r="OM44" s="214"/>
      <c r="ON44" s="214"/>
      <c r="OO44" s="214"/>
      <c r="OP44" s="214"/>
      <c r="OQ44" s="214"/>
      <c r="OR44" s="214"/>
      <c r="OS44" s="214"/>
      <c r="OT44" s="214"/>
      <c r="OU44" s="214"/>
      <c r="OV44" s="214"/>
      <c r="OW44" s="214"/>
      <c r="OX44" s="214"/>
      <c r="OY44" s="214"/>
      <c r="OZ44" s="214"/>
      <c r="PA44" s="214"/>
      <c r="PB44" s="214"/>
      <c r="PC44" s="214"/>
      <c r="PD44" s="214"/>
      <c r="PE44" s="214"/>
      <c r="PF44" s="214"/>
      <c r="PG44" s="214"/>
      <c r="PH44" s="214"/>
      <c r="PI44" s="214"/>
      <c r="PJ44" s="214"/>
      <c r="PK44" s="214"/>
      <c r="PL44" s="214"/>
      <c r="PM44" s="214"/>
      <c r="PN44" s="214"/>
      <c r="PO44" s="214"/>
      <c r="PP44" s="214"/>
      <c r="PQ44" s="214"/>
      <c r="PR44" s="214"/>
      <c r="PS44" s="214"/>
      <c r="PT44" s="214"/>
      <c r="PU44" s="214"/>
      <c r="PV44" s="214"/>
      <c r="PW44" s="214"/>
      <c r="PX44" s="214"/>
      <c r="PY44" s="214"/>
      <c r="PZ44" s="214"/>
      <c r="QA44" s="214"/>
      <c r="QB44" s="214"/>
      <c r="QC44" s="214"/>
      <c r="QD44" s="214"/>
      <c r="QE44" s="214"/>
      <c r="QF44" s="214"/>
      <c r="QG44" s="214"/>
      <c r="QH44" s="214"/>
      <c r="QI44" s="214"/>
      <c r="QJ44" s="214"/>
      <c r="QK44" s="214"/>
      <c r="QL44" s="214"/>
      <c r="QM44" s="214"/>
      <c r="QN44" s="214"/>
      <c r="QO44" s="214"/>
      <c r="QP44" s="214"/>
      <c r="QQ44" s="214"/>
      <c r="QR44" s="214"/>
      <c r="QS44" s="214"/>
      <c r="QT44" s="214"/>
      <c r="QU44" s="214"/>
      <c r="QV44" s="214"/>
      <c r="QW44" s="214"/>
      <c r="QX44" s="214"/>
      <c r="QY44" s="214"/>
      <c r="QZ44" s="214"/>
      <c r="RA44" s="214"/>
      <c r="RB44" s="214"/>
      <c r="RC44" s="214"/>
      <c r="RD44" s="214"/>
      <c r="RE44" s="214"/>
      <c r="RF44" s="214"/>
      <c r="RG44" s="214"/>
      <c r="RH44" s="214"/>
      <c r="RI44" s="214"/>
      <c r="RJ44" s="214"/>
      <c r="RK44" s="214"/>
      <c r="RL44" s="214"/>
      <c r="RM44" s="214"/>
      <c r="RN44" s="214"/>
      <c r="RO44" s="214"/>
      <c r="RP44" s="214"/>
      <c r="RQ44" s="214"/>
      <c r="RR44" s="214"/>
      <c r="RS44" s="214"/>
      <c r="RT44" s="214"/>
      <c r="RU44" s="214"/>
      <c r="RV44" s="214"/>
      <c r="RW44" s="214"/>
      <c r="RX44" s="214"/>
      <c r="RY44" s="214"/>
      <c r="RZ44" s="214"/>
      <c r="SA44" s="214"/>
      <c r="SB44" s="214"/>
      <c r="SC44" s="214"/>
      <c r="SD44" s="214"/>
      <c r="SE44" s="214"/>
      <c r="SF44" s="214"/>
      <c r="SG44" s="214"/>
      <c r="SH44" s="214"/>
      <c r="SI44" s="214"/>
      <c r="SJ44" s="214"/>
      <c r="SK44" s="214"/>
      <c r="SL44" s="214"/>
      <c r="SM44" s="214"/>
      <c r="SN44" s="214"/>
      <c r="SO44" s="214"/>
      <c r="SP44" s="214"/>
      <c r="SQ44" s="214"/>
      <c r="SR44" s="214"/>
      <c r="SS44" s="214"/>
      <c r="ST44" s="214"/>
      <c r="SU44" s="214"/>
      <c r="SV44" s="214"/>
      <c r="SW44" s="214"/>
      <c r="SX44" s="214"/>
      <c r="SY44" s="214"/>
      <c r="SZ44" s="214"/>
      <c r="TA44" s="214"/>
      <c r="TB44" s="214"/>
      <c r="TC44" s="214"/>
      <c r="TD44" s="214"/>
      <c r="TE44" s="214"/>
      <c r="TF44" s="214"/>
      <c r="TG44" s="214"/>
      <c r="TH44" s="214"/>
      <c r="TI44" s="214"/>
      <c r="TJ44" s="214"/>
      <c r="TK44" s="214"/>
      <c r="TL44" s="214"/>
      <c r="TM44" s="214"/>
      <c r="TN44" s="214"/>
      <c r="TO44" s="214"/>
      <c r="TP44" s="214"/>
      <c r="TQ44" s="214"/>
      <c r="TR44" s="214"/>
      <c r="TS44" s="214"/>
      <c r="TT44" s="214"/>
      <c r="TU44" s="214"/>
      <c r="TV44" s="214"/>
      <c r="TW44" s="214"/>
      <c r="TX44" s="214"/>
      <c r="TY44" s="214"/>
      <c r="TZ44" s="214"/>
      <c r="UA44" s="214"/>
      <c r="UB44" s="214"/>
      <c r="UC44" s="214"/>
      <c r="UD44" s="214"/>
      <c r="UE44" s="214"/>
      <c r="UF44" s="214"/>
      <c r="UG44" s="214"/>
      <c r="UH44" s="214"/>
      <c r="UI44" s="214"/>
      <c r="UJ44" s="214"/>
      <c r="UK44" s="214"/>
      <c r="UL44" s="214"/>
      <c r="UM44" s="214"/>
      <c r="UN44" s="214"/>
      <c r="UO44" s="214"/>
      <c r="UP44" s="214"/>
      <c r="UQ44" s="214"/>
      <c r="UR44" s="214"/>
      <c r="US44" s="214"/>
      <c r="UT44" s="214"/>
      <c r="UU44" s="214"/>
      <c r="UV44" s="214"/>
      <c r="UW44" s="214"/>
      <c r="UX44" s="214"/>
      <c r="UY44" s="214"/>
      <c r="UZ44" s="214"/>
      <c r="VA44" s="214"/>
      <c r="VB44" s="214"/>
      <c r="VC44" s="214"/>
      <c r="VD44" s="214"/>
      <c r="VE44" s="214"/>
      <c r="VF44" s="214"/>
      <c r="VG44" s="214"/>
      <c r="VH44" s="214"/>
      <c r="VI44" s="214"/>
      <c r="VJ44" s="214"/>
      <c r="VK44" s="214"/>
      <c r="VL44" s="214"/>
      <c r="VM44" s="214"/>
      <c r="VN44" s="214"/>
      <c r="VO44" s="214"/>
      <c r="VP44" s="214"/>
      <c r="VQ44" s="214"/>
      <c r="VR44" s="214"/>
      <c r="VS44" s="214"/>
      <c r="VT44" s="214"/>
      <c r="VU44" s="214"/>
      <c r="VV44" s="214"/>
      <c r="VW44" s="214"/>
      <c r="VX44" s="214"/>
      <c r="VY44" s="214"/>
      <c r="VZ44" s="214"/>
      <c r="WA44" s="214"/>
      <c r="WB44" s="214"/>
      <c r="WC44" s="214"/>
      <c r="WD44" s="214"/>
      <c r="WE44" s="214"/>
      <c r="WF44" s="214"/>
      <c r="WG44" s="214"/>
      <c r="WH44" s="214"/>
      <c r="WI44" s="214"/>
      <c r="WJ44" s="214"/>
      <c r="WK44" s="214"/>
      <c r="WL44" s="214"/>
      <c r="WM44" s="214"/>
      <c r="WN44" s="214"/>
      <c r="WO44" s="214"/>
      <c r="WP44" s="214"/>
      <c r="WQ44" s="214"/>
      <c r="WR44" s="214"/>
      <c r="WS44" s="214"/>
      <c r="WT44" s="214"/>
      <c r="WU44" s="214"/>
      <c r="WV44" s="214"/>
      <c r="WW44" s="214"/>
      <c r="WX44" s="214"/>
      <c r="WY44" s="214"/>
      <c r="WZ44" s="214"/>
      <c r="XA44" s="214"/>
      <c r="XB44" s="214"/>
      <c r="XC44" s="214"/>
      <c r="XD44" s="214"/>
      <c r="XE44" s="214"/>
      <c r="XF44" s="214"/>
      <c r="XG44" s="214"/>
      <c r="XH44" s="214"/>
      <c r="XI44" s="214"/>
      <c r="XJ44" s="214"/>
      <c r="XK44" s="214"/>
      <c r="XL44" s="214"/>
      <c r="XM44" s="214"/>
      <c r="XN44" s="214"/>
      <c r="XO44" s="214"/>
      <c r="XP44" s="214"/>
      <c r="XQ44" s="214"/>
      <c r="XR44" s="214"/>
      <c r="XS44" s="214"/>
      <c r="XT44" s="214"/>
      <c r="XU44" s="214"/>
      <c r="XV44" s="214"/>
      <c r="XW44" s="214"/>
      <c r="XX44" s="214"/>
      <c r="XY44" s="214"/>
      <c r="XZ44" s="214"/>
      <c r="YA44" s="214"/>
      <c r="YB44" s="214"/>
      <c r="YC44" s="214"/>
      <c r="YD44" s="214"/>
      <c r="YE44" s="214"/>
      <c r="YF44" s="214"/>
      <c r="YG44" s="214"/>
      <c r="YH44" s="214"/>
      <c r="YI44" s="214"/>
      <c r="YJ44" s="214"/>
      <c r="YK44" s="214"/>
      <c r="YL44" s="214"/>
      <c r="YM44" s="214"/>
      <c r="YN44" s="214"/>
      <c r="YO44" s="214"/>
      <c r="YP44" s="214"/>
      <c r="YQ44" s="214"/>
      <c r="YR44" s="214"/>
      <c r="YS44" s="214"/>
      <c r="YT44" s="214"/>
      <c r="YU44" s="214"/>
      <c r="YV44" s="214"/>
      <c r="YW44" s="214"/>
      <c r="YX44" s="214"/>
      <c r="YY44" s="214"/>
      <c r="YZ44" s="214"/>
      <c r="ZA44" s="214"/>
      <c r="ZB44" s="214"/>
      <c r="ZC44" s="214"/>
      <c r="ZD44" s="214"/>
      <c r="ZE44" s="214"/>
      <c r="ZF44" s="214"/>
      <c r="ZG44" s="214"/>
      <c r="ZH44" s="214"/>
      <c r="ZI44" s="214"/>
      <c r="ZJ44" s="214"/>
      <c r="ZK44" s="214"/>
      <c r="ZL44" s="214"/>
      <c r="ZM44" s="214"/>
      <c r="ZN44" s="214"/>
      <c r="ZO44" s="214"/>
      <c r="ZP44" s="214"/>
      <c r="ZQ44" s="214"/>
      <c r="ZR44" s="214"/>
      <c r="ZS44" s="214"/>
      <c r="ZT44" s="214"/>
      <c r="ZU44" s="214"/>
      <c r="ZV44" s="214"/>
      <c r="ZW44" s="214"/>
      <c r="ZX44" s="214"/>
      <c r="ZY44" s="214"/>
      <c r="ZZ44" s="214"/>
      <c r="AAA44" s="214"/>
      <c r="AAB44" s="214"/>
      <c r="AAC44" s="214"/>
      <c r="AAD44" s="214"/>
      <c r="AAE44" s="214"/>
      <c r="AAF44" s="214"/>
      <c r="AAG44" s="214"/>
      <c r="AAH44" s="214"/>
      <c r="AAI44" s="214"/>
      <c r="AAJ44" s="214"/>
      <c r="AAK44" s="214"/>
      <c r="AAL44" s="214"/>
      <c r="AAM44" s="214"/>
      <c r="AAN44" s="214"/>
      <c r="AAO44" s="214"/>
      <c r="AAP44" s="214"/>
      <c r="AAQ44" s="214"/>
      <c r="AAR44" s="214"/>
      <c r="AAS44" s="214"/>
      <c r="AAT44" s="214"/>
      <c r="AAU44" s="214"/>
      <c r="AAV44" s="214"/>
      <c r="AAW44" s="214"/>
      <c r="AAX44" s="214"/>
      <c r="AAY44" s="214"/>
      <c r="AAZ44" s="214"/>
      <c r="ABA44" s="214"/>
      <c r="ABB44" s="214"/>
      <c r="ABC44" s="214"/>
      <c r="ABD44" s="214"/>
      <c r="ABE44" s="214"/>
      <c r="ABF44" s="214"/>
      <c r="ABG44" s="214"/>
      <c r="ABH44" s="214"/>
      <c r="ABI44" s="214"/>
      <c r="ABJ44" s="214"/>
      <c r="ABK44" s="214"/>
      <c r="ABL44" s="214"/>
      <c r="ABM44" s="214"/>
      <c r="ABN44" s="214"/>
      <c r="ABO44" s="214"/>
      <c r="ABP44" s="214"/>
      <c r="ABQ44" s="214"/>
      <c r="ABR44" s="214"/>
      <c r="ABS44" s="214"/>
      <c r="ABT44" s="214"/>
      <c r="ABU44" s="214"/>
      <c r="ABV44" s="214"/>
      <c r="ABW44" s="214"/>
      <c r="ABX44" s="214"/>
      <c r="ABY44" s="214"/>
      <c r="ABZ44" s="214"/>
      <c r="ACA44" s="214"/>
      <c r="ACB44" s="214"/>
      <c r="ACC44" s="214"/>
      <c r="ACD44" s="214"/>
      <c r="ACE44" s="214"/>
      <c r="ACF44" s="214"/>
      <c r="ACG44" s="214"/>
      <c r="ACH44" s="214"/>
      <c r="ACI44" s="214"/>
      <c r="ACJ44" s="214"/>
      <c r="ACK44" s="214"/>
      <c r="ACL44" s="214"/>
      <c r="ACM44" s="214"/>
      <c r="ACN44" s="214"/>
      <c r="ACO44" s="214"/>
      <c r="ACP44" s="214"/>
      <c r="ACQ44" s="214"/>
      <c r="ACR44" s="214"/>
      <c r="ACS44" s="214"/>
      <c r="ACT44" s="214"/>
      <c r="ACU44" s="214"/>
      <c r="ACV44" s="214"/>
      <c r="ACW44" s="214"/>
      <c r="ACX44" s="214"/>
      <c r="ACY44" s="214"/>
      <c r="ACZ44" s="214"/>
      <c r="ADA44" s="214"/>
      <c r="ADB44" s="214"/>
      <c r="ADC44" s="214"/>
      <c r="ADD44" s="214"/>
      <c r="ADE44" s="214"/>
      <c r="ADF44" s="214"/>
      <c r="ADG44" s="214"/>
      <c r="ADH44" s="214"/>
      <c r="ADI44" s="214"/>
      <c r="ADJ44" s="214"/>
      <c r="ADK44" s="214"/>
      <c r="ADL44" s="214"/>
      <c r="ADM44" s="214"/>
      <c r="ADN44" s="214"/>
      <c r="ADO44" s="214"/>
      <c r="ADP44" s="214"/>
      <c r="ADQ44" s="214"/>
      <c r="ADR44" s="214"/>
      <c r="ADS44" s="214"/>
      <c r="ADT44" s="214"/>
      <c r="ADU44" s="214"/>
      <c r="ADV44" s="214"/>
      <c r="ADW44" s="214"/>
      <c r="ADX44" s="214"/>
      <c r="ADY44" s="214"/>
      <c r="ADZ44" s="214"/>
      <c r="AEA44" s="214"/>
      <c r="AEB44" s="214"/>
      <c r="AEC44" s="214"/>
      <c r="AED44" s="214"/>
      <c r="AEE44" s="214"/>
      <c r="AEF44" s="214"/>
      <c r="AEG44" s="214"/>
      <c r="AEH44" s="214"/>
      <c r="AEI44" s="214"/>
      <c r="AEJ44" s="214"/>
      <c r="AEK44" s="214"/>
      <c r="AEL44" s="214"/>
      <c r="AEM44" s="214"/>
      <c r="AEN44" s="214"/>
      <c r="AEO44" s="214"/>
      <c r="AEP44" s="214"/>
      <c r="AEQ44" s="214"/>
      <c r="AER44" s="214"/>
      <c r="AES44" s="214"/>
      <c r="AET44" s="214"/>
      <c r="AEU44" s="214"/>
      <c r="AEV44" s="214"/>
      <c r="AEW44" s="214"/>
      <c r="AEX44" s="214"/>
      <c r="AEY44" s="214"/>
      <c r="AEZ44" s="214"/>
      <c r="AFA44" s="214"/>
      <c r="AFB44" s="214"/>
      <c r="AFC44" s="214"/>
      <c r="AFD44" s="214"/>
      <c r="AFE44" s="214"/>
      <c r="AFF44" s="214"/>
      <c r="AFG44" s="214"/>
      <c r="AFH44" s="214"/>
      <c r="AFI44" s="214"/>
      <c r="AFJ44" s="214"/>
      <c r="AFK44" s="214"/>
      <c r="AFL44" s="214"/>
      <c r="AFM44" s="214"/>
      <c r="AFN44" s="214"/>
      <c r="AFO44" s="214"/>
      <c r="AFP44" s="214"/>
      <c r="AFQ44" s="214"/>
      <c r="AFR44" s="214"/>
      <c r="AFS44" s="214"/>
      <c r="AFT44" s="214"/>
      <c r="AFU44" s="214"/>
      <c r="AFV44" s="214"/>
      <c r="AFW44" s="214"/>
      <c r="AFX44" s="214"/>
      <c r="AFY44" s="214"/>
      <c r="AFZ44" s="214"/>
      <c r="AGA44" s="214"/>
      <c r="AGB44" s="214"/>
      <c r="AGC44" s="214"/>
      <c r="AGD44" s="214"/>
      <c r="AGE44" s="214"/>
      <c r="AGF44" s="214"/>
      <c r="AGG44" s="214"/>
      <c r="AGH44" s="214"/>
      <c r="AGI44" s="214"/>
      <c r="AGJ44" s="214"/>
      <c r="AGK44" s="214"/>
      <c r="AGL44" s="214"/>
      <c r="AGM44" s="214"/>
      <c r="AGN44" s="214"/>
      <c r="AGO44" s="214"/>
      <c r="AGP44" s="214"/>
      <c r="AGQ44" s="214"/>
      <c r="AGR44" s="214"/>
      <c r="AGS44" s="214"/>
      <c r="AGT44" s="214"/>
      <c r="AGU44" s="214"/>
      <c r="AGV44" s="214"/>
      <c r="AGW44" s="214"/>
      <c r="AGX44" s="214"/>
      <c r="AGY44" s="214"/>
      <c r="AGZ44" s="214"/>
      <c r="AHA44" s="214"/>
      <c r="AHB44" s="214"/>
      <c r="AHC44" s="214"/>
      <c r="AHD44" s="214"/>
      <c r="AHE44" s="214"/>
      <c r="AHF44" s="214"/>
      <c r="AHG44" s="214"/>
      <c r="AHH44" s="214"/>
      <c r="AHI44" s="214"/>
      <c r="AHJ44" s="214"/>
      <c r="AHK44" s="214"/>
      <c r="AHL44" s="214"/>
      <c r="AHM44" s="214"/>
      <c r="AHN44" s="214"/>
      <c r="AHO44" s="214"/>
      <c r="AHP44" s="214"/>
      <c r="AHQ44" s="214"/>
      <c r="AHR44" s="214"/>
      <c r="AHS44" s="214"/>
      <c r="AHT44" s="214"/>
      <c r="AHU44" s="214"/>
      <c r="AHV44" s="214"/>
      <c r="AHW44" s="214"/>
      <c r="AHX44" s="214"/>
      <c r="AHY44" s="214"/>
      <c r="AHZ44" s="214"/>
      <c r="AIA44" s="214"/>
      <c r="AIB44" s="214"/>
      <c r="AIC44" s="214"/>
      <c r="AID44" s="214"/>
      <c r="AIE44" s="214"/>
      <c r="AIF44" s="214"/>
      <c r="AIG44" s="214"/>
      <c r="AIH44" s="214"/>
      <c r="AII44" s="214"/>
      <c r="AIJ44" s="214"/>
      <c r="AIK44" s="214"/>
      <c r="AIL44" s="214"/>
      <c r="AIM44" s="214"/>
      <c r="AIN44" s="214"/>
      <c r="AIO44" s="214"/>
      <c r="AIP44" s="214"/>
      <c r="AIQ44" s="214"/>
      <c r="AIR44" s="214"/>
      <c r="AIS44" s="214"/>
      <c r="AIT44" s="214"/>
      <c r="AIU44" s="214"/>
      <c r="AIV44" s="214"/>
      <c r="AIW44" s="214"/>
      <c r="AIX44" s="214"/>
      <c r="AIY44" s="214"/>
      <c r="AIZ44" s="214"/>
      <c r="AJA44" s="214"/>
      <c r="AJB44" s="214"/>
      <c r="AJC44" s="214"/>
      <c r="AJD44" s="214"/>
      <c r="AJE44" s="214"/>
      <c r="AJF44" s="214"/>
      <c r="AJG44" s="214"/>
      <c r="AJH44" s="214"/>
      <c r="AJI44" s="214"/>
      <c r="AJJ44" s="214"/>
      <c r="AJK44" s="214"/>
      <c r="AJL44" s="214"/>
      <c r="AJM44" s="214"/>
      <c r="AJN44" s="214"/>
      <c r="AJO44" s="214"/>
      <c r="AJP44" s="214"/>
      <c r="AJQ44" s="214"/>
      <c r="AJR44" s="214"/>
      <c r="AJS44" s="214"/>
      <c r="AJT44" s="214"/>
      <c r="AJU44" s="214"/>
      <c r="AJV44" s="214"/>
      <c r="AJW44" s="214"/>
      <c r="AJX44" s="214"/>
      <c r="AJY44" s="214"/>
      <c r="AJZ44" s="214"/>
      <c r="AKA44" s="214"/>
      <c r="AKB44" s="214"/>
      <c r="AKC44" s="214"/>
      <c r="AKD44" s="214"/>
      <c r="AKE44" s="214"/>
      <c r="AKF44" s="214"/>
      <c r="AKG44" s="214"/>
      <c r="AKH44" s="214"/>
      <c r="AKI44" s="214"/>
      <c r="AKJ44" s="214"/>
      <c r="AKK44" s="214"/>
      <c r="AKL44" s="214"/>
      <c r="AKM44" s="214"/>
      <c r="AKN44" s="214"/>
      <c r="AKO44" s="214"/>
      <c r="AKP44" s="214"/>
      <c r="AKQ44" s="214"/>
      <c r="AKR44" s="214"/>
      <c r="AKS44" s="214"/>
      <c r="AKT44" s="214"/>
      <c r="AKU44" s="214"/>
      <c r="AKV44" s="214"/>
      <c r="AKW44" s="214"/>
      <c r="AKX44" s="214"/>
      <c r="AKY44" s="214"/>
      <c r="AKZ44" s="214"/>
      <c r="ALA44" s="214"/>
      <c r="ALB44" s="214"/>
      <c r="ALC44" s="214"/>
      <c r="ALD44" s="214"/>
      <c r="ALE44" s="214"/>
      <c r="ALF44" s="214"/>
      <c r="ALG44" s="214"/>
      <c r="ALH44" s="214"/>
      <c r="ALI44" s="214"/>
      <c r="ALJ44" s="214"/>
      <c r="ALK44" s="214"/>
      <c r="ALL44" s="214"/>
      <c r="ALM44" s="214"/>
      <c r="ALN44" s="214"/>
      <c r="ALO44" s="214"/>
      <c r="ALP44" s="214"/>
      <c r="ALQ44" s="214"/>
      <c r="ALR44" s="214"/>
      <c r="ALS44" s="214"/>
      <c r="ALT44" s="214"/>
      <c r="ALU44" s="214"/>
      <c r="ALV44" s="214"/>
      <c r="ALW44" s="214"/>
      <c r="ALX44" s="214"/>
      <c r="ALY44" s="214"/>
      <c r="ALZ44" s="214"/>
      <c r="AMA44" s="214"/>
      <c r="AMB44" s="214"/>
      <c r="AMC44" s="214"/>
      <c r="AMD44" s="214"/>
      <c r="AME44" s="214"/>
      <c r="AMF44" s="214"/>
      <c r="AMG44" s="214"/>
      <c r="AMH44" s="214"/>
      <c r="AMI44" s="214"/>
      <c r="AMJ44" s="214"/>
      <c r="AMK44" s="214"/>
      <c r="AML44" s="214"/>
      <c r="AMM44" s="214"/>
      <c r="AMN44" s="214"/>
      <c r="AMO44" s="214"/>
      <c r="AMP44" s="214"/>
      <c r="AMQ44" s="214"/>
      <c r="AMR44" s="214"/>
      <c r="AMS44" s="214"/>
      <c r="AMT44" s="214"/>
      <c r="AMU44" s="214"/>
      <c r="AMV44" s="214"/>
      <c r="AMW44" s="214"/>
      <c r="AMX44" s="214"/>
      <c r="AMY44" s="214"/>
      <c r="AMZ44" s="214"/>
      <c r="ANA44" s="214"/>
      <c r="ANB44" s="214"/>
      <c r="ANC44" s="214"/>
      <c r="AND44" s="214"/>
      <c r="ANE44" s="214"/>
      <c r="ANF44" s="214"/>
      <c r="ANG44" s="214"/>
      <c r="ANH44" s="214"/>
      <c r="ANI44" s="214"/>
      <c r="ANJ44" s="214"/>
      <c r="ANK44" s="214"/>
      <c r="ANL44" s="214"/>
      <c r="ANM44" s="214"/>
      <c r="ANN44" s="214"/>
      <c r="ANO44" s="214"/>
      <c r="ANP44" s="214"/>
      <c r="ANQ44" s="214"/>
      <c r="ANR44" s="214"/>
      <c r="ANS44" s="214"/>
      <c r="ANT44" s="214"/>
      <c r="ANU44" s="214"/>
      <c r="ANV44" s="214"/>
      <c r="ANW44" s="214"/>
      <c r="ANX44" s="214"/>
      <c r="ANY44" s="214"/>
      <c r="ANZ44" s="214"/>
      <c r="AOA44" s="214"/>
      <c r="AOB44" s="214"/>
      <c r="AOC44" s="214"/>
      <c r="AOD44" s="214"/>
      <c r="AOE44" s="214"/>
      <c r="AOF44" s="214"/>
      <c r="AOG44" s="214"/>
      <c r="AOH44" s="214"/>
      <c r="AOI44" s="214"/>
      <c r="AOJ44" s="214"/>
      <c r="AOK44" s="214"/>
      <c r="AOL44" s="214"/>
      <c r="AOM44" s="214"/>
      <c r="AON44" s="214"/>
      <c r="AOO44" s="214"/>
      <c r="AOP44" s="214"/>
      <c r="AOQ44" s="214"/>
      <c r="AOR44" s="214"/>
      <c r="AOS44" s="214"/>
      <c r="AOT44" s="214"/>
      <c r="AOU44" s="214"/>
      <c r="AOV44" s="214"/>
      <c r="AOW44" s="214"/>
      <c r="AOX44" s="214"/>
      <c r="AOY44" s="214"/>
      <c r="AOZ44" s="214"/>
      <c r="APA44" s="214"/>
      <c r="APB44" s="214"/>
      <c r="APC44" s="214"/>
      <c r="APD44" s="214"/>
      <c r="APE44" s="214"/>
      <c r="APF44" s="214"/>
      <c r="APG44" s="214"/>
      <c r="APH44" s="214"/>
      <c r="API44" s="214"/>
      <c r="APJ44" s="214"/>
      <c r="APK44" s="214"/>
      <c r="APL44" s="214"/>
      <c r="APM44" s="214"/>
      <c r="APN44" s="214"/>
      <c r="APO44" s="214"/>
      <c r="APP44" s="214"/>
      <c r="APQ44" s="214"/>
      <c r="APR44" s="214"/>
      <c r="APS44" s="214"/>
      <c r="APT44" s="214"/>
      <c r="APU44" s="214"/>
      <c r="APV44" s="214"/>
      <c r="APW44" s="214"/>
      <c r="APX44" s="214"/>
      <c r="APY44" s="214"/>
      <c r="APZ44" s="214"/>
      <c r="AQA44" s="214"/>
      <c r="AQB44" s="214"/>
      <c r="AQC44" s="214"/>
      <c r="AQD44" s="214"/>
      <c r="AQE44" s="214"/>
      <c r="AQF44" s="214"/>
      <c r="AQG44" s="214"/>
      <c r="AQH44" s="214"/>
      <c r="AQI44" s="214"/>
      <c r="AQJ44" s="214"/>
      <c r="AQK44" s="214"/>
      <c r="AQL44" s="214"/>
      <c r="AQM44" s="214"/>
      <c r="AQN44" s="214"/>
      <c r="AQO44" s="214"/>
      <c r="AQP44" s="214"/>
      <c r="AQQ44" s="214"/>
      <c r="AQR44" s="214"/>
      <c r="AQS44" s="214"/>
      <c r="AQT44" s="214"/>
      <c r="AQU44" s="214"/>
      <c r="AQV44" s="214"/>
      <c r="AQW44" s="214"/>
      <c r="AQX44" s="214"/>
      <c r="AQY44" s="214"/>
      <c r="AQZ44" s="214"/>
      <c r="ARA44" s="214"/>
      <c r="ARB44" s="214"/>
      <c r="ARC44" s="214"/>
      <c r="ARD44" s="214"/>
      <c r="ARE44" s="214"/>
      <c r="ARF44" s="214"/>
      <c r="ARG44" s="214"/>
      <c r="ARH44" s="214"/>
      <c r="ARI44" s="214"/>
      <c r="ARJ44" s="214"/>
      <c r="ARK44" s="214"/>
      <c r="ARL44" s="214"/>
      <c r="ARM44" s="214"/>
      <c r="ARN44" s="214"/>
      <c r="ARO44" s="214"/>
      <c r="ARP44" s="214"/>
      <c r="ARQ44" s="214"/>
      <c r="ARR44" s="214"/>
      <c r="ARS44" s="214"/>
      <c r="ART44" s="214"/>
      <c r="ARU44" s="214"/>
      <c r="ARV44" s="214"/>
      <c r="ARW44" s="214"/>
      <c r="ARX44" s="214"/>
      <c r="ARY44" s="214"/>
      <c r="ARZ44" s="214"/>
      <c r="ASA44" s="214"/>
      <c r="ASB44" s="214"/>
      <c r="ASC44" s="214"/>
      <c r="ASD44" s="214"/>
      <c r="ASE44" s="214"/>
      <c r="ASF44" s="214"/>
      <c r="ASG44" s="214"/>
      <c r="ASH44" s="214"/>
      <c r="ASI44" s="214"/>
      <c r="ASJ44" s="214"/>
      <c r="ASK44" s="214"/>
      <c r="ASL44" s="214"/>
      <c r="ASM44" s="214"/>
      <c r="ASN44" s="214"/>
      <c r="ASO44" s="214"/>
      <c r="ASP44" s="214"/>
      <c r="ASQ44" s="214"/>
      <c r="ASR44" s="214"/>
      <c r="ASS44" s="214"/>
      <c r="AST44" s="214"/>
      <c r="ASU44" s="214"/>
      <c r="ASV44" s="214"/>
      <c r="ASW44" s="214"/>
      <c r="ASX44" s="214"/>
      <c r="ASY44" s="214"/>
      <c r="ASZ44" s="214"/>
      <c r="ATA44" s="214"/>
      <c r="ATB44" s="214"/>
      <c r="ATC44" s="214"/>
      <c r="ATD44" s="214"/>
      <c r="ATE44" s="214"/>
      <c r="ATF44" s="214"/>
      <c r="ATG44" s="214"/>
      <c r="ATH44" s="214"/>
      <c r="ATI44" s="214"/>
      <c r="ATJ44" s="214"/>
      <c r="ATK44" s="214"/>
      <c r="ATL44" s="214"/>
      <c r="ATM44" s="214"/>
      <c r="ATN44" s="214"/>
      <c r="ATO44" s="214"/>
      <c r="ATP44" s="214"/>
      <c r="ATQ44" s="214"/>
      <c r="ATR44" s="214"/>
      <c r="ATS44" s="214"/>
      <c r="ATT44" s="214"/>
      <c r="ATU44" s="214"/>
      <c r="ATV44" s="214"/>
      <c r="ATW44" s="214"/>
      <c r="ATX44" s="214"/>
      <c r="ATY44" s="214"/>
      <c r="ATZ44" s="214"/>
      <c r="AUA44" s="214"/>
      <c r="AUB44" s="214"/>
      <c r="AUC44" s="214"/>
      <c r="AUD44" s="214"/>
      <c r="AUE44" s="214"/>
      <c r="AUF44" s="214"/>
      <c r="AUG44" s="214"/>
      <c r="AUH44" s="214"/>
      <c r="AUI44" s="214"/>
      <c r="AUJ44" s="214"/>
      <c r="AUK44" s="214"/>
      <c r="AUL44" s="214"/>
      <c r="AUM44" s="214"/>
      <c r="AUN44" s="214"/>
      <c r="AUO44" s="214"/>
      <c r="AUP44" s="214"/>
      <c r="AUQ44" s="214"/>
      <c r="AUR44" s="214"/>
      <c r="AUS44" s="214"/>
      <c r="AUT44" s="214"/>
      <c r="AUU44" s="214"/>
      <c r="AUV44" s="214"/>
      <c r="AUW44" s="214"/>
      <c r="AUX44" s="214"/>
      <c r="AUY44" s="214"/>
      <c r="AUZ44" s="214"/>
      <c r="AVA44" s="214"/>
      <c r="AVB44" s="214"/>
      <c r="AVC44" s="214"/>
      <c r="AVD44" s="214"/>
      <c r="AVE44" s="214"/>
      <c r="AVF44" s="214"/>
      <c r="AVG44" s="214"/>
      <c r="AVH44" s="214"/>
      <c r="AVI44" s="214"/>
      <c r="AVJ44" s="214"/>
      <c r="AVK44" s="214"/>
      <c r="AVL44" s="214"/>
      <c r="AVM44" s="214"/>
      <c r="AVN44" s="214"/>
      <c r="AVO44" s="214"/>
      <c r="AVP44" s="214"/>
      <c r="AVQ44" s="214"/>
      <c r="AVR44" s="214"/>
      <c r="AVS44" s="214"/>
      <c r="AVT44" s="214"/>
      <c r="AVU44" s="214"/>
      <c r="AVV44" s="214"/>
      <c r="AVW44" s="214"/>
      <c r="AVX44" s="214"/>
      <c r="AVY44" s="214"/>
      <c r="AVZ44" s="214"/>
      <c r="AWA44" s="214"/>
      <c r="AWB44" s="214"/>
      <c r="AWC44" s="214"/>
      <c r="AWD44" s="214"/>
      <c r="AWE44" s="214"/>
      <c r="AWF44" s="214"/>
      <c r="AWG44" s="214"/>
      <c r="AWH44" s="214"/>
      <c r="AWI44" s="214"/>
      <c r="AWJ44" s="214"/>
      <c r="AWK44" s="214"/>
      <c r="AWL44" s="214"/>
      <c r="AWM44" s="214"/>
      <c r="AWN44" s="214"/>
      <c r="AWO44" s="214"/>
      <c r="AWP44" s="214"/>
      <c r="AWQ44" s="214"/>
      <c r="AWR44" s="214"/>
      <c r="AWS44" s="214"/>
      <c r="AWT44" s="214"/>
      <c r="AWU44" s="214"/>
      <c r="AWV44" s="214"/>
      <c r="AWW44" s="214"/>
      <c r="AWX44" s="214"/>
      <c r="AWY44" s="214"/>
      <c r="AWZ44" s="214"/>
      <c r="AXA44" s="214"/>
      <c r="AXB44" s="214"/>
      <c r="AXC44" s="214"/>
      <c r="AXD44" s="214"/>
      <c r="AXE44" s="214"/>
      <c r="AXF44" s="214"/>
      <c r="AXG44" s="214"/>
      <c r="AXH44" s="214"/>
      <c r="AXI44" s="214"/>
      <c r="AXJ44" s="214"/>
      <c r="AXK44" s="214"/>
      <c r="AXL44" s="214"/>
      <c r="AXM44" s="214"/>
      <c r="AXN44" s="214"/>
      <c r="AXO44" s="214"/>
      <c r="AXP44" s="214"/>
      <c r="AXQ44" s="214"/>
      <c r="AXR44" s="214"/>
      <c r="AXS44" s="214"/>
      <c r="AXT44" s="214"/>
      <c r="AXU44" s="214"/>
      <c r="AXV44" s="214"/>
      <c r="AXW44" s="214"/>
      <c r="AXX44" s="214"/>
      <c r="AXY44" s="214"/>
      <c r="AXZ44" s="214"/>
      <c r="AYA44" s="214"/>
      <c r="AYB44" s="214"/>
      <c r="AYC44" s="214"/>
      <c r="AYD44" s="214"/>
      <c r="AYE44" s="214"/>
      <c r="AYF44" s="214"/>
      <c r="AYG44" s="214"/>
      <c r="AYH44" s="214"/>
      <c r="AYI44" s="214"/>
      <c r="AYJ44" s="214"/>
      <c r="AYK44" s="214"/>
      <c r="AYL44" s="214"/>
      <c r="AYM44" s="214"/>
      <c r="AYN44" s="214"/>
      <c r="AYO44" s="214"/>
      <c r="AYP44" s="214"/>
      <c r="AYQ44" s="214"/>
      <c r="AYR44" s="214"/>
      <c r="AYS44" s="214"/>
      <c r="AYT44" s="214"/>
      <c r="AYU44" s="214"/>
      <c r="AYV44" s="214"/>
      <c r="AYW44" s="214"/>
      <c r="AYX44" s="214"/>
      <c r="AYY44" s="214"/>
      <c r="AYZ44" s="214"/>
      <c r="AZA44" s="214"/>
      <c r="AZB44" s="214"/>
      <c r="AZC44" s="214"/>
      <c r="AZD44" s="214"/>
      <c r="AZE44" s="214"/>
      <c r="AZF44" s="214"/>
      <c r="AZG44" s="214"/>
      <c r="AZH44" s="214"/>
      <c r="AZI44" s="214"/>
      <c r="AZJ44" s="214"/>
      <c r="AZK44" s="214"/>
      <c r="AZL44" s="214"/>
      <c r="AZM44" s="214"/>
      <c r="AZN44" s="214"/>
      <c r="AZO44" s="214"/>
      <c r="AZP44" s="214"/>
      <c r="AZQ44" s="214"/>
      <c r="AZR44" s="214"/>
      <c r="AZS44" s="214"/>
      <c r="AZT44" s="214"/>
      <c r="AZU44" s="214"/>
      <c r="AZV44" s="214"/>
      <c r="AZW44" s="214"/>
      <c r="AZX44" s="214"/>
      <c r="AZY44" s="214"/>
      <c r="AZZ44" s="214"/>
      <c r="BAA44" s="214"/>
      <c r="BAB44" s="214"/>
      <c r="BAC44" s="214"/>
      <c r="BAD44" s="214"/>
      <c r="BAE44" s="214"/>
      <c r="BAF44" s="214"/>
      <c r="BAG44" s="214"/>
      <c r="BAH44" s="214"/>
      <c r="BAI44" s="214"/>
      <c r="BAJ44" s="214"/>
      <c r="BAK44" s="214"/>
      <c r="BAL44" s="214"/>
      <c r="BAM44" s="214"/>
      <c r="BAN44" s="214"/>
      <c r="BAO44" s="214"/>
      <c r="BAP44" s="214"/>
      <c r="BAQ44" s="214"/>
      <c r="BAR44" s="214"/>
      <c r="BAS44" s="214"/>
      <c r="BAT44" s="214"/>
      <c r="BAU44" s="214"/>
      <c r="BAV44" s="214"/>
      <c r="BAW44" s="214"/>
      <c r="BAX44" s="214"/>
      <c r="BAY44" s="214"/>
      <c r="BAZ44" s="214"/>
      <c r="BBA44" s="214"/>
      <c r="BBB44" s="214"/>
      <c r="BBC44" s="214"/>
      <c r="BBD44" s="214"/>
      <c r="BBE44" s="214"/>
      <c r="BBF44" s="214"/>
      <c r="BBG44" s="214"/>
      <c r="BBH44" s="214"/>
      <c r="BBI44" s="214"/>
      <c r="BBJ44" s="214"/>
      <c r="BBK44" s="214"/>
      <c r="BBL44" s="214"/>
      <c r="BBM44" s="214"/>
      <c r="BBN44" s="214"/>
      <c r="BBO44" s="214"/>
      <c r="BBP44" s="214"/>
      <c r="BBQ44" s="214"/>
      <c r="BBR44" s="214"/>
      <c r="BBS44" s="214"/>
      <c r="BBT44" s="214"/>
      <c r="BBU44" s="214"/>
      <c r="BBV44" s="214"/>
      <c r="BBW44" s="214"/>
      <c r="BBX44" s="214"/>
      <c r="BBY44" s="214"/>
      <c r="BBZ44" s="214"/>
      <c r="BCA44" s="214"/>
      <c r="BCB44" s="214"/>
      <c r="BCC44" s="214"/>
      <c r="BCD44" s="214"/>
      <c r="BCE44" s="214"/>
      <c r="BCF44" s="214"/>
      <c r="BCG44" s="214"/>
      <c r="BCH44" s="214"/>
      <c r="BCI44" s="214"/>
      <c r="BCJ44" s="214"/>
      <c r="BCK44" s="214"/>
      <c r="BCL44" s="214"/>
      <c r="BCM44" s="214"/>
      <c r="BCN44" s="214"/>
      <c r="BCO44" s="214"/>
      <c r="BCP44" s="214"/>
      <c r="BCQ44" s="214"/>
      <c r="BCR44" s="214"/>
      <c r="BCS44" s="214"/>
      <c r="BCT44" s="214"/>
      <c r="BCU44" s="214"/>
      <c r="BCV44" s="214"/>
      <c r="BCW44" s="214"/>
      <c r="BCX44" s="214"/>
      <c r="BCY44" s="214"/>
      <c r="BCZ44" s="214"/>
      <c r="BDA44" s="214"/>
      <c r="BDB44" s="214"/>
      <c r="BDC44" s="214"/>
      <c r="BDD44" s="214"/>
      <c r="BDE44" s="214"/>
      <c r="BDF44" s="214"/>
      <c r="BDG44" s="214"/>
      <c r="BDH44" s="214"/>
      <c r="BDI44" s="214"/>
      <c r="BDJ44" s="214"/>
      <c r="BDK44" s="214"/>
      <c r="BDL44" s="214"/>
      <c r="BDM44" s="214"/>
      <c r="BDN44" s="214"/>
      <c r="BDO44" s="214"/>
      <c r="BDP44" s="214"/>
      <c r="BDQ44" s="214"/>
      <c r="BDR44" s="214"/>
      <c r="BDS44" s="214"/>
      <c r="BDT44" s="214"/>
      <c r="BDU44" s="214"/>
      <c r="BDV44" s="214"/>
      <c r="BDW44" s="214"/>
      <c r="BDX44" s="214"/>
      <c r="BDY44" s="214"/>
      <c r="BDZ44" s="214"/>
      <c r="BEA44" s="214"/>
      <c r="BEB44" s="214"/>
      <c r="BEC44" s="214"/>
      <c r="BED44" s="214"/>
      <c r="BEE44" s="214"/>
      <c r="BEF44" s="214"/>
      <c r="BEG44" s="214"/>
      <c r="BEH44" s="214"/>
      <c r="BEI44" s="214"/>
      <c r="BEJ44" s="214"/>
      <c r="BEK44" s="214"/>
      <c r="BEL44" s="214"/>
      <c r="BEM44" s="214"/>
      <c r="BEN44" s="214"/>
      <c r="BEO44" s="214"/>
      <c r="BEP44" s="214"/>
      <c r="BEQ44" s="214"/>
      <c r="BER44" s="214"/>
      <c r="BES44" s="214"/>
      <c r="BET44" s="214"/>
      <c r="BEU44" s="214"/>
      <c r="BEV44" s="214"/>
      <c r="BEW44" s="214"/>
      <c r="BEX44" s="214"/>
      <c r="BEY44" s="214"/>
      <c r="BEZ44" s="214"/>
      <c r="BFA44" s="214"/>
      <c r="BFB44" s="214"/>
      <c r="BFC44" s="214"/>
      <c r="BFD44" s="214"/>
      <c r="BFE44" s="214"/>
      <c r="BFF44" s="214"/>
      <c r="BFG44" s="214"/>
      <c r="BFH44" s="214"/>
      <c r="BFI44" s="214"/>
      <c r="BFJ44" s="214"/>
      <c r="BFK44" s="214"/>
      <c r="BFL44" s="214"/>
      <c r="BFM44" s="214"/>
      <c r="BFN44" s="214"/>
      <c r="BFO44" s="214"/>
      <c r="BFP44" s="214"/>
      <c r="BFQ44" s="214"/>
      <c r="BFR44" s="214"/>
      <c r="BFS44" s="214"/>
      <c r="BFT44" s="214"/>
      <c r="BFU44" s="214"/>
      <c r="BFV44" s="214"/>
      <c r="BFW44" s="214"/>
      <c r="BFX44" s="214"/>
      <c r="BFY44" s="214"/>
      <c r="BFZ44" s="214"/>
      <c r="BGA44" s="214"/>
      <c r="BGB44" s="214"/>
      <c r="BGC44" s="214"/>
      <c r="BGD44" s="214"/>
      <c r="BGE44" s="214"/>
      <c r="BGF44" s="214"/>
      <c r="BGG44" s="214"/>
      <c r="BGH44" s="214"/>
      <c r="BGI44" s="214"/>
      <c r="BGJ44" s="214"/>
      <c r="BGK44" s="214"/>
      <c r="BGL44" s="214"/>
      <c r="BGM44" s="214"/>
      <c r="BGN44" s="214"/>
      <c r="BGO44" s="214"/>
      <c r="BGP44" s="214"/>
      <c r="BGQ44" s="214"/>
      <c r="BGR44" s="214"/>
      <c r="BGS44" s="214"/>
      <c r="BGT44" s="214"/>
      <c r="BGU44" s="214"/>
      <c r="BGV44" s="214"/>
      <c r="BGW44" s="214"/>
      <c r="BGX44" s="214"/>
      <c r="BGY44" s="214"/>
      <c r="BGZ44" s="214"/>
      <c r="BHA44" s="214"/>
      <c r="BHB44" s="214"/>
      <c r="BHC44" s="214"/>
      <c r="BHD44" s="214"/>
      <c r="BHE44" s="214"/>
      <c r="BHF44" s="214"/>
      <c r="BHG44" s="214"/>
      <c r="BHH44" s="214"/>
      <c r="BHI44" s="214"/>
      <c r="BHJ44" s="214"/>
      <c r="BHK44" s="214"/>
      <c r="BHL44" s="214"/>
      <c r="BHM44" s="214"/>
      <c r="BHN44" s="214"/>
      <c r="BHO44" s="214"/>
      <c r="BHP44" s="214"/>
      <c r="BHQ44" s="214"/>
      <c r="BHR44" s="214"/>
      <c r="BHS44" s="214"/>
      <c r="BHT44" s="214"/>
      <c r="BHU44" s="214"/>
      <c r="BHV44" s="214"/>
      <c r="BHW44" s="214"/>
      <c r="BHX44" s="214"/>
      <c r="BHY44" s="214"/>
      <c r="BHZ44" s="214"/>
      <c r="BIA44" s="214"/>
      <c r="BIB44" s="214"/>
      <c r="BIC44" s="214"/>
      <c r="BID44" s="214"/>
      <c r="BIE44" s="214"/>
      <c r="BIF44" s="214"/>
      <c r="BIG44" s="214"/>
      <c r="BIH44" s="214"/>
      <c r="BII44" s="214"/>
      <c r="BIJ44" s="214"/>
      <c r="BIK44" s="214"/>
      <c r="BIL44" s="214"/>
      <c r="BIM44" s="214"/>
      <c r="BIN44" s="214"/>
      <c r="BIO44" s="214"/>
      <c r="BIP44" s="214"/>
      <c r="BIQ44" s="214"/>
      <c r="BIR44" s="214"/>
      <c r="BIS44" s="214"/>
      <c r="BIT44" s="214"/>
      <c r="BIU44" s="214"/>
      <c r="BIV44" s="214"/>
      <c r="BIW44" s="214"/>
      <c r="BIX44" s="214"/>
      <c r="BIY44" s="214"/>
      <c r="BIZ44" s="214"/>
      <c r="BJA44" s="214"/>
      <c r="BJB44" s="214"/>
      <c r="BJC44" s="214"/>
      <c r="BJD44" s="214"/>
      <c r="BJE44" s="214"/>
      <c r="BJF44" s="214"/>
      <c r="BJG44" s="214"/>
      <c r="BJH44" s="214"/>
      <c r="BJI44" s="214"/>
      <c r="BJJ44" s="214"/>
      <c r="BJK44" s="214"/>
      <c r="BJL44" s="214"/>
      <c r="BJM44" s="214"/>
      <c r="BJN44" s="214"/>
      <c r="BJO44" s="214"/>
      <c r="BJP44" s="214"/>
      <c r="BJQ44" s="214"/>
      <c r="BJR44" s="214"/>
      <c r="BJS44" s="214"/>
      <c r="BJT44" s="214"/>
      <c r="BJU44" s="214"/>
      <c r="BJV44" s="214"/>
      <c r="BJW44" s="214"/>
      <c r="BJX44" s="214"/>
      <c r="BJY44" s="214"/>
      <c r="BJZ44" s="214"/>
      <c r="BKA44" s="214"/>
      <c r="BKB44" s="214"/>
      <c r="BKC44" s="214"/>
      <c r="BKD44" s="214"/>
      <c r="BKE44" s="214"/>
      <c r="BKF44" s="214"/>
      <c r="BKG44" s="214"/>
      <c r="BKH44" s="214"/>
      <c r="BKI44" s="214"/>
      <c r="BKJ44" s="214"/>
      <c r="BKK44" s="214"/>
      <c r="BKL44" s="214"/>
      <c r="BKM44" s="214"/>
      <c r="BKN44" s="214"/>
      <c r="BKO44" s="214"/>
      <c r="BKP44" s="214"/>
      <c r="BKQ44" s="214"/>
      <c r="BKR44" s="214"/>
      <c r="BKS44" s="214"/>
      <c r="BKT44" s="214"/>
      <c r="BKU44" s="214"/>
      <c r="BKV44" s="214"/>
      <c r="BKW44" s="214"/>
      <c r="BKX44" s="214"/>
      <c r="BKY44" s="214"/>
      <c r="BKZ44" s="214"/>
      <c r="BLA44" s="214"/>
      <c r="BLB44" s="214"/>
      <c r="BLC44" s="214"/>
      <c r="BLD44" s="214"/>
      <c r="BLE44" s="214"/>
      <c r="BLF44" s="214"/>
      <c r="BLG44" s="214"/>
      <c r="BLH44" s="214"/>
      <c r="BLI44" s="214"/>
      <c r="BLJ44" s="214"/>
      <c r="BLK44" s="214"/>
      <c r="BLL44" s="214"/>
      <c r="BLM44" s="214"/>
      <c r="BLN44" s="214"/>
      <c r="BLO44" s="214"/>
      <c r="BLP44" s="214"/>
      <c r="BLQ44" s="214"/>
      <c r="BLR44" s="214"/>
      <c r="BLS44" s="214"/>
      <c r="BLT44" s="214"/>
      <c r="BLU44" s="214"/>
      <c r="BLV44" s="214"/>
      <c r="BLW44" s="214"/>
      <c r="BLX44" s="214"/>
      <c r="BLY44" s="214"/>
      <c r="BLZ44" s="214"/>
      <c r="BMA44" s="214"/>
      <c r="BMB44" s="214"/>
      <c r="BMC44" s="214"/>
      <c r="BMD44" s="214"/>
      <c r="BME44" s="214"/>
      <c r="BMF44" s="214"/>
      <c r="BMG44" s="214"/>
      <c r="BMH44" s="214"/>
      <c r="BMI44" s="214"/>
      <c r="BMJ44" s="214"/>
      <c r="BMK44" s="214"/>
      <c r="BML44" s="214"/>
      <c r="BMM44" s="214"/>
      <c r="BMN44" s="214"/>
      <c r="BMO44" s="214"/>
      <c r="BMP44" s="214"/>
      <c r="BMQ44" s="214"/>
      <c r="BMR44" s="214"/>
      <c r="BMS44" s="214"/>
      <c r="BMT44" s="214"/>
      <c r="BMU44" s="214"/>
      <c r="BMV44" s="214"/>
      <c r="BMW44" s="214"/>
      <c r="BMX44" s="214"/>
      <c r="BMY44" s="214"/>
      <c r="BMZ44" s="214"/>
      <c r="BNA44" s="214"/>
      <c r="BNB44" s="214"/>
      <c r="BNC44" s="214"/>
      <c r="BND44" s="214"/>
      <c r="BNE44" s="214"/>
      <c r="BNF44" s="214"/>
      <c r="BNG44" s="214"/>
      <c r="BNH44" s="214"/>
      <c r="BNI44" s="214"/>
      <c r="BNJ44" s="214"/>
      <c r="BNK44" s="214"/>
      <c r="BNL44" s="214"/>
      <c r="BNM44" s="214"/>
      <c r="BNN44" s="214"/>
      <c r="BNO44" s="214"/>
      <c r="BNP44" s="214"/>
      <c r="BNQ44" s="214"/>
      <c r="BNR44" s="214"/>
      <c r="BNS44" s="214"/>
      <c r="BNT44" s="214"/>
      <c r="BNU44" s="214"/>
      <c r="BNV44" s="214"/>
      <c r="BNW44" s="214"/>
      <c r="BNX44" s="214"/>
      <c r="BNY44" s="214"/>
      <c r="BNZ44" s="214"/>
      <c r="BOA44" s="214"/>
      <c r="BOB44" s="214"/>
      <c r="BOC44" s="214"/>
      <c r="BOD44" s="214"/>
      <c r="BOE44" s="214"/>
      <c r="BOF44" s="214"/>
      <c r="BOG44" s="214"/>
      <c r="BOH44" s="214"/>
      <c r="BOI44" s="214"/>
      <c r="BOJ44" s="214"/>
      <c r="BOK44" s="214"/>
      <c r="BOL44" s="214"/>
      <c r="BOM44" s="214"/>
      <c r="BON44" s="214"/>
      <c r="BOO44" s="214"/>
      <c r="BOP44" s="214"/>
      <c r="BOQ44" s="214"/>
      <c r="BOR44" s="214"/>
      <c r="BOS44" s="214"/>
      <c r="BOT44" s="214"/>
      <c r="BOU44" s="214"/>
      <c r="BOV44" s="214"/>
      <c r="BOW44" s="214"/>
      <c r="BOX44" s="214"/>
      <c r="BOY44" s="214"/>
      <c r="BOZ44" s="214"/>
      <c r="BPA44" s="214"/>
      <c r="BPB44" s="214"/>
      <c r="BPC44" s="214"/>
      <c r="BPD44" s="214"/>
      <c r="BPE44" s="214"/>
      <c r="BPF44" s="214"/>
      <c r="BPG44" s="214"/>
      <c r="BPH44" s="214"/>
      <c r="BPI44" s="214"/>
      <c r="BPJ44" s="214"/>
      <c r="BPK44" s="214"/>
      <c r="BPL44" s="214"/>
      <c r="BPM44" s="214"/>
      <c r="BPN44" s="214"/>
      <c r="BPO44" s="214"/>
      <c r="BPP44" s="214"/>
      <c r="BPQ44" s="214"/>
      <c r="BPR44" s="214"/>
      <c r="BPS44" s="214"/>
      <c r="BPT44" s="214"/>
      <c r="BPU44" s="214"/>
      <c r="BPV44" s="214"/>
      <c r="BPW44" s="214"/>
      <c r="BPX44" s="214"/>
      <c r="BPY44" s="214"/>
      <c r="BPZ44" s="214"/>
      <c r="BQA44" s="214"/>
      <c r="BQB44" s="214"/>
      <c r="BQC44" s="214"/>
      <c r="BQD44" s="214"/>
      <c r="BQE44" s="214"/>
      <c r="BQF44" s="214"/>
      <c r="BQG44" s="214"/>
      <c r="BQH44" s="214"/>
      <c r="BQI44" s="214"/>
      <c r="BQJ44" s="214"/>
      <c r="BQK44" s="214"/>
      <c r="BQL44" s="214"/>
      <c r="BQM44" s="214"/>
      <c r="BQN44" s="214"/>
      <c r="BQO44" s="214"/>
      <c r="BQP44" s="214"/>
      <c r="BQQ44" s="214"/>
      <c r="BQR44" s="214"/>
      <c r="BQS44" s="214"/>
      <c r="BQT44" s="214"/>
      <c r="BQU44" s="214"/>
      <c r="BQV44" s="214"/>
      <c r="BQW44" s="214"/>
      <c r="BQX44" s="214"/>
      <c r="BQY44" s="214"/>
      <c r="BQZ44" s="214"/>
      <c r="BRA44" s="214"/>
      <c r="BRB44" s="214"/>
      <c r="BRC44" s="214"/>
      <c r="BRD44" s="214"/>
      <c r="BRE44" s="214"/>
      <c r="BRF44" s="214"/>
      <c r="BRG44" s="214"/>
      <c r="BRH44" s="214"/>
      <c r="BRI44" s="214"/>
      <c r="BRJ44" s="214"/>
      <c r="BRK44" s="214"/>
      <c r="BRL44" s="214"/>
      <c r="BRM44" s="214"/>
      <c r="BRN44" s="214"/>
      <c r="BRO44" s="214"/>
      <c r="BRP44" s="214"/>
      <c r="BRQ44" s="214"/>
      <c r="BRR44" s="214"/>
      <c r="BRS44" s="214"/>
      <c r="BRT44" s="214"/>
      <c r="BRU44" s="214"/>
      <c r="BRV44" s="214"/>
      <c r="BRW44" s="214"/>
      <c r="BRX44" s="214"/>
      <c r="BRY44" s="214"/>
      <c r="BRZ44" s="214"/>
      <c r="BSA44" s="214"/>
      <c r="BSB44" s="214"/>
      <c r="BSC44" s="214"/>
      <c r="BSD44" s="214"/>
      <c r="BSE44" s="214"/>
      <c r="BSF44" s="214"/>
      <c r="BSG44" s="214"/>
      <c r="BSH44" s="214"/>
      <c r="BSI44" s="214"/>
      <c r="BSJ44" s="214"/>
      <c r="BSK44" s="214"/>
      <c r="BSL44" s="214"/>
      <c r="BSM44" s="214"/>
      <c r="BSN44" s="214"/>
      <c r="BSO44" s="214"/>
      <c r="BSP44" s="214"/>
      <c r="BSQ44" s="214"/>
      <c r="BSR44" s="214"/>
      <c r="BSS44" s="214"/>
      <c r="BST44" s="214"/>
      <c r="BSU44" s="214"/>
      <c r="BSV44" s="214"/>
      <c r="BSW44" s="214"/>
      <c r="BSX44" s="214"/>
      <c r="BSY44" s="214"/>
      <c r="BSZ44" s="214"/>
      <c r="BTA44" s="214"/>
      <c r="BTB44" s="214"/>
      <c r="BTC44" s="214"/>
      <c r="BTD44" s="214"/>
      <c r="BTE44" s="214"/>
      <c r="BTF44" s="214"/>
      <c r="BTG44" s="214"/>
      <c r="BTH44" s="214"/>
      <c r="BTI44" s="214"/>
      <c r="BTJ44" s="214"/>
      <c r="BTK44" s="214"/>
      <c r="BTL44" s="214"/>
      <c r="BTM44" s="214"/>
      <c r="BTN44" s="214"/>
      <c r="BTO44" s="214"/>
      <c r="BTP44" s="214"/>
      <c r="BTQ44" s="214"/>
      <c r="BTR44" s="214"/>
      <c r="BTS44" s="214"/>
      <c r="BTT44" s="214"/>
      <c r="BTU44" s="214"/>
      <c r="BTV44" s="214"/>
      <c r="BTW44" s="214"/>
      <c r="BTX44" s="214"/>
      <c r="BTY44" s="214"/>
      <c r="BTZ44" s="214"/>
      <c r="BUA44" s="214"/>
      <c r="BUB44" s="214"/>
      <c r="BUC44" s="214"/>
      <c r="BUD44" s="214"/>
      <c r="BUE44" s="214"/>
      <c r="BUF44" s="214"/>
      <c r="BUG44" s="214"/>
      <c r="BUH44" s="214"/>
      <c r="BUI44" s="214"/>
      <c r="BUJ44" s="214"/>
      <c r="BUK44" s="214"/>
      <c r="BUL44" s="214"/>
      <c r="BUM44" s="214"/>
      <c r="BUN44" s="214"/>
      <c r="BUO44" s="214"/>
      <c r="BUP44" s="214"/>
      <c r="BUQ44" s="214"/>
      <c r="BUR44" s="214"/>
      <c r="BUS44" s="214"/>
      <c r="BUT44" s="214"/>
      <c r="BUU44" s="214"/>
      <c r="BUV44" s="214"/>
      <c r="BUW44" s="214"/>
      <c r="BUX44" s="214"/>
      <c r="BUY44" s="214"/>
      <c r="BUZ44" s="214"/>
      <c r="BVA44" s="214"/>
      <c r="BVB44" s="214"/>
      <c r="BVC44" s="214"/>
      <c r="BVD44" s="214"/>
      <c r="BVE44" s="214"/>
      <c r="BVF44" s="214"/>
      <c r="BVG44" s="214"/>
      <c r="BVH44" s="214"/>
      <c r="BVI44" s="214"/>
      <c r="BVJ44" s="214"/>
      <c r="BVK44" s="214"/>
      <c r="BVL44" s="214"/>
      <c r="BVM44" s="214"/>
      <c r="BVN44" s="214"/>
      <c r="BVO44" s="214"/>
      <c r="BVP44" s="214"/>
      <c r="BVQ44" s="214"/>
      <c r="BVR44" s="214"/>
      <c r="BVS44" s="214"/>
      <c r="BVT44" s="214"/>
      <c r="BVU44" s="214"/>
      <c r="BVV44" s="214"/>
      <c r="BVW44" s="214"/>
      <c r="BVX44" s="214"/>
      <c r="BVY44" s="214"/>
      <c r="BVZ44" s="214"/>
      <c r="BWA44" s="214"/>
      <c r="BWB44" s="214"/>
      <c r="BWC44" s="214"/>
      <c r="BWD44" s="214"/>
      <c r="BWE44" s="214"/>
      <c r="BWF44" s="214"/>
      <c r="BWG44" s="214"/>
      <c r="BWH44" s="214"/>
      <c r="BWI44" s="214"/>
      <c r="BWJ44" s="214"/>
      <c r="BWK44" s="214"/>
      <c r="BWL44" s="214"/>
      <c r="BWM44" s="214"/>
      <c r="BWN44" s="214"/>
      <c r="BWO44" s="214"/>
      <c r="BWP44" s="214"/>
      <c r="BWQ44" s="214"/>
      <c r="BWR44" s="214"/>
      <c r="BWS44" s="214"/>
      <c r="BWT44" s="214"/>
      <c r="BWU44" s="214"/>
      <c r="BWV44" s="214"/>
      <c r="BWW44" s="214"/>
      <c r="BWX44" s="214"/>
      <c r="BWY44" s="214"/>
      <c r="BWZ44" s="214"/>
      <c r="BXA44" s="214"/>
      <c r="BXB44" s="214"/>
      <c r="BXC44" s="214"/>
      <c r="BXD44" s="214"/>
      <c r="BXE44" s="214"/>
      <c r="BXF44" s="214"/>
      <c r="BXG44" s="214"/>
      <c r="BXH44" s="214"/>
      <c r="BXI44" s="214"/>
      <c r="BXJ44" s="214"/>
      <c r="BXK44" s="214"/>
      <c r="BXL44" s="214"/>
      <c r="BXM44" s="214"/>
      <c r="BXN44" s="214"/>
      <c r="BXO44" s="214"/>
      <c r="BXP44" s="214"/>
      <c r="BXQ44" s="214"/>
      <c r="BXR44" s="214"/>
      <c r="BXS44" s="214"/>
      <c r="BXT44" s="214"/>
      <c r="BXU44" s="214"/>
      <c r="BXV44" s="214"/>
      <c r="BXW44" s="214"/>
      <c r="BXX44" s="214"/>
      <c r="BXY44" s="214"/>
      <c r="BXZ44" s="214"/>
      <c r="BYA44" s="214"/>
      <c r="BYB44" s="214"/>
      <c r="BYC44" s="214"/>
      <c r="BYD44" s="214"/>
      <c r="BYE44" s="214"/>
      <c r="BYF44" s="214"/>
      <c r="BYG44" s="214"/>
      <c r="BYH44" s="214"/>
      <c r="BYI44" s="214"/>
      <c r="BYJ44" s="214"/>
      <c r="BYK44" s="214"/>
      <c r="BYL44" s="214"/>
      <c r="BYM44" s="214"/>
      <c r="BYN44" s="214"/>
      <c r="BYO44" s="214"/>
      <c r="BYP44" s="214"/>
      <c r="BYQ44" s="214"/>
      <c r="BYR44" s="214"/>
      <c r="BYS44" s="214"/>
      <c r="BYT44" s="214"/>
      <c r="BYU44" s="214"/>
      <c r="BYV44" s="214"/>
      <c r="BYW44" s="214"/>
      <c r="BYX44" s="214"/>
      <c r="BYY44" s="214"/>
      <c r="BYZ44" s="214"/>
      <c r="BZA44" s="214"/>
      <c r="BZB44" s="214"/>
      <c r="BZC44" s="214"/>
      <c r="BZD44" s="214"/>
      <c r="BZE44" s="214"/>
      <c r="BZF44" s="214"/>
      <c r="BZG44" s="214"/>
      <c r="BZH44" s="214"/>
      <c r="BZI44" s="214"/>
      <c r="BZJ44" s="214"/>
      <c r="BZK44" s="214"/>
      <c r="BZL44" s="214"/>
      <c r="BZM44" s="214"/>
      <c r="BZN44" s="214"/>
      <c r="BZO44" s="214"/>
      <c r="BZP44" s="214"/>
      <c r="BZQ44" s="214"/>
      <c r="BZR44" s="214"/>
      <c r="BZS44" s="214"/>
      <c r="BZT44" s="214"/>
      <c r="BZU44" s="214"/>
      <c r="BZV44" s="214"/>
      <c r="BZW44" s="214"/>
      <c r="BZX44" s="214"/>
      <c r="BZY44" s="214"/>
      <c r="BZZ44" s="214"/>
      <c r="CAA44" s="214"/>
      <c r="CAB44" s="214"/>
      <c r="CAC44" s="214"/>
      <c r="CAD44" s="214"/>
      <c r="CAE44" s="214"/>
      <c r="CAF44" s="214"/>
      <c r="CAG44" s="214"/>
      <c r="CAH44" s="214"/>
      <c r="CAI44" s="214"/>
      <c r="CAJ44" s="214"/>
      <c r="CAK44" s="214"/>
      <c r="CAL44" s="214"/>
      <c r="CAM44" s="214"/>
      <c r="CAN44" s="214"/>
      <c r="CAO44" s="214"/>
      <c r="CAP44" s="214"/>
      <c r="CAQ44" s="214"/>
      <c r="CAR44" s="214"/>
      <c r="CAS44" s="214"/>
      <c r="CAT44" s="214"/>
      <c r="CAU44" s="214"/>
      <c r="CAV44" s="214"/>
      <c r="CAW44" s="214"/>
      <c r="CAX44" s="214"/>
      <c r="CAY44" s="214"/>
      <c r="CAZ44" s="214"/>
      <c r="CBA44" s="214"/>
      <c r="CBB44" s="214"/>
      <c r="CBC44" s="214"/>
      <c r="CBD44" s="214"/>
      <c r="CBE44" s="214"/>
      <c r="CBF44" s="214"/>
      <c r="CBG44" s="214"/>
      <c r="CBH44" s="214"/>
      <c r="CBI44" s="214"/>
      <c r="CBJ44" s="214"/>
      <c r="CBK44" s="214"/>
      <c r="CBL44" s="214"/>
      <c r="CBM44" s="214"/>
      <c r="CBN44" s="214"/>
      <c r="CBO44" s="214"/>
      <c r="CBP44" s="214"/>
      <c r="CBQ44" s="214"/>
      <c r="CBR44" s="214"/>
      <c r="CBS44" s="214"/>
      <c r="CBT44" s="214"/>
      <c r="CBU44" s="214"/>
      <c r="CBV44" s="214"/>
      <c r="CBW44" s="214"/>
      <c r="CBX44" s="214"/>
      <c r="CBY44" s="214"/>
      <c r="CBZ44" s="214"/>
      <c r="CCA44" s="214"/>
      <c r="CCB44" s="214"/>
      <c r="CCC44" s="214"/>
      <c r="CCD44" s="214"/>
      <c r="CCE44" s="214"/>
      <c r="CCF44" s="214"/>
      <c r="CCG44" s="214"/>
      <c r="CCH44" s="214"/>
      <c r="CCI44" s="214"/>
      <c r="CCJ44" s="214"/>
      <c r="CCK44" s="214"/>
      <c r="CCL44" s="214"/>
      <c r="CCM44" s="214"/>
      <c r="CCN44" s="214"/>
      <c r="CCO44" s="214"/>
      <c r="CCP44" s="214"/>
      <c r="CCQ44" s="214"/>
      <c r="CCR44" s="214"/>
      <c r="CCS44" s="214"/>
      <c r="CCT44" s="214"/>
      <c r="CCU44" s="214"/>
      <c r="CCV44" s="214"/>
      <c r="CCW44" s="214"/>
      <c r="CCX44" s="214"/>
      <c r="CCY44" s="214"/>
      <c r="CCZ44" s="214"/>
      <c r="CDA44" s="214"/>
      <c r="CDB44" s="214"/>
      <c r="CDC44" s="214"/>
      <c r="CDD44" s="214"/>
      <c r="CDE44" s="214"/>
      <c r="CDF44" s="214"/>
      <c r="CDG44" s="214"/>
      <c r="CDH44" s="214"/>
      <c r="CDI44" s="214"/>
      <c r="CDJ44" s="214"/>
      <c r="CDK44" s="214"/>
      <c r="CDL44" s="214"/>
      <c r="CDM44" s="214"/>
      <c r="CDN44" s="214"/>
      <c r="CDO44" s="214"/>
      <c r="CDP44" s="214"/>
      <c r="CDQ44" s="214"/>
      <c r="CDR44" s="214"/>
      <c r="CDS44" s="214"/>
      <c r="CDT44" s="214"/>
      <c r="CDU44" s="214"/>
      <c r="CDV44" s="214"/>
      <c r="CDW44" s="214"/>
      <c r="CDX44" s="214"/>
      <c r="CDY44" s="214"/>
      <c r="CDZ44" s="214"/>
      <c r="CEA44" s="214"/>
      <c r="CEB44" s="214"/>
      <c r="CEC44" s="214"/>
      <c r="CED44" s="214"/>
      <c r="CEE44" s="214"/>
      <c r="CEF44" s="214"/>
      <c r="CEG44" s="214"/>
      <c r="CEH44" s="214"/>
      <c r="CEI44" s="214"/>
      <c r="CEJ44" s="214"/>
      <c r="CEK44" s="214"/>
      <c r="CEL44" s="214"/>
      <c r="CEM44" s="214"/>
      <c r="CEN44" s="214"/>
      <c r="CEO44" s="214"/>
      <c r="CEP44" s="214"/>
      <c r="CEQ44" s="214"/>
      <c r="CER44" s="214"/>
      <c r="CES44" s="214"/>
      <c r="CET44" s="214"/>
      <c r="CEU44" s="214"/>
      <c r="CEV44" s="214"/>
      <c r="CEW44" s="214"/>
      <c r="CEX44" s="214"/>
      <c r="CEY44" s="214"/>
      <c r="CEZ44" s="214"/>
      <c r="CFA44" s="214"/>
      <c r="CFB44" s="214"/>
      <c r="CFC44" s="214"/>
      <c r="CFD44" s="214"/>
      <c r="CFE44" s="214"/>
      <c r="CFF44" s="214"/>
      <c r="CFG44" s="214"/>
      <c r="CFH44" s="214"/>
      <c r="CFI44" s="214"/>
      <c r="CFJ44" s="214"/>
      <c r="CFK44" s="214"/>
      <c r="CFL44" s="214"/>
      <c r="CFM44" s="214"/>
      <c r="CFN44" s="214"/>
      <c r="CFO44" s="214"/>
      <c r="CFP44" s="214"/>
      <c r="CFQ44" s="214"/>
      <c r="CFR44" s="214"/>
      <c r="CFS44" s="214"/>
      <c r="CFT44" s="214"/>
      <c r="CFU44" s="214"/>
      <c r="CFV44" s="214"/>
      <c r="CFW44" s="214"/>
      <c r="CFX44" s="214"/>
      <c r="CFY44" s="214"/>
      <c r="CFZ44" s="214"/>
      <c r="CGA44" s="214"/>
      <c r="CGB44" s="214"/>
      <c r="CGC44" s="214"/>
      <c r="CGD44" s="214"/>
      <c r="CGE44" s="214"/>
      <c r="CGF44" s="214"/>
      <c r="CGG44" s="214"/>
      <c r="CGH44" s="214"/>
      <c r="CGI44" s="214"/>
      <c r="CGJ44" s="214"/>
      <c r="CGK44" s="214"/>
      <c r="CGL44" s="214"/>
      <c r="CGM44" s="214"/>
      <c r="CGN44" s="214"/>
      <c r="CGO44" s="214"/>
      <c r="CGP44" s="214"/>
      <c r="CGQ44" s="214"/>
      <c r="CGR44" s="214"/>
      <c r="CGS44" s="214"/>
      <c r="CGT44" s="214"/>
      <c r="CGU44" s="214"/>
      <c r="CGV44" s="214"/>
      <c r="CGW44" s="214"/>
      <c r="CGX44" s="214"/>
      <c r="CGY44" s="214"/>
      <c r="CGZ44" s="214"/>
      <c r="CHA44" s="214"/>
      <c r="CHB44" s="214"/>
      <c r="CHC44" s="214"/>
      <c r="CHD44" s="214"/>
      <c r="CHE44" s="214"/>
      <c r="CHF44" s="214"/>
      <c r="CHG44" s="214"/>
      <c r="CHH44" s="214"/>
      <c r="CHI44" s="214"/>
      <c r="CHJ44" s="214"/>
      <c r="CHK44" s="214"/>
      <c r="CHL44" s="214"/>
      <c r="CHM44" s="214"/>
      <c r="CHN44" s="214"/>
      <c r="CHO44" s="214"/>
      <c r="CHP44" s="214"/>
      <c r="CHQ44" s="214"/>
      <c r="CHR44" s="214"/>
      <c r="CHS44" s="214"/>
      <c r="CHT44" s="214"/>
      <c r="CHU44" s="214"/>
      <c r="CHV44" s="214"/>
      <c r="CHW44" s="214"/>
      <c r="CHX44" s="214"/>
      <c r="CHY44" s="214"/>
      <c r="CHZ44" s="214"/>
      <c r="CIA44" s="214"/>
      <c r="CIB44" s="214"/>
      <c r="CIC44" s="214"/>
      <c r="CID44" s="214"/>
      <c r="CIE44" s="214"/>
      <c r="CIF44" s="214"/>
      <c r="CIG44" s="214"/>
      <c r="CIH44" s="214"/>
      <c r="CII44" s="214"/>
      <c r="CIJ44" s="214"/>
      <c r="CIK44" s="214"/>
      <c r="CIL44" s="214"/>
      <c r="CIM44" s="214"/>
      <c r="CIN44" s="214"/>
      <c r="CIO44" s="214"/>
      <c r="CIP44" s="214"/>
      <c r="CIQ44" s="214"/>
      <c r="CIR44" s="214"/>
      <c r="CIS44" s="214"/>
      <c r="CIT44" s="214"/>
      <c r="CIU44" s="214"/>
      <c r="CIV44" s="214"/>
      <c r="CIW44" s="214"/>
      <c r="CIX44" s="214"/>
      <c r="CIY44" s="214"/>
      <c r="CIZ44" s="214"/>
      <c r="CJA44" s="214"/>
      <c r="CJB44" s="214"/>
      <c r="CJC44" s="214"/>
      <c r="CJD44" s="214"/>
      <c r="CJE44" s="214"/>
      <c r="CJF44" s="214"/>
      <c r="CJG44" s="214"/>
      <c r="CJH44" s="214"/>
      <c r="CJI44" s="214"/>
      <c r="CJJ44" s="214"/>
      <c r="CJK44" s="214"/>
      <c r="CJL44" s="214"/>
      <c r="CJM44" s="214"/>
      <c r="CJN44" s="214"/>
      <c r="CJO44" s="214"/>
      <c r="CJP44" s="214"/>
      <c r="CJQ44" s="214"/>
      <c r="CJR44" s="214"/>
      <c r="CJS44" s="214"/>
      <c r="CJT44" s="214"/>
      <c r="CJU44" s="214"/>
      <c r="CJV44" s="214"/>
      <c r="CJW44" s="214"/>
      <c r="CJX44" s="214"/>
      <c r="CJY44" s="214"/>
      <c r="CJZ44" s="214"/>
      <c r="CKA44" s="214"/>
      <c r="CKB44" s="214"/>
      <c r="CKC44" s="214"/>
      <c r="CKD44" s="214"/>
      <c r="CKE44" s="214"/>
      <c r="CKF44" s="214"/>
      <c r="CKG44" s="214"/>
      <c r="CKH44" s="214"/>
      <c r="CKI44" s="214"/>
      <c r="CKJ44" s="214"/>
      <c r="CKK44" s="214"/>
      <c r="CKL44" s="214"/>
      <c r="CKM44" s="214"/>
      <c r="CKN44" s="214"/>
      <c r="CKO44" s="214"/>
      <c r="CKP44" s="214"/>
      <c r="CKQ44" s="214"/>
      <c r="CKR44" s="214"/>
      <c r="CKS44" s="214"/>
      <c r="CKT44" s="214"/>
      <c r="CKU44" s="214"/>
      <c r="CKV44" s="214"/>
      <c r="CKW44" s="214"/>
      <c r="CKX44" s="214"/>
      <c r="CKY44" s="214"/>
      <c r="CKZ44" s="214"/>
      <c r="CLA44" s="214"/>
      <c r="CLB44" s="214"/>
      <c r="CLC44" s="214"/>
      <c r="CLD44" s="214"/>
      <c r="CLE44" s="214"/>
      <c r="CLF44" s="214"/>
      <c r="CLG44" s="214"/>
      <c r="CLH44" s="214"/>
      <c r="CLI44" s="214"/>
      <c r="CLJ44" s="214"/>
      <c r="CLK44" s="214"/>
      <c r="CLL44" s="214"/>
      <c r="CLM44" s="214"/>
      <c r="CLN44" s="214"/>
      <c r="CLO44" s="214"/>
      <c r="CLP44" s="214"/>
      <c r="CLQ44" s="214"/>
      <c r="CLR44" s="214"/>
      <c r="CLS44" s="214"/>
      <c r="CLT44" s="214"/>
      <c r="CLU44" s="214"/>
      <c r="CLV44" s="214"/>
      <c r="CLW44" s="214"/>
      <c r="CLX44" s="214"/>
      <c r="CLY44" s="214"/>
      <c r="CLZ44" s="214"/>
      <c r="CMA44" s="214"/>
      <c r="CMB44" s="214"/>
      <c r="CMC44" s="214"/>
      <c r="CMD44" s="214"/>
      <c r="CME44" s="214"/>
      <c r="CMF44" s="214"/>
      <c r="CMG44" s="214"/>
      <c r="CMH44" s="214"/>
      <c r="CMI44" s="214"/>
      <c r="CMJ44" s="214"/>
      <c r="CMK44" s="214"/>
      <c r="CML44" s="214"/>
      <c r="CMM44" s="214"/>
      <c r="CMN44" s="214"/>
      <c r="CMO44" s="214"/>
      <c r="CMP44" s="214"/>
      <c r="CMQ44" s="214"/>
      <c r="CMR44" s="214"/>
      <c r="CMS44" s="214"/>
      <c r="CMT44" s="214"/>
      <c r="CMU44" s="214"/>
      <c r="CMV44" s="214"/>
      <c r="CMW44" s="214"/>
      <c r="CMX44" s="214"/>
      <c r="CMY44" s="214"/>
      <c r="CMZ44" s="214"/>
      <c r="CNA44" s="214"/>
      <c r="CNB44" s="214"/>
      <c r="CNC44" s="214"/>
      <c r="CND44" s="214"/>
      <c r="CNE44" s="214"/>
      <c r="CNF44" s="214"/>
      <c r="CNG44" s="214"/>
      <c r="CNH44" s="214"/>
      <c r="CNI44" s="214"/>
      <c r="CNJ44" s="214"/>
      <c r="CNK44" s="214"/>
      <c r="CNL44" s="214"/>
      <c r="CNM44" s="214"/>
      <c r="CNN44" s="214"/>
      <c r="CNO44" s="214"/>
      <c r="CNP44" s="214"/>
      <c r="CNQ44" s="214"/>
      <c r="CNR44" s="214"/>
      <c r="CNS44" s="214"/>
      <c r="CNT44" s="214"/>
      <c r="CNU44" s="214"/>
      <c r="CNV44" s="214"/>
      <c r="CNW44" s="214"/>
      <c r="CNX44" s="214"/>
      <c r="CNY44" s="214"/>
      <c r="CNZ44" s="214"/>
      <c r="COA44" s="214"/>
      <c r="COB44" s="214"/>
      <c r="COC44" s="214"/>
      <c r="COD44" s="214"/>
      <c r="COE44" s="214"/>
      <c r="COF44" s="214"/>
      <c r="COG44" s="214"/>
      <c r="COH44" s="214"/>
      <c r="COI44" s="214"/>
      <c r="COJ44" s="214"/>
      <c r="COK44" s="214"/>
      <c r="COL44" s="214"/>
      <c r="COM44" s="214"/>
      <c r="CON44" s="214"/>
      <c r="COO44" s="214"/>
      <c r="COP44" s="214"/>
      <c r="COQ44" s="214"/>
      <c r="COR44" s="214"/>
      <c r="COS44" s="214"/>
      <c r="COT44" s="214"/>
      <c r="COU44" s="214"/>
      <c r="COV44" s="214"/>
      <c r="COW44" s="214"/>
      <c r="COX44" s="214"/>
      <c r="COY44" s="214"/>
      <c r="COZ44" s="214"/>
      <c r="CPA44" s="214"/>
      <c r="CPB44" s="214"/>
      <c r="CPC44" s="214"/>
      <c r="CPD44" s="214"/>
      <c r="CPE44" s="214"/>
      <c r="CPF44" s="214"/>
      <c r="CPG44" s="214"/>
      <c r="CPH44" s="214"/>
      <c r="CPI44" s="214"/>
      <c r="CPJ44" s="214"/>
      <c r="CPK44" s="214"/>
      <c r="CPL44" s="214"/>
      <c r="CPM44" s="214"/>
      <c r="CPN44" s="214"/>
      <c r="CPO44" s="214"/>
      <c r="CPP44" s="214"/>
      <c r="CPQ44" s="214"/>
      <c r="CPR44" s="214"/>
      <c r="CPS44" s="214"/>
      <c r="CPT44" s="214"/>
      <c r="CPU44" s="214"/>
      <c r="CPV44" s="214"/>
      <c r="CPW44" s="214"/>
      <c r="CPX44" s="214"/>
      <c r="CPY44" s="214"/>
      <c r="CPZ44" s="214"/>
      <c r="CQA44" s="214"/>
      <c r="CQB44" s="214"/>
      <c r="CQC44" s="214"/>
      <c r="CQD44" s="214"/>
      <c r="CQE44" s="214"/>
      <c r="CQF44" s="214"/>
      <c r="CQG44" s="214"/>
      <c r="CQH44" s="214"/>
      <c r="CQI44" s="214"/>
      <c r="CQJ44" s="214"/>
      <c r="CQK44" s="214"/>
      <c r="CQL44" s="214"/>
      <c r="CQM44" s="214"/>
      <c r="CQN44" s="214"/>
      <c r="CQO44" s="214"/>
      <c r="CQP44" s="214"/>
      <c r="CQQ44" s="214"/>
      <c r="CQR44" s="214"/>
      <c r="CQS44" s="214"/>
      <c r="CQT44" s="214"/>
      <c r="CQU44" s="214"/>
      <c r="CQV44" s="214"/>
      <c r="CQW44" s="214"/>
      <c r="CQX44" s="214"/>
      <c r="CQY44" s="214"/>
      <c r="CQZ44" s="214"/>
      <c r="CRA44" s="214"/>
      <c r="CRB44" s="214"/>
      <c r="CRC44" s="214"/>
      <c r="CRD44" s="214"/>
      <c r="CRE44" s="214"/>
      <c r="CRF44" s="214"/>
      <c r="CRG44" s="214"/>
      <c r="CRH44" s="214"/>
      <c r="CRI44" s="214"/>
      <c r="CRJ44" s="214"/>
      <c r="CRK44" s="214"/>
      <c r="CRL44" s="214"/>
      <c r="CRM44" s="214"/>
      <c r="CRN44" s="214"/>
      <c r="CRO44" s="214"/>
      <c r="CRP44" s="214"/>
      <c r="CRQ44" s="214"/>
      <c r="CRR44" s="214"/>
      <c r="CRS44" s="214"/>
      <c r="CRT44" s="214"/>
      <c r="CRU44" s="214"/>
      <c r="CRV44" s="214"/>
      <c r="CRW44" s="214"/>
      <c r="CRX44" s="214"/>
      <c r="CRY44" s="214"/>
      <c r="CRZ44" s="214"/>
      <c r="CSA44" s="214"/>
      <c r="CSB44" s="214"/>
      <c r="CSC44" s="214"/>
      <c r="CSD44" s="214"/>
      <c r="CSE44" s="214"/>
      <c r="CSF44" s="214"/>
      <c r="CSG44" s="214"/>
      <c r="CSH44" s="214"/>
      <c r="CSI44" s="214"/>
      <c r="CSJ44" s="214"/>
      <c r="CSK44" s="214"/>
      <c r="CSL44" s="214"/>
      <c r="CSM44" s="214"/>
      <c r="CSN44" s="214"/>
      <c r="CSO44" s="214"/>
      <c r="CSP44" s="214"/>
      <c r="CSQ44" s="214"/>
      <c r="CSR44" s="214"/>
      <c r="CSS44" s="214"/>
      <c r="CST44" s="214"/>
      <c r="CSU44" s="214"/>
      <c r="CSV44" s="214"/>
      <c r="CSW44" s="214"/>
      <c r="CSX44" s="214"/>
      <c r="CSY44" s="214"/>
      <c r="CSZ44" s="214"/>
      <c r="CTA44" s="214"/>
      <c r="CTB44" s="214"/>
      <c r="CTC44" s="214"/>
      <c r="CTD44" s="214"/>
      <c r="CTE44" s="214"/>
      <c r="CTF44" s="214"/>
      <c r="CTG44" s="214"/>
      <c r="CTH44" s="214"/>
      <c r="CTI44" s="214"/>
      <c r="CTJ44" s="214"/>
      <c r="CTK44" s="214"/>
      <c r="CTL44" s="214"/>
      <c r="CTM44" s="214"/>
      <c r="CTN44" s="214"/>
      <c r="CTO44" s="214"/>
      <c r="CTP44" s="214"/>
      <c r="CTQ44" s="214"/>
      <c r="CTR44" s="214"/>
      <c r="CTS44" s="214"/>
      <c r="CTT44" s="214"/>
      <c r="CTU44" s="214"/>
      <c r="CTV44" s="214"/>
      <c r="CTW44" s="214"/>
      <c r="CTX44" s="214"/>
      <c r="CTY44" s="214"/>
      <c r="CTZ44" s="214"/>
      <c r="CUA44" s="214"/>
      <c r="CUB44" s="214"/>
      <c r="CUC44" s="214"/>
      <c r="CUD44" s="214"/>
      <c r="CUE44" s="214"/>
      <c r="CUF44" s="214"/>
      <c r="CUG44" s="214"/>
      <c r="CUH44" s="214"/>
      <c r="CUI44" s="214"/>
      <c r="CUJ44" s="214"/>
      <c r="CUK44" s="214"/>
      <c r="CUL44" s="214"/>
      <c r="CUM44" s="214"/>
      <c r="CUN44" s="214"/>
      <c r="CUO44" s="214"/>
      <c r="CUP44" s="214"/>
      <c r="CUQ44" s="214"/>
      <c r="CUR44" s="214"/>
      <c r="CUS44" s="214"/>
      <c r="CUT44" s="214"/>
      <c r="CUU44" s="214"/>
      <c r="CUV44" s="214"/>
      <c r="CUW44" s="214"/>
      <c r="CUX44" s="214"/>
      <c r="CUY44" s="214"/>
      <c r="CUZ44" s="214"/>
      <c r="CVA44" s="214"/>
      <c r="CVB44" s="214"/>
      <c r="CVC44" s="214"/>
      <c r="CVD44" s="214"/>
      <c r="CVE44" s="214"/>
      <c r="CVF44" s="214"/>
      <c r="CVG44" s="214"/>
      <c r="CVH44" s="214"/>
      <c r="CVI44" s="214"/>
      <c r="CVJ44" s="214"/>
      <c r="CVK44" s="214"/>
      <c r="CVL44" s="214"/>
      <c r="CVM44" s="214"/>
      <c r="CVN44" s="214"/>
      <c r="CVO44" s="214"/>
      <c r="CVP44" s="214"/>
      <c r="CVQ44" s="214"/>
      <c r="CVR44" s="214"/>
      <c r="CVS44" s="214"/>
      <c r="CVT44" s="214"/>
      <c r="CVU44" s="214"/>
      <c r="CVV44" s="214"/>
      <c r="CVW44" s="214"/>
      <c r="CVX44" s="214"/>
      <c r="CVY44" s="214"/>
      <c r="CVZ44" s="214"/>
      <c r="CWA44" s="214"/>
      <c r="CWB44" s="214"/>
      <c r="CWC44" s="214"/>
      <c r="CWD44" s="214"/>
      <c r="CWE44" s="214"/>
      <c r="CWF44" s="214"/>
      <c r="CWG44" s="214"/>
      <c r="CWH44" s="214"/>
      <c r="CWI44" s="214"/>
      <c r="CWJ44" s="214"/>
      <c r="CWK44" s="214"/>
      <c r="CWL44" s="214"/>
      <c r="CWM44" s="214"/>
      <c r="CWN44" s="214"/>
      <c r="CWO44" s="214"/>
      <c r="CWP44" s="214"/>
      <c r="CWQ44" s="214"/>
      <c r="CWR44" s="214"/>
      <c r="CWS44" s="214"/>
      <c r="CWT44" s="214"/>
      <c r="CWU44" s="214"/>
      <c r="CWV44" s="214"/>
      <c r="CWW44" s="214"/>
      <c r="CWX44" s="214"/>
      <c r="CWY44" s="214"/>
      <c r="CWZ44" s="214"/>
      <c r="CXA44" s="214"/>
      <c r="CXB44" s="214"/>
      <c r="CXC44" s="214"/>
      <c r="CXD44" s="214"/>
      <c r="CXE44" s="214"/>
      <c r="CXF44" s="214"/>
      <c r="CXG44" s="214"/>
      <c r="CXH44" s="214"/>
      <c r="CXI44" s="214"/>
      <c r="CXJ44" s="214"/>
      <c r="CXK44" s="214"/>
      <c r="CXL44" s="214"/>
      <c r="CXM44" s="214"/>
      <c r="CXN44" s="214"/>
      <c r="CXO44" s="214"/>
      <c r="CXP44" s="214"/>
      <c r="CXQ44" s="214"/>
      <c r="CXR44" s="214"/>
      <c r="CXS44" s="214"/>
      <c r="CXT44" s="214"/>
      <c r="CXU44" s="214"/>
      <c r="CXV44" s="214"/>
      <c r="CXW44" s="214"/>
      <c r="CXX44" s="214"/>
      <c r="CXY44" s="214"/>
      <c r="CXZ44" s="214"/>
      <c r="CYA44" s="214"/>
      <c r="CYB44" s="214"/>
      <c r="CYC44" s="214"/>
      <c r="CYD44" s="214"/>
      <c r="CYE44" s="214"/>
      <c r="CYF44" s="214"/>
      <c r="CYG44" s="214"/>
      <c r="CYH44" s="214"/>
      <c r="CYI44" s="214"/>
      <c r="CYJ44" s="214"/>
      <c r="CYK44" s="214"/>
      <c r="CYL44" s="214"/>
      <c r="CYM44" s="214"/>
      <c r="CYN44" s="214"/>
      <c r="CYO44" s="214"/>
      <c r="CYP44" s="214"/>
      <c r="CYQ44" s="214"/>
      <c r="CYR44" s="214"/>
      <c r="CYS44" s="214"/>
      <c r="CYT44" s="214"/>
      <c r="CYU44" s="214"/>
      <c r="CYV44" s="214"/>
      <c r="CYW44" s="214"/>
      <c r="CYX44" s="214"/>
      <c r="CYY44" s="214"/>
      <c r="CYZ44" s="214"/>
      <c r="CZA44" s="214"/>
      <c r="CZB44" s="214"/>
      <c r="CZC44" s="214"/>
      <c r="CZD44" s="214"/>
      <c r="CZE44" s="214"/>
      <c r="CZF44" s="214"/>
      <c r="CZG44" s="214"/>
      <c r="CZH44" s="214"/>
      <c r="CZI44" s="214"/>
      <c r="CZJ44" s="214"/>
      <c r="CZK44" s="214"/>
      <c r="CZL44" s="214"/>
      <c r="CZM44" s="214"/>
      <c r="CZN44" s="214"/>
      <c r="CZO44" s="214"/>
      <c r="CZP44" s="214"/>
      <c r="CZQ44" s="214"/>
      <c r="CZR44" s="214"/>
      <c r="CZS44" s="214"/>
      <c r="CZT44" s="214"/>
      <c r="CZU44" s="214"/>
      <c r="CZV44" s="214"/>
      <c r="CZW44" s="214"/>
      <c r="CZX44" s="214"/>
      <c r="CZY44" s="214"/>
      <c r="CZZ44" s="214"/>
      <c r="DAA44" s="214"/>
      <c r="DAB44" s="214"/>
      <c r="DAC44" s="214"/>
      <c r="DAD44" s="214"/>
      <c r="DAE44" s="214"/>
      <c r="DAF44" s="214"/>
      <c r="DAG44" s="214"/>
      <c r="DAH44" s="214"/>
      <c r="DAI44" s="214"/>
      <c r="DAJ44" s="214"/>
      <c r="DAK44" s="214"/>
      <c r="DAL44" s="214"/>
      <c r="DAM44" s="214"/>
      <c r="DAN44" s="214"/>
      <c r="DAO44" s="214"/>
      <c r="DAP44" s="214"/>
      <c r="DAQ44" s="214"/>
      <c r="DAR44" s="214"/>
      <c r="DAS44" s="214"/>
      <c r="DAT44" s="214"/>
      <c r="DAU44" s="214"/>
      <c r="DAV44" s="214"/>
      <c r="DAW44" s="214"/>
      <c r="DAX44" s="214"/>
      <c r="DAY44" s="214"/>
      <c r="DAZ44" s="214"/>
      <c r="DBA44" s="214"/>
      <c r="DBB44" s="214"/>
      <c r="DBC44" s="214"/>
      <c r="DBD44" s="214"/>
      <c r="DBE44" s="214"/>
      <c r="DBF44" s="214"/>
      <c r="DBG44" s="214"/>
      <c r="DBH44" s="214"/>
      <c r="DBI44" s="214"/>
      <c r="DBJ44" s="214"/>
      <c r="DBK44" s="214"/>
      <c r="DBL44" s="214"/>
      <c r="DBM44" s="214"/>
      <c r="DBN44" s="214"/>
      <c r="DBO44" s="214"/>
      <c r="DBP44" s="214"/>
      <c r="DBQ44" s="214"/>
      <c r="DBR44" s="214"/>
      <c r="DBS44" s="214"/>
      <c r="DBT44" s="214"/>
      <c r="DBU44" s="214"/>
      <c r="DBV44" s="214"/>
      <c r="DBW44" s="214"/>
      <c r="DBX44" s="214"/>
      <c r="DBY44" s="214"/>
      <c r="DBZ44" s="214"/>
      <c r="DCA44" s="214"/>
      <c r="DCB44" s="214"/>
      <c r="DCC44" s="214"/>
      <c r="DCD44" s="214"/>
      <c r="DCE44" s="214"/>
      <c r="DCF44" s="214"/>
      <c r="DCG44" s="214"/>
      <c r="DCH44" s="214"/>
      <c r="DCI44" s="214"/>
      <c r="DCJ44" s="214"/>
      <c r="DCK44" s="214"/>
      <c r="DCL44" s="214"/>
      <c r="DCM44" s="214"/>
      <c r="DCN44" s="214"/>
      <c r="DCO44" s="214"/>
      <c r="DCP44" s="214"/>
      <c r="DCQ44" s="214"/>
      <c r="DCR44" s="214"/>
      <c r="DCS44" s="214"/>
      <c r="DCT44" s="214"/>
      <c r="DCU44" s="214"/>
      <c r="DCV44" s="214"/>
      <c r="DCW44" s="214"/>
      <c r="DCX44" s="214"/>
      <c r="DCY44" s="214"/>
      <c r="DCZ44" s="214"/>
      <c r="DDA44" s="214"/>
      <c r="DDB44" s="214"/>
      <c r="DDC44" s="214"/>
      <c r="DDD44" s="214"/>
      <c r="DDE44" s="214"/>
      <c r="DDF44" s="214"/>
      <c r="DDG44" s="214"/>
      <c r="DDH44" s="214"/>
      <c r="DDI44" s="214"/>
      <c r="DDJ44" s="214"/>
      <c r="DDK44" s="214"/>
      <c r="DDL44" s="214"/>
      <c r="DDM44" s="214"/>
      <c r="DDN44" s="214"/>
      <c r="DDO44" s="214"/>
      <c r="DDP44" s="214"/>
      <c r="DDQ44" s="214"/>
      <c r="DDR44" s="214"/>
      <c r="DDS44" s="214"/>
      <c r="DDT44" s="214"/>
      <c r="DDU44" s="214"/>
      <c r="DDV44" s="214"/>
      <c r="DDW44" s="214"/>
      <c r="DDX44" s="214"/>
      <c r="DDY44" s="214"/>
      <c r="DDZ44" s="214"/>
      <c r="DEA44" s="214"/>
      <c r="DEB44" s="214"/>
      <c r="DEC44" s="214"/>
      <c r="DED44" s="214"/>
      <c r="DEE44" s="214"/>
      <c r="DEF44" s="214"/>
      <c r="DEG44" s="214"/>
      <c r="DEH44" s="214"/>
      <c r="DEI44" s="214"/>
      <c r="DEJ44" s="214"/>
      <c r="DEK44" s="214"/>
      <c r="DEL44" s="214"/>
      <c r="DEM44" s="214"/>
      <c r="DEN44" s="214"/>
      <c r="DEO44" s="214"/>
      <c r="DEP44" s="214"/>
      <c r="DEQ44" s="214"/>
      <c r="DER44" s="214"/>
      <c r="DES44" s="214"/>
      <c r="DET44" s="214"/>
      <c r="DEU44" s="214"/>
      <c r="DEV44" s="214"/>
      <c r="DEW44" s="214"/>
      <c r="DEX44" s="214"/>
      <c r="DEY44" s="214"/>
      <c r="DEZ44" s="214"/>
      <c r="DFA44" s="214"/>
      <c r="DFB44" s="214"/>
      <c r="DFC44" s="214"/>
      <c r="DFD44" s="214"/>
      <c r="DFE44" s="214"/>
      <c r="DFF44" s="214"/>
      <c r="DFG44" s="214"/>
      <c r="DFH44" s="214"/>
      <c r="DFI44" s="214"/>
      <c r="DFJ44" s="214"/>
      <c r="DFK44" s="214"/>
      <c r="DFL44" s="214"/>
      <c r="DFM44" s="214"/>
      <c r="DFN44" s="214"/>
      <c r="DFO44" s="214"/>
      <c r="DFP44" s="214"/>
      <c r="DFQ44" s="214"/>
      <c r="DFR44" s="214"/>
      <c r="DFS44" s="214"/>
      <c r="DFT44" s="214"/>
      <c r="DFU44" s="214"/>
      <c r="DFV44" s="214"/>
      <c r="DFW44" s="214"/>
      <c r="DFX44" s="214"/>
      <c r="DFY44" s="214"/>
      <c r="DFZ44" s="214"/>
      <c r="DGA44" s="214"/>
      <c r="DGB44" s="214"/>
      <c r="DGC44" s="214"/>
      <c r="DGD44" s="214"/>
      <c r="DGE44" s="214"/>
      <c r="DGF44" s="214"/>
      <c r="DGG44" s="214"/>
      <c r="DGH44" s="214"/>
      <c r="DGI44" s="214"/>
      <c r="DGJ44" s="214"/>
      <c r="DGK44" s="214"/>
      <c r="DGL44" s="214"/>
      <c r="DGM44" s="214"/>
      <c r="DGN44" s="214"/>
      <c r="DGO44" s="214"/>
      <c r="DGP44" s="214"/>
      <c r="DGQ44" s="214"/>
      <c r="DGR44" s="214"/>
      <c r="DGS44" s="214"/>
      <c r="DGT44" s="214"/>
      <c r="DGU44" s="214"/>
      <c r="DGV44" s="214"/>
      <c r="DGW44" s="214"/>
      <c r="DGX44" s="214"/>
      <c r="DGY44" s="214"/>
      <c r="DGZ44" s="214"/>
      <c r="DHA44" s="214"/>
      <c r="DHB44" s="214"/>
      <c r="DHC44" s="214"/>
      <c r="DHD44" s="214"/>
      <c r="DHE44" s="214"/>
      <c r="DHF44" s="214"/>
      <c r="DHG44" s="214"/>
      <c r="DHH44" s="214"/>
      <c r="DHI44" s="214"/>
      <c r="DHJ44" s="214"/>
      <c r="DHK44" s="214"/>
      <c r="DHL44" s="214"/>
      <c r="DHM44" s="214"/>
      <c r="DHN44" s="214"/>
      <c r="DHO44" s="214"/>
      <c r="DHP44" s="214"/>
      <c r="DHQ44" s="214"/>
      <c r="DHR44" s="214"/>
      <c r="DHS44" s="214"/>
      <c r="DHT44" s="214"/>
      <c r="DHU44" s="214"/>
      <c r="DHV44" s="214"/>
      <c r="DHW44" s="214"/>
      <c r="DHX44" s="214"/>
      <c r="DHY44" s="214"/>
      <c r="DHZ44" s="214"/>
      <c r="DIA44" s="214"/>
      <c r="DIB44" s="214"/>
      <c r="DIC44" s="214"/>
      <c r="DID44" s="214"/>
      <c r="DIE44" s="214"/>
      <c r="DIF44" s="214"/>
      <c r="DIG44" s="214"/>
      <c r="DIH44" s="214"/>
      <c r="DII44" s="214"/>
      <c r="DIJ44" s="214"/>
      <c r="DIK44" s="214"/>
      <c r="DIL44" s="214"/>
      <c r="DIM44" s="214"/>
      <c r="DIN44" s="214"/>
      <c r="DIO44" s="214"/>
      <c r="DIP44" s="214"/>
      <c r="DIQ44" s="214"/>
      <c r="DIR44" s="214"/>
      <c r="DIS44" s="214"/>
      <c r="DIT44" s="214"/>
      <c r="DIU44" s="214"/>
      <c r="DIV44" s="214"/>
      <c r="DIW44" s="214"/>
      <c r="DIX44" s="214"/>
      <c r="DIY44" s="214"/>
      <c r="DIZ44" s="214"/>
      <c r="DJA44" s="214"/>
      <c r="DJB44" s="214"/>
      <c r="DJC44" s="214"/>
      <c r="DJD44" s="214"/>
      <c r="DJE44" s="214"/>
      <c r="DJF44" s="214"/>
      <c r="DJG44" s="214"/>
      <c r="DJH44" s="214"/>
      <c r="DJI44" s="214"/>
      <c r="DJJ44" s="214"/>
      <c r="DJK44" s="214"/>
      <c r="DJL44" s="214"/>
      <c r="DJM44" s="214"/>
      <c r="DJN44" s="214"/>
      <c r="DJO44" s="214"/>
      <c r="DJP44" s="214"/>
      <c r="DJQ44" s="214"/>
      <c r="DJR44" s="214"/>
      <c r="DJS44" s="214"/>
      <c r="DJT44" s="214"/>
      <c r="DJU44" s="214"/>
      <c r="DJV44" s="214"/>
      <c r="DJW44" s="214"/>
      <c r="DJX44" s="214"/>
      <c r="DJY44" s="214"/>
      <c r="DJZ44" s="214"/>
      <c r="DKA44" s="214"/>
      <c r="DKB44" s="214"/>
      <c r="DKC44" s="214"/>
      <c r="DKD44" s="214"/>
      <c r="DKE44" s="214"/>
      <c r="DKF44" s="214"/>
      <c r="DKG44" s="214"/>
      <c r="DKH44" s="214"/>
      <c r="DKI44" s="214"/>
      <c r="DKJ44" s="214"/>
      <c r="DKK44" s="214"/>
      <c r="DKL44" s="214"/>
      <c r="DKM44" s="214"/>
      <c r="DKN44" s="214"/>
      <c r="DKO44" s="214"/>
      <c r="DKP44" s="214"/>
      <c r="DKQ44" s="214"/>
      <c r="DKR44" s="214"/>
      <c r="DKS44" s="214"/>
      <c r="DKT44" s="214"/>
      <c r="DKU44" s="214"/>
      <c r="DKV44" s="214"/>
      <c r="DKW44" s="214"/>
      <c r="DKX44" s="214"/>
      <c r="DKY44" s="214"/>
      <c r="DKZ44" s="214"/>
      <c r="DLA44" s="214"/>
      <c r="DLB44" s="214"/>
      <c r="DLC44" s="214"/>
      <c r="DLD44" s="214"/>
      <c r="DLE44" s="214"/>
      <c r="DLF44" s="214"/>
      <c r="DLG44" s="214"/>
      <c r="DLH44" s="214"/>
      <c r="DLI44" s="214"/>
      <c r="DLJ44" s="214"/>
      <c r="DLK44" s="214"/>
      <c r="DLL44" s="214"/>
      <c r="DLM44" s="214"/>
      <c r="DLN44" s="214"/>
      <c r="DLO44" s="214"/>
      <c r="DLP44" s="214"/>
      <c r="DLQ44" s="214"/>
      <c r="DLR44" s="214"/>
      <c r="DLS44" s="214"/>
      <c r="DLT44" s="214"/>
      <c r="DLU44" s="214"/>
      <c r="DLV44" s="214"/>
      <c r="DLW44" s="214"/>
      <c r="DLX44" s="214"/>
      <c r="DLY44" s="214"/>
      <c r="DLZ44" s="214"/>
      <c r="DMA44" s="214"/>
      <c r="DMB44" s="214"/>
      <c r="DMC44" s="214"/>
      <c r="DMD44" s="214"/>
      <c r="DME44" s="214"/>
      <c r="DMF44" s="214"/>
      <c r="DMG44" s="214"/>
      <c r="DMH44" s="214"/>
      <c r="DMI44" s="214"/>
      <c r="DMJ44" s="214"/>
      <c r="DMK44" s="214"/>
      <c r="DML44" s="214"/>
      <c r="DMM44" s="214"/>
      <c r="DMN44" s="214"/>
      <c r="DMO44" s="214"/>
      <c r="DMP44" s="214"/>
      <c r="DMQ44" s="214"/>
      <c r="DMR44" s="214"/>
      <c r="DMS44" s="214"/>
      <c r="DMT44" s="214"/>
      <c r="DMU44" s="214"/>
      <c r="DMV44" s="214"/>
      <c r="DMW44" s="214"/>
      <c r="DMX44" s="214"/>
      <c r="DMY44" s="214"/>
      <c r="DMZ44" s="214"/>
      <c r="DNA44" s="214"/>
      <c r="DNB44" s="214"/>
      <c r="DNC44" s="214"/>
      <c r="DND44" s="214"/>
      <c r="DNE44" s="214"/>
      <c r="DNF44" s="214"/>
      <c r="DNG44" s="214"/>
      <c r="DNH44" s="214"/>
      <c r="DNI44" s="214"/>
      <c r="DNJ44" s="214"/>
      <c r="DNK44" s="214"/>
      <c r="DNL44" s="214"/>
      <c r="DNM44" s="214"/>
      <c r="DNN44" s="214"/>
      <c r="DNO44" s="214"/>
      <c r="DNP44" s="214"/>
      <c r="DNQ44" s="214"/>
      <c r="DNR44" s="214"/>
      <c r="DNS44" s="214"/>
      <c r="DNT44" s="214"/>
      <c r="DNU44" s="214"/>
      <c r="DNV44" s="214"/>
      <c r="DNW44" s="214"/>
      <c r="DNX44" s="214"/>
      <c r="DNY44" s="214"/>
      <c r="DNZ44" s="214"/>
      <c r="DOA44" s="214"/>
      <c r="DOB44" s="214"/>
      <c r="DOC44" s="214"/>
      <c r="DOD44" s="214"/>
      <c r="DOE44" s="214"/>
      <c r="DOF44" s="214"/>
      <c r="DOG44" s="214"/>
      <c r="DOH44" s="214"/>
      <c r="DOI44" s="214"/>
      <c r="DOJ44" s="214"/>
      <c r="DOK44" s="214"/>
      <c r="DOL44" s="214"/>
      <c r="DOM44" s="214"/>
      <c r="DON44" s="214"/>
      <c r="DOO44" s="214"/>
      <c r="DOP44" s="214"/>
      <c r="DOQ44" s="214"/>
      <c r="DOR44" s="214"/>
      <c r="DOS44" s="214"/>
      <c r="DOT44" s="214"/>
      <c r="DOU44" s="214"/>
      <c r="DOV44" s="214"/>
      <c r="DOW44" s="214"/>
      <c r="DOX44" s="214"/>
      <c r="DOY44" s="214"/>
      <c r="DOZ44" s="214"/>
      <c r="DPA44" s="214"/>
      <c r="DPB44" s="214"/>
      <c r="DPC44" s="214"/>
      <c r="DPD44" s="214"/>
      <c r="DPE44" s="214"/>
      <c r="DPF44" s="214"/>
      <c r="DPG44" s="214"/>
      <c r="DPH44" s="214"/>
      <c r="DPI44" s="214"/>
      <c r="DPJ44" s="214"/>
      <c r="DPK44" s="214"/>
      <c r="DPL44" s="214"/>
      <c r="DPM44" s="214"/>
      <c r="DPN44" s="214"/>
      <c r="DPO44" s="214"/>
      <c r="DPP44" s="214"/>
      <c r="DPQ44" s="214"/>
      <c r="DPR44" s="214"/>
      <c r="DPS44" s="214"/>
      <c r="DPT44" s="214"/>
      <c r="DPU44" s="214"/>
      <c r="DPV44" s="214"/>
      <c r="DPW44" s="214"/>
      <c r="DPX44" s="214"/>
      <c r="DPY44" s="214"/>
      <c r="DPZ44" s="214"/>
      <c r="DQA44" s="214"/>
      <c r="DQB44" s="214"/>
      <c r="DQC44" s="214"/>
      <c r="DQD44" s="214"/>
      <c r="DQE44" s="214"/>
      <c r="DQF44" s="214"/>
      <c r="DQG44" s="214"/>
      <c r="DQH44" s="214"/>
      <c r="DQI44" s="214"/>
      <c r="DQJ44" s="214"/>
      <c r="DQK44" s="214"/>
      <c r="DQL44" s="214"/>
      <c r="DQM44" s="214"/>
      <c r="DQN44" s="214"/>
      <c r="DQO44" s="214"/>
      <c r="DQP44" s="214"/>
      <c r="DQQ44" s="214"/>
      <c r="DQR44" s="214"/>
      <c r="DQS44" s="214"/>
      <c r="DQT44" s="214"/>
      <c r="DQU44" s="214"/>
      <c r="DQV44" s="214"/>
      <c r="DQW44" s="214"/>
      <c r="DQX44" s="214"/>
      <c r="DQY44" s="214"/>
      <c r="DQZ44" s="214"/>
      <c r="DRA44" s="214"/>
      <c r="DRB44" s="214"/>
      <c r="DRC44" s="214"/>
      <c r="DRD44" s="214"/>
      <c r="DRE44" s="214"/>
      <c r="DRF44" s="214"/>
      <c r="DRG44" s="214"/>
      <c r="DRH44" s="214"/>
      <c r="DRI44" s="214"/>
      <c r="DRJ44" s="214"/>
      <c r="DRK44" s="214"/>
      <c r="DRL44" s="214"/>
      <c r="DRM44" s="214"/>
      <c r="DRN44" s="214"/>
      <c r="DRO44" s="214"/>
      <c r="DRP44" s="214"/>
      <c r="DRQ44" s="214"/>
      <c r="DRR44" s="214"/>
      <c r="DRS44" s="214"/>
      <c r="DRT44" s="214"/>
      <c r="DRU44" s="214"/>
      <c r="DRV44" s="214"/>
      <c r="DRW44" s="214"/>
      <c r="DRX44" s="214"/>
      <c r="DRY44" s="214"/>
      <c r="DRZ44" s="214"/>
      <c r="DSA44" s="214"/>
      <c r="DSB44" s="214"/>
      <c r="DSC44" s="214"/>
      <c r="DSD44" s="214"/>
      <c r="DSE44" s="214"/>
      <c r="DSF44" s="214"/>
      <c r="DSG44" s="214"/>
      <c r="DSH44" s="214"/>
      <c r="DSI44" s="214"/>
      <c r="DSJ44" s="214"/>
      <c r="DSK44" s="214"/>
      <c r="DSL44" s="214"/>
      <c r="DSM44" s="214"/>
      <c r="DSN44" s="214"/>
      <c r="DSO44" s="214"/>
      <c r="DSP44" s="214"/>
      <c r="DSQ44" s="214"/>
      <c r="DSR44" s="214"/>
      <c r="DSS44" s="214"/>
      <c r="DST44" s="214"/>
      <c r="DSU44" s="214"/>
      <c r="DSV44" s="214"/>
      <c r="DSW44" s="214"/>
      <c r="DSX44" s="214"/>
      <c r="DSY44" s="214"/>
      <c r="DSZ44" s="214"/>
      <c r="DTA44" s="214"/>
      <c r="DTB44" s="214"/>
      <c r="DTC44" s="214"/>
      <c r="DTD44" s="214"/>
      <c r="DTE44" s="214"/>
      <c r="DTF44" s="214"/>
      <c r="DTG44" s="214"/>
      <c r="DTH44" s="214"/>
      <c r="DTI44" s="214"/>
      <c r="DTJ44" s="214"/>
      <c r="DTK44" s="214"/>
      <c r="DTL44" s="214"/>
      <c r="DTM44" s="214"/>
      <c r="DTN44" s="214"/>
      <c r="DTO44" s="214"/>
      <c r="DTP44" s="214"/>
      <c r="DTQ44" s="214"/>
      <c r="DTR44" s="214"/>
      <c r="DTS44" s="214"/>
      <c r="DTT44" s="214"/>
      <c r="DTU44" s="214"/>
      <c r="DTV44" s="214"/>
      <c r="DTW44" s="214"/>
      <c r="DTX44" s="214"/>
      <c r="DTY44" s="214"/>
      <c r="DTZ44" s="214"/>
      <c r="DUA44" s="214"/>
      <c r="DUB44" s="214"/>
      <c r="DUC44" s="214"/>
      <c r="DUD44" s="214"/>
      <c r="DUE44" s="214"/>
      <c r="DUF44" s="214"/>
      <c r="DUG44" s="214"/>
      <c r="DUH44" s="214"/>
      <c r="DUI44" s="214"/>
      <c r="DUJ44" s="214"/>
      <c r="DUK44" s="214"/>
      <c r="DUL44" s="214"/>
      <c r="DUM44" s="214"/>
      <c r="DUN44" s="214"/>
      <c r="DUO44" s="214"/>
      <c r="DUP44" s="214"/>
      <c r="DUQ44" s="214"/>
      <c r="DUR44" s="214"/>
      <c r="DUS44" s="214"/>
      <c r="DUT44" s="214"/>
      <c r="DUU44" s="214"/>
      <c r="DUV44" s="214"/>
      <c r="DUW44" s="214"/>
      <c r="DUX44" s="214"/>
      <c r="DUY44" s="214"/>
      <c r="DUZ44" s="214"/>
      <c r="DVA44" s="214"/>
      <c r="DVB44" s="214"/>
      <c r="DVC44" s="214"/>
      <c r="DVD44" s="214"/>
      <c r="DVE44" s="214"/>
      <c r="DVF44" s="214"/>
      <c r="DVG44" s="214"/>
      <c r="DVH44" s="214"/>
      <c r="DVI44" s="214"/>
      <c r="DVJ44" s="214"/>
      <c r="DVK44" s="214"/>
      <c r="DVL44" s="214"/>
      <c r="DVM44" s="214"/>
      <c r="DVN44" s="214"/>
      <c r="DVO44" s="214"/>
      <c r="DVP44" s="214"/>
      <c r="DVQ44" s="214"/>
      <c r="DVR44" s="214"/>
      <c r="DVS44" s="214"/>
      <c r="DVT44" s="214"/>
      <c r="DVU44" s="214"/>
      <c r="DVV44" s="214"/>
      <c r="DVW44" s="214"/>
      <c r="DVX44" s="214"/>
      <c r="DVY44" s="214"/>
      <c r="DVZ44" s="214"/>
      <c r="DWA44" s="214"/>
      <c r="DWB44" s="214"/>
      <c r="DWC44" s="214"/>
      <c r="DWD44" s="214"/>
      <c r="DWE44" s="214"/>
      <c r="DWF44" s="214"/>
      <c r="DWG44" s="214"/>
      <c r="DWH44" s="214"/>
      <c r="DWI44" s="214"/>
      <c r="DWJ44" s="214"/>
      <c r="DWK44" s="214"/>
      <c r="DWL44" s="214"/>
      <c r="DWM44" s="214"/>
      <c r="DWN44" s="214"/>
      <c r="DWO44" s="214"/>
      <c r="DWP44" s="214"/>
      <c r="DWQ44" s="214"/>
      <c r="DWR44" s="214"/>
      <c r="DWS44" s="214"/>
      <c r="DWT44" s="214"/>
      <c r="DWU44" s="214"/>
      <c r="DWV44" s="214"/>
      <c r="DWW44" s="214"/>
      <c r="DWX44" s="214"/>
      <c r="DWY44" s="214"/>
      <c r="DWZ44" s="214"/>
      <c r="DXA44" s="214"/>
      <c r="DXB44" s="214"/>
      <c r="DXC44" s="214"/>
      <c r="DXD44" s="214"/>
      <c r="DXE44" s="214"/>
      <c r="DXF44" s="214"/>
      <c r="DXG44" s="214"/>
      <c r="DXH44" s="214"/>
      <c r="DXI44" s="214"/>
      <c r="DXJ44" s="214"/>
      <c r="DXK44" s="214"/>
      <c r="DXL44" s="214"/>
      <c r="DXM44" s="214"/>
      <c r="DXN44" s="214"/>
      <c r="DXO44" s="214"/>
      <c r="DXP44" s="214"/>
      <c r="DXQ44" s="214"/>
      <c r="DXR44" s="214"/>
      <c r="DXS44" s="214"/>
      <c r="DXT44" s="214"/>
      <c r="DXU44" s="214"/>
      <c r="DXV44" s="214"/>
      <c r="DXW44" s="214"/>
      <c r="DXX44" s="214"/>
      <c r="DXY44" s="214"/>
      <c r="DXZ44" s="214"/>
      <c r="DYA44" s="214"/>
      <c r="DYB44" s="214"/>
      <c r="DYC44" s="214"/>
      <c r="DYD44" s="214"/>
      <c r="DYE44" s="214"/>
      <c r="DYF44" s="214"/>
      <c r="DYG44" s="214"/>
      <c r="DYH44" s="214"/>
      <c r="DYI44" s="214"/>
      <c r="DYJ44" s="214"/>
      <c r="DYK44" s="214"/>
      <c r="DYL44" s="214"/>
      <c r="DYM44" s="214"/>
      <c r="DYN44" s="214"/>
      <c r="DYO44" s="214"/>
      <c r="DYP44" s="214"/>
      <c r="DYQ44" s="214"/>
      <c r="DYR44" s="214"/>
      <c r="DYS44" s="214"/>
      <c r="DYT44" s="214"/>
      <c r="DYU44" s="214"/>
      <c r="DYV44" s="214"/>
      <c r="DYW44" s="214"/>
      <c r="DYX44" s="214"/>
      <c r="DYY44" s="214"/>
      <c r="DYZ44" s="214"/>
      <c r="DZA44" s="214"/>
      <c r="DZB44" s="214"/>
      <c r="DZC44" s="214"/>
      <c r="DZD44" s="214"/>
      <c r="DZE44" s="214"/>
      <c r="DZF44" s="214"/>
      <c r="DZG44" s="214"/>
      <c r="DZH44" s="214"/>
      <c r="DZI44" s="214"/>
      <c r="DZJ44" s="214"/>
      <c r="DZK44" s="214"/>
      <c r="DZL44" s="214"/>
      <c r="DZM44" s="214"/>
      <c r="DZN44" s="214"/>
      <c r="DZO44" s="214"/>
      <c r="DZP44" s="214"/>
      <c r="DZQ44" s="214"/>
      <c r="DZR44" s="214"/>
      <c r="DZS44" s="214"/>
      <c r="DZT44" s="214"/>
      <c r="DZU44" s="214"/>
      <c r="DZV44" s="214"/>
      <c r="DZW44" s="214"/>
      <c r="DZX44" s="214"/>
      <c r="DZY44" s="214"/>
      <c r="DZZ44" s="214"/>
      <c r="EAA44" s="214"/>
      <c r="EAB44" s="214"/>
      <c r="EAC44" s="214"/>
      <c r="EAD44" s="214"/>
      <c r="EAE44" s="214"/>
      <c r="EAF44" s="214"/>
      <c r="EAG44" s="214"/>
      <c r="EAH44" s="214"/>
      <c r="EAI44" s="214"/>
      <c r="EAJ44" s="214"/>
      <c r="EAK44" s="214"/>
      <c r="EAL44" s="214"/>
      <c r="EAM44" s="214"/>
      <c r="EAN44" s="214"/>
      <c r="EAO44" s="214"/>
      <c r="EAP44" s="214"/>
      <c r="EAQ44" s="214"/>
      <c r="EAR44" s="214"/>
      <c r="EAS44" s="214"/>
      <c r="EAT44" s="214"/>
      <c r="EAU44" s="214"/>
      <c r="EAV44" s="214"/>
      <c r="EAW44" s="214"/>
      <c r="EAX44" s="214"/>
      <c r="EAY44" s="214"/>
      <c r="EAZ44" s="214"/>
      <c r="EBA44" s="214"/>
      <c r="EBB44" s="214"/>
      <c r="EBC44" s="214"/>
      <c r="EBD44" s="214"/>
      <c r="EBE44" s="214"/>
      <c r="EBF44" s="214"/>
      <c r="EBG44" s="214"/>
      <c r="EBH44" s="214"/>
      <c r="EBI44" s="214"/>
      <c r="EBJ44" s="214"/>
      <c r="EBK44" s="214"/>
      <c r="EBL44" s="214"/>
      <c r="EBM44" s="214"/>
      <c r="EBN44" s="214"/>
      <c r="EBO44" s="214"/>
      <c r="EBP44" s="214"/>
      <c r="EBQ44" s="214"/>
      <c r="EBR44" s="214"/>
      <c r="EBS44" s="214"/>
      <c r="EBT44" s="214"/>
      <c r="EBU44" s="214"/>
      <c r="EBV44" s="214"/>
      <c r="EBW44" s="214"/>
      <c r="EBX44" s="214"/>
      <c r="EBY44" s="214"/>
      <c r="EBZ44" s="214"/>
      <c r="ECA44" s="214"/>
      <c r="ECB44" s="214"/>
      <c r="ECC44" s="214"/>
      <c r="ECD44" s="214"/>
      <c r="ECE44" s="214"/>
      <c r="ECF44" s="214"/>
      <c r="ECG44" s="214"/>
      <c r="ECH44" s="214"/>
      <c r="ECI44" s="214"/>
      <c r="ECJ44" s="214"/>
      <c r="ECK44" s="214"/>
      <c r="ECL44" s="214"/>
      <c r="ECM44" s="214"/>
      <c r="ECN44" s="214"/>
      <c r="ECO44" s="214"/>
      <c r="ECP44" s="214"/>
      <c r="ECQ44" s="214"/>
      <c r="ECR44" s="214"/>
      <c r="ECS44" s="214"/>
      <c r="ECT44" s="214"/>
      <c r="ECU44" s="214"/>
      <c r="ECV44" s="214"/>
      <c r="ECW44" s="214"/>
      <c r="ECX44" s="214"/>
      <c r="ECY44" s="214"/>
      <c r="ECZ44" s="214"/>
      <c r="EDA44" s="214"/>
      <c r="EDB44" s="214"/>
      <c r="EDC44" s="214"/>
      <c r="EDD44" s="214"/>
      <c r="EDE44" s="214"/>
      <c r="EDF44" s="214"/>
      <c r="EDG44" s="214"/>
      <c r="EDH44" s="214"/>
      <c r="EDI44" s="214"/>
      <c r="EDJ44" s="214"/>
      <c r="EDK44" s="214"/>
      <c r="EDL44" s="214"/>
      <c r="EDM44" s="214"/>
      <c r="EDN44" s="214"/>
      <c r="EDO44" s="214"/>
      <c r="EDP44" s="214"/>
      <c r="EDQ44" s="214"/>
      <c r="EDR44" s="214"/>
      <c r="EDS44" s="214"/>
      <c r="EDT44" s="214"/>
      <c r="EDU44" s="214"/>
      <c r="EDV44" s="214"/>
      <c r="EDW44" s="214"/>
      <c r="EDX44" s="214"/>
      <c r="EDY44" s="214"/>
      <c r="EDZ44" s="214"/>
      <c r="EEA44" s="214"/>
      <c r="EEB44" s="214"/>
      <c r="EEC44" s="214"/>
      <c r="EED44" s="214"/>
      <c r="EEE44" s="214"/>
      <c r="EEF44" s="214"/>
      <c r="EEG44" s="214"/>
      <c r="EEH44" s="214"/>
      <c r="EEI44" s="214"/>
      <c r="EEJ44" s="214"/>
      <c r="EEK44" s="214"/>
      <c r="EEL44" s="214"/>
      <c r="EEM44" s="214"/>
      <c r="EEN44" s="214"/>
      <c r="EEO44" s="214"/>
      <c r="EEP44" s="214"/>
      <c r="EEQ44" s="214"/>
      <c r="EER44" s="214"/>
      <c r="EES44" s="214"/>
      <c r="EET44" s="214"/>
      <c r="EEU44" s="214"/>
      <c r="EEV44" s="214"/>
      <c r="EEW44" s="214"/>
      <c r="EEX44" s="214"/>
      <c r="EEY44" s="214"/>
      <c r="EEZ44" s="214"/>
      <c r="EFA44" s="214"/>
      <c r="EFB44" s="214"/>
      <c r="EFC44" s="214"/>
      <c r="EFD44" s="214"/>
      <c r="EFE44" s="214"/>
      <c r="EFF44" s="214"/>
      <c r="EFG44" s="214"/>
      <c r="EFH44" s="214"/>
      <c r="EFI44" s="214"/>
      <c r="EFJ44" s="214"/>
      <c r="EFK44" s="214"/>
      <c r="EFL44" s="214"/>
      <c r="EFM44" s="214"/>
      <c r="EFN44" s="214"/>
      <c r="EFO44" s="214"/>
      <c r="EFP44" s="214"/>
      <c r="EFQ44" s="214"/>
      <c r="EFR44" s="214"/>
      <c r="EFS44" s="214"/>
      <c r="EFT44" s="214"/>
      <c r="EFU44" s="214"/>
      <c r="EFV44" s="214"/>
      <c r="EFW44" s="214"/>
      <c r="EFX44" s="214"/>
      <c r="EFY44" s="214"/>
      <c r="EFZ44" s="214"/>
      <c r="EGA44" s="214"/>
      <c r="EGB44" s="214"/>
      <c r="EGC44" s="214"/>
      <c r="EGD44" s="214"/>
      <c r="EGE44" s="214"/>
      <c r="EGF44" s="214"/>
      <c r="EGG44" s="214"/>
      <c r="EGH44" s="214"/>
      <c r="EGI44" s="214"/>
      <c r="EGJ44" s="214"/>
      <c r="EGK44" s="214"/>
      <c r="EGL44" s="214"/>
      <c r="EGM44" s="214"/>
      <c r="EGN44" s="214"/>
      <c r="EGO44" s="214"/>
      <c r="EGP44" s="214"/>
      <c r="EGQ44" s="214"/>
      <c r="EGR44" s="214"/>
      <c r="EGS44" s="214"/>
      <c r="EGT44" s="214"/>
      <c r="EGU44" s="214"/>
      <c r="EGV44" s="214"/>
      <c r="EGW44" s="214"/>
      <c r="EGX44" s="214"/>
      <c r="EGY44" s="214"/>
      <c r="EGZ44" s="214"/>
      <c r="EHA44" s="214"/>
      <c r="EHB44" s="214"/>
      <c r="EHC44" s="214"/>
      <c r="EHD44" s="214"/>
      <c r="EHE44" s="214"/>
      <c r="EHF44" s="214"/>
      <c r="EHG44" s="214"/>
      <c r="EHH44" s="214"/>
      <c r="EHI44" s="214"/>
      <c r="EHJ44" s="214"/>
      <c r="EHK44" s="214"/>
      <c r="EHL44" s="214"/>
      <c r="EHM44" s="214"/>
      <c r="EHN44" s="214"/>
      <c r="EHO44" s="214"/>
      <c r="EHP44" s="214"/>
      <c r="EHQ44" s="214"/>
      <c r="EHR44" s="214"/>
      <c r="EHS44" s="214"/>
      <c r="EHT44" s="214"/>
      <c r="EHU44" s="214"/>
      <c r="EHV44" s="214"/>
      <c r="EHW44" s="214"/>
      <c r="EHX44" s="214"/>
      <c r="EHY44" s="214"/>
      <c r="EHZ44" s="214"/>
      <c r="EIA44" s="214"/>
      <c r="EIB44" s="214"/>
      <c r="EIC44" s="214"/>
      <c r="EID44" s="214"/>
      <c r="EIE44" s="214"/>
      <c r="EIF44" s="214"/>
      <c r="EIG44" s="214"/>
      <c r="EIH44" s="214"/>
      <c r="EII44" s="214"/>
      <c r="EIJ44" s="214"/>
      <c r="EIK44" s="214"/>
      <c r="EIL44" s="214"/>
      <c r="EIM44" s="214"/>
      <c r="EIN44" s="214"/>
      <c r="EIO44" s="214"/>
      <c r="EIP44" s="214"/>
      <c r="EIQ44" s="214"/>
      <c r="EIR44" s="214"/>
      <c r="EIS44" s="214"/>
      <c r="EIT44" s="214"/>
      <c r="EIU44" s="214"/>
      <c r="EIV44" s="214"/>
      <c r="EIW44" s="214"/>
      <c r="EIX44" s="214"/>
      <c r="EIY44" s="214"/>
      <c r="EIZ44" s="214"/>
      <c r="EJA44" s="214"/>
      <c r="EJB44" s="214"/>
      <c r="EJC44" s="214"/>
      <c r="EJD44" s="214"/>
      <c r="EJE44" s="214"/>
      <c r="EJF44" s="214"/>
      <c r="EJG44" s="214"/>
      <c r="EJH44" s="214"/>
      <c r="EJI44" s="214"/>
      <c r="EJJ44" s="214"/>
      <c r="EJK44" s="214"/>
      <c r="EJL44" s="214"/>
      <c r="EJM44" s="214"/>
      <c r="EJN44" s="214"/>
      <c r="EJO44" s="214"/>
      <c r="EJP44" s="214"/>
      <c r="EJQ44" s="214"/>
      <c r="EJR44" s="214"/>
      <c r="EJS44" s="214"/>
      <c r="EJT44" s="214"/>
      <c r="EJU44" s="214"/>
      <c r="EJV44" s="214"/>
      <c r="EJW44" s="214"/>
      <c r="EJX44" s="214"/>
      <c r="EJY44" s="214"/>
      <c r="EJZ44" s="214"/>
      <c r="EKA44" s="214"/>
      <c r="EKB44" s="214"/>
      <c r="EKC44" s="214"/>
      <c r="EKD44" s="214"/>
      <c r="EKE44" s="214"/>
      <c r="EKF44" s="214"/>
      <c r="EKG44" s="214"/>
      <c r="EKH44" s="214"/>
      <c r="EKI44" s="214"/>
      <c r="EKJ44" s="214"/>
      <c r="EKK44" s="214"/>
      <c r="EKL44" s="214"/>
      <c r="EKM44" s="214"/>
      <c r="EKN44" s="214"/>
      <c r="EKO44" s="214"/>
      <c r="EKP44" s="214"/>
      <c r="EKQ44" s="214"/>
      <c r="EKR44" s="214"/>
      <c r="EKS44" s="214"/>
      <c r="EKT44" s="214"/>
      <c r="EKU44" s="214"/>
      <c r="EKV44" s="214"/>
      <c r="EKW44" s="214"/>
      <c r="EKX44" s="214"/>
      <c r="EKY44" s="214"/>
      <c r="EKZ44" s="214"/>
      <c r="ELA44" s="214"/>
      <c r="ELB44" s="214"/>
      <c r="ELC44" s="214"/>
      <c r="ELD44" s="214"/>
      <c r="ELE44" s="214"/>
      <c r="ELF44" s="214"/>
      <c r="ELG44" s="214"/>
      <c r="ELH44" s="214"/>
      <c r="ELI44" s="214"/>
      <c r="ELJ44" s="214"/>
      <c r="ELK44" s="214"/>
      <c r="ELL44" s="214"/>
      <c r="ELM44" s="214"/>
      <c r="ELN44" s="214"/>
      <c r="ELO44" s="214"/>
      <c r="ELP44" s="214"/>
      <c r="ELQ44" s="214"/>
      <c r="ELR44" s="214"/>
      <c r="ELS44" s="214"/>
      <c r="ELT44" s="214"/>
      <c r="ELU44" s="214"/>
      <c r="ELV44" s="214"/>
      <c r="ELW44" s="214"/>
      <c r="ELX44" s="214"/>
      <c r="ELY44" s="214"/>
      <c r="ELZ44" s="214"/>
      <c r="EMA44" s="214"/>
      <c r="EMB44" s="214"/>
      <c r="EMC44" s="214"/>
      <c r="EMD44" s="214"/>
      <c r="EME44" s="214"/>
      <c r="EMF44" s="214"/>
      <c r="EMG44" s="214"/>
      <c r="EMH44" s="214"/>
      <c r="EMI44" s="214"/>
      <c r="EMJ44" s="214"/>
      <c r="EMK44" s="214"/>
      <c r="EML44" s="214"/>
      <c r="EMM44" s="214"/>
      <c r="EMN44" s="214"/>
      <c r="EMO44" s="214"/>
      <c r="EMP44" s="214"/>
      <c r="EMQ44" s="214"/>
      <c r="EMR44" s="214"/>
      <c r="EMS44" s="214"/>
      <c r="EMT44" s="214"/>
      <c r="EMU44" s="214"/>
      <c r="EMV44" s="214"/>
      <c r="EMW44" s="214"/>
      <c r="EMX44" s="214"/>
      <c r="EMY44" s="214"/>
      <c r="EMZ44" s="214"/>
      <c r="ENA44" s="214"/>
      <c r="ENB44" s="214"/>
      <c r="ENC44" s="214"/>
      <c r="END44" s="214"/>
      <c r="ENE44" s="214"/>
      <c r="ENF44" s="214"/>
      <c r="ENG44" s="214"/>
      <c r="ENH44" s="214"/>
      <c r="ENI44" s="214"/>
      <c r="ENJ44" s="214"/>
      <c r="ENK44" s="214"/>
      <c r="ENL44" s="214"/>
      <c r="ENM44" s="214"/>
      <c r="ENN44" s="214"/>
      <c r="ENO44" s="214"/>
      <c r="ENP44" s="214"/>
      <c r="ENQ44" s="214"/>
      <c r="ENR44" s="214"/>
      <c r="ENS44" s="214"/>
      <c r="ENT44" s="214"/>
      <c r="ENU44" s="214"/>
      <c r="ENV44" s="214"/>
      <c r="ENW44" s="214"/>
      <c r="ENX44" s="214"/>
      <c r="ENY44" s="214"/>
      <c r="ENZ44" s="214"/>
      <c r="EOA44" s="214"/>
      <c r="EOB44" s="214"/>
      <c r="EOC44" s="214"/>
      <c r="EOD44" s="214"/>
      <c r="EOE44" s="214"/>
      <c r="EOF44" s="214"/>
      <c r="EOG44" s="214"/>
      <c r="EOH44" s="214"/>
      <c r="EOI44" s="214"/>
      <c r="EOJ44" s="214"/>
      <c r="EOK44" s="214"/>
      <c r="EOL44" s="214"/>
      <c r="EOM44" s="214"/>
      <c r="EON44" s="214"/>
      <c r="EOO44" s="214"/>
      <c r="EOP44" s="214"/>
      <c r="EOQ44" s="214"/>
      <c r="EOR44" s="214"/>
      <c r="EOS44" s="214"/>
      <c r="EOT44" s="214"/>
      <c r="EOU44" s="214"/>
      <c r="EOV44" s="214"/>
      <c r="EOW44" s="214"/>
      <c r="EOX44" s="214"/>
      <c r="EOY44" s="214"/>
      <c r="EOZ44" s="214"/>
      <c r="EPA44" s="214"/>
      <c r="EPB44" s="214"/>
      <c r="EPC44" s="214"/>
      <c r="EPD44" s="214"/>
      <c r="EPE44" s="214"/>
      <c r="EPF44" s="214"/>
      <c r="EPG44" s="214"/>
      <c r="EPH44" s="214"/>
      <c r="EPI44" s="214"/>
      <c r="EPJ44" s="214"/>
      <c r="EPK44" s="214"/>
      <c r="EPL44" s="214"/>
      <c r="EPM44" s="214"/>
      <c r="EPN44" s="214"/>
      <c r="EPO44" s="214"/>
      <c r="EPP44" s="214"/>
      <c r="EPQ44" s="214"/>
      <c r="EPR44" s="214"/>
      <c r="EPS44" s="214"/>
      <c r="EPT44" s="214"/>
      <c r="EPU44" s="214"/>
      <c r="EPV44" s="214"/>
      <c r="EPW44" s="214"/>
      <c r="EPX44" s="214"/>
      <c r="EPY44" s="214"/>
      <c r="EPZ44" s="214"/>
      <c r="EQA44" s="214"/>
      <c r="EQB44" s="214"/>
      <c r="EQC44" s="214"/>
      <c r="EQD44" s="214"/>
      <c r="EQE44" s="214"/>
      <c r="EQF44" s="214"/>
      <c r="EQG44" s="214"/>
      <c r="EQH44" s="214"/>
      <c r="EQI44" s="214"/>
      <c r="EQJ44" s="214"/>
      <c r="EQK44" s="214"/>
      <c r="EQL44" s="214"/>
      <c r="EQM44" s="214"/>
      <c r="EQN44" s="214"/>
      <c r="EQO44" s="214"/>
      <c r="EQP44" s="214"/>
      <c r="EQQ44" s="214"/>
      <c r="EQR44" s="214"/>
      <c r="EQS44" s="214"/>
      <c r="EQT44" s="214"/>
      <c r="EQU44" s="214"/>
      <c r="EQV44" s="214"/>
      <c r="EQW44" s="214"/>
      <c r="EQX44" s="214"/>
      <c r="EQY44" s="214"/>
      <c r="EQZ44" s="214"/>
      <c r="ERA44" s="214"/>
      <c r="ERB44" s="214"/>
      <c r="ERC44" s="214"/>
      <c r="ERD44" s="214"/>
      <c r="ERE44" s="214"/>
      <c r="ERF44" s="214"/>
      <c r="ERG44" s="214"/>
      <c r="ERH44" s="214"/>
      <c r="ERI44" s="214"/>
      <c r="ERJ44" s="214"/>
      <c r="ERK44" s="214"/>
      <c r="ERL44" s="214"/>
      <c r="ERM44" s="214"/>
      <c r="ERN44" s="214"/>
      <c r="ERO44" s="214"/>
      <c r="ERP44" s="214"/>
      <c r="ERQ44" s="214"/>
      <c r="ERR44" s="214"/>
      <c r="ERS44" s="214"/>
      <c r="ERT44" s="214"/>
      <c r="ERU44" s="214"/>
      <c r="ERV44" s="214"/>
      <c r="ERW44" s="214"/>
      <c r="ERX44" s="214"/>
      <c r="ERY44" s="214"/>
      <c r="ERZ44" s="214"/>
      <c r="ESA44" s="214"/>
      <c r="ESB44" s="214"/>
      <c r="ESC44" s="214"/>
      <c r="ESD44" s="214"/>
      <c r="ESE44" s="214"/>
      <c r="ESF44" s="214"/>
      <c r="ESG44" s="214"/>
      <c r="ESH44" s="214"/>
      <c r="ESI44" s="214"/>
      <c r="ESJ44" s="214"/>
      <c r="ESK44" s="214"/>
      <c r="ESL44" s="214"/>
      <c r="ESM44" s="214"/>
      <c r="ESN44" s="214"/>
      <c r="ESO44" s="214"/>
      <c r="ESP44" s="214"/>
      <c r="ESQ44" s="214"/>
      <c r="ESR44" s="214"/>
      <c r="ESS44" s="214"/>
      <c r="EST44" s="214"/>
      <c r="ESU44" s="214"/>
      <c r="ESV44" s="214"/>
      <c r="ESW44" s="214"/>
      <c r="ESX44" s="214"/>
      <c r="ESY44" s="214"/>
      <c r="ESZ44" s="214"/>
      <c r="ETA44" s="214"/>
      <c r="ETB44" s="214"/>
      <c r="ETC44" s="214"/>
      <c r="ETD44" s="214"/>
      <c r="ETE44" s="214"/>
      <c r="ETF44" s="214"/>
      <c r="ETG44" s="214"/>
      <c r="ETH44" s="214"/>
      <c r="ETI44" s="214"/>
      <c r="ETJ44" s="214"/>
      <c r="ETK44" s="214"/>
      <c r="ETL44" s="214"/>
      <c r="ETM44" s="214"/>
      <c r="ETN44" s="214"/>
      <c r="ETO44" s="214"/>
      <c r="ETP44" s="214"/>
      <c r="ETQ44" s="214"/>
      <c r="ETR44" s="214"/>
      <c r="ETS44" s="214"/>
      <c r="ETT44" s="214"/>
      <c r="ETU44" s="214"/>
      <c r="ETV44" s="214"/>
      <c r="ETW44" s="214"/>
      <c r="ETX44" s="214"/>
      <c r="ETY44" s="214"/>
      <c r="ETZ44" s="214"/>
      <c r="EUA44" s="214"/>
      <c r="EUB44" s="214"/>
      <c r="EUC44" s="214"/>
      <c r="EUD44" s="214"/>
      <c r="EUE44" s="214"/>
      <c r="EUF44" s="214"/>
      <c r="EUG44" s="214"/>
      <c r="EUH44" s="214"/>
      <c r="EUI44" s="214"/>
      <c r="EUJ44" s="214"/>
      <c r="EUK44" s="214"/>
      <c r="EUL44" s="214"/>
      <c r="EUM44" s="214"/>
      <c r="EUN44" s="214"/>
      <c r="EUO44" s="214"/>
      <c r="EUP44" s="214"/>
      <c r="EUQ44" s="214"/>
      <c r="EUR44" s="214"/>
      <c r="EUS44" s="214"/>
      <c r="EUT44" s="214"/>
      <c r="EUU44" s="214"/>
      <c r="EUV44" s="214"/>
      <c r="EUW44" s="214"/>
      <c r="EUX44" s="214"/>
      <c r="EUY44" s="214"/>
      <c r="EUZ44" s="214"/>
      <c r="EVA44" s="214"/>
      <c r="EVB44" s="214"/>
      <c r="EVC44" s="214"/>
      <c r="EVD44" s="214"/>
      <c r="EVE44" s="214"/>
      <c r="EVF44" s="214"/>
      <c r="EVG44" s="214"/>
      <c r="EVH44" s="214"/>
      <c r="EVI44" s="214"/>
      <c r="EVJ44" s="214"/>
      <c r="EVK44" s="214"/>
      <c r="EVL44" s="214"/>
      <c r="EVM44" s="214"/>
      <c r="EVN44" s="214"/>
      <c r="EVO44" s="214"/>
      <c r="EVP44" s="214"/>
      <c r="EVQ44" s="214"/>
      <c r="EVR44" s="214"/>
      <c r="EVS44" s="214"/>
      <c r="EVT44" s="214"/>
      <c r="EVU44" s="214"/>
      <c r="EVV44" s="214"/>
      <c r="EVW44" s="214"/>
      <c r="EVX44" s="214"/>
      <c r="EVY44" s="214"/>
      <c r="EVZ44" s="214"/>
      <c r="EWA44" s="214"/>
      <c r="EWB44" s="214"/>
      <c r="EWC44" s="214"/>
      <c r="EWD44" s="214"/>
      <c r="EWE44" s="214"/>
      <c r="EWF44" s="214"/>
      <c r="EWG44" s="214"/>
      <c r="EWH44" s="214"/>
      <c r="EWI44" s="214"/>
      <c r="EWJ44" s="214"/>
      <c r="EWK44" s="214"/>
      <c r="EWL44" s="214"/>
      <c r="EWM44" s="214"/>
      <c r="EWN44" s="214"/>
      <c r="EWO44" s="214"/>
      <c r="EWP44" s="214"/>
      <c r="EWQ44" s="214"/>
      <c r="EWR44" s="214"/>
      <c r="EWS44" s="214"/>
      <c r="EWT44" s="214"/>
      <c r="EWU44" s="214"/>
      <c r="EWV44" s="214"/>
      <c r="EWW44" s="214"/>
      <c r="EWX44" s="214"/>
      <c r="EWY44" s="214"/>
      <c r="EWZ44" s="214"/>
      <c r="EXA44" s="214"/>
      <c r="EXB44" s="214"/>
      <c r="EXC44" s="214"/>
      <c r="EXD44" s="214"/>
      <c r="EXE44" s="214"/>
      <c r="EXF44" s="214"/>
      <c r="EXG44" s="214"/>
      <c r="EXH44" s="214"/>
      <c r="EXI44" s="214"/>
      <c r="EXJ44" s="214"/>
      <c r="EXK44" s="214"/>
      <c r="EXL44" s="214"/>
      <c r="EXM44" s="214"/>
      <c r="EXN44" s="214"/>
      <c r="EXO44" s="214"/>
      <c r="EXP44" s="214"/>
      <c r="EXQ44" s="214"/>
      <c r="EXR44" s="214"/>
      <c r="EXS44" s="214"/>
      <c r="EXT44" s="214"/>
      <c r="EXU44" s="214"/>
      <c r="EXV44" s="214"/>
      <c r="EXW44" s="214"/>
      <c r="EXX44" s="214"/>
      <c r="EXY44" s="214"/>
      <c r="EXZ44" s="214"/>
      <c r="EYA44" s="214"/>
      <c r="EYB44" s="214"/>
      <c r="EYC44" s="214"/>
      <c r="EYD44" s="214"/>
      <c r="EYE44" s="214"/>
      <c r="EYF44" s="214"/>
      <c r="EYG44" s="214"/>
      <c r="EYH44" s="214"/>
      <c r="EYI44" s="214"/>
      <c r="EYJ44" s="214"/>
      <c r="EYK44" s="214"/>
      <c r="EYL44" s="214"/>
      <c r="EYM44" s="214"/>
      <c r="EYN44" s="214"/>
      <c r="EYO44" s="214"/>
      <c r="EYP44" s="214"/>
      <c r="EYQ44" s="214"/>
      <c r="EYR44" s="214"/>
      <c r="EYS44" s="214"/>
      <c r="EYT44" s="214"/>
      <c r="EYU44" s="214"/>
      <c r="EYV44" s="214"/>
      <c r="EYW44" s="214"/>
      <c r="EYX44" s="214"/>
      <c r="EYY44" s="214"/>
      <c r="EYZ44" s="214"/>
      <c r="EZA44" s="214"/>
      <c r="EZB44" s="214"/>
      <c r="EZC44" s="214"/>
      <c r="EZD44" s="214"/>
      <c r="EZE44" s="214"/>
      <c r="EZF44" s="214"/>
      <c r="EZG44" s="214"/>
      <c r="EZH44" s="214"/>
      <c r="EZI44" s="214"/>
      <c r="EZJ44" s="214"/>
      <c r="EZK44" s="214"/>
      <c r="EZL44" s="214"/>
      <c r="EZM44" s="214"/>
      <c r="EZN44" s="214"/>
      <c r="EZO44" s="214"/>
      <c r="EZP44" s="214"/>
      <c r="EZQ44" s="214"/>
      <c r="EZR44" s="214"/>
      <c r="EZS44" s="214"/>
      <c r="EZT44" s="214"/>
      <c r="EZU44" s="214"/>
      <c r="EZV44" s="214"/>
      <c r="EZW44" s="214"/>
      <c r="EZX44" s="214"/>
      <c r="EZY44" s="214"/>
      <c r="EZZ44" s="214"/>
      <c r="FAA44" s="214"/>
      <c r="FAB44" s="214"/>
      <c r="FAC44" s="214"/>
      <c r="FAD44" s="214"/>
      <c r="FAE44" s="214"/>
      <c r="FAF44" s="214"/>
      <c r="FAG44" s="214"/>
      <c r="FAH44" s="214"/>
      <c r="FAI44" s="214"/>
      <c r="FAJ44" s="214"/>
      <c r="FAK44" s="214"/>
      <c r="FAL44" s="214"/>
      <c r="FAM44" s="214"/>
      <c r="FAN44" s="214"/>
      <c r="FAO44" s="214"/>
      <c r="FAP44" s="214"/>
      <c r="FAQ44" s="214"/>
      <c r="FAR44" s="214"/>
      <c r="FAS44" s="214"/>
      <c r="FAT44" s="214"/>
      <c r="FAU44" s="214"/>
      <c r="FAV44" s="214"/>
      <c r="FAW44" s="214"/>
      <c r="FAX44" s="214"/>
      <c r="FAY44" s="214"/>
      <c r="FAZ44" s="214"/>
      <c r="FBA44" s="214"/>
      <c r="FBB44" s="214"/>
      <c r="FBC44" s="214"/>
      <c r="FBD44" s="214"/>
      <c r="FBE44" s="214"/>
      <c r="FBF44" s="214"/>
      <c r="FBG44" s="214"/>
      <c r="FBH44" s="214"/>
      <c r="FBI44" s="214"/>
      <c r="FBJ44" s="214"/>
      <c r="FBK44" s="214"/>
      <c r="FBL44" s="214"/>
      <c r="FBM44" s="214"/>
      <c r="FBN44" s="214"/>
      <c r="FBO44" s="214"/>
      <c r="FBP44" s="214"/>
      <c r="FBQ44" s="214"/>
      <c r="FBR44" s="214"/>
      <c r="FBS44" s="214"/>
      <c r="FBT44" s="214"/>
      <c r="FBU44" s="214"/>
      <c r="FBV44" s="214"/>
      <c r="FBW44" s="214"/>
      <c r="FBX44" s="214"/>
      <c r="FBY44" s="214"/>
      <c r="FBZ44" s="214"/>
      <c r="FCA44" s="214"/>
      <c r="FCB44" s="214"/>
      <c r="FCC44" s="214"/>
      <c r="FCD44" s="214"/>
      <c r="FCE44" s="214"/>
      <c r="FCF44" s="214"/>
      <c r="FCG44" s="214"/>
      <c r="FCH44" s="214"/>
      <c r="FCI44" s="214"/>
      <c r="FCJ44" s="214"/>
      <c r="FCK44" s="214"/>
      <c r="FCL44" s="214"/>
      <c r="FCM44" s="214"/>
      <c r="FCN44" s="214"/>
      <c r="FCO44" s="214"/>
      <c r="FCP44" s="214"/>
      <c r="FCQ44" s="214"/>
      <c r="FCR44" s="214"/>
      <c r="FCS44" s="214"/>
      <c r="FCT44" s="214"/>
      <c r="FCU44" s="214"/>
      <c r="FCV44" s="214"/>
      <c r="FCW44" s="214"/>
      <c r="FCX44" s="214"/>
      <c r="FCY44" s="214"/>
      <c r="FCZ44" s="214"/>
      <c r="FDA44" s="214"/>
      <c r="FDB44" s="214"/>
      <c r="FDC44" s="214"/>
      <c r="FDD44" s="214"/>
      <c r="FDE44" s="214"/>
      <c r="FDF44" s="214"/>
      <c r="FDG44" s="214"/>
      <c r="FDH44" s="214"/>
      <c r="FDI44" s="214"/>
      <c r="FDJ44" s="214"/>
      <c r="FDK44" s="214"/>
      <c r="FDL44" s="214"/>
      <c r="FDM44" s="214"/>
      <c r="FDN44" s="214"/>
      <c r="FDO44" s="214"/>
      <c r="FDP44" s="214"/>
      <c r="FDQ44" s="214"/>
      <c r="FDR44" s="214"/>
      <c r="FDS44" s="214"/>
      <c r="FDT44" s="214"/>
      <c r="FDU44" s="214"/>
      <c r="FDV44" s="214"/>
      <c r="FDW44" s="214"/>
      <c r="FDX44" s="214"/>
      <c r="FDY44" s="214"/>
      <c r="FDZ44" s="214"/>
      <c r="FEA44" s="214"/>
      <c r="FEB44" s="214"/>
      <c r="FEC44" s="214"/>
      <c r="FED44" s="214"/>
      <c r="FEE44" s="214"/>
      <c r="FEF44" s="214"/>
      <c r="FEG44" s="214"/>
      <c r="FEH44" s="214"/>
      <c r="FEI44" s="214"/>
      <c r="FEJ44" s="214"/>
      <c r="FEK44" s="214"/>
      <c r="FEL44" s="214"/>
      <c r="FEM44" s="214"/>
      <c r="FEN44" s="214"/>
      <c r="FEO44" s="214"/>
      <c r="FEP44" s="214"/>
      <c r="FEQ44" s="214"/>
      <c r="FER44" s="214"/>
      <c r="FES44" s="214"/>
      <c r="FET44" s="214"/>
      <c r="FEU44" s="214"/>
      <c r="FEV44" s="214"/>
      <c r="FEW44" s="214"/>
      <c r="FEX44" s="214"/>
      <c r="FEY44" s="214"/>
      <c r="FEZ44" s="214"/>
      <c r="FFA44" s="214"/>
      <c r="FFB44" s="214"/>
      <c r="FFC44" s="214"/>
      <c r="FFD44" s="214"/>
      <c r="FFE44" s="214"/>
      <c r="FFF44" s="214"/>
      <c r="FFG44" s="214"/>
      <c r="FFH44" s="214"/>
      <c r="FFI44" s="214"/>
      <c r="FFJ44" s="214"/>
      <c r="FFK44" s="214"/>
      <c r="FFL44" s="214"/>
      <c r="FFM44" s="214"/>
      <c r="FFN44" s="214"/>
      <c r="FFO44" s="214"/>
      <c r="FFP44" s="214"/>
      <c r="FFQ44" s="214"/>
      <c r="FFR44" s="214"/>
      <c r="FFS44" s="214"/>
      <c r="FFT44" s="214"/>
      <c r="FFU44" s="214"/>
      <c r="FFV44" s="214"/>
      <c r="FFW44" s="214"/>
      <c r="FFX44" s="214"/>
      <c r="FFY44" s="214"/>
      <c r="FFZ44" s="214"/>
      <c r="FGA44" s="214"/>
      <c r="FGB44" s="214"/>
      <c r="FGC44" s="214"/>
      <c r="FGD44" s="214"/>
      <c r="FGE44" s="214"/>
      <c r="FGF44" s="214"/>
      <c r="FGG44" s="214"/>
      <c r="FGH44" s="214"/>
      <c r="FGI44" s="214"/>
      <c r="FGJ44" s="214"/>
      <c r="FGK44" s="214"/>
      <c r="FGL44" s="214"/>
      <c r="FGM44" s="214"/>
      <c r="FGN44" s="214"/>
      <c r="FGO44" s="214"/>
      <c r="FGP44" s="214"/>
      <c r="FGQ44" s="214"/>
      <c r="FGR44" s="214"/>
      <c r="FGS44" s="214"/>
      <c r="FGT44" s="214"/>
      <c r="FGU44" s="214"/>
      <c r="FGV44" s="214"/>
      <c r="FGW44" s="214"/>
      <c r="FGX44" s="214"/>
      <c r="FGY44" s="214"/>
      <c r="FGZ44" s="214"/>
      <c r="FHA44" s="214"/>
      <c r="FHB44" s="214"/>
      <c r="FHC44" s="214"/>
      <c r="FHD44" s="214"/>
      <c r="FHE44" s="214"/>
      <c r="FHF44" s="214"/>
      <c r="FHG44" s="214"/>
      <c r="FHH44" s="214"/>
      <c r="FHI44" s="214"/>
      <c r="FHJ44" s="214"/>
      <c r="FHK44" s="214"/>
      <c r="FHL44" s="214"/>
      <c r="FHM44" s="214"/>
      <c r="FHN44" s="214"/>
      <c r="FHO44" s="214"/>
      <c r="FHP44" s="214"/>
      <c r="FHQ44" s="214"/>
      <c r="FHR44" s="214"/>
      <c r="FHS44" s="214"/>
      <c r="FHT44" s="214"/>
      <c r="FHU44" s="214"/>
      <c r="FHV44" s="214"/>
      <c r="FHW44" s="214"/>
      <c r="FHX44" s="214"/>
      <c r="FHY44" s="214"/>
      <c r="FHZ44" s="214"/>
      <c r="FIA44" s="214"/>
      <c r="FIB44" s="214"/>
      <c r="FIC44" s="214"/>
      <c r="FID44" s="214"/>
      <c r="FIE44" s="214"/>
      <c r="FIF44" s="214"/>
      <c r="FIG44" s="214"/>
      <c r="FIH44" s="214"/>
      <c r="FII44" s="214"/>
      <c r="FIJ44" s="214"/>
      <c r="FIK44" s="214"/>
      <c r="FIL44" s="214"/>
      <c r="FIM44" s="214"/>
      <c r="FIN44" s="214"/>
      <c r="FIO44" s="214"/>
      <c r="FIP44" s="214"/>
      <c r="FIQ44" s="214"/>
      <c r="FIR44" s="214"/>
      <c r="FIS44" s="214"/>
      <c r="FIT44" s="214"/>
      <c r="FIU44" s="214"/>
      <c r="FIV44" s="214"/>
      <c r="FIW44" s="214"/>
      <c r="FIX44" s="214"/>
      <c r="FIY44" s="214"/>
      <c r="FIZ44" s="214"/>
      <c r="FJA44" s="214"/>
      <c r="FJB44" s="214"/>
      <c r="FJC44" s="214"/>
      <c r="FJD44" s="214"/>
      <c r="FJE44" s="214"/>
      <c r="FJF44" s="214"/>
      <c r="FJG44" s="214"/>
      <c r="FJH44" s="214"/>
      <c r="FJI44" s="214"/>
      <c r="FJJ44" s="214"/>
      <c r="FJK44" s="214"/>
      <c r="FJL44" s="214"/>
      <c r="FJM44" s="214"/>
      <c r="FJN44" s="214"/>
      <c r="FJO44" s="214"/>
      <c r="FJP44" s="214"/>
      <c r="FJQ44" s="214"/>
      <c r="FJR44" s="214"/>
      <c r="FJS44" s="214"/>
      <c r="FJT44" s="214"/>
      <c r="FJU44" s="214"/>
      <c r="FJV44" s="214"/>
      <c r="FJW44" s="214"/>
      <c r="FJX44" s="214"/>
      <c r="FJY44" s="214"/>
      <c r="FJZ44" s="214"/>
      <c r="FKA44" s="214"/>
      <c r="FKB44" s="214"/>
      <c r="FKC44" s="214"/>
      <c r="FKD44" s="214"/>
      <c r="FKE44" s="214"/>
      <c r="FKF44" s="214"/>
      <c r="FKG44" s="214"/>
      <c r="FKH44" s="214"/>
      <c r="FKI44" s="214"/>
      <c r="FKJ44" s="214"/>
      <c r="FKK44" s="214"/>
      <c r="FKL44" s="214"/>
      <c r="FKM44" s="214"/>
      <c r="FKN44" s="214"/>
      <c r="FKO44" s="214"/>
      <c r="FKP44" s="214"/>
      <c r="FKQ44" s="214"/>
      <c r="FKR44" s="214"/>
      <c r="FKS44" s="214"/>
      <c r="FKT44" s="214"/>
      <c r="FKU44" s="214"/>
      <c r="FKV44" s="214"/>
      <c r="FKW44" s="214"/>
      <c r="FKX44" s="214"/>
      <c r="FKY44" s="214"/>
      <c r="FKZ44" s="214"/>
      <c r="FLA44" s="214"/>
      <c r="FLB44" s="214"/>
      <c r="FLC44" s="214"/>
      <c r="FLD44" s="214"/>
      <c r="FLE44" s="214"/>
      <c r="FLF44" s="214"/>
      <c r="FLG44" s="214"/>
      <c r="FLH44" s="214"/>
      <c r="FLI44" s="214"/>
      <c r="FLJ44" s="214"/>
      <c r="FLK44" s="214"/>
      <c r="FLL44" s="214"/>
      <c r="FLM44" s="214"/>
      <c r="FLN44" s="214"/>
      <c r="FLO44" s="214"/>
      <c r="FLP44" s="214"/>
      <c r="FLQ44" s="214"/>
      <c r="FLR44" s="214"/>
      <c r="FLS44" s="214"/>
      <c r="FLT44" s="214"/>
      <c r="FLU44" s="214"/>
      <c r="FLV44" s="214"/>
      <c r="FLW44" s="214"/>
      <c r="FLX44" s="214"/>
      <c r="FLY44" s="214"/>
      <c r="FLZ44" s="214"/>
      <c r="FMA44" s="214"/>
      <c r="FMB44" s="214"/>
      <c r="FMC44" s="214"/>
      <c r="FMD44" s="214"/>
      <c r="FME44" s="214"/>
      <c r="FMF44" s="214"/>
      <c r="FMG44" s="214"/>
      <c r="FMH44" s="214"/>
      <c r="FMI44" s="214"/>
      <c r="FMJ44" s="214"/>
      <c r="FMK44" s="214"/>
      <c r="FML44" s="214"/>
      <c r="FMM44" s="214"/>
      <c r="FMN44" s="214"/>
      <c r="FMO44" s="214"/>
      <c r="FMP44" s="214"/>
      <c r="FMQ44" s="214"/>
      <c r="FMR44" s="214"/>
      <c r="FMS44" s="214"/>
      <c r="FMT44" s="214"/>
      <c r="FMU44" s="214"/>
      <c r="FMV44" s="214"/>
      <c r="FMW44" s="214"/>
      <c r="FMX44" s="214"/>
      <c r="FMY44" s="214"/>
      <c r="FMZ44" s="214"/>
      <c r="FNA44" s="214"/>
      <c r="FNB44" s="214"/>
      <c r="FNC44" s="214"/>
      <c r="FND44" s="214"/>
      <c r="FNE44" s="214"/>
      <c r="FNF44" s="214"/>
      <c r="FNG44" s="214"/>
      <c r="FNH44" s="214"/>
      <c r="FNI44" s="214"/>
      <c r="FNJ44" s="214"/>
      <c r="FNK44" s="214"/>
      <c r="FNL44" s="214"/>
      <c r="FNM44" s="214"/>
      <c r="FNN44" s="214"/>
      <c r="FNO44" s="214"/>
      <c r="FNP44" s="214"/>
      <c r="FNQ44" s="214"/>
      <c r="FNR44" s="214"/>
      <c r="FNS44" s="214"/>
      <c r="FNT44" s="214"/>
      <c r="FNU44" s="214"/>
      <c r="FNV44" s="214"/>
      <c r="FNW44" s="214"/>
      <c r="FNX44" s="214"/>
      <c r="FNY44" s="214"/>
      <c r="FNZ44" s="214"/>
      <c r="FOA44" s="214"/>
      <c r="FOB44" s="214"/>
      <c r="FOC44" s="214"/>
      <c r="FOD44" s="214"/>
      <c r="FOE44" s="214"/>
      <c r="FOF44" s="214"/>
      <c r="FOG44" s="214"/>
      <c r="FOH44" s="214"/>
      <c r="FOI44" s="214"/>
      <c r="FOJ44" s="214"/>
      <c r="FOK44" s="214"/>
      <c r="FOL44" s="214"/>
      <c r="FOM44" s="214"/>
      <c r="FON44" s="214"/>
      <c r="FOO44" s="214"/>
      <c r="FOP44" s="214"/>
      <c r="FOQ44" s="214"/>
      <c r="FOR44" s="214"/>
      <c r="FOS44" s="214"/>
      <c r="FOT44" s="214"/>
      <c r="FOU44" s="214"/>
      <c r="FOV44" s="214"/>
      <c r="FOW44" s="214"/>
      <c r="FOX44" s="214"/>
      <c r="FOY44" s="214"/>
      <c r="FOZ44" s="214"/>
      <c r="FPA44" s="214"/>
      <c r="FPB44" s="214"/>
      <c r="FPC44" s="214"/>
      <c r="FPD44" s="214"/>
      <c r="FPE44" s="214"/>
      <c r="FPF44" s="214"/>
      <c r="FPG44" s="214"/>
      <c r="FPH44" s="214"/>
      <c r="FPI44" s="214"/>
      <c r="FPJ44" s="214"/>
      <c r="FPK44" s="214"/>
      <c r="FPL44" s="214"/>
      <c r="FPM44" s="214"/>
      <c r="FPN44" s="214"/>
      <c r="FPO44" s="214"/>
      <c r="FPP44" s="214"/>
      <c r="FPQ44" s="214"/>
      <c r="FPR44" s="214"/>
      <c r="FPS44" s="214"/>
      <c r="FPT44" s="214"/>
      <c r="FPU44" s="214"/>
      <c r="FPV44" s="214"/>
      <c r="FPW44" s="214"/>
      <c r="FPX44" s="214"/>
      <c r="FPY44" s="214"/>
      <c r="FPZ44" s="214"/>
      <c r="FQA44" s="214"/>
      <c r="FQB44" s="214"/>
      <c r="FQC44" s="214"/>
      <c r="FQD44" s="214"/>
      <c r="FQE44" s="214"/>
      <c r="FQF44" s="214"/>
      <c r="FQG44" s="214"/>
      <c r="FQH44" s="214"/>
      <c r="FQI44" s="214"/>
      <c r="FQJ44" s="214"/>
      <c r="FQK44" s="214"/>
      <c r="FQL44" s="214"/>
      <c r="FQM44" s="214"/>
      <c r="FQN44" s="214"/>
      <c r="FQO44" s="214"/>
      <c r="FQP44" s="214"/>
      <c r="FQQ44" s="214"/>
      <c r="FQR44" s="214"/>
      <c r="FQS44" s="214"/>
      <c r="FQT44" s="214"/>
      <c r="FQU44" s="214"/>
      <c r="FQV44" s="214"/>
      <c r="FQW44" s="214"/>
      <c r="FQX44" s="214"/>
      <c r="FQY44" s="214"/>
      <c r="FQZ44" s="214"/>
      <c r="FRA44" s="214"/>
      <c r="FRB44" s="214"/>
      <c r="FRC44" s="214"/>
      <c r="FRD44" s="214"/>
      <c r="FRE44" s="214"/>
      <c r="FRF44" s="214"/>
      <c r="FRG44" s="214"/>
      <c r="FRH44" s="214"/>
      <c r="FRI44" s="214"/>
      <c r="FRJ44" s="214"/>
      <c r="FRK44" s="214"/>
      <c r="FRL44" s="214"/>
      <c r="FRM44" s="214"/>
      <c r="FRN44" s="214"/>
      <c r="FRO44" s="214"/>
      <c r="FRP44" s="214"/>
      <c r="FRQ44" s="214"/>
      <c r="FRR44" s="214"/>
      <c r="FRS44" s="214"/>
      <c r="FRT44" s="214"/>
      <c r="FRU44" s="214"/>
      <c r="FRV44" s="214"/>
      <c r="FRW44" s="214"/>
      <c r="FRX44" s="214"/>
      <c r="FRY44" s="214"/>
      <c r="FRZ44" s="214"/>
      <c r="FSA44" s="214"/>
      <c r="FSB44" s="214"/>
      <c r="FSC44" s="214"/>
      <c r="FSD44" s="214"/>
      <c r="FSE44" s="214"/>
      <c r="FSF44" s="214"/>
      <c r="FSG44" s="214"/>
      <c r="FSH44" s="214"/>
      <c r="FSI44" s="214"/>
      <c r="FSJ44" s="214"/>
      <c r="FSK44" s="214"/>
      <c r="FSL44" s="214"/>
      <c r="FSM44" s="214"/>
      <c r="FSN44" s="214"/>
      <c r="FSO44" s="214"/>
      <c r="FSP44" s="214"/>
      <c r="FSQ44" s="214"/>
      <c r="FSR44" s="214"/>
      <c r="FSS44" s="214"/>
      <c r="FST44" s="214"/>
      <c r="FSU44" s="214"/>
      <c r="FSV44" s="214"/>
      <c r="FSW44" s="214"/>
      <c r="FSX44" s="214"/>
      <c r="FSY44" s="214"/>
      <c r="FSZ44" s="214"/>
      <c r="FTA44" s="214"/>
      <c r="FTB44" s="214"/>
      <c r="FTC44" s="214"/>
      <c r="FTD44" s="214"/>
      <c r="FTE44" s="214"/>
      <c r="FTF44" s="214"/>
      <c r="FTG44" s="214"/>
      <c r="FTH44" s="214"/>
      <c r="FTI44" s="214"/>
      <c r="FTJ44" s="214"/>
      <c r="FTK44" s="214"/>
      <c r="FTL44" s="214"/>
      <c r="FTM44" s="214"/>
      <c r="FTN44" s="214"/>
      <c r="FTO44" s="214"/>
      <c r="FTP44" s="214"/>
      <c r="FTQ44" s="214"/>
      <c r="FTR44" s="214"/>
      <c r="FTS44" s="214"/>
      <c r="FTT44" s="214"/>
      <c r="FTU44" s="214"/>
      <c r="FTV44" s="214"/>
      <c r="FTW44" s="214"/>
      <c r="FTX44" s="214"/>
      <c r="FTY44" s="214"/>
      <c r="FTZ44" s="214"/>
      <c r="FUA44" s="214"/>
      <c r="FUB44" s="214"/>
      <c r="FUC44" s="214"/>
      <c r="FUD44" s="214"/>
      <c r="FUE44" s="214"/>
      <c r="FUF44" s="214"/>
      <c r="FUG44" s="214"/>
      <c r="FUH44" s="214"/>
      <c r="FUI44" s="214"/>
      <c r="FUJ44" s="214"/>
      <c r="FUK44" s="214"/>
      <c r="FUL44" s="214"/>
      <c r="FUM44" s="214"/>
      <c r="FUN44" s="214"/>
      <c r="FUO44" s="214"/>
      <c r="FUP44" s="214"/>
      <c r="FUQ44" s="214"/>
      <c r="FUR44" s="214"/>
      <c r="FUS44" s="214"/>
      <c r="FUT44" s="214"/>
      <c r="FUU44" s="214"/>
      <c r="FUV44" s="214"/>
      <c r="FUW44" s="214"/>
      <c r="FUX44" s="214"/>
      <c r="FUY44" s="214"/>
      <c r="FUZ44" s="214"/>
      <c r="FVA44" s="214"/>
      <c r="FVB44" s="214"/>
      <c r="FVC44" s="214"/>
      <c r="FVD44" s="214"/>
      <c r="FVE44" s="214"/>
      <c r="FVF44" s="214"/>
      <c r="FVG44" s="214"/>
      <c r="FVH44" s="214"/>
      <c r="FVI44" s="214"/>
      <c r="FVJ44" s="214"/>
      <c r="FVK44" s="214"/>
      <c r="FVL44" s="214"/>
      <c r="FVM44" s="214"/>
      <c r="FVN44" s="214"/>
      <c r="FVO44" s="214"/>
      <c r="FVP44" s="214"/>
      <c r="FVQ44" s="214"/>
      <c r="FVR44" s="214"/>
      <c r="FVS44" s="214"/>
      <c r="FVT44" s="214"/>
      <c r="FVU44" s="214"/>
      <c r="FVV44" s="214"/>
      <c r="FVW44" s="214"/>
      <c r="FVX44" s="214"/>
      <c r="FVY44" s="214"/>
      <c r="FVZ44" s="214"/>
      <c r="FWA44" s="214"/>
      <c r="FWB44" s="214"/>
      <c r="FWC44" s="214"/>
      <c r="FWD44" s="214"/>
      <c r="FWE44" s="214"/>
      <c r="FWF44" s="214"/>
      <c r="FWG44" s="214"/>
      <c r="FWH44" s="214"/>
      <c r="FWI44" s="214"/>
      <c r="FWJ44" s="214"/>
      <c r="FWK44" s="214"/>
      <c r="FWL44" s="214"/>
      <c r="FWM44" s="214"/>
      <c r="FWN44" s="214"/>
      <c r="FWO44" s="214"/>
      <c r="FWP44" s="214"/>
      <c r="FWQ44" s="214"/>
      <c r="FWR44" s="214"/>
      <c r="FWS44" s="214"/>
      <c r="FWT44" s="214"/>
      <c r="FWU44" s="214"/>
      <c r="FWV44" s="214"/>
      <c r="FWW44" s="214"/>
      <c r="FWX44" s="214"/>
      <c r="FWY44" s="214"/>
      <c r="FWZ44" s="214"/>
      <c r="FXA44" s="214"/>
      <c r="FXB44" s="214"/>
      <c r="FXC44" s="214"/>
      <c r="FXD44" s="214"/>
      <c r="FXE44" s="214"/>
      <c r="FXF44" s="214"/>
      <c r="FXG44" s="214"/>
      <c r="FXH44" s="214"/>
      <c r="FXI44" s="214"/>
      <c r="FXJ44" s="214"/>
      <c r="FXK44" s="214"/>
      <c r="FXL44" s="214"/>
      <c r="FXM44" s="214"/>
      <c r="FXN44" s="214"/>
      <c r="FXO44" s="214"/>
      <c r="FXP44" s="214"/>
      <c r="FXQ44" s="214"/>
      <c r="FXR44" s="214"/>
      <c r="FXS44" s="214"/>
      <c r="FXT44" s="214"/>
      <c r="FXU44" s="214"/>
      <c r="FXV44" s="214"/>
      <c r="FXW44" s="214"/>
      <c r="FXX44" s="214"/>
      <c r="FXY44" s="214"/>
      <c r="FXZ44" s="214"/>
      <c r="FYA44" s="214"/>
      <c r="FYB44" s="214"/>
      <c r="FYC44" s="214"/>
      <c r="FYD44" s="214"/>
      <c r="FYE44" s="214"/>
      <c r="FYF44" s="214"/>
      <c r="FYG44" s="214"/>
      <c r="FYH44" s="214"/>
      <c r="FYI44" s="214"/>
      <c r="FYJ44" s="214"/>
      <c r="FYK44" s="214"/>
      <c r="FYL44" s="214"/>
      <c r="FYM44" s="214"/>
      <c r="FYN44" s="214"/>
      <c r="FYO44" s="214"/>
      <c r="FYP44" s="214"/>
      <c r="FYQ44" s="214"/>
      <c r="FYR44" s="214"/>
      <c r="FYS44" s="214"/>
      <c r="FYT44" s="214"/>
      <c r="FYU44" s="214"/>
      <c r="FYV44" s="214"/>
      <c r="FYW44" s="214"/>
      <c r="FYX44" s="214"/>
      <c r="FYY44" s="214"/>
      <c r="FYZ44" s="214"/>
      <c r="FZA44" s="214"/>
      <c r="FZB44" s="214"/>
      <c r="FZC44" s="214"/>
      <c r="FZD44" s="214"/>
      <c r="FZE44" s="214"/>
      <c r="FZF44" s="214"/>
      <c r="FZG44" s="214"/>
      <c r="FZH44" s="214"/>
      <c r="FZI44" s="214"/>
      <c r="FZJ44" s="214"/>
      <c r="FZK44" s="214"/>
      <c r="FZL44" s="214"/>
      <c r="FZM44" s="214"/>
      <c r="FZN44" s="214"/>
      <c r="FZO44" s="214"/>
      <c r="FZP44" s="214"/>
      <c r="FZQ44" s="214"/>
      <c r="FZR44" s="214"/>
      <c r="FZS44" s="214"/>
      <c r="FZT44" s="214"/>
      <c r="FZU44" s="214"/>
      <c r="FZV44" s="214"/>
      <c r="FZW44" s="214"/>
      <c r="FZX44" s="214"/>
      <c r="FZY44" s="214"/>
      <c r="FZZ44" s="214"/>
      <c r="GAA44" s="214"/>
      <c r="GAB44" s="214"/>
      <c r="GAC44" s="214"/>
      <c r="GAD44" s="214"/>
      <c r="GAE44" s="214"/>
      <c r="GAF44" s="214"/>
      <c r="GAG44" s="214"/>
      <c r="GAH44" s="214"/>
      <c r="GAI44" s="214"/>
      <c r="GAJ44" s="214"/>
      <c r="GAK44" s="214"/>
      <c r="GAL44" s="214"/>
      <c r="GAM44" s="214"/>
      <c r="GAN44" s="214"/>
      <c r="GAO44" s="214"/>
      <c r="GAP44" s="214"/>
      <c r="GAQ44" s="214"/>
      <c r="GAR44" s="214"/>
      <c r="GAS44" s="214"/>
      <c r="GAT44" s="214"/>
      <c r="GAU44" s="214"/>
      <c r="GAV44" s="214"/>
      <c r="GAW44" s="214"/>
      <c r="GAX44" s="214"/>
      <c r="GAY44" s="214"/>
      <c r="GAZ44" s="214"/>
      <c r="GBA44" s="214"/>
      <c r="GBB44" s="214"/>
      <c r="GBC44" s="214"/>
      <c r="GBD44" s="214"/>
      <c r="GBE44" s="214"/>
      <c r="GBF44" s="214"/>
      <c r="GBG44" s="214"/>
      <c r="GBH44" s="214"/>
      <c r="GBI44" s="214"/>
      <c r="GBJ44" s="214"/>
      <c r="GBK44" s="214"/>
      <c r="GBL44" s="214"/>
      <c r="GBM44" s="214"/>
      <c r="GBN44" s="214"/>
      <c r="GBO44" s="214"/>
      <c r="GBP44" s="214"/>
      <c r="GBQ44" s="214"/>
      <c r="GBR44" s="214"/>
      <c r="GBS44" s="214"/>
      <c r="GBT44" s="214"/>
      <c r="GBU44" s="214"/>
      <c r="GBV44" s="214"/>
      <c r="GBW44" s="214"/>
      <c r="GBX44" s="214"/>
      <c r="GBY44" s="214"/>
      <c r="GBZ44" s="214"/>
      <c r="GCA44" s="214"/>
      <c r="GCB44" s="214"/>
      <c r="GCC44" s="214"/>
      <c r="GCD44" s="214"/>
      <c r="GCE44" s="214"/>
      <c r="GCF44" s="214"/>
      <c r="GCG44" s="214"/>
      <c r="GCH44" s="214"/>
      <c r="GCI44" s="214"/>
      <c r="GCJ44" s="214"/>
      <c r="GCK44" s="214"/>
      <c r="GCL44" s="214"/>
      <c r="GCM44" s="214"/>
      <c r="GCN44" s="214"/>
      <c r="GCO44" s="214"/>
      <c r="GCP44" s="214"/>
      <c r="GCQ44" s="214"/>
      <c r="GCR44" s="214"/>
      <c r="GCS44" s="214"/>
      <c r="GCT44" s="214"/>
      <c r="GCU44" s="214"/>
      <c r="GCV44" s="214"/>
      <c r="GCW44" s="214"/>
      <c r="GCX44" s="214"/>
      <c r="GCY44" s="214"/>
      <c r="GCZ44" s="214"/>
      <c r="GDA44" s="214"/>
      <c r="GDB44" s="214"/>
      <c r="GDC44" s="214"/>
      <c r="GDD44" s="214"/>
      <c r="GDE44" s="214"/>
      <c r="GDF44" s="214"/>
      <c r="GDG44" s="214"/>
      <c r="GDH44" s="214"/>
      <c r="GDI44" s="214"/>
      <c r="GDJ44" s="214"/>
      <c r="GDK44" s="214"/>
      <c r="GDL44" s="214"/>
      <c r="GDM44" s="214"/>
      <c r="GDN44" s="214"/>
      <c r="GDO44" s="214"/>
      <c r="GDP44" s="214"/>
      <c r="GDQ44" s="214"/>
      <c r="GDR44" s="214"/>
      <c r="GDS44" s="214"/>
      <c r="GDT44" s="214"/>
      <c r="GDU44" s="214"/>
      <c r="GDV44" s="214"/>
      <c r="GDW44" s="214"/>
      <c r="GDX44" s="214"/>
      <c r="GDY44" s="214"/>
      <c r="GDZ44" s="214"/>
      <c r="GEA44" s="214"/>
      <c r="GEB44" s="214"/>
      <c r="GEC44" s="214"/>
      <c r="GED44" s="214"/>
      <c r="GEE44" s="214"/>
      <c r="GEF44" s="214"/>
      <c r="GEG44" s="214"/>
      <c r="GEH44" s="214"/>
      <c r="GEI44" s="214"/>
      <c r="GEJ44" s="214"/>
      <c r="GEK44" s="214"/>
      <c r="GEL44" s="214"/>
      <c r="GEM44" s="214"/>
      <c r="GEN44" s="214"/>
      <c r="GEO44" s="214"/>
      <c r="GEP44" s="214"/>
      <c r="GEQ44" s="214"/>
      <c r="GER44" s="214"/>
      <c r="GES44" s="214"/>
      <c r="GET44" s="214"/>
      <c r="GEU44" s="214"/>
      <c r="GEV44" s="214"/>
      <c r="GEW44" s="214"/>
      <c r="GEX44" s="214"/>
      <c r="GEY44" s="214"/>
      <c r="GEZ44" s="214"/>
      <c r="GFA44" s="214"/>
      <c r="GFB44" s="214"/>
      <c r="GFC44" s="214"/>
      <c r="GFD44" s="214"/>
      <c r="GFE44" s="214"/>
      <c r="GFF44" s="214"/>
      <c r="GFG44" s="214"/>
      <c r="GFH44" s="214"/>
      <c r="GFI44" s="214"/>
      <c r="GFJ44" s="214"/>
      <c r="GFK44" s="214"/>
      <c r="GFL44" s="214"/>
      <c r="GFM44" s="214"/>
      <c r="GFN44" s="214"/>
      <c r="GFO44" s="214"/>
      <c r="GFP44" s="214"/>
      <c r="GFQ44" s="214"/>
      <c r="GFR44" s="214"/>
      <c r="GFS44" s="214"/>
      <c r="GFT44" s="214"/>
      <c r="GFU44" s="214"/>
      <c r="GFV44" s="214"/>
      <c r="GFW44" s="214"/>
      <c r="GFX44" s="214"/>
      <c r="GFY44" s="214"/>
      <c r="GFZ44" s="214"/>
      <c r="GGA44" s="214"/>
      <c r="GGB44" s="214"/>
      <c r="GGC44" s="214"/>
      <c r="GGD44" s="214"/>
      <c r="GGE44" s="214"/>
      <c r="GGF44" s="214"/>
      <c r="GGG44" s="214"/>
      <c r="GGH44" s="214"/>
      <c r="GGI44" s="214"/>
      <c r="GGJ44" s="214"/>
      <c r="GGK44" s="214"/>
      <c r="GGL44" s="214"/>
      <c r="GGM44" s="214"/>
      <c r="GGN44" s="214"/>
      <c r="GGO44" s="214"/>
      <c r="GGP44" s="214"/>
      <c r="GGQ44" s="214"/>
      <c r="GGR44" s="214"/>
      <c r="GGS44" s="214"/>
      <c r="GGT44" s="214"/>
      <c r="GGU44" s="214"/>
      <c r="GGV44" s="214"/>
      <c r="GGW44" s="214"/>
      <c r="GGX44" s="214"/>
      <c r="GGY44" s="214"/>
      <c r="GGZ44" s="214"/>
      <c r="GHA44" s="214"/>
      <c r="GHB44" s="214"/>
      <c r="GHC44" s="214"/>
      <c r="GHD44" s="214"/>
      <c r="GHE44" s="214"/>
      <c r="GHF44" s="214"/>
      <c r="GHG44" s="214"/>
      <c r="GHH44" s="214"/>
      <c r="GHI44" s="214"/>
      <c r="GHJ44" s="214"/>
      <c r="GHK44" s="214"/>
      <c r="GHL44" s="214"/>
      <c r="GHM44" s="214"/>
      <c r="GHN44" s="214"/>
      <c r="GHO44" s="214"/>
      <c r="GHP44" s="214"/>
      <c r="GHQ44" s="214"/>
      <c r="GHR44" s="214"/>
      <c r="GHS44" s="214"/>
      <c r="GHT44" s="214"/>
      <c r="GHU44" s="214"/>
      <c r="GHV44" s="214"/>
      <c r="GHW44" s="214"/>
      <c r="GHX44" s="214"/>
      <c r="GHY44" s="214"/>
      <c r="GHZ44" s="214"/>
      <c r="GIA44" s="214"/>
      <c r="GIB44" s="214"/>
      <c r="GIC44" s="214"/>
      <c r="GID44" s="214"/>
      <c r="GIE44" s="214"/>
      <c r="GIF44" s="214"/>
      <c r="GIG44" s="214"/>
      <c r="GIH44" s="214"/>
      <c r="GII44" s="214"/>
      <c r="GIJ44" s="214"/>
      <c r="GIK44" s="214"/>
      <c r="GIL44" s="214"/>
      <c r="GIM44" s="214"/>
      <c r="GIN44" s="214"/>
      <c r="GIO44" s="214"/>
      <c r="GIP44" s="214"/>
      <c r="GIQ44" s="214"/>
      <c r="GIR44" s="214"/>
      <c r="GIS44" s="214"/>
      <c r="GIT44" s="214"/>
      <c r="GIU44" s="214"/>
      <c r="GIV44" s="214"/>
      <c r="GIW44" s="214"/>
      <c r="GIX44" s="214"/>
      <c r="GIY44" s="214"/>
      <c r="GIZ44" s="214"/>
      <c r="GJA44" s="214"/>
      <c r="GJB44" s="214"/>
      <c r="GJC44" s="214"/>
      <c r="GJD44" s="214"/>
      <c r="GJE44" s="214"/>
      <c r="GJF44" s="214"/>
      <c r="GJG44" s="214"/>
      <c r="GJH44" s="214"/>
      <c r="GJI44" s="214"/>
      <c r="GJJ44" s="214"/>
      <c r="GJK44" s="214"/>
      <c r="GJL44" s="214"/>
      <c r="GJM44" s="214"/>
      <c r="GJN44" s="214"/>
      <c r="GJO44" s="214"/>
      <c r="GJP44" s="214"/>
      <c r="GJQ44" s="214"/>
      <c r="GJR44" s="214"/>
      <c r="GJS44" s="214"/>
      <c r="GJT44" s="214"/>
      <c r="GJU44" s="214"/>
      <c r="GJV44" s="214"/>
      <c r="GJW44" s="214"/>
      <c r="GJX44" s="214"/>
      <c r="GJY44" s="214"/>
      <c r="GJZ44" s="214"/>
      <c r="GKA44" s="214"/>
      <c r="GKB44" s="214"/>
      <c r="GKC44" s="214"/>
      <c r="GKD44" s="214"/>
      <c r="GKE44" s="214"/>
      <c r="GKF44" s="214"/>
      <c r="GKG44" s="214"/>
      <c r="GKH44" s="214"/>
      <c r="GKI44" s="214"/>
      <c r="GKJ44" s="214"/>
      <c r="GKK44" s="214"/>
      <c r="GKL44" s="214"/>
      <c r="GKM44" s="214"/>
      <c r="GKN44" s="214"/>
      <c r="GKO44" s="214"/>
      <c r="GKP44" s="214"/>
      <c r="GKQ44" s="214"/>
      <c r="GKR44" s="214"/>
      <c r="GKS44" s="214"/>
      <c r="GKT44" s="214"/>
      <c r="GKU44" s="214"/>
      <c r="GKV44" s="214"/>
      <c r="GKW44" s="214"/>
      <c r="GKX44" s="214"/>
      <c r="GKY44" s="214"/>
      <c r="GKZ44" s="214"/>
      <c r="GLA44" s="214"/>
      <c r="GLB44" s="214"/>
      <c r="GLC44" s="214"/>
      <c r="GLD44" s="214"/>
      <c r="GLE44" s="214"/>
      <c r="GLF44" s="214"/>
      <c r="GLG44" s="214"/>
      <c r="GLH44" s="214"/>
      <c r="GLI44" s="214"/>
      <c r="GLJ44" s="214"/>
      <c r="GLK44" s="214"/>
      <c r="GLL44" s="214"/>
      <c r="GLM44" s="214"/>
      <c r="GLN44" s="214"/>
      <c r="GLO44" s="214"/>
      <c r="GLP44" s="214"/>
      <c r="GLQ44" s="214"/>
      <c r="GLR44" s="214"/>
      <c r="GLS44" s="214"/>
      <c r="GLT44" s="214"/>
      <c r="GLU44" s="214"/>
      <c r="GLV44" s="214"/>
      <c r="GLW44" s="214"/>
      <c r="GLX44" s="214"/>
      <c r="GLY44" s="214"/>
      <c r="GLZ44" s="214"/>
      <c r="GMA44" s="214"/>
      <c r="GMB44" s="214"/>
      <c r="GMC44" s="214"/>
      <c r="GMD44" s="214"/>
      <c r="GME44" s="214"/>
      <c r="GMF44" s="214"/>
      <c r="GMG44" s="214"/>
      <c r="GMH44" s="214"/>
      <c r="GMI44" s="214"/>
      <c r="GMJ44" s="214"/>
      <c r="GMK44" s="214"/>
      <c r="GML44" s="214"/>
      <c r="GMM44" s="214"/>
      <c r="GMN44" s="214"/>
      <c r="GMO44" s="214"/>
      <c r="GMP44" s="214"/>
      <c r="GMQ44" s="214"/>
      <c r="GMR44" s="214"/>
      <c r="GMS44" s="214"/>
      <c r="GMT44" s="214"/>
      <c r="GMU44" s="214"/>
      <c r="GMV44" s="214"/>
      <c r="GMW44" s="214"/>
      <c r="GMX44" s="214"/>
      <c r="GMY44" s="214"/>
      <c r="GMZ44" s="214"/>
      <c r="GNA44" s="214"/>
      <c r="GNB44" s="214"/>
      <c r="GNC44" s="214"/>
      <c r="GND44" s="214"/>
      <c r="GNE44" s="214"/>
      <c r="GNF44" s="214"/>
      <c r="GNG44" s="214"/>
      <c r="GNH44" s="214"/>
      <c r="GNI44" s="214"/>
      <c r="GNJ44" s="214"/>
      <c r="GNK44" s="214"/>
      <c r="GNL44" s="214"/>
      <c r="GNM44" s="214"/>
      <c r="GNN44" s="214"/>
      <c r="GNO44" s="214"/>
      <c r="GNP44" s="214"/>
      <c r="GNQ44" s="214"/>
      <c r="GNR44" s="214"/>
      <c r="GNS44" s="214"/>
      <c r="GNT44" s="214"/>
      <c r="GNU44" s="214"/>
      <c r="GNV44" s="214"/>
      <c r="GNW44" s="214"/>
      <c r="GNX44" s="214"/>
      <c r="GNY44" s="214"/>
      <c r="GNZ44" s="214"/>
      <c r="GOA44" s="214"/>
      <c r="GOB44" s="214"/>
      <c r="GOC44" s="214"/>
      <c r="GOD44" s="214"/>
      <c r="GOE44" s="214"/>
      <c r="GOF44" s="214"/>
      <c r="GOG44" s="214"/>
      <c r="GOH44" s="214"/>
      <c r="GOI44" s="214"/>
      <c r="GOJ44" s="214"/>
      <c r="GOK44" s="214"/>
      <c r="GOL44" s="214"/>
      <c r="GOM44" s="214"/>
      <c r="GON44" s="214"/>
      <c r="GOO44" s="214"/>
      <c r="GOP44" s="214"/>
      <c r="GOQ44" s="214"/>
      <c r="GOR44" s="214"/>
      <c r="GOS44" s="214"/>
      <c r="GOT44" s="214"/>
      <c r="GOU44" s="214"/>
      <c r="GOV44" s="214"/>
      <c r="GOW44" s="214"/>
      <c r="GOX44" s="214"/>
      <c r="GOY44" s="214"/>
      <c r="GOZ44" s="214"/>
      <c r="GPA44" s="214"/>
      <c r="GPB44" s="214"/>
      <c r="GPC44" s="214"/>
      <c r="GPD44" s="214"/>
      <c r="GPE44" s="214"/>
      <c r="GPF44" s="214"/>
      <c r="GPG44" s="214"/>
      <c r="GPH44" s="214"/>
      <c r="GPI44" s="214"/>
      <c r="GPJ44" s="214"/>
      <c r="GPK44" s="214"/>
      <c r="GPL44" s="214"/>
      <c r="GPM44" s="214"/>
      <c r="GPN44" s="214"/>
      <c r="GPO44" s="214"/>
      <c r="GPP44" s="214"/>
      <c r="GPQ44" s="214"/>
      <c r="GPR44" s="214"/>
      <c r="GPS44" s="214"/>
      <c r="GPT44" s="214"/>
      <c r="GPU44" s="214"/>
      <c r="GPV44" s="214"/>
      <c r="GPW44" s="214"/>
      <c r="GPX44" s="214"/>
      <c r="GPY44" s="214"/>
      <c r="GPZ44" s="214"/>
      <c r="GQA44" s="214"/>
      <c r="GQB44" s="214"/>
      <c r="GQC44" s="214"/>
      <c r="GQD44" s="214"/>
      <c r="GQE44" s="214"/>
      <c r="GQF44" s="214"/>
      <c r="GQG44" s="214"/>
      <c r="GQH44" s="214"/>
      <c r="GQI44" s="214"/>
      <c r="GQJ44" s="214"/>
      <c r="GQK44" s="214"/>
      <c r="GQL44" s="214"/>
      <c r="GQM44" s="214"/>
      <c r="GQN44" s="214"/>
      <c r="GQO44" s="214"/>
      <c r="GQP44" s="214"/>
      <c r="GQQ44" s="214"/>
      <c r="GQR44" s="214"/>
      <c r="GQS44" s="214"/>
      <c r="GQT44" s="214"/>
      <c r="GQU44" s="214"/>
      <c r="GQV44" s="214"/>
      <c r="GQW44" s="214"/>
      <c r="GQX44" s="214"/>
      <c r="GQY44" s="214"/>
      <c r="GQZ44" s="214"/>
      <c r="GRA44" s="214"/>
      <c r="GRB44" s="214"/>
      <c r="GRC44" s="214"/>
      <c r="GRD44" s="214"/>
      <c r="GRE44" s="214"/>
      <c r="GRF44" s="214"/>
      <c r="GRG44" s="214"/>
      <c r="GRH44" s="214"/>
      <c r="GRI44" s="214"/>
      <c r="GRJ44" s="214"/>
      <c r="GRK44" s="214"/>
      <c r="GRL44" s="214"/>
      <c r="GRM44" s="214"/>
      <c r="GRN44" s="214"/>
      <c r="GRO44" s="214"/>
      <c r="GRP44" s="214"/>
      <c r="GRQ44" s="214"/>
      <c r="GRR44" s="214"/>
      <c r="GRS44" s="214"/>
      <c r="GRT44" s="214"/>
      <c r="GRU44" s="214"/>
      <c r="GRV44" s="214"/>
      <c r="GRW44" s="214"/>
      <c r="GRX44" s="214"/>
      <c r="GRY44" s="214"/>
      <c r="GRZ44" s="214"/>
      <c r="GSA44" s="214"/>
      <c r="GSB44" s="214"/>
      <c r="GSC44" s="214"/>
      <c r="GSD44" s="214"/>
      <c r="GSE44" s="214"/>
      <c r="GSF44" s="214"/>
      <c r="GSG44" s="214"/>
      <c r="GSH44" s="214"/>
      <c r="GSI44" s="214"/>
      <c r="GSJ44" s="214"/>
      <c r="GSK44" s="214"/>
      <c r="GSL44" s="214"/>
      <c r="GSM44" s="214"/>
      <c r="GSN44" s="214"/>
      <c r="GSO44" s="214"/>
      <c r="GSP44" s="214"/>
      <c r="GSQ44" s="214"/>
      <c r="GSR44" s="214"/>
      <c r="GSS44" s="214"/>
      <c r="GST44" s="214"/>
      <c r="GSU44" s="214"/>
      <c r="GSV44" s="214"/>
      <c r="GSW44" s="214"/>
      <c r="GSX44" s="214"/>
      <c r="GSY44" s="214"/>
      <c r="GSZ44" s="214"/>
      <c r="GTA44" s="214"/>
      <c r="GTB44" s="214"/>
      <c r="GTC44" s="214"/>
      <c r="GTD44" s="214"/>
      <c r="GTE44" s="214"/>
      <c r="GTF44" s="214"/>
      <c r="GTG44" s="214"/>
      <c r="GTH44" s="214"/>
      <c r="GTI44" s="214"/>
      <c r="GTJ44" s="214"/>
      <c r="GTK44" s="214"/>
      <c r="GTL44" s="214"/>
      <c r="GTM44" s="214"/>
      <c r="GTN44" s="214"/>
      <c r="GTO44" s="214"/>
      <c r="GTP44" s="214"/>
      <c r="GTQ44" s="214"/>
      <c r="GTR44" s="214"/>
      <c r="GTS44" s="214"/>
      <c r="GTT44" s="214"/>
      <c r="GTU44" s="214"/>
      <c r="GTV44" s="214"/>
      <c r="GTW44" s="214"/>
      <c r="GTX44" s="214"/>
      <c r="GTY44" s="214"/>
      <c r="GTZ44" s="214"/>
      <c r="GUA44" s="214"/>
      <c r="GUB44" s="214"/>
      <c r="GUC44" s="214"/>
      <c r="GUD44" s="214"/>
      <c r="GUE44" s="214"/>
      <c r="GUF44" s="214"/>
      <c r="GUG44" s="214"/>
      <c r="GUH44" s="214"/>
      <c r="GUI44" s="214"/>
      <c r="GUJ44" s="214"/>
      <c r="GUK44" s="214"/>
      <c r="GUL44" s="214"/>
      <c r="GUM44" s="214"/>
      <c r="GUN44" s="214"/>
      <c r="GUO44" s="214"/>
      <c r="GUP44" s="214"/>
      <c r="GUQ44" s="214"/>
      <c r="GUR44" s="214"/>
      <c r="GUS44" s="214"/>
      <c r="GUT44" s="214"/>
      <c r="GUU44" s="214"/>
      <c r="GUV44" s="214"/>
      <c r="GUW44" s="214"/>
      <c r="GUX44" s="214"/>
      <c r="GUY44" s="214"/>
      <c r="GUZ44" s="214"/>
      <c r="GVA44" s="214"/>
      <c r="GVB44" s="214"/>
      <c r="GVC44" s="214"/>
      <c r="GVD44" s="214"/>
      <c r="GVE44" s="214"/>
      <c r="GVF44" s="214"/>
      <c r="GVG44" s="214"/>
      <c r="GVH44" s="214"/>
      <c r="GVI44" s="214"/>
      <c r="GVJ44" s="214"/>
      <c r="GVK44" s="214"/>
      <c r="GVL44" s="214"/>
      <c r="GVM44" s="214"/>
      <c r="GVN44" s="214"/>
      <c r="GVO44" s="214"/>
      <c r="GVP44" s="214"/>
      <c r="GVQ44" s="214"/>
      <c r="GVR44" s="214"/>
      <c r="GVS44" s="214"/>
      <c r="GVT44" s="214"/>
      <c r="GVU44" s="214"/>
      <c r="GVV44" s="214"/>
      <c r="GVW44" s="214"/>
      <c r="GVX44" s="214"/>
      <c r="GVY44" s="214"/>
      <c r="GVZ44" s="214"/>
      <c r="GWA44" s="214"/>
      <c r="GWB44" s="214"/>
      <c r="GWC44" s="214"/>
      <c r="GWD44" s="214"/>
      <c r="GWE44" s="214"/>
      <c r="GWF44" s="214"/>
      <c r="GWG44" s="214"/>
      <c r="GWH44" s="214"/>
      <c r="GWI44" s="214"/>
      <c r="GWJ44" s="214"/>
      <c r="GWK44" s="214"/>
      <c r="GWL44" s="214"/>
      <c r="GWM44" s="214"/>
      <c r="GWN44" s="214"/>
      <c r="GWO44" s="214"/>
      <c r="GWP44" s="214"/>
      <c r="GWQ44" s="214"/>
      <c r="GWR44" s="214"/>
      <c r="GWS44" s="214"/>
      <c r="GWT44" s="214"/>
      <c r="GWU44" s="214"/>
      <c r="GWV44" s="214"/>
      <c r="GWW44" s="214"/>
      <c r="GWX44" s="214"/>
      <c r="GWY44" s="214"/>
      <c r="GWZ44" s="214"/>
      <c r="GXA44" s="214"/>
      <c r="GXB44" s="214"/>
      <c r="GXC44" s="214"/>
      <c r="GXD44" s="214"/>
      <c r="GXE44" s="214"/>
      <c r="GXF44" s="214"/>
      <c r="GXG44" s="214"/>
      <c r="GXH44" s="214"/>
      <c r="GXI44" s="214"/>
      <c r="GXJ44" s="214"/>
      <c r="GXK44" s="214"/>
      <c r="GXL44" s="214"/>
      <c r="GXM44" s="214"/>
      <c r="GXN44" s="214"/>
      <c r="GXO44" s="214"/>
      <c r="GXP44" s="214"/>
      <c r="GXQ44" s="214"/>
      <c r="GXR44" s="214"/>
      <c r="GXS44" s="214"/>
      <c r="GXT44" s="214"/>
      <c r="GXU44" s="214"/>
      <c r="GXV44" s="214"/>
      <c r="GXW44" s="214"/>
      <c r="GXX44" s="214"/>
      <c r="GXY44" s="214"/>
      <c r="GXZ44" s="214"/>
      <c r="GYA44" s="214"/>
      <c r="GYB44" s="214"/>
      <c r="GYC44" s="214"/>
      <c r="GYD44" s="214"/>
      <c r="GYE44" s="214"/>
      <c r="GYF44" s="214"/>
      <c r="GYG44" s="214"/>
      <c r="GYH44" s="214"/>
      <c r="GYI44" s="214"/>
      <c r="GYJ44" s="214"/>
      <c r="GYK44" s="214"/>
      <c r="GYL44" s="214"/>
      <c r="GYM44" s="214"/>
      <c r="GYN44" s="214"/>
      <c r="GYO44" s="214"/>
      <c r="GYP44" s="214"/>
      <c r="GYQ44" s="214"/>
      <c r="GYR44" s="214"/>
      <c r="GYS44" s="214"/>
      <c r="GYT44" s="214"/>
      <c r="GYU44" s="214"/>
      <c r="GYV44" s="214"/>
      <c r="GYW44" s="214"/>
      <c r="GYX44" s="214"/>
      <c r="GYY44" s="214"/>
      <c r="GYZ44" s="214"/>
      <c r="GZA44" s="214"/>
      <c r="GZB44" s="214"/>
      <c r="GZC44" s="214"/>
      <c r="GZD44" s="214"/>
      <c r="GZE44" s="214"/>
      <c r="GZF44" s="214"/>
      <c r="GZG44" s="214"/>
      <c r="GZH44" s="214"/>
      <c r="GZI44" s="214"/>
      <c r="GZJ44" s="214"/>
      <c r="GZK44" s="214"/>
      <c r="GZL44" s="214"/>
      <c r="GZM44" s="214"/>
      <c r="GZN44" s="214"/>
      <c r="GZO44" s="214"/>
      <c r="GZP44" s="214"/>
      <c r="GZQ44" s="214"/>
      <c r="GZR44" s="214"/>
      <c r="GZS44" s="214"/>
      <c r="GZT44" s="214"/>
      <c r="GZU44" s="214"/>
      <c r="GZV44" s="214"/>
      <c r="GZW44" s="214"/>
      <c r="GZX44" s="214"/>
      <c r="GZY44" s="214"/>
      <c r="GZZ44" s="214"/>
      <c r="HAA44" s="214"/>
      <c r="HAB44" s="214"/>
      <c r="HAC44" s="214"/>
      <c r="HAD44" s="214"/>
      <c r="HAE44" s="214"/>
      <c r="HAF44" s="214"/>
      <c r="HAG44" s="214"/>
      <c r="HAH44" s="214"/>
      <c r="HAI44" s="214"/>
      <c r="HAJ44" s="214"/>
      <c r="HAK44" s="214"/>
      <c r="HAL44" s="214"/>
      <c r="HAM44" s="214"/>
      <c r="HAN44" s="214"/>
      <c r="HAO44" s="214"/>
      <c r="HAP44" s="214"/>
      <c r="HAQ44" s="214"/>
      <c r="HAR44" s="214"/>
      <c r="HAS44" s="214"/>
      <c r="HAT44" s="214"/>
      <c r="HAU44" s="214"/>
      <c r="HAV44" s="214"/>
      <c r="HAW44" s="214"/>
      <c r="HAX44" s="214"/>
      <c r="HAY44" s="214"/>
      <c r="HAZ44" s="214"/>
      <c r="HBA44" s="214"/>
      <c r="HBB44" s="214"/>
      <c r="HBC44" s="214"/>
      <c r="HBD44" s="214"/>
      <c r="HBE44" s="214"/>
      <c r="HBF44" s="214"/>
      <c r="HBG44" s="214"/>
      <c r="HBH44" s="214"/>
      <c r="HBI44" s="214"/>
      <c r="HBJ44" s="214"/>
      <c r="HBK44" s="214"/>
      <c r="HBL44" s="214"/>
      <c r="HBM44" s="214"/>
      <c r="HBN44" s="214"/>
      <c r="HBO44" s="214"/>
      <c r="HBP44" s="214"/>
      <c r="HBQ44" s="214"/>
      <c r="HBR44" s="214"/>
      <c r="HBS44" s="214"/>
      <c r="HBT44" s="214"/>
      <c r="HBU44" s="214"/>
      <c r="HBV44" s="214"/>
      <c r="HBW44" s="214"/>
      <c r="HBX44" s="214"/>
      <c r="HBY44" s="214"/>
      <c r="HBZ44" s="214"/>
      <c r="HCA44" s="214"/>
      <c r="HCB44" s="214"/>
      <c r="HCC44" s="214"/>
      <c r="HCD44" s="214"/>
      <c r="HCE44" s="214"/>
      <c r="HCF44" s="214"/>
      <c r="HCG44" s="214"/>
      <c r="HCH44" s="214"/>
      <c r="HCI44" s="214"/>
      <c r="HCJ44" s="214"/>
      <c r="HCK44" s="214"/>
      <c r="HCL44" s="214"/>
      <c r="HCM44" s="214"/>
      <c r="HCN44" s="214"/>
      <c r="HCO44" s="214"/>
      <c r="HCP44" s="214"/>
      <c r="HCQ44" s="214"/>
      <c r="HCR44" s="214"/>
      <c r="HCS44" s="214"/>
      <c r="HCT44" s="214"/>
      <c r="HCU44" s="214"/>
      <c r="HCV44" s="214"/>
      <c r="HCW44" s="214"/>
      <c r="HCX44" s="214"/>
      <c r="HCY44" s="214"/>
      <c r="HCZ44" s="214"/>
      <c r="HDA44" s="214"/>
      <c r="HDB44" s="214"/>
      <c r="HDC44" s="214"/>
      <c r="HDD44" s="214"/>
      <c r="HDE44" s="214"/>
      <c r="HDF44" s="214"/>
      <c r="HDG44" s="214"/>
      <c r="HDH44" s="214"/>
      <c r="HDI44" s="214"/>
      <c r="HDJ44" s="214"/>
      <c r="HDK44" s="214"/>
      <c r="HDL44" s="214"/>
      <c r="HDM44" s="214"/>
      <c r="HDN44" s="214"/>
      <c r="HDO44" s="214"/>
      <c r="HDP44" s="214"/>
      <c r="HDQ44" s="214"/>
      <c r="HDR44" s="214"/>
      <c r="HDS44" s="214"/>
      <c r="HDT44" s="214"/>
      <c r="HDU44" s="214"/>
      <c r="HDV44" s="214"/>
      <c r="HDW44" s="214"/>
      <c r="HDX44" s="214"/>
      <c r="HDY44" s="214"/>
      <c r="HDZ44" s="214"/>
      <c r="HEA44" s="214"/>
      <c r="HEB44" s="214"/>
      <c r="HEC44" s="214"/>
      <c r="HED44" s="214"/>
      <c r="HEE44" s="214"/>
      <c r="HEF44" s="214"/>
      <c r="HEG44" s="214"/>
      <c r="HEH44" s="214"/>
      <c r="HEI44" s="214"/>
      <c r="HEJ44" s="214"/>
      <c r="HEK44" s="214"/>
      <c r="HEL44" s="214"/>
      <c r="HEM44" s="214"/>
      <c r="HEN44" s="214"/>
      <c r="HEO44" s="214"/>
      <c r="HEP44" s="214"/>
      <c r="HEQ44" s="214"/>
      <c r="HER44" s="214"/>
      <c r="HES44" s="214"/>
      <c r="HET44" s="214"/>
      <c r="HEU44" s="214"/>
      <c r="HEV44" s="214"/>
      <c r="HEW44" s="214"/>
      <c r="HEX44" s="214"/>
      <c r="HEY44" s="214"/>
      <c r="HEZ44" s="214"/>
      <c r="HFA44" s="214"/>
      <c r="HFB44" s="214"/>
      <c r="HFC44" s="214"/>
      <c r="HFD44" s="214"/>
      <c r="HFE44" s="214"/>
      <c r="HFF44" s="214"/>
      <c r="HFG44" s="214"/>
      <c r="HFH44" s="214"/>
      <c r="HFI44" s="214"/>
      <c r="HFJ44" s="214"/>
      <c r="HFK44" s="214"/>
      <c r="HFL44" s="214"/>
      <c r="HFM44" s="214"/>
      <c r="HFN44" s="214"/>
      <c r="HFO44" s="214"/>
      <c r="HFP44" s="214"/>
      <c r="HFQ44" s="214"/>
      <c r="HFR44" s="214"/>
      <c r="HFS44" s="214"/>
      <c r="HFT44" s="214"/>
      <c r="HFU44" s="214"/>
      <c r="HFV44" s="214"/>
      <c r="HFW44" s="214"/>
      <c r="HFX44" s="214"/>
      <c r="HFY44" s="214"/>
      <c r="HFZ44" s="214"/>
      <c r="HGA44" s="214"/>
      <c r="HGB44" s="214"/>
      <c r="HGC44" s="214"/>
      <c r="HGD44" s="214"/>
      <c r="HGE44" s="214"/>
      <c r="HGF44" s="214"/>
      <c r="HGG44" s="214"/>
      <c r="HGH44" s="214"/>
      <c r="HGI44" s="214"/>
      <c r="HGJ44" s="214"/>
      <c r="HGK44" s="214"/>
      <c r="HGL44" s="214"/>
      <c r="HGM44" s="214"/>
      <c r="HGN44" s="214"/>
      <c r="HGO44" s="214"/>
      <c r="HGP44" s="214"/>
      <c r="HGQ44" s="214"/>
      <c r="HGR44" s="214"/>
      <c r="HGS44" s="214"/>
      <c r="HGT44" s="214"/>
      <c r="HGU44" s="214"/>
      <c r="HGV44" s="214"/>
      <c r="HGW44" s="214"/>
      <c r="HGX44" s="214"/>
      <c r="HGY44" s="214"/>
      <c r="HGZ44" s="214"/>
      <c r="HHA44" s="214"/>
      <c r="HHB44" s="214"/>
      <c r="HHC44" s="214"/>
      <c r="HHD44" s="214"/>
      <c r="HHE44" s="214"/>
      <c r="HHF44" s="214"/>
      <c r="HHG44" s="214"/>
      <c r="HHH44" s="214"/>
      <c r="HHI44" s="214"/>
      <c r="HHJ44" s="214"/>
      <c r="HHK44" s="214"/>
      <c r="HHL44" s="214"/>
      <c r="HHM44" s="214"/>
      <c r="HHN44" s="214"/>
      <c r="HHO44" s="214"/>
      <c r="HHP44" s="214"/>
      <c r="HHQ44" s="214"/>
      <c r="HHR44" s="214"/>
      <c r="HHS44" s="214"/>
      <c r="HHT44" s="214"/>
      <c r="HHU44" s="214"/>
      <c r="HHV44" s="214"/>
      <c r="HHW44" s="214"/>
      <c r="HHX44" s="214"/>
      <c r="HHY44" s="214"/>
      <c r="HHZ44" s="214"/>
      <c r="HIA44" s="214"/>
      <c r="HIB44" s="214"/>
      <c r="HIC44" s="214"/>
      <c r="HID44" s="214"/>
      <c r="HIE44" s="214"/>
      <c r="HIF44" s="214"/>
      <c r="HIG44" s="214"/>
      <c r="HIH44" s="214"/>
      <c r="HII44" s="214"/>
      <c r="HIJ44" s="214"/>
      <c r="HIK44" s="214"/>
      <c r="HIL44" s="214"/>
      <c r="HIM44" s="214"/>
      <c r="HIN44" s="214"/>
      <c r="HIO44" s="214"/>
      <c r="HIP44" s="214"/>
      <c r="HIQ44" s="214"/>
      <c r="HIR44" s="214"/>
      <c r="HIS44" s="214"/>
      <c r="HIT44" s="214"/>
      <c r="HIU44" s="214"/>
      <c r="HIV44" s="214"/>
      <c r="HIW44" s="214"/>
      <c r="HIX44" s="214"/>
      <c r="HIY44" s="214"/>
      <c r="HIZ44" s="214"/>
      <c r="HJA44" s="214"/>
      <c r="HJB44" s="214"/>
      <c r="HJC44" s="214"/>
      <c r="HJD44" s="214"/>
      <c r="HJE44" s="214"/>
      <c r="HJF44" s="214"/>
      <c r="HJG44" s="214"/>
      <c r="HJH44" s="214"/>
      <c r="HJI44" s="214"/>
      <c r="HJJ44" s="214"/>
      <c r="HJK44" s="214"/>
      <c r="HJL44" s="214"/>
      <c r="HJM44" s="214"/>
      <c r="HJN44" s="214"/>
      <c r="HJO44" s="214"/>
      <c r="HJP44" s="214"/>
      <c r="HJQ44" s="214"/>
      <c r="HJR44" s="214"/>
      <c r="HJS44" s="214"/>
      <c r="HJT44" s="214"/>
      <c r="HJU44" s="214"/>
      <c r="HJV44" s="214"/>
      <c r="HJW44" s="214"/>
      <c r="HJX44" s="214"/>
      <c r="HJY44" s="214"/>
      <c r="HJZ44" s="214"/>
      <c r="HKA44" s="214"/>
      <c r="HKB44" s="214"/>
      <c r="HKC44" s="214"/>
      <c r="HKD44" s="214"/>
      <c r="HKE44" s="214"/>
      <c r="HKF44" s="214"/>
      <c r="HKG44" s="214"/>
      <c r="HKH44" s="214"/>
      <c r="HKI44" s="214"/>
      <c r="HKJ44" s="214"/>
      <c r="HKK44" s="214"/>
      <c r="HKL44" s="214"/>
      <c r="HKM44" s="214"/>
      <c r="HKN44" s="214"/>
      <c r="HKO44" s="214"/>
      <c r="HKP44" s="214"/>
      <c r="HKQ44" s="214"/>
      <c r="HKR44" s="214"/>
      <c r="HKS44" s="214"/>
      <c r="HKT44" s="214"/>
      <c r="HKU44" s="214"/>
      <c r="HKV44" s="214"/>
      <c r="HKW44" s="214"/>
      <c r="HKX44" s="214"/>
      <c r="HKY44" s="214"/>
      <c r="HKZ44" s="214"/>
      <c r="HLA44" s="214"/>
      <c r="HLB44" s="214"/>
      <c r="HLC44" s="214"/>
      <c r="HLD44" s="214"/>
      <c r="HLE44" s="214"/>
      <c r="HLF44" s="214"/>
      <c r="HLG44" s="214"/>
      <c r="HLH44" s="214"/>
      <c r="HLI44" s="214"/>
      <c r="HLJ44" s="214"/>
      <c r="HLK44" s="214"/>
      <c r="HLL44" s="214"/>
      <c r="HLM44" s="214"/>
      <c r="HLN44" s="214"/>
      <c r="HLO44" s="214"/>
      <c r="HLP44" s="214"/>
      <c r="HLQ44" s="214"/>
      <c r="HLR44" s="214"/>
      <c r="HLS44" s="214"/>
      <c r="HLT44" s="214"/>
      <c r="HLU44" s="214"/>
      <c r="HLV44" s="214"/>
      <c r="HLW44" s="214"/>
      <c r="HLX44" s="214"/>
      <c r="HLY44" s="214"/>
      <c r="HLZ44" s="214"/>
      <c r="HMA44" s="214"/>
      <c r="HMB44" s="214"/>
      <c r="HMC44" s="214"/>
      <c r="HMD44" s="214"/>
      <c r="HME44" s="214"/>
      <c r="HMF44" s="214"/>
      <c r="HMG44" s="214"/>
      <c r="HMH44" s="214"/>
      <c r="HMI44" s="214"/>
      <c r="HMJ44" s="214"/>
      <c r="HMK44" s="214"/>
      <c r="HML44" s="214"/>
      <c r="HMM44" s="214"/>
      <c r="HMN44" s="214"/>
      <c r="HMO44" s="214"/>
      <c r="HMP44" s="214"/>
      <c r="HMQ44" s="214"/>
      <c r="HMR44" s="214"/>
      <c r="HMS44" s="214"/>
      <c r="HMT44" s="214"/>
      <c r="HMU44" s="214"/>
      <c r="HMV44" s="214"/>
      <c r="HMW44" s="214"/>
      <c r="HMX44" s="214"/>
      <c r="HMY44" s="214"/>
      <c r="HMZ44" s="214"/>
      <c r="HNA44" s="214"/>
      <c r="HNB44" s="214"/>
      <c r="HNC44" s="214"/>
      <c r="HND44" s="214"/>
      <c r="HNE44" s="214"/>
      <c r="HNF44" s="214"/>
      <c r="HNG44" s="214"/>
      <c r="HNH44" s="214"/>
      <c r="HNI44" s="214"/>
      <c r="HNJ44" s="214"/>
      <c r="HNK44" s="214"/>
      <c r="HNL44" s="214"/>
      <c r="HNM44" s="214"/>
      <c r="HNN44" s="214"/>
      <c r="HNO44" s="214"/>
      <c r="HNP44" s="214"/>
      <c r="HNQ44" s="214"/>
      <c r="HNR44" s="214"/>
      <c r="HNS44" s="214"/>
      <c r="HNT44" s="214"/>
      <c r="HNU44" s="214"/>
      <c r="HNV44" s="214"/>
      <c r="HNW44" s="214"/>
      <c r="HNX44" s="214"/>
      <c r="HNY44" s="214"/>
      <c r="HNZ44" s="214"/>
      <c r="HOA44" s="214"/>
      <c r="HOB44" s="214"/>
      <c r="HOC44" s="214"/>
      <c r="HOD44" s="214"/>
      <c r="HOE44" s="214"/>
      <c r="HOF44" s="214"/>
      <c r="HOG44" s="214"/>
      <c r="HOH44" s="214"/>
      <c r="HOI44" s="214"/>
      <c r="HOJ44" s="214"/>
      <c r="HOK44" s="214"/>
      <c r="HOL44" s="214"/>
      <c r="HOM44" s="214"/>
      <c r="HON44" s="214"/>
      <c r="HOO44" s="214"/>
      <c r="HOP44" s="214"/>
      <c r="HOQ44" s="214"/>
      <c r="HOR44" s="214"/>
      <c r="HOS44" s="214"/>
      <c r="HOT44" s="214"/>
      <c r="HOU44" s="214"/>
      <c r="HOV44" s="214"/>
      <c r="HOW44" s="214"/>
      <c r="HOX44" s="214"/>
      <c r="HOY44" s="214"/>
      <c r="HOZ44" s="214"/>
      <c r="HPA44" s="214"/>
      <c r="HPB44" s="214"/>
      <c r="HPC44" s="214"/>
      <c r="HPD44" s="214"/>
      <c r="HPE44" s="214"/>
      <c r="HPF44" s="214"/>
      <c r="HPG44" s="214"/>
      <c r="HPH44" s="214"/>
      <c r="HPI44" s="214"/>
      <c r="HPJ44" s="214"/>
      <c r="HPK44" s="214"/>
      <c r="HPL44" s="214"/>
      <c r="HPM44" s="214"/>
      <c r="HPN44" s="214"/>
      <c r="HPO44" s="214"/>
      <c r="HPP44" s="214"/>
      <c r="HPQ44" s="214"/>
      <c r="HPR44" s="214"/>
      <c r="HPS44" s="214"/>
      <c r="HPT44" s="214"/>
      <c r="HPU44" s="214"/>
      <c r="HPV44" s="214"/>
      <c r="HPW44" s="214"/>
      <c r="HPX44" s="214"/>
      <c r="HPY44" s="214"/>
      <c r="HPZ44" s="214"/>
      <c r="HQA44" s="214"/>
      <c r="HQB44" s="214"/>
      <c r="HQC44" s="214"/>
      <c r="HQD44" s="214"/>
      <c r="HQE44" s="214"/>
      <c r="HQF44" s="214"/>
      <c r="HQG44" s="214"/>
      <c r="HQH44" s="214"/>
      <c r="HQI44" s="214"/>
      <c r="HQJ44" s="214"/>
      <c r="HQK44" s="214"/>
      <c r="HQL44" s="214"/>
      <c r="HQM44" s="214"/>
      <c r="HQN44" s="214"/>
      <c r="HQO44" s="214"/>
      <c r="HQP44" s="214"/>
      <c r="HQQ44" s="214"/>
      <c r="HQR44" s="214"/>
      <c r="HQS44" s="214"/>
      <c r="HQT44" s="214"/>
      <c r="HQU44" s="214"/>
      <c r="HQV44" s="214"/>
      <c r="HQW44" s="214"/>
      <c r="HQX44" s="214"/>
      <c r="HQY44" s="214"/>
      <c r="HQZ44" s="214"/>
      <c r="HRA44" s="214"/>
      <c r="HRB44" s="214"/>
      <c r="HRC44" s="214"/>
      <c r="HRD44" s="214"/>
      <c r="HRE44" s="214"/>
      <c r="HRF44" s="214"/>
      <c r="HRG44" s="214"/>
      <c r="HRH44" s="214"/>
      <c r="HRI44" s="214"/>
      <c r="HRJ44" s="214"/>
      <c r="HRK44" s="214"/>
      <c r="HRL44" s="214"/>
      <c r="HRM44" s="214"/>
      <c r="HRN44" s="214"/>
      <c r="HRO44" s="214"/>
      <c r="HRP44" s="214"/>
      <c r="HRQ44" s="214"/>
      <c r="HRR44" s="214"/>
      <c r="HRS44" s="214"/>
      <c r="HRT44" s="214"/>
      <c r="HRU44" s="214"/>
      <c r="HRV44" s="214"/>
      <c r="HRW44" s="214"/>
      <c r="HRX44" s="214"/>
      <c r="HRY44" s="214"/>
      <c r="HRZ44" s="214"/>
      <c r="HSA44" s="214"/>
      <c r="HSB44" s="214"/>
      <c r="HSC44" s="214"/>
      <c r="HSD44" s="214"/>
      <c r="HSE44" s="214"/>
      <c r="HSF44" s="214"/>
      <c r="HSG44" s="214"/>
      <c r="HSH44" s="214"/>
      <c r="HSI44" s="214"/>
      <c r="HSJ44" s="214"/>
      <c r="HSK44" s="214"/>
      <c r="HSL44" s="214"/>
      <c r="HSM44" s="214"/>
      <c r="HSN44" s="214"/>
      <c r="HSO44" s="214"/>
      <c r="HSP44" s="214"/>
      <c r="HSQ44" s="214"/>
      <c r="HSR44" s="214"/>
      <c r="HSS44" s="214"/>
      <c r="HST44" s="214"/>
      <c r="HSU44" s="214"/>
      <c r="HSV44" s="214"/>
      <c r="HSW44" s="214"/>
      <c r="HSX44" s="214"/>
      <c r="HSY44" s="214"/>
      <c r="HSZ44" s="214"/>
      <c r="HTA44" s="214"/>
      <c r="HTB44" s="214"/>
      <c r="HTC44" s="214"/>
      <c r="HTD44" s="214"/>
      <c r="HTE44" s="214"/>
      <c r="HTF44" s="214"/>
      <c r="HTG44" s="214"/>
      <c r="HTH44" s="214"/>
      <c r="HTI44" s="214"/>
      <c r="HTJ44" s="214"/>
      <c r="HTK44" s="214"/>
      <c r="HTL44" s="214"/>
      <c r="HTM44" s="214"/>
      <c r="HTN44" s="214"/>
      <c r="HTO44" s="214"/>
      <c r="HTP44" s="214"/>
      <c r="HTQ44" s="214"/>
      <c r="HTR44" s="214"/>
      <c r="HTS44" s="214"/>
      <c r="HTT44" s="214"/>
      <c r="HTU44" s="214"/>
      <c r="HTV44" s="214"/>
      <c r="HTW44" s="214"/>
      <c r="HTX44" s="214"/>
      <c r="HTY44" s="214"/>
      <c r="HTZ44" s="214"/>
      <c r="HUA44" s="214"/>
      <c r="HUB44" s="214"/>
      <c r="HUC44" s="214"/>
      <c r="HUD44" s="214"/>
      <c r="HUE44" s="214"/>
      <c r="HUF44" s="214"/>
      <c r="HUG44" s="214"/>
      <c r="HUH44" s="214"/>
      <c r="HUI44" s="214"/>
      <c r="HUJ44" s="214"/>
      <c r="HUK44" s="214"/>
      <c r="HUL44" s="214"/>
      <c r="HUM44" s="214"/>
      <c r="HUN44" s="214"/>
      <c r="HUO44" s="214"/>
      <c r="HUP44" s="214"/>
      <c r="HUQ44" s="214"/>
      <c r="HUR44" s="214"/>
      <c r="HUS44" s="214"/>
      <c r="HUT44" s="214"/>
      <c r="HUU44" s="214"/>
      <c r="HUV44" s="214"/>
      <c r="HUW44" s="214"/>
      <c r="HUX44" s="214"/>
      <c r="HUY44" s="214"/>
      <c r="HUZ44" s="214"/>
      <c r="HVA44" s="214"/>
      <c r="HVB44" s="214"/>
      <c r="HVC44" s="214"/>
      <c r="HVD44" s="214"/>
      <c r="HVE44" s="214"/>
      <c r="HVF44" s="214"/>
      <c r="HVG44" s="214"/>
      <c r="HVH44" s="214"/>
      <c r="HVI44" s="214"/>
      <c r="HVJ44" s="214"/>
      <c r="HVK44" s="214"/>
      <c r="HVL44" s="214"/>
      <c r="HVM44" s="214"/>
      <c r="HVN44" s="214"/>
      <c r="HVO44" s="214"/>
      <c r="HVP44" s="214"/>
      <c r="HVQ44" s="214"/>
      <c r="HVR44" s="214"/>
      <c r="HVS44" s="214"/>
      <c r="HVT44" s="214"/>
      <c r="HVU44" s="214"/>
      <c r="HVV44" s="214"/>
      <c r="HVW44" s="214"/>
      <c r="HVX44" s="214"/>
      <c r="HVY44" s="214"/>
      <c r="HVZ44" s="214"/>
      <c r="HWA44" s="214"/>
      <c r="HWB44" s="214"/>
      <c r="HWC44" s="214"/>
      <c r="HWD44" s="214"/>
      <c r="HWE44" s="214"/>
      <c r="HWF44" s="214"/>
      <c r="HWG44" s="214"/>
      <c r="HWH44" s="214"/>
      <c r="HWI44" s="214"/>
      <c r="HWJ44" s="214"/>
      <c r="HWK44" s="214"/>
      <c r="HWL44" s="214"/>
      <c r="HWM44" s="214"/>
      <c r="HWN44" s="214"/>
      <c r="HWO44" s="214"/>
      <c r="HWP44" s="214"/>
      <c r="HWQ44" s="214"/>
      <c r="HWR44" s="214"/>
      <c r="HWS44" s="214"/>
      <c r="HWT44" s="214"/>
      <c r="HWU44" s="214"/>
      <c r="HWV44" s="214"/>
      <c r="HWW44" s="214"/>
      <c r="HWX44" s="214"/>
      <c r="HWY44" s="214"/>
      <c r="HWZ44" s="214"/>
      <c r="HXA44" s="214"/>
      <c r="HXB44" s="214"/>
      <c r="HXC44" s="214"/>
      <c r="HXD44" s="214"/>
      <c r="HXE44" s="214"/>
      <c r="HXF44" s="214"/>
      <c r="HXG44" s="214"/>
      <c r="HXH44" s="214"/>
      <c r="HXI44" s="214"/>
      <c r="HXJ44" s="214"/>
      <c r="HXK44" s="214"/>
      <c r="HXL44" s="214"/>
      <c r="HXM44" s="214"/>
      <c r="HXN44" s="214"/>
      <c r="HXO44" s="214"/>
      <c r="HXP44" s="214"/>
      <c r="HXQ44" s="214"/>
      <c r="HXR44" s="214"/>
      <c r="HXS44" s="214"/>
      <c r="HXT44" s="214"/>
      <c r="HXU44" s="214"/>
      <c r="HXV44" s="214"/>
      <c r="HXW44" s="214"/>
      <c r="HXX44" s="214"/>
      <c r="HXY44" s="214"/>
      <c r="HXZ44" s="214"/>
      <c r="HYA44" s="214"/>
      <c r="HYB44" s="214"/>
      <c r="HYC44" s="214"/>
      <c r="HYD44" s="214"/>
      <c r="HYE44" s="214"/>
      <c r="HYF44" s="214"/>
      <c r="HYG44" s="214"/>
      <c r="HYH44" s="214"/>
      <c r="HYI44" s="214"/>
      <c r="HYJ44" s="214"/>
      <c r="HYK44" s="214"/>
      <c r="HYL44" s="214"/>
      <c r="HYM44" s="214"/>
      <c r="HYN44" s="214"/>
      <c r="HYO44" s="214"/>
      <c r="HYP44" s="214"/>
      <c r="HYQ44" s="214"/>
      <c r="HYR44" s="214"/>
      <c r="HYS44" s="214"/>
      <c r="HYT44" s="214"/>
      <c r="HYU44" s="214"/>
      <c r="HYV44" s="214"/>
      <c r="HYW44" s="214"/>
      <c r="HYX44" s="214"/>
      <c r="HYY44" s="214"/>
      <c r="HYZ44" s="214"/>
      <c r="HZA44" s="214"/>
      <c r="HZB44" s="214"/>
      <c r="HZC44" s="214"/>
      <c r="HZD44" s="214"/>
      <c r="HZE44" s="214"/>
      <c r="HZF44" s="214"/>
      <c r="HZG44" s="214"/>
      <c r="HZH44" s="214"/>
      <c r="HZI44" s="214"/>
      <c r="HZJ44" s="214"/>
      <c r="HZK44" s="214"/>
      <c r="HZL44" s="214"/>
      <c r="HZM44" s="214"/>
      <c r="HZN44" s="214"/>
      <c r="HZO44" s="214"/>
      <c r="HZP44" s="214"/>
      <c r="HZQ44" s="214"/>
      <c r="HZR44" s="214"/>
      <c r="HZS44" s="214"/>
      <c r="HZT44" s="214"/>
      <c r="HZU44" s="214"/>
      <c r="HZV44" s="214"/>
      <c r="HZW44" s="214"/>
      <c r="HZX44" s="214"/>
      <c r="HZY44" s="214"/>
      <c r="HZZ44" s="214"/>
      <c r="IAA44" s="214"/>
      <c r="IAB44" s="214"/>
      <c r="IAC44" s="214"/>
      <c r="IAD44" s="214"/>
      <c r="IAE44" s="214"/>
      <c r="IAF44" s="214"/>
      <c r="IAG44" s="214"/>
      <c r="IAH44" s="214"/>
      <c r="IAI44" s="214"/>
      <c r="IAJ44" s="214"/>
      <c r="IAK44" s="214"/>
      <c r="IAL44" s="214"/>
      <c r="IAM44" s="214"/>
      <c r="IAN44" s="214"/>
      <c r="IAO44" s="214"/>
      <c r="IAP44" s="214"/>
      <c r="IAQ44" s="214"/>
      <c r="IAR44" s="214"/>
      <c r="IAS44" s="214"/>
      <c r="IAT44" s="214"/>
      <c r="IAU44" s="214"/>
      <c r="IAV44" s="214"/>
      <c r="IAW44" s="214"/>
      <c r="IAX44" s="214"/>
      <c r="IAY44" s="214"/>
      <c r="IAZ44" s="214"/>
      <c r="IBA44" s="214"/>
      <c r="IBB44" s="214"/>
      <c r="IBC44" s="214"/>
      <c r="IBD44" s="214"/>
      <c r="IBE44" s="214"/>
      <c r="IBF44" s="214"/>
      <c r="IBG44" s="214"/>
      <c r="IBH44" s="214"/>
      <c r="IBI44" s="214"/>
      <c r="IBJ44" s="214"/>
      <c r="IBK44" s="214"/>
      <c r="IBL44" s="214"/>
      <c r="IBM44" s="214"/>
      <c r="IBN44" s="214"/>
      <c r="IBO44" s="214"/>
      <c r="IBP44" s="214"/>
      <c r="IBQ44" s="214"/>
      <c r="IBR44" s="214"/>
      <c r="IBS44" s="214"/>
      <c r="IBT44" s="214"/>
      <c r="IBU44" s="214"/>
      <c r="IBV44" s="214"/>
      <c r="IBW44" s="214"/>
      <c r="IBX44" s="214"/>
      <c r="IBY44" s="214"/>
      <c r="IBZ44" s="214"/>
      <c r="ICA44" s="214"/>
      <c r="ICB44" s="214"/>
      <c r="ICC44" s="214"/>
      <c r="ICD44" s="214"/>
      <c r="ICE44" s="214"/>
      <c r="ICF44" s="214"/>
      <c r="ICG44" s="214"/>
      <c r="ICH44" s="214"/>
      <c r="ICI44" s="214"/>
      <c r="ICJ44" s="214"/>
      <c r="ICK44" s="214"/>
      <c r="ICL44" s="214"/>
      <c r="ICM44" s="214"/>
      <c r="ICN44" s="214"/>
      <c r="ICO44" s="214"/>
      <c r="ICP44" s="214"/>
      <c r="ICQ44" s="214"/>
      <c r="ICR44" s="214"/>
      <c r="ICS44" s="214"/>
      <c r="ICT44" s="214"/>
      <c r="ICU44" s="214"/>
      <c r="ICV44" s="214"/>
      <c r="ICW44" s="214"/>
      <c r="ICX44" s="214"/>
      <c r="ICY44" s="214"/>
      <c r="ICZ44" s="214"/>
      <c r="IDA44" s="214"/>
      <c r="IDB44" s="214"/>
      <c r="IDC44" s="214"/>
      <c r="IDD44" s="214"/>
      <c r="IDE44" s="214"/>
      <c r="IDF44" s="214"/>
      <c r="IDG44" s="214"/>
      <c r="IDH44" s="214"/>
      <c r="IDI44" s="214"/>
      <c r="IDJ44" s="214"/>
      <c r="IDK44" s="214"/>
      <c r="IDL44" s="214"/>
      <c r="IDM44" s="214"/>
      <c r="IDN44" s="214"/>
      <c r="IDO44" s="214"/>
      <c r="IDP44" s="214"/>
      <c r="IDQ44" s="214"/>
      <c r="IDR44" s="214"/>
      <c r="IDS44" s="214"/>
      <c r="IDT44" s="214"/>
      <c r="IDU44" s="214"/>
      <c r="IDV44" s="214"/>
      <c r="IDW44" s="214"/>
      <c r="IDX44" s="214"/>
      <c r="IDY44" s="214"/>
      <c r="IDZ44" s="214"/>
      <c r="IEA44" s="214"/>
      <c r="IEB44" s="214"/>
      <c r="IEC44" s="214"/>
      <c r="IED44" s="214"/>
      <c r="IEE44" s="214"/>
      <c r="IEF44" s="214"/>
      <c r="IEG44" s="214"/>
      <c r="IEH44" s="214"/>
      <c r="IEI44" s="214"/>
      <c r="IEJ44" s="214"/>
      <c r="IEK44" s="214"/>
      <c r="IEL44" s="214"/>
      <c r="IEM44" s="214"/>
      <c r="IEN44" s="214"/>
      <c r="IEO44" s="214"/>
      <c r="IEP44" s="214"/>
      <c r="IEQ44" s="214"/>
      <c r="IER44" s="214"/>
      <c r="IES44" s="214"/>
      <c r="IET44" s="214"/>
      <c r="IEU44" s="214"/>
      <c r="IEV44" s="214"/>
      <c r="IEW44" s="214"/>
      <c r="IEX44" s="214"/>
      <c r="IEY44" s="214"/>
      <c r="IEZ44" s="214"/>
      <c r="IFA44" s="214"/>
      <c r="IFB44" s="214"/>
      <c r="IFC44" s="214"/>
      <c r="IFD44" s="214"/>
      <c r="IFE44" s="214"/>
      <c r="IFF44" s="214"/>
      <c r="IFG44" s="214"/>
      <c r="IFH44" s="214"/>
      <c r="IFI44" s="214"/>
      <c r="IFJ44" s="214"/>
      <c r="IFK44" s="214"/>
      <c r="IFL44" s="214"/>
      <c r="IFM44" s="214"/>
      <c r="IFN44" s="214"/>
      <c r="IFO44" s="214"/>
      <c r="IFP44" s="214"/>
      <c r="IFQ44" s="214"/>
      <c r="IFR44" s="214"/>
      <c r="IFS44" s="214"/>
      <c r="IFT44" s="214"/>
      <c r="IFU44" s="214"/>
      <c r="IFV44" s="214"/>
      <c r="IFW44" s="214"/>
      <c r="IFX44" s="214"/>
      <c r="IFY44" s="214"/>
      <c r="IFZ44" s="214"/>
      <c r="IGA44" s="214"/>
      <c r="IGB44" s="214"/>
      <c r="IGC44" s="214"/>
      <c r="IGD44" s="214"/>
      <c r="IGE44" s="214"/>
      <c r="IGF44" s="214"/>
      <c r="IGG44" s="214"/>
      <c r="IGH44" s="214"/>
      <c r="IGI44" s="214"/>
      <c r="IGJ44" s="214"/>
      <c r="IGK44" s="214"/>
      <c r="IGL44" s="214"/>
      <c r="IGM44" s="214"/>
      <c r="IGN44" s="214"/>
      <c r="IGO44" s="214"/>
      <c r="IGP44" s="214"/>
      <c r="IGQ44" s="214"/>
      <c r="IGR44" s="214"/>
      <c r="IGS44" s="214"/>
      <c r="IGT44" s="214"/>
      <c r="IGU44" s="214"/>
      <c r="IGV44" s="214"/>
      <c r="IGW44" s="214"/>
      <c r="IGX44" s="214"/>
      <c r="IGY44" s="214"/>
      <c r="IGZ44" s="214"/>
      <c r="IHA44" s="214"/>
      <c r="IHB44" s="214"/>
      <c r="IHC44" s="214"/>
      <c r="IHD44" s="214"/>
      <c r="IHE44" s="214"/>
      <c r="IHF44" s="214"/>
      <c r="IHG44" s="214"/>
      <c r="IHH44" s="214"/>
      <c r="IHI44" s="214"/>
      <c r="IHJ44" s="214"/>
      <c r="IHK44" s="214"/>
      <c r="IHL44" s="214"/>
      <c r="IHM44" s="214"/>
      <c r="IHN44" s="214"/>
      <c r="IHO44" s="214"/>
      <c r="IHP44" s="214"/>
      <c r="IHQ44" s="214"/>
      <c r="IHR44" s="214"/>
      <c r="IHS44" s="214"/>
      <c r="IHT44" s="214"/>
      <c r="IHU44" s="214"/>
      <c r="IHV44" s="214"/>
      <c r="IHW44" s="214"/>
      <c r="IHX44" s="214"/>
      <c r="IHY44" s="214"/>
      <c r="IHZ44" s="214"/>
      <c r="IIA44" s="214"/>
      <c r="IIB44" s="214"/>
      <c r="IIC44" s="214"/>
      <c r="IID44" s="214"/>
      <c r="IIE44" s="214"/>
      <c r="IIF44" s="214"/>
      <c r="IIG44" s="214"/>
      <c r="IIH44" s="214"/>
      <c r="III44" s="214"/>
      <c r="IIJ44" s="214"/>
      <c r="IIK44" s="214"/>
      <c r="IIL44" s="214"/>
      <c r="IIM44" s="214"/>
      <c r="IIN44" s="214"/>
      <c r="IIO44" s="214"/>
      <c r="IIP44" s="214"/>
      <c r="IIQ44" s="214"/>
      <c r="IIR44" s="214"/>
      <c r="IIS44" s="214"/>
      <c r="IIT44" s="214"/>
      <c r="IIU44" s="214"/>
      <c r="IIV44" s="214"/>
      <c r="IIW44" s="214"/>
      <c r="IIX44" s="214"/>
      <c r="IIY44" s="214"/>
      <c r="IIZ44" s="214"/>
      <c r="IJA44" s="214"/>
      <c r="IJB44" s="214"/>
      <c r="IJC44" s="214"/>
      <c r="IJD44" s="214"/>
      <c r="IJE44" s="214"/>
      <c r="IJF44" s="214"/>
      <c r="IJG44" s="214"/>
      <c r="IJH44" s="214"/>
      <c r="IJI44" s="214"/>
      <c r="IJJ44" s="214"/>
      <c r="IJK44" s="214"/>
      <c r="IJL44" s="214"/>
      <c r="IJM44" s="214"/>
      <c r="IJN44" s="214"/>
      <c r="IJO44" s="214"/>
      <c r="IJP44" s="214"/>
      <c r="IJQ44" s="214"/>
      <c r="IJR44" s="214"/>
      <c r="IJS44" s="214"/>
      <c r="IJT44" s="214"/>
      <c r="IJU44" s="214"/>
      <c r="IJV44" s="214"/>
      <c r="IJW44" s="214"/>
      <c r="IJX44" s="214"/>
      <c r="IJY44" s="214"/>
      <c r="IJZ44" s="214"/>
      <c r="IKA44" s="214"/>
      <c r="IKB44" s="214"/>
      <c r="IKC44" s="214"/>
      <c r="IKD44" s="214"/>
      <c r="IKE44" s="214"/>
      <c r="IKF44" s="214"/>
      <c r="IKG44" s="214"/>
      <c r="IKH44" s="214"/>
      <c r="IKI44" s="214"/>
      <c r="IKJ44" s="214"/>
      <c r="IKK44" s="214"/>
      <c r="IKL44" s="214"/>
      <c r="IKM44" s="214"/>
      <c r="IKN44" s="214"/>
      <c r="IKO44" s="214"/>
      <c r="IKP44" s="214"/>
      <c r="IKQ44" s="214"/>
      <c r="IKR44" s="214"/>
      <c r="IKS44" s="214"/>
      <c r="IKT44" s="214"/>
      <c r="IKU44" s="214"/>
      <c r="IKV44" s="214"/>
      <c r="IKW44" s="214"/>
      <c r="IKX44" s="214"/>
      <c r="IKY44" s="214"/>
      <c r="IKZ44" s="214"/>
      <c r="ILA44" s="214"/>
      <c r="ILB44" s="214"/>
      <c r="ILC44" s="214"/>
      <c r="ILD44" s="214"/>
      <c r="ILE44" s="214"/>
      <c r="ILF44" s="214"/>
      <c r="ILG44" s="214"/>
      <c r="ILH44" s="214"/>
      <c r="ILI44" s="214"/>
      <c r="ILJ44" s="214"/>
      <c r="ILK44" s="214"/>
      <c r="ILL44" s="214"/>
      <c r="ILM44" s="214"/>
      <c r="ILN44" s="214"/>
      <c r="ILO44" s="214"/>
      <c r="ILP44" s="214"/>
      <c r="ILQ44" s="214"/>
      <c r="ILR44" s="214"/>
      <c r="ILS44" s="214"/>
      <c r="ILT44" s="214"/>
      <c r="ILU44" s="214"/>
      <c r="ILV44" s="214"/>
      <c r="ILW44" s="214"/>
      <c r="ILX44" s="214"/>
      <c r="ILY44" s="214"/>
      <c r="ILZ44" s="214"/>
      <c r="IMA44" s="214"/>
      <c r="IMB44" s="214"/>
      <c r="IMC44" s="214"/>
      <c r="IMD44" s="214"/>
      <c r="IME44" s="214"/>
      <c r="IMF44" s="214"/>
      <c r="IMG44" s="214"/>
      <c r="IMH44" s="214"/>
      <c r="IMI44" s="214"/>
      <c r="IMJ44" s="214"/>
      <c r="IMK44" s="214"/>
      <c r="IML44" s="214"/>
      <c r="IMM44" s="214"/>
      <c r="IMN44" s="214"/>
      <c r="IMO44" s="214"/>
      <c r="IMP44" s="214"/>
      <c r="IMQ44" s="214"/>
      <c r="IMR44" s="214"/>
      <c r="IMS44" s="214"/>
      <c r="IMT44" s="214"/>
      <c r="IMU44" s="214"/>
      <c r="IMV44" s="214"/>
      <c r="IMW44" s="214"/>
      <c r="IMX44" s="214"/>
      <c r="IMY44" s="214"/>
      <c r="IMZ44" s="214"/>
      <c r="INA44" s="214"/>
      <c r="INB44" s="214"/>
      <c r="INC44" s="214"/>
      <c r="IND44" s="214"/>
      <c r="INE44" s="214"/>
      <c r="INF44" s="214"/>
      <c r="ING44" s="214"/>
      <c r="INH44" s="214"/>
      <c r="INI44" s="214"/>
      <c r="INJ44" s="214"/>
      <c r="INK44" s="214"/>
      <c r="INL44" s="214"/>
      <c r="INM44" s="214"/>
      <c r="INN44" s="214"/>
      <c r="INO44" s="214"/>
      <c r="INP44" s="214"/>
      <c r="INQ44" s="214"/>
      <c r="INR44" s="214"/>
      <c r="INS44" s="214"/>
      <c r="INT44" s="214"/>
      <c r="INU44" s="214"/>
      <c r="INV44" s="214"/>
      <c r="INW44" s="214"/>
      <c r="INX44" s="214"/>
      <c r="INY44" s="214"/>
      <c r="INZ44" s="214"/>
      <c r="IOA44" s="214"/>
      <c r="IOB44" s="214"/>
      <c r="IOC44" s="214"/>
      <c r="IOD44" s="214"/>
      <c r="IOE44" s="214"/>
      <c r="IOF44" s="214"/>
      <c r="IOG44" s="214"/>
      <c r="IOH44" s="214"/>
      <c r="IOI44" s="214"/>
      <c r="IOJ44" s="214"/>
      <c r="IOK44" s="214"/>
      <c r="IOL44" s="214"/>
      <c r="IOM44" s="214"/>
      <c r="ION44" s="214"/>
      <c r="IOO44" s="214"/>
      <c r="IOP44" s="214"/>
      <c r="IOQ44" s="214"/>
      <c r="IOR44" s="214"/>
      <c r="IOS44" s="214"/>
      <c r="IOT44" s="214"/>
      <c r="IOU44" s="214"/>
      <c r="IOV44" s="214"/>
      <c r="IOW44" s="214"/>
      <c r="IOX44" s="214"/>
      <c r="IOY44" s="214"/>
      <c r="IOZ44" s="214"/>
      <c r="IPA44" s="214"/>
      <c r="IPB44" s="214"/>
      <c r="IPC44" s="214"/>
      <c r="IPD44" s="214"/>
      <c r="IPE44" s="214"/>
      <c r="IPF44" s="214"/>
      <c r="IPG44" s="214"/>
      <c r="IPH44" s="214"/>
      <c r="IPI44" s="214"/>
      <c r="IPJ44" s="214"/>
      <c r="IPK44" s="214"/>
      <c r="IPL44" s="214"/>
      <c r="IPM44" s="214"/>
      <c r="IPN44" s="214"/>
      <c r="IPO44" s="214"/>
      <c r="IPP44" s="214"/>
      <c r="IPQ44" s="214"/>
      <c r="IPR44" s="214"/>
      <c r="IPS44" s="214"/>
      <c r="IPT44" s="214"/>
      <c r="IPU44" s="214"/>
      <c r="IPV44" s="214"/>
      <c r="IPW44" s="214"/>
      <c r="IPX44" s="214"/>
      <c r="IPY44" s="214"/>
      <c r="IPZ44" s="214"/>
      <c r="IQA44" s="214"/>
      <c r="IQB44" s="214"/>
      <c r="IQC44" s="214"/>
      <c r="IQD44" s="214"/>
      <c r="IQE44" s="214"/>
      <c r="IQF44" s="214"/>
      <c r="IQG44" s="214"/>
      <c r="IQH44" s="214"/>
      <c r="IQI44" s="214"/>
      <c r="IQJ44" s="214"/>
      <c r="IQK44" s="214"/>
      <c r="IQL44" s="214"/>
      <c r="IQM44" s="214"/>
      <c r="IQN44" s="214"/>
      <c r="IQO44" s="214"/>
      <c r="IQP44" s="214"/>
      <c r="IQQ44" s="214"/>
      <c r="IQR44" s="214"/>
      <c r="IQS44" s="214"/>
      <c r="IQT44" s="214"/>
      <c r="IQU44" s="214"/>
      <c r="IQV44" s="214"/>
      <c r="IQW44" s="214"/>
      <c r="IQX44" s="214"/>
      <c r="IQY44" s="214"/>
      <c r="IQZ44" s="214"/>
      <c r="IRA44" s="214"/>
      <c r="IRB44" s="214"/>
      <c r="IRC44" s="214"/>
      <c r="IRD44" s="214"/>
      <c r="IRE44" s="214"/>
      <c r="IRF44" s="214"/>
      <c r="IRG44" s="214"/>
      <c r="IRH44" s="214"/>
      <c r="IRI44" s="214"/>
      <c r="IRJ44" s="214"/>
      <c r="IRK44" s="214"/>
      <c r="IRL44" s="214"/>
      <c r="IRM44" s="214"/>
      <c r="IRN44" s="214"/>
      <c r="IRO44" s="214"/>
      <c r="IRP44" s="214"/>
      <c r="IRQ44" s="214"/>
      <c r="IRR44" s="214"/>
      <c r="IRS44" s="214"/>
      <c r="IRT44" s="214"/>
      <c r="IRU44" s="214"/>
      <c r="IRV44" s="214"/>
      <c r="IRW44" s="214"/>
      <c r="IRX44" s="214"/>
      <c r="IRY44" s="214"/>
      <c r="IRZ44" s="214"/>
      <c r="ISA44" s="214"/>
      <c r="ISB44" s="214"/>
      <c r="ISC44" s="214"/>
      <c r="ISD44" s="214"/>
      <c r="ISE44" s="214"/>
      <c r="ISF44" s="214"/>
      <c r="ISG44" s="214"/>
      <c r="ISH44" s="214"/>
      <c r="ISI44" s="214"/>
      <c r="ISJ44" s="214"/>
      <c r="ISK44" s="214"/>
      <c r="ISL44" s="214"/>
      <c r="ISM44" s="214"/>
      <c r="ISN44" s="214"/>
      <c r="ISO44" s="214"/>
      <c r="ISP44" s="214"/>
      <c r="ISQ44" s="214"/>
      <c r="ISR44" s="214"/>
      <c r="ISS44" s="214"/>
      <c r="IST44" s="214"/>
      <c r="ISU44" s="214"/>
      <c r="ISV44" s="214"/>
      <c r="ISW44" s="214"/>
      <c r="ISX44" s="214"/>
      <c r="ISY44" s="214"/>
      <c r="ISZ44" s="214"/>
      <c r="ITA44" s="214"/>
      <c r="ITB44" s="214"/>
      <c r="ITC44" s="214"/>
      <c r="ITD44" s="214"/>
      <c r="ITE44" s="214"/>
      <c r="ITF44" s="214"/>
      <c r="ITG44" s="214"/>
      <c r="ITH44" s="214"/>
      <c r="ITI44" s="214"/>
      <c r="ITJ44" s="214"/>
      <c r="ITK44" s="214"/>
      <c r="ITL44" s="214"/>
      <c r="ITM44" s="214"/>
      <c r="ITN44" s="214"/>
      <c r="ITO44" s="214"/>
      <c r="ITP44" s="214"/>
      <c r="ITQ44" s="214"/>
      <c r="ITR44" s="214"/>
      <c r="ITS44" s="214"/>
      <c r="ITT44" s="214"/>
      <c r="ITU44" s="214"/>
      <c r="ITV44" s="214"/>
      <c r="ITW44" s="214"/>
      <c r="ITX44" s="214"/>
      <c r="ITY44" s="214"/>
      <c r="ITZ44" s="214"/>
      <c r="IUA44" s="214"/>
      <c r="IUB44" s="214"/>
      <c r="IUC44" s="214"/>
      <c r="IUD44" s="214"/>
      <c r="IUE44" s="214"/>
      <c r="IUF44" s="214"/>
      <c r="IUG44" s="214"/>
      <c r="IUH44" s="214"/>
      <c r="IUI44" s="214"/>
      <c r="IUJ44" s="214"/>
      <c r="IUK44" s="214"/>
      <c r="IUL44" s="214"/>
      <c r="IUM44" s="214"/>
      <c r="IUN44" s="214"/>
      <c r="IUO44" s="214"/>
      <c r="IUP44" s="214"/>
      <c r="IUQ44" s="214"/>
      <c r="IUR44" s="214"/>
      <c r="IUS44" s="214"/>
      <c r="IUT44" s="214"/>
      <c r="IUU44" s="214"/>
      <c r="IUV44" s="214"/>
      <c r="IUW44" s="214"/>
      <c r="IUX44" s="214"/>
      <c r="IUY44" s="214"/>
      <c r="IUZ44" s="214"/>
      <c r="IVA44" s="214"/>
      <c r="IVB44" s="214"/>
      <c r="IVC44" s="214"/>
      <c r="IVD44" s="214"/>
      <c r="IVE44" s="214"/>
      <c r="IVF44" s="214"/>
      <c r="IVG44" s="214"/>
      <c r="IVH44" s="214"/>
      <c r="IVI44" s="214"/>
      <c r="IVJ44" s="214"/>
      <c r="IVK44" s="214"/>
      <c r="IVL44" s="214"/>
      <c r="IVM44" s="214"/>
      <c r="IVN44" s="214"/>
      <c r="IVO44" s="214"/>
      <c r="IVP44" s="214"/>
      <c r="IVQ44" s="214"/>
      <c r="IVR44" s="214"/>
      <c r="IVS44" s="214"/>
      <c r="IVT44" s="214"/>
      <c r="IVU44" s="214"/>
      <c r="IVV44" s="214"/>
      <c r="IVW44" s="214"/>
      <c r="IVX44" s="214"/>
      <c r="IVY44" s="214"/>
      <c r="IVZ44" s="214"/>
      <c r="IWA44" s="214"/>
      <c r="IWB44" s="214"/>
      <c r="IWC44" s="214"/>
      <c r="IWD44" s="214"/>
      <c r="IWE44" s="214"/>
      <c r="IWF44" s="214"/>
      <c r="IWG44" s="214"/>
      <c r="IWH44" s="214"/>
      <c r="IWI44" s="214"/>
      <c r="IWJ44" s="214"/>
      <c r="IWK44" s="214"/>
      <c r="IWL44" s="214"/>
      <c r="IWM44" s="214"/>
      <c r="IWN44" s="214"/>
      <c r="IWO44" s="214"/>
      <c r="IWP44" s="214"/>
      <c r="IWQ44" s="214"/>
      <c r="IWR44" s="214"/>
      <c r="IWS44" s="214"/>
      <c r="IWT44" s="214"/>
      <c r="IWU44" s="214"/>
      <c r="IWV44" s="214"/>
      <c r="IWW44" s="214"/>
      <c r="IWX44" s="214"/>
      <c r="IWY44" s="214"/>
      <c r="IWZ44" s="214"/>
      <c r="IXA44" s="214"/>
      <c r="IXB44" s="214"/>
      <c r="IXC44" s="214"/>
      <c r="IXD44" s="214"/>
      <c r="IXE44" s="214"/>
      <c r="IXF44" s="214"/>
      <c r="IXG44" s="214"/>
      <c r="IXH44" s="214"/>
      <c r="IXI44" s="214"/>
      <c r="IXJ44" s="214"/>
      <c r="IXK44" s="214"/>
      <c r="IXL44" s="214"/>
      <c r="IXM44" s="214"/>
      <c r="IXN44" s="214"/>
      <c r="IXO44" s="214"/>
      <c r="IXP44" s="214"/>
      <c r="IXQ44" s="214"/>
      <c r="IXR44" s="214"/>
      <c r="IXS44" s="214"/>
      <c r="IXT44" s="214"/>
      <c r="IXU44" s="214"/>
      <c r="IXV44" s="214"/>
      <c r="IXW44" s="214"/>
      <c r="IXX44" s="214"/>
      <c r="IXY44" s="214"/>
      <c r="IXZ44" s="214"/>
      <c r="IYA44" s="214"/>
      <c r="IYB44" s="214"/>
      <c r="IYC44" s="214"/>
      <c r="IYD44" s="214"/>
      <c r="IYE44" s="214"/>
      <c r="IYF44" s="214"/>
      <c r="IYG44" s="214"/>
      <c r="IYH44" s="214"/>
      <c r="IYI44" s="214"/>
      <c r="IYJ44" s="214"/>
      <c r="IYK44" s="214"/>
      <c r="IYL44" s="214"/>
      <c r="IYM44" s="214"/>
      <c r="IYN44" s="214"/>
      <c r="IYO44" s="214"/>
      <c r="IYP44" s="214"/>
      <c r="IYQ44" s="214"/>
      <c r="IYR44" s="214"/>
      <c r="IYS44" s="214"/>
      <c r="IYT44" s="214"/>
      <c r="IYU44" s="214"/>
      <c r="IYV44" s="214"/>
      <c r="IYW44" s="214"/>
      <c r="IYX44" s="214"/>
      <c r="IYY44" s="214"/>
      <c r="IYZ44" s="214"/>
      <c r="IZA44" s="214"/>
      <c r="IZB44" s="214"/>
      <c r="IZC44" s="214"/>
      <c r="IZD44" s="214"/>
      <c r="IZE44" s="214"/>
      <c r="IZF44" s="214"/>
      <c r="IZG44" s="214"/>
      <c r="IZH44" s="214"/>
      <c r="IZI44" s="214"/>
      <c r="IZJ44" s="214"/>
      <c r="IZK44" s="214"/>
      <c r="IZL44" s="214"/>
      <c r="IZM44" s="214"/>
      <c r="IZN44" s="214"/>
      <c r="IZO44" s="214"/>
      <c r="IZP44" s="214"/>
      <c r="IZQ44" s="214"/>
      <c r="IZR44" s="214"/>
      <c r="IZS44" s="214"/>
      <c r="IZT44" s="214"/>
      <c r="IZU44" s="214"/>
      <c r="IZV44" s="214"/>
      <c r="IZW44" s="214"/>
      <c r="IZX44" s="214"/>
      <c r="IZY44" s="214"/>
      <c r="IZZ44" s="214"/>
      <c r="JAA44" s="214"/>
      <c r="JAB44" s="214"/>
      <c r="JAC44" s="214"/>
      <c r="JAD44" s="214"/>
      <c r="JAE44" s="214"/>
      <c r="JAF44" s="214"/>
      <c r="JAG44" s="214"/>
      <c r="JAH44" s="214"/>
      <c r="JAI44" s="214"/>
      <c r="JAJ44" s="214"/>
      <c r="JAK44" s="214"/>
      <c r="JAL44" s="214"/>
      <c r="JAM44" s="214"/>
      <c r="JAN44" s="214"/>
      <c r="JAO44" s="214"/>
      <c r="JAP44" s="214"/>
      <c r="JAQ44" s="214"/>
      <c r="JAR44" s="214"/>
      <c r="JAS44" s="214"/>
      <c r="JAT44" s="214"/>
      <c r="JAU44" s="214"/>
      <c r="JAV44" s="214"/>
      <c r="JAW44" s="214"/>
      <c r="JAX44" s="214"/>
      <c r="JAY44" s="214"/>
      <c r="JAZ44" s="214"/>
      <c r="JBA44" s="214"/>
      <c r="JBB44" s="214"/>
      <c r="JBC44" s="214"/>
      <c r="JBD44" s="214"/>
      <c r="JBE44" s="214"/>
      <c r="JBF44" s="214"/>
      <c r="JBG44" s="214"/>
      <c r="JBH44" s="214"/>
      <c r="JBI44" s="214"/>
      <c r="JBJ44" s="214"/>
      <c r="JBK44" s="214"/>
      <c r="JBL44" s="214"/>
      <c r="JBM44" s="214"/>
      <c r="JBN44" s="214"/>
      <c r="JBO44" s="214"/>
      <c r="JBP44" s="214"/>
      <c r="JBQ44" s="214"/>
      <c r="JBR44" s="214"/>
      <c r="JBS44" s="214"/>
      <c r="JBT44" s="214"/>
      <c r="JBU44" s="214"/>
      <c r="JBV44" s="214"/>
      <c r="JBW44" s="214"/>
      <c r="JBX44" s="214"/>
      <c r="JBY44" s="214"/>
      <c r="JBZ44" s="214"/>
      <c r="JCA44" s="214"/>
      <c r="JCB44" s="214"/>
      <c r="JCC44" s="214"/>
      <c r="JCD44" s="214"/>
      <c r="JCE44" s="214"/>
      <c r="JCF44" s="214"/>
      <c r="JCG44" s="214"/>
      <c r="JCH44" s="214"/>
      <c r="JCI44" s="214"/>
      <c r="JCJ44" s="214"/>
      <c r="JCK44" s="214"/>
      <c r="JCL44" s="214"/>
      <c r="JCM44" s="214"/>
      <c r="JCN44" s="214"/>
      <c r="JCO44" s="214"/>
      <c r="JCP44" s="214"/>
      <c r="JCQ44" s="214"/>
      <c r="JCR44" s="214"/>
      <c r="JCS44" s="214"/>
      <c r="JCT44" s="214"/>
      <c r="JCU44" s="214"/>
      <c r="JCV44" s="214"/>
      <c r="JCW44" s="214"/>
      <c r="JCX44" s="214"/>
      <c r="JCY44" s="214"/>
      <c r="JCZ44" s="214"/>
      <c r="JDA44" s="214"/>
      <c r="JDB44" s="214"/>
      <c r="JDC44" s="214"/>
      <c r="JDD44" s="214"/>
      <c r="JDE44" s="214"/>
      <c r="JDF44" s="214"/>
      <c r="JDG44" s="214"/>
      <c r="JDH44" s="214"/>
      <c r="JDI44" s="214"/>
      <c r="JDJ44" s="214"/>
      <c r="JDK44" s="214"/>
      <c r="JDL44" s="214"/>
      <c r="JDM44" s="214"/>
      <c r="JDN44" s="214"/>
      <c r="JDO44" s="214"/>
      <c r="JDP44" s="214"/>
      <c r="JDQ44" s="214"/>
      <c r="JDR44" s="214"/>
      <c r="JDS44" s="214"/>
      <c r="JDT44" s="214"/>
      <c r="JDU44" s="214"/>
      <c r="JDV44" s="214"/>
      <c r="JDW44" s="214"/>
      <c r="JDX44" s="214"/>
      <c r="JDY44" s="214"/>
      <c r="JDZ44" s="214"/>
      <c r="JEA44" s="214"/>
      <c r="JEB44" s="214"/>
      <c r="JEC44" s="214"/>
      <c r="JED44" s="214"/>
      <c r="JEE44" s="214"/>
      <c r="JEF44" s="214"/>
      <c r="JEG44" s="214"/>
      <c r="JEH44" s="214"/>
      <c r="JEI44" s="214"/>
      <c r="JEJ44" s="214"/>
      <c r="JEK44" s="214"/>
      <c r="JEL44" s="214"/>
      <c r="JEM44" s="214"/>
      <c r="JEN44" s="214"/>
      <c r="JEO44" s="214"/>
      <c r="JEP44" s="214"/>
      <c r="JEQ44" s="214"/>
      <c r="JER44" s="214"/>
      <c r="JES44" s="214"/>
      <c r="JET44" s="214"/>
      <c r="JEU44" s="214"/>
      <c r="JEV44" s="214"/>
      <c r="JEW44" s="214"/>
      <c r="JEX44" s="214"/>
      <c r="JEY44" s="214"/>
      <c r="JEZ44" s="214"/>
      <c r="JFA44" s="214"/>
      <c r="JFB44" s="214"/>
      <c r="JFC44" s="214"/>
      <c r="JFD44" s="214"/>
      <c r="JFE44" s="214"/>
      <c r="JFF44" s="214"/>
      <c r="JFG44" s="214"/>
      <c r="JFH44" s="214"/>
      <c r="JFI44" s="214"/>
      <c r="JFJ44" s="214"/>
      <c r="JFK44" s="214"/>
      <c r="JFL44" s="214"/>
      <c r="JFM44" s="214"/>
      <c r="JFN44" s="214"/>
      <c r="JFO44" s="214"/>
      <c r="JFP44" s="214"/>
      <c r="JFQ44" s="214"/>
      <c r="JFR44" s="214"/>
      <c r="JFS44" s="214"/>
      <c r="JFT44" s="214"/>
      <c r="JFU44" s="214"/>
      <c r="JFV44" s="214"/>
      <c r="JFW44" s="214"/>
      <c r="JFX44" s="214"/>
      <c r="JFY44" s="214"/>
      <c r="JFZ44" s="214"/>
      <c r="JGA44" s="214"/>
      <c r="JGB44" s="214"/>
      <c r="JGC44" s="214"/>
      <c r="JGD44" s="214"/>
      <c r="JGE44" s="214"/>
      <c r="JGF44" s="214"/>
      <c r="JGG44" s="214"/>
      <c r="JGH44" s="214"/>
      <c r="JGI44" s="214"/>
      <c r="JGJ44" s="214"/>
      <c r="JGK44" s="214"/>
      <c r="JGL44" s="214"/>
      <c r="JGM44" s="214"/>
      <c r="JGN44" s="214"/>
      <c r="JGO44" s="214"/>
      <c r="JGP44" s="214"/>
      <c r="JGQ44" s="214"/>
      <c r="JGR44" s="214"/>
      <c r="JGS44" s="214"/>
      <c r="JGT44" s="214"/>
      <c r="JGU44" s="214"/>
      <c r="JGV44" s="214"/>
      <c r="JGW44" s="214"/>
      <c r="JGX44" s="214"/>
      <c r="JGY44" s="214"/>
      <c r="JGZ44" s="214"/>
      <c r="JHA44" s="214"/>
      <c r="JHB44" s="214"/>
      <c r="JHC44" s="214"/>
      <c r="JHD44" s="214"/>
      <c r="JHE44" s="214"/>
      <c r="JHF44" s="214"/>
      <c r="JHG44" s="214"/>
      <c r="JHH44" s="214"/>
      <c r="JHI44" s="214"/>
      <c r="JHJ44" s="214"/>
      <c r="JHK44" s="214"/>
      <c r="JHL44" s="214"/>
      <c r="JHM44" s="214"/>
      <c r="JHN44" s="214"/>
      <c r="JHO44" s="214"/>
      <c r="JHP44" s="214"/>
      <c r="JHQ44" s="214"/>
      <c r="JHR44" s="214"/>
      <c r="JHS44" s="214"/>
      <c r="JHT44" s="214"/>
      <c r="JHU44" s="214"/>
      <c r="JHV44" s="214"/>
      <c r="JHW44" s="214"/>
      <c r="JHX44" s="214"/>
      <c r="JHY44" s="214"/>
      <c r="JHZ44" s="214"/>
      <c r="JIA44" s="214"/>
      <c r="JIB44" s="214"/>
      <c r="JIC44" s="214"/>
      <c r="JID44" s="214"/>
      <c r="JIE44" s="214"/>
      <c r="JIF44" s="214"/>
      <c r="JIG44" s="214"/>
      <c r="JIH44" s="214"/>
      <c r="JII44" s="214"/>
      <c r="JIJ44" s="214"/>
      <c r="JIK44" s="214"/>
      <c r="JIL44" s="214"/>
      <c r="JIM44" s="214"/>
      <c r="JIN44" s="214"/>
      <c r="JIO44" s="214"/>
      <c r="JIP44" s="214"/>
      <c r="JIQ44" s="214"/>
      <c r="JIR44" s="214"/>
      <c r="JIS44" s="214"/>
      <c r="JIT44" s="214"/>
      <c r="JIU44" s="214"/>
      <c r="JIV44" s="214"/>
      <c r="JIW44" s="214"/>
      <c r="JIX44" s="214"/>
      <c r="JIY44" s="214"/>
      <c r="JIZ44" s="214"/>
      <c r="JJA44" s="214"/>
      <c r="JJB44" s="214"/>
      <c r="JJC44" s="214"/>
      <c r="JJD44" s="214"/>
      <c r="JJE44" s="214"/>
      <c r="JJF44" s="214"/>
      <c r="JJG44" s="214"/>
      <c r="JJH44" s="214"/>
      <c r="JJI44" s="214"/>
      <c r="JJJ44" s="214"/>
      <c r="JJK44" s="214"/>
      <c r="JJL44" s="214"/>
      <c r="JJM44" s="214"/>
      <c r="JJN44" s="214"/>
      <c r="JJO44" s="214"/>
      <c r="JJP44" s="214"/>
      <c r="JJQ44" s="214"/>
      <c r="JJR44" s="214"/>
      <c r="JJS44" s="214"/>
      <c r="JJT44" s="214"/>
      <c r="JJU44" s="214"/>
      <c r="JJV44" s="214"/>
      <c r="JJW44" s="214"/>
      <c r="JJX44" s="214"/>
      <c r="JJY44" s="214"/>
      <c r="JJZ44" s="214"/>
      <c r="JKA44" s="214"/>
      <c r="JKB44" s="214"/>
      <c r="JKC44" s="214"/>
      <c r="JKD44" s="214"/>
      <c r="JKE44" s="214"/>
      <c r="JKF44" s="214"/>
      <c r="JKG44" s="214"/>
      <c r="JKH44" s="214"/>
      <c r="JKI44" s="214"/>
      <c r="JKJ44" s="214"/>
      <c r="JKK44" s="214"/>
      <c r="JKL44" s="214"/>
      <c r="JKM44" s="214"/>
      <c r="JKN44" s="214"/>
      <c r="JKO44" s="214"/>
      <c r="JKP44" s="214"/>
      <c r="JKQ44" s="214"/>
      <c r="JKR44" s="214"/>
      <c r="JKS44" s="214"/>
      <c r="JKT44" s="214"/>
      <c r="JKU44" s="214"/>
      <c r="JKV44" s="214"/>
      <c r="JKW44" s="214"/>
      <c r="JKX44" s="214"/>
      <c r="JKY44" s="214"/>
      <c r="JKZ44" s="214"/>
      <c r="JLA44" s="214"/>
      <c r="JLB44" s="214"/>
      <c r="JLC44" s="214"/>
      <c r="JLD44" s="214"/>
      <c r="JLE44" s="214"/>
      <c r="JLF44" s="214"/>
      <c r="JLG44" s="214"/>
      <c r="JLH44" s="214"/>
      <c r="JLI44" s="214"/>
      <c r="JLJ44" s="214"/>
      <c r="JLK44" s="214"/>
      <c r="JLL44" s="214"/>
      <c r="JLM44" s="214"/>
      <c r="JLN44" s="214"/>
      <c r="JLO44" s="214"/>
      <c r="JLP44" s="214"/>
      <c r="JLQ44" s="214"/>
      <c r="JLR44" s="214"/>
      <c r="JLS44" s="214"/>
      <c r="JLT44" s="214"/>
      <c r="JLU44" s="214"/>
      <c r="JLV44" s="214"/>
      <c r="JLW44" s="214"/>
      <c r="JLX44" s="214"/>
      <c r="JLY44" s="214"/>
      <c r="JLZ44" s="214"/>
      <c r="JMA44" s="214"/>
      <c r="JMB44" s="214"/>
      <c r="JMC44" s="214"/>
      <c r="JMD44" s="214"/>
      <c r="JME44" s="214"/>
      <c r="JMF44" s="214"/>
      <c r="JMG44" s="214"/>
      <c r="JMH44" s="214"/>
      <c r="JMI44" s="214"/>
      <c r="JMJ44" s="214"/>
      <c r="JMK44" s="214"/>
      <c r="JML44" s="214"/>
      <c r="JMM44" s="214"/>
      <c r="JMN44" s="214"/>
      <c r="JMO44" s="214"/>
      <c r="JMP44" s="214"/>
      <c r="JMQ44" s="214"/>
      <c r="JMR44" s="214"/>
      <c r="JMS44" s="214"/>
      <c r="JMT44" s="214"/>
      <c r="JMU44" s="214"/>
      <c r="JMV44" s="214"/>
      <c r="JMW44" s="214"/>
      <c r="JMX44" s="214"/>
      <c r="JMY44" s="214"/>
      <c r="JMZ44" s="214"/>
      <c r="JNA44" s="214"/>
      <c r="JNB44" s="214"/>
      <c r="JNC44" s="214"/>
      <c r="JND44" s="214"/>
      <c r="JNE44" s="214"/>
      <c r="JNF44" s="214"/>
      <c r="JNG44" s="214"/>
      <c r="JNH44" s="214"/>
      <c r="JNI44" s="214"/>
      <c r="JNJ44" s="214"/>
      <c r="JNK44" s="214"/>
      <c r="JNL44" s="214"/>
      <c r="JNM44" s="214"/>
      <c r="JNN44" s="214"/>
      <c r="JNO44" s="214"/>
      <c r="JNP44" s="214"/>
      <c r="JNQ44" s="214"/>
      <c r="JNR44" s="214"/>
      <c r="JNS44" s="214"/>
      <c r="JNT44" s="214"/>
      <c r="JNU44" s="214"/>
      <c r="JNV44" s="214"/>
      <c r="JNW44" s="214"/>
      <c r="JNX44" s="214"/>
      <c r="JNY44" s="214"/>
      <c r="JNZ44" s="214"/>
      <c r="JOA44" s="214"/>
      <c r="JOB44" s="214"/>
      <c r="JOC44" s="214"/>
      <c r="JOD44" s="214"/>
      <c r="JOE44" s="214"/>
      <c r="JOF44" s="214"/>
      <c r="JOG44" s="214"/>
      <c r="JOH44" s="214"/>
      <c r="JOI44" s="214"/>
      <c r="JOJ44" s="214"/>
      <c r="JOK44" s="214"/>
      <c r="JOL44" s="214"/>
      <c r="JOM44" s="214"/>
      <c r="JON44" s="214"/>
      <c r="JOO44" s="214"/>
      <c r="JOP44" s="214"/>
      <c r="JOQ44" s="214"/>
      <c r="JOR44" s="214"/>
      <c r="JOS44" s="214"/>
      <c r="JOT44" s="214"/>
      <c r="JOU44" s="214"/>
      <c r="JOV44" s="214"/>
      <c r="JOW44" s="214"/>
      <c r="JOX44" s="214"/>
      <c r="JOY44" s="214"/>
      <c r="JOZ44" s="214"/>
      <c r="JPA44" s="214"/>
      <c r="JPB44" s="214"/>
      <c r="JPC44" s="214"/>
      <c r="JPD44" s="214"/>
      <c r="JPE44" s="214"/>
      <c r="JPF44" s="214"/>
      <c r="JPG44" s="214"/>
      <c r="JPH44" s="214"/>
      <c r="JPI44" s="214"/>
      <c r="JPJ44" s="214"/>
      <c r="JPK44" s="214"/>
      <c r="JPL44" s="214"/>
      <c r="JPM44" s="214"/>
      <c r="JPN44" s="214"/>
      <c r="JPO44" s="214"/>
      <c r="JPP44" s="214"/>
      <c r="JPQ44" s="214"/>
      <c r="JPR44" s="214"/>
      <c r="JPS44" s="214"/>
      <c r="JPT44" s="214"/>
      <c r="JPU44" s="214"/>
      <c r="JPV44" s="214"/>
      <c r="JPW44" s="214"/>
      <c r="JPX44" s="214"/>
      <c r="JPY44" s="214"/>
      <c r="JPZ44" s="214"/>
      <c r="JQA44" s="214"/>
      <c r="JQB44" s="214"/>
      <c r="JQC44" s="214"/>
      <c r="JQD44" s="214"/>
      <c r="JQE44" s="214"/>
      <c r="JQF44" s="214"/>
      <c r="JQG44" s="214"/>
      <c r="JQH44" s="214"/>
      <c r="JQI44" s="214"/>
      <c r="JQJ44" s="214"/>
      <c r="JQK44" s="214"/>
      <c r="JQL44" s="214"/>
      <c r="JQM44" s="214"/>
      <c r="JQN44" s="214"/>
      <c r="JQO44" s="214"/>
      <c r="JQP44" s="214"/>
      <c r="JQQ44" s="214"/>
      <c r="JQR44" s="214"/>
      <c r="JQS44" s="214"/>
      <c r="JQT44" s="214"/>
      <c r="JQU44" s="214"/>
      <c r="JQV44" s="214"/>
      <c r="JQW44" s="214"/>
      <c r="JQX44" s="214"/>
      <c r="JQY44" s="214"/>
      <c r="JQZ44" s="214"/>
      <c r="JRA44" s="214"/>
      <c r="JRB44" s="214"/>
      <c r="JRC44" s="214"/>
      <c r="JRD44" s="214"/>
      <c r="JRE44" s="214"/>
      <c r="JRF44" s="214"/>
      <c r="JRG44" s="214"/>
      <c r="JRH44" s="214"/>
      <c r="JRI44" s="214"/>
      <c r="JRJ44" s="214"/>
      <c r="JRK44" s="214"/>
      <c r="JRL44" s="214"/>
      <c r="JRM44" s="214"/>
      <c r="JRN44" s="214"/>
      <c r="JRO44" s="214"/>
      <c r="JRP44" s="214"/>
      <c r="JRQ44" s="214"/>
      <c r="JRR44" s="214"/>
      <c r="JRS44" s="214"/>
      <c r="JRT44" s="214"/>
      <c r="JRU44" s="214"/>
      <c r="JRV44" s="214"/>
      <c r="JRW44" s="214"/>
      <c r="JRX44" s="214"/>
      <c r="JRY44" s="214"/>
      <c r="JRZ44" s="214"/>
      <c r="JSA44" s="214"/>
      <c r="JSB44" s="214"/>
      <c r="JSC44" s="214"/>
      <c r="JSD44" s="214"/>
      <c r="JSE44" s="214"/>
      <c r="JSF44" s="214"/>
      <c r="JSG44" s="214"/>
      <c r="JSH44" s="214"/>
      <c r="JSI44" s="214"/>
      <c r="JSJ44" s="214"/>
      <c r="JSK44" s="214"/>
      <c r="JSL44" s="214"/>
      <c r="JSM44" s="214"/>
      <c r="JSN44" s="214"/>
      <c r="JSO44" s="214"/>
      <c r="JSP44" s="214"/>
      <c r="JSQ44" s="214"/>
      <c r="JSR44" s="214"/>
      <c r="JSS44" s="214"/>
      <c r="JST44" s="214"/>
      <c r="JSU44" s="214"/>
      <c r="JSV44" s="214"/>
      <c r="JSW44" s="214"/>
      <c r="JSX44" s="214"/>
      <c r="JSY44" s="214"/>
      <c r="JSZ44" s="214"/>
      <c r="JTA44" s="214"/>
      <c r="JTB44" s="214"/>
      <c r="JTC44" s="214"/>
      <c r="JTD44" s="214"/>
      <c r="JTE44" s="214"/>
      <c r="JTF44" s="214"/>
      <c r="JTG44" s="214"/>
      <c r="JTH44" s="214"/>
      <c r="JTI44" s="214"/>
      <c r="JTJ44" s="214"/>
      <c r="JTK44" s="214"/>
      <c r="JTL44" s="214"/>
      <c r="JTM44" s="214"/>
      <c r="JTN44" s="214"/>
      <c r="JTO44" s="214"/>
      <c r="JTP44" s="214"/>
      <c r="JTQ44" s="214"/>
      <c r="JTR44" s="214"/>
      <c r="JTS44" s="214"/>
      <c r="JTT44" s="214"/>
      <c r="JTU44" s="214"/>
      <c r="JTV44" s="214"/>
      <c r="JTW44" s="214"/>
      <c r="JTX44" s="214"/>
      <c r="JTY44" s="214"/>
      <c r="JTZ44" s="214"/>
      <c r="JUA44" s="214"/>
      <c r="JUB44" s="214"/>
      <c r="JUC44" s="214"/>
      <c r="JUD44" s="214"/>
      <c r="JUE44" s="214"/>
      <c r="JUF44" s="214"/>
      <c r="JUG44" s="214"/>
      <c r="JUH44" s="214"/>
      <c r="JUI44" s="214"/>
      <c r="JUJ44" s="214"/>
      <c r="JUK44" s="214"/>
      <c r="JUL44" s="214"/>
      <c r="JUM44" s="214"/>
      <c r="JUN44" s="214"/>
      <c r="JUO44" s="214"/>
      <c r="JUP44" s="214"/>
      <c r="JUQ44" s="214"/>
      <c r="JUR44" s="214"/>
      <c r="JUS44" s="214"/>
      <c r="JUT44" s="214"/>
      <c r="JUU44" s="214"/>
      <c r="JUV44" s="214"/>
      <c r="JUW44" s="214"/>
      <c r="JUX44" s="214"/>
      <c r="JUY44" s="214"/>
      <c r="JUZ44" s="214"/>
      <c r="JVA44" s="214"/>
      <c r="JVB44" s="214"/>
      <c r="JVC44" s="214"/>
      <c r="JVD44" s="214"/>
      <c r="JVE44" s="214"/>
      <c r="JVF44" s="214"/>
      <c r="JVG44" s="214"/>
      <c r="JVH44" s="214"/>
      <c r="JVI44" s="214"/>
      <c r="JVJ44" s="214"/>
      <c r="JVK44" s="214"/>
      <c r="JVL44" s="214"/>
      <c r="JVM44" s="214"/>
      <c r="JVN44" s="214"/>
      <c r="JVO44" s="214"/>
      <c r="JVP44" s="214"/>
      <c r="JVQ44" s="214"/>
      <c r="JVR44" s="214"/>
      <c r="JVS44" s="214"/>
      <c r="JVT44" s="214"/>
      <c r="JVU44" s="214"/>
      <c r="JVV44" s="214"/>
      <c r="JVW44" s="214"/>
      <c r="JVX44" s="214"/>
      <c r="JVY44" s="214"/>
      <c r="JVZ44" s="214"/>
      <c r="JWA44" s="214"/>
      <c r="JWB44" s="214"/>
      <c r="JWC44" s="214"/>
      <c r="JWD44" s="214"/>
      <c r="JWE44" s="214"/>
      <c r="JWF44" s="214"/>
      <c r="JWG44" s="214"/>
      <c r="JWH44" s="214"/>
      <c r="JWI44" s="214"/>
      <c r="JWJ44" s="214"/>
      <c r="JWK44" s="214"/>
      <c r="JWL44" s="214"/>
      <c r="JWM44" s="214"/>
      <c r="JWN44" s="214"/>
      <c r="JWO44" s="214"/>
      <c r="JWP44" s="214"/>
      <c r="JWQ44" s="214"/>
      <c r="JWR44" s="214"/>
      <c r="JWS44" s="214"/>
      <c r="JWT44" s="214"/>
      <c r="JWU44" s="214"/>
      <c r="JWV44" s="214"/>
      <c r="JWW44" s="214"/>
      <c r="JWX44" s="214"/>
      <c r="JWY44" s="214"/>
      <c r="JWZ44" s="214"/>
      <c r="JXA44" s="214"/>
      <c r="JXB44" s="214"/>
      <c r="JXC44" s="214"/>
      <c r="JXD44" s="214"/>
      <c r="JXE44" s="214"/>
      <c r="JXF44" s="214"/>
      <c r="JXG44" s="214"/>
      <c r="JXH44" s="214"/>
      <c r="JXI44" s="214"/>
      <c r="JXJ44" s="214"/>
      <c r="JXK44" s="214"/>
      <c r="JXL44" s="214"/>
      <c r="JXM44" s="214"/>
      <c r="JXN44" s="214"/>
      <c r="JXO44" s="214"/>
      <c r="JXP44" s="214"/>
      <c r="JXQ44" s="214"/>
      <c r="JXR44" s="214"/>
      <c r="JXS44" s="214"/>
      <c r="JXT44" s="214"/>
      <c r="JXU44" s="214"/>
      <c r="JXV44" s="214"/>
      <c r="JXW44" s="214"/>
      <c r="JXX44" s="214"/>
      <c r="JXY44" s="214"/>
      <c r="JXZ44" s="214"/>
      <c r="JYA44" s="214"/>
      <c r="JYB44" s="214"/>
      <c r="JYC44" s="214"/>
      <c r="JYD44" s="214"/>
      <c r="JYE44" s="214"/>
      <c r="JYF44" s="214"/>
      <c r="JYG44" s="214"/>
      <c r="JYH44" s="214"/>
      <c r="JYI44" s="214"/>
      <c r="JYJ44" s="214"/>
      <c r="JYK44" s="214"/>
      <c r="JYL44" s="214"/>
      <c r="JYM44" s="214"/>
      <c r="JYN44" s="214"/>
      <c r="JYO44" s="214"/>
      <c r="JYP44" s="214"/>
      <c r="JYQ44" s="214"/>
      <c r="JYR44" s="214"/>
      <c r="JYS44" s="214"/>
      <c r="JYT44" s="214"/>
      <c r="JYU44" s="214"/>
      <c r="JYV44" s="214"/>
      <c r="JYW44" s="214"/>
      <c r="JYX44" s="214"/>
      <c r="JYY44" s="214"/>
      <c r="JYZ44" s="214"/>
      <c r="JZA44" s="214"/>
      <c r="JZB44" s="214"/>
      <c r="JZC44" s="214"/>
      <c r="JZD44" s="214"/>
      <c r="JZE44" s="214"/>
      <c r="JZF44" s="214"/>
      <c r="JZG44" s="214"/>
      <c r="JZH44" s="214"/>
      <c r="JZI44" s="214"/>
      <c r="JZJ44" s="214"/>
      <c r="JZK44" s="214"/>
      <c r="JZL44" s="214"/>
      <c r="JZM44" s="214"/>
      <c r="JZN44" s="214"/>
      <c r="JZO44" s="214"/>
      <c r="JZP44" s="214"/>
      <c r="JZQ44" s="214"/>
      <c r="JZR44" s="214"/>
      <c r="JZS44" s="214"/>
      <c r="JZT44" s="214"/>
      <c r="JZU44" s="214"/>
      <c r="JZV44" s="214"/>
      <c r="JZW44" s="214"/>
      <c r="JZX44" s="214"/>
      <c r="JZY44" s="214"/>
      <c r="JZZ44" s="214"/>
      <c r="KAA44" s="214"/>
      <c r="KAB44" s="214"/>
      <c r="KAC44" s="214"/>
      <c r="KAD44" s="214"/>
      <c r="KAE44" s="214"/>
      <c r="KAF44" s="214"/>
      <c r="KAG44" s="214"/>
      <c r="KAH44" s="214"/>
      <c r="KAI44" s="214"/>
      <c r="KAJ44" s="214"/>
      <c r="KAK44" s="214"/>
      <c r="KAL44" s="214"/>
      <c r="KAM44" s="214"/>
      <c r="KAN44" s="214"/>
      <c r="KAO44" s="214"/>
      <c r="KAP44" s="214"/>
      <c r="KAQ44" s="214"/>
      <c r="KAR44" s="214"/>
      <c r="KAS44" s="214"/>
      <c r="KAT44" s="214"/>
      <c r="KAU44" s="214"/>
      <c r="KAV44" s="214"/>
      <c r="KAW44" s="214"/>
      <c r="KAX44" s="214"/>
      <c r="KAY44" s="214"/>
      <c r="KAZ44" s="214"/>
      <c r="KBA44" s="214"/>
      <c r="KBB44" s="214"/>
      <c r="KBC44" s="214"/>
      <c r="KBD44" s="214"/>
      <c r="KBE44" s="214"/>
      <c r="KBF44" s="214"/>
      <c r="KBG44" s="214"/>
      <c r="KBH44" s="214"/>
      <c r="KBI44" s="214"/>
      <c r="KBJ44" s="214"/>
      <c r="KBK44" s="214"/>
      <c r="KBL44" s="214"/>
      <c r="KBM44" s="214"/>
      <c r="KBN44" s="214"/>
      <c r="KBO44" s="214"/>
      <c r="KBP44" s="214"/>
      <c r="KBQ44" s="214"/>
      <c r="KBR44" s="214"/>
      <c r="KBS44" s="214"/>
      <c r="KBT44" s="214"/>
      <c r="KBU44" s="214"/>
      <c r="KBV44" s="214"/>
      <c r="KBW44" s="214"/>
      <c r="KBX44" s="214"/>
      <c r="KBY44" s="214"/>
      <c r="KBZ44" s="214"/>
      <c r="KCA44" s="214"/>
      <c r="KCB44" s="214"/>
      <c r="KCC44" s="214"/>
      <c r="KCD44" s="214"/>
      <c r="KCE44" s="214"/>
      <c r="KCF44" s="214"/>
      <c r="KCG44" s="214"/>
      <c r="KCH44" s="214"/>
      <c r="KCI44" s="214"/>
      <c r="KCJ44" s="214"/>
      <c r="KCK44" s="214"/>
      <c r="KCL44" s="214"/>
      <c r="KCM44" s="214"/>
      <c r="KCN44" s="214"/>
      <c r="KCO44" s="214"/>
      <c r="KCP44" s="214"/>
      <c r="KCQ44" s="214"/>
      <c r="KCR44" s="214"/>
      <c r="KCS44" s="214"/>
      <c r="KCT44" s="214"/>
      <c r="KCU44" s="214"/>
      <c r="KCV44" s="214"/>
      <c r="KCW44" s="214"/>
      <c r="KCX44" s="214"/>
      <c r="KCY44" s="214"/>
      <c r="KCZ44" s="214"/>
      <c r="KDA44" s="214"/>
      <c r="KDB44" s="214"/>
      <c r="KDC44" s="214"/>
      <c r="KDD44" s="214"/>
      <c r="KDE44" s="214"/>
      <c r="KDF44" s="214"/>
      <c r="KDG44" s="214"/>
      <c r="KDH44" s="214"/>
      <c r="KDI44" s="214"/>
      <c r="KDJ44" s="214"/>
      <c r="KDK44" s="214"/>
      <c r="KDL44" s="214"/>
      <c r="KDM44" s="214"/>
      <c r="KDN44" s="214"/>
      <c r="KDO44" s="214"/>
      <c r="KDP44" s="214"/>
      <c r="KDQ44" s="214"/>
      <c r="KDR44" s="214"/>
      <c r="KDS44" s="214"/>
      <c r="KDT44" s="214"/>
      <c r="KDU44" s="214"/>
      <c r="KDV44" s="214"/>
      <c r="KDW44" s="214"/>
      <c r="KDX44" s="214"/>
      <c r="KDY44" s="214"/>
      <c r="KDZ44" s="214"/>
      <c r="KEA44" s="214"/>
      <c r="KEB44" s="214"/>
      <c r="KEC44" s="214"/>
      <c r="KED44" s="214"/>
      <c r="KEE44" s="214"/>
      <c r="KEF44" s="214"/>
      <c r="KEG44" s="214"/>
      <c r="KEH44" s="214"/>
      <c r="KEI44" s="214"/>
      <c r="KEJ44" s="214"/>
      <c r="KEK44" s="214"/>
      <c r="KEL44" s="214"/>
      <c r="KEM44" s="214"/>
      <c r="KEN44" s="214"/>
      <c r="KEO44" s="214"/>
      <c r="KEP44" s="214"/>
      <c r="KEQ44" s="214"/>
      <c r="KER44" s="214"/>
      <c r="KES44" s="214"/>
      <c r="KET44" s="214"/>
      <c r="KEU44" s="214"/>
      <c r="KEV44" s="214"/>
      <c r="KEW44" s="214"/>
      <c r="KEX44" s="214"/>
      <c r="KEY44" s="214"/>
      <c r="KEZ44" s="214"/>
      <c r="KFA44" s="214"/>
      <c r="KFB44" s="214"/>
      <c r="KFC44" s="214"/>
      <c r="KFD44" s="214"/>
      <c r="KFE44" s="214"/>
      <c r="KFF44" s="214"/>
      <c r="KFG44" s="214"/>
      <c r="KFH44" s="214"/>
      <c r="KFI44" s="214"/>
      <c r="KFJ44" s="214"/>
      <c r="KFK44" s="214"/>
      <c r="KFL44" s="214"/>
      <c r="KFM44" s="214"/>
      <c r="KFN44" s="214"/>
      <c r="KFO44" s="214"/>
      <c r="KFP44" s="214"/>
      <c r="KFQ44" s="214"/>
      <c r="KFR44" s="214"/>
      <c r="KFS44" s="214"/>
      <c r="KFT44" s="214"/>
      <c r="KFU44" s="214"/>
      <c r="KFV44" s="214"/>
      <c r="KFW44" s="214"/>
      <c r="KFX44" s="214"/>
      <c r="KFY44" s="214"/>
      <c r="KFZ44" s="214"/>
      <c r="KGA44" s="214"/>
      <c r="KGB44" s="214"/>
      <c r="KGC44" s="214"/>
      <c r="KGD44" s="214"/>
      <c r="KGE44" s="214"/>
      <c r="KGF44" s="214"/>
      <c r="KGG44" s="214"/>
      <c r="KGH44" s="214"/>
      <c r="KGI44" s="214"/>
      <c r="KGJ44" s="214"/>
      <c r="KGK44" s="214"/>
      <c r="KGL44" s="214"/>
      <c r="KGM44" s="214"/>
      <c r="KGN44" s="214"/>
      <c r="KGO44" s="214"/>
      <c r="KGP44" s="214"/>
      <c r="KGQ44" s="214"/>
      <c r="KGR44" s="214"/>
      <c r="KGS44" s="214"/>
      <c r="KGT44" s="214"/>
      <c r="KGU44" s="214"/>
      <c r="KGV44" s="214"/>
      <c r="KGW44" s="214"/>
      <c r="KGX44" s="214"/>
      <c r="KGY44" s="214"/>
      <c r="KGZ44" s="214"/>
      <c r="KHA44" s="214"/>
      <c r="KHB44" s="214"/>
      <c r="KHC44" s="214"/>
      <c r="KHD44" s="214"/>
      <c r="KHE44" s="214"/>
      <c r="KHF44" s="214"/>
      <c r="KHG44" s="214"/>
      <c r="KHH44" s="214"/>
      <c r="KHI44" s="214"/>
      <c r="KHJ44" s="214"/>
      <c r="KHK44" s="214"/>
      <c r="KHL44" s="214"/>
      <c r="KHM44" s="214"/>
      <c r="KHN44" s="214"/>
      <c r="KHO44" s="214"/>
      <c r="KHP44" s="214"/>
      <c r="KHQ44" s="214"/>
      <c r="KHR44" s="214"/>
      <c r="KHS44" s="214"/>
      <c r="KHT44" s="214"/>
      <c r="KHU44" s="214"/>
      <c r="KHV44" s="214"/>
      <c r="KHW44" s="214"/>
      <c r="KHX44" s="214"/>
      <c r="KHY44" s="214"/>
      <c r="KHZ44" s="214"/>
      <c r="KIA44" s="214"/>
      <c r="KIB44" s="214"/>
      <c r="KIC44" s="214"/>
      <c r="KID44" s="214"/>
      <c r="KIE44" s="214"/>
      <c r="KIF44" s="214"/>
      <c r="KIG44" s="214"/>
      <c r="KIH44" s="214"/>
      <c r="KII44" s="214"/>
      <c r="KIJ44" s="214"/>
      <c r="KIK44" s="214"/>
      <c r="KIL44" s="214"/>
      <c r="KIM44" s="214"/>
      <c r="KIN44" s="214"/>
      <c r="KIO44" s="214"/>
      <c r="KIP44" s="214"/>
      <c r="KIQ44" s="214"/>
      <c r="KIR44" s="214"/>
      <c r="KIS44" s="214"/>
      <c r="KIT44" s="214"/>
      <c r="KIU44" s="214"/>
      <c r="KIV44" s="214"/>
      <c r="KIW44" s="214"/>
      <c r="KIX44" s="214"/>
      <c r="KIY44" s="214"/>
      <c r="KIZ44" s="214"/>
      <c r="KJA44" s="214"/>
      <c r="KJB44" s="214"/>
      <c r="KJC44" s="214"/>
      <c r="KJD44" s="214"/>
      <c r="KJE44" s="214"/>
      <c r="KJF44" s="214"/>
      <c r="KJG44" s="214"/>
      <c r="KJH44" s="214"/>
      <c r="KJI44" s="214"/>
      <c r="KJJ44" s="214"/>
      <c r="KJK44" s="214"/>
      <c r="KJL44" s="214"/>
      <c r="KJM44" s="214"/>
      <c r="KJN44" s="214"/>
      <c r="KJO44" s="214"/>
      <c r="KJP44" s="214"/>
      <c r="KJQ44" s="214"/>
      <c r="KJR44" s="214"/>
      <c r="KJS44" s="214"/>
      <c r="KJT44" s="214"/>
      <c r="KJU44" s="214"/>
      <c r="KJV44" s="214"/>
      <c r="KJW44" s="214"/>
      <c r="KJX44" s="214"/>
      <c r="KJY44" s="214"/>
      <c r="KJZ44" s="214"/>
      <c r="KKA44" s="214"/>
      <c r="KKB44" s="214"/>
      <c r="KKC44" s="214"/>
      <c r="KKD44" s="214"/>
      <c r="KKE44" s="214"/>
      <c r="KKF44" s="214"/>
      <c r="KKG44" s="214"/>
      <c r="KKH44" s="214"/>
      <c r="KKI44" s="214"/>
      <c r="KKJ44" s="214"/>
      <c r="KKK44" s="214"/>
      <c r="KKL44" s="214"/>
      <c r="KKM44" s="214"/>
      <c r="KKN44" s="214"/>
      <c r="KKO44" s="214"/>
      <c r="KKP44" s="214"/>
      <c r="KKQ44" s="214"/>
      <c r="KKR44" s="214"/>
      <c r="KKS44" s="214"/>
      <c r="KKT44" s="214"/>
      <c r="KKU44" s="214"/>
      <c r="KKV44" s="214"/>
      <c r="KKW44" s="214"/>
      <c r="KKX44" s="214"/>
      <c r="KKY44" s="214"/>
      <c r="KKZ44" s="214"/>
      <c r="KLA44" s="214"/>
      <c r="KLB44" s="214"/>
      <c r="KLC44" s="214"/>
      <c r="KLD44" s="214"/>
      <c r="KLE44" s="214"/>
      <c r="KLF44" s="214"/>
      <c r="KLG44" s="214"/>
      <c r="KLH44" s="214"/>
      <c r="KLI44" s="214"/>
      <c r="KLJ44" s="214"/>
      <c r="KLK44" s="214"/>
      <c r="KLL44" s="214"/>
      <c r="KLM44" s="214"/>
      <c r="KLN44" s="214"/>
      <c r="KLO44" s="214"/>
      <c r="KLP44" s="214"/>
      <c r="KLQ44" s="214"/>
      <c r="KLR44" s="214"/>
      <c r="KLS44" s="214"/>
      <c r="KLT44" s="214"/>
      <c r="KLU44" s="214"/>
      <c r="KLV44" s="214"/>
      <c r="KLW44" s="214"/>
      <c r="KLX44" s="214"/>
      <c r="KLY44" s="214"/>
      <c r="KLZ44" s="214"/>
      <c r="KMA44" s="214"/>
      <c r="KMB44" s="214"/>
      <c r="KMC44" s="214"/>
      <c r="KMD44" s="214"/>
      <c r="KME44" s="214"/>
      <c r="KMF44" s="214"/>
      <c r="KMG44" s="214"/>
      <c r="KMH44" s="214"/>
      <c r="KMI44" s="214"/>
      <c r="KMJ44" s="214"/>
      <c r="KMK44" s="214"/>
      <c r="KML44" s="214"/>
      <c r="KMM44" s="214"/>
      <c r="KMN44" s="214"/>
      <c r="KMO44" s="214"/>
      <c r="KMP44" s="214"/>
      <c r="KMQ44" s="214"/>
      <c r="KMR44" s="214"/>
      <c r="KMS44" s="214"/>
      <c r="KMT44" s="214"/>
      <c r="KMU44" s="214"/>
      <c r="KMV44" s="214"/>
      <c r="KMW44" s="214"/>
      <c r="KMX44" s="214"/>
      <c r="KMY44" s="214"/>
      <c r="KMZ44" s="214"/>
      <c r="KNA44" s="214"/>
      <c r="KNB44" s="214"/>
      <c r="KNC44" s="214"/>
      <c r="KND44" s="214"/>
      <c r="KNE44" s="214"/>
      <c r="KNF44" s="214"/>
      <c r="KNG44" s="214"/>
      <c r="KNH44" s="214"/>
      <c r="KNI44" s="214"/>
      <c r="KNJ44" s="214"/>
      <c r="KNK44" s="214"/>
      <c r="KNL44" s="214"/>
      <c r="KNM44" s="214"/>
      <c r="KNN44" s="214"/>
      <c r="KNO44" s="214"/>
      <c r="KNP44" s="214"/>
      <c r="KNQ44" s="214"/>
      <c r="KNR44" s="214"/>
      <c r="KNS44" s="214"/>
      <c r="KNT44" s="214"/>
      <c r="KNU44" s="214"/>
      <c r="KNV44" s="214"/>
      <c r="KNW44" s="214"/>
      <c r="KNX44" s="214"/>
      <c r="KNY44" s="214"/>
      <c r="KNZ44" s="214"/>
      <c r="KOA44" s="214"/>
      <c r="KOB44" s="214"/>
      <c r="KOC44" s="214"/>
      <c r="KOD44" s="214"/>
      <c r="KOE44" s="214"/>
      <c r="KOF44" s="214"/>
      <c r="KOG44" s="214"/>
      <c r="KOH44" s="214"/>
      <c r="KOI44" s="214"/>
      <c r="KOJ44" s="214"/>
      <c r="KOK44" s="214"/>
      <c r="KOL44" s="214"/>
      <c r="KOM44" s="214"/>
      <c r="KON44" s="214"/>
      <c r="KOO44" s="214"/>
      <c r="KOP44" s="214"/>
      <c r="KOQ44" s="214"/>
      <c r="KOR44" s="214"/>
      <c r="KOS44" s="214"/>
      <c r="KOT44" s="214"/>
      <c r="KOU44" s="214"/>
      <c r="KOV44" s="214"/>
      <c r="KOW44" s="214"/>
      <c r="KOX44" s="214"/>
      <c r="KOY44" s="214"/>
      <c r="KOZ44" s="214"/>
      <c r="KPA44" s="214"/>
      <c r="KPB44" s="214"/>
      <c r="KPC44" s="214"/>
      <c r="KPD44" s="214"/>
      <c r="KPE44" s="214"/>
      <c r="KPF44" s="214"/>
      <c r="KPG44" s="214"/>
      <c r="KPH44" s="214"/>
      <c r="KPI44" s="214"/>
      <c r="KPJ44" s="214"/>
      <c r="KPK44" s="214"/>
      <c r="KPL44" s="214"/>
      <c r="KPM44" s="214"/>
      <c r="KPN44" s="214"/>
      <c r="KPO44" s="214"/>
      <c r="KPP44" s="214"/>
      <c r="KPQ44" s="214"/>
      <c r="KPR44" s="214"/>
      <c r="KPS44" s="214"/>
      <c r="KPT44" s="214"/>
      <c r="KPU44" s="214"/>
      <c r="KPV44" s="214"/>
      <c r="KPW44" s="214"/>
      <c r="KPX44" s="214"/>
      <c r="KPY44" s="214"/>
      <c r="KPZ44" s="214"/>
      <c r="KQA44" s="214"/>
      <c r="KQB44" s="214"/>
      <c r="KQC44" s="214"/>
      <c r="KQD44" s="214"/>
      <c r="KQE44" s="214"/>
      <c r="KQF44" s="214"/>
      <c r="KQG44" s="214"/>
      <c r="KQH44" s="214"/>
      <c r="KQI44" s="214"/>
      <c r="KQJ44" s="214"/>
      <c r="KQK44" s="214"/>
      <c r="KQL44" s="214"/>
      <c r="KQM44" s="214"/>
      <c r="KQN44" s="214"/>
      <c r="KQO44" s="214"/>
      <c r="KQP44" s="214"/>
      <c r="KQQ44" s="214"/>
      <c r="KQR44" s="214"/>
      <c r="KQS44" s="214"/>
      <c r="KQT44" s="214"/>
      <c r="KQU44" s="214"/>
      <c r="KQV44" s="214"/>
      <c r="KQW44" s="214"/>
      <c r="KQX44" s="214"/>
      <c r="KQY44" s="214"/>
      <c r="KQZ44" s="214"/>
      <c r="KRA44" s="214"/>
      <c r="KRB44" s="214"/>
      <c r="KRC44" s="214"/>
      <c r="KRD44" s="214"/>
      <c r="KRE44" s="214"/>
      <c r="KRF44" s="214"/>
      <c r="KRG44" s="214"/>
      <c r="KRH44" s="214"/>
      <c r="KRI44" s="214"/>
      <c r="KRJ44" s="214"/>
      <c r="KRK44" s="214"/>
      <c r="KRL44" s="214"/>
      <c r="KRM44" s="214"/>
      <c r="KRN44" s="214"/>
      <c r="KRO44" s="214"/>
      <c r="KRP44" s="214"/>
      <c r="KRQ44" s="214"/>
      <c r="KRR44" s="214"/>
      <c r="KRS44" s="214"/>
      <c r="KRT44" s="214"/>
      <c r="KRU44" s="214"/>
      <c r="KRV44" s="214"/>
      <c r="KRW44" s="214"/>
      <c r="KRX44" s="214"/>
      <c r="KRY44" s="214"/>
      <c r="KRZ44" s="214"/>
      <c r="KSA44" s="214"/>
      <c r="KSB44" s="214"/>
      <c r="KSC44" s="214"/>
      <c r="KSD44" s="214"/>
      <c r="KSE44" s="214"/>
      <c r="KSF44" s="214"/>
      <c r="KSG44" s="214"/>
      <c r="KSH44" s="214"/>
      <c r="KSI44" s="214"/>
      <c r="KSJ44" s="214"/>
      <c r="KSK44" s="214"/>
      <c r="KSL44" s="214"/>
      <c r="KSM44" s="214"/>
      <c r="KSN44" s="214"/>
      <c r="KSO44" s="214"/>
      <c r="KSP44" s="214"/>
      <c r="KSQ44" s="214"/>
      <c r="KSR44" s="214"/>
      <c r="KSS44" s="214"/>
      <c r="KST44" s="214"/>
      <c r="KSU44" s="214"/>
      <c r="KSV44" s="214"/>
      <c r="KSW44" s="214"/>
      <c r="KSX44" s="214"/>
      <c r="KSY44" s="214"/>
      <c r="KSZ44" s="214"/>
      <c r="KTA44" s="214"/>
      <c r="KTB44" s="214"/>
      <c r="KTC44" s="214"/>
      <c r="KTD44" s="214"/>
      <c r="KTE44" s="214"/>
      <c r="KTF44" s="214"/>
      <c r="KTG44" s="214"/>
      <c r="KTH44" s="214"/>
      <c r="KTI44" s="214"/>
      <c r="KTJ44" s="214"/>
      <c r="KTK44" s="214"/>
      <c r="KTL44" s="214"/>
      <c r="KTM44" s="214"/>
      <c r="KTN44" s="214"/>
      <c r="KTO44" s="214"/>
      <c r="KTP44" s="214"/>
      <c r="KTQ44" s="214"/>
      <c r="KTR44" s="214"/>
      <c r="KTS44" s="214"/>
      <c r="KTT44" s="214"/>
      <c r="KTU44" s="214"/>
      <c r="KTV44" s="214"/>
      <c r="KTW44" s="214"/>
      <c r="KTX44" s="214"/>
      <c r="KTY44" s="214"/>
      <c r="KTZ44" s="214"/>
      <c r="KUA44" s="214"/>
      <c r="KUB44" s="214"/>
      <c r="KUC44" s="214"/>
      <c r="KUD44" s="214"/>
      <c r="KUE44" s="214"/>
      <c r="KUF44" s="214"/>
      <c r="KUG44" s="214"/>
      <c r="KUH44" s="214"/>
      <c r="KUI44" s="214"/>
      <c r="KUJ44" s="214"/>
      <c r="KUK44" s="214"/>
      <c r="KUL44" s="214"/>
      <c r="KUM44" s="214"/>
      <c r="KUN44" s="214"/>
      <c r="KUO44" s="214"/>
      <c r="KUP44" s="214"/>
      <c r="KUQ44" s="214"/>
      <c r="KUR44" s="214"/>
      <c r="KUS44" s="214"/>
      <c r="KUT44" s="214"/>
      <c r="KUU44" s="214"/>
      <c r="KUV44" s="214"/>
      <c r="KUW44" s="214"/>
      <c r="KUX44" s="214"/>
      <c r="KUY44" s="214"/>
      <c r="KUZ44" s="214"/>
      <c r="KVA44" s="214"/>
      <c r="KVB44" s="214"/>
      <c r="KVC44" s="214"/>
      <c r="KVD44" s="214"/>
      <c r="KVE44" s="214"/>
      <c r="KVF44" s="214"/>
      <c r="KVG44" s="214"/>
      <c r="KVH44" s="214"/>
      <c r="KVI44" s="214"/>
      <c r="KVJ44" s="214"/>
      <c r="KVK44" s="214"/>
      <c r="KVL44" s="214"/>
      <c r="KVM44" s="214"/>
      <c r="KVN44" s="214"/>
      <c r="KVO44" s="214"/>
      <c r="KVP44" s="214"/>
      <c r="KVQ44" s="214"/>
      <c r="KVR44" s="214"/>
      <c r="KVS44" s="214"/>
      <c r="KVT44" s="214"/>
      <c r="KVU44" s="214"/>
      <c r="KVV44" s="214"/>
      <c r="KVW44" s="214"/>
      <c r="KVX44" s="214"/>
      <c r="KVY44" s="214"/>
      <c r="KVZ44" s="214"/>
      <c r="KWA44" s="214"/>
      <c r="KWB44" s="214"/>
      <c r="KWC44" s="214"/>
      <c r="KWD44" s="214"/>
      <c r="KWE44" s="214"/>
      <c r="KWF44" s="214"/>
      <c r="KWG44" s="214"/>
      <c r="KWH44" s="214"/>
      <c r="KWI44" s="214"/>
      <c r="KWJ44" s="214"/>
      <c r="KWK44" s="214"/>
      <c r="KWL44" s="214"/>
      <c r="KWM44" s="214"/>
      <c r="KWN44" s="214"/>
      <c r="KWO44" s="214"/>
      <c r="KWP44" s="214"/>
      <c r="KWQ44" s="214"/>
      <c r="KWR44" s="214"/>
      <c r="KWS44" s="214"/>
      <c r="KWT44" s="214"/>
      <c r="KWU44" s="214"/>
      <c r="KWV44" s="214"/>
      <c r="KWW44" s="214"/>
      <c r="KWX44" s="214"/>
      <c r="KWY44" s="214"/>
      <c r="KWZ44" s="214"/>
      <c r="KXA44" s="214"/>
      <c r="KXB44" s="214"/>
      <c r="KXC44" s="214"/>
      <c r="KXD44" s="214"/>
      <c r="KXE44" s="214"/>
      <c r="KXF44" s="214"/>
      <c r="KXG44" s="214"/>
      <c r="KXH44" s="214"/>
      <c r="KXI44" s="214"/>
      <c r="KXJ44" s="214"/>
      <c r="KXK44" s="214"/>
      <c r="KXL44" s="214"/>
      <c r="KXM44" s="214"/>
      <c r="KXN44" s="214"/>
      <c r="KXO44" s="214"/>
      <c r="KXP44" s="214"/>
      <c r="KXQ44" s="214"/>
      <c r="KXR44" s="214"/>
      <c r="KXS44" s="214"/>
      <c r="KXT44" s="214"/>
      <c r="KXU44" s="214"/>
      <c r="KXV44" s="214"/>
      <c r="KXW44" s="214"/>
      <c r="KXX44" s="214"/>
      <c r="KXY44" s="214"/>
      <c r="KXZ44" s="214"/>
      <c r="KYA44" s="214"/>
      <c r="KYB44" s="214"/>
      <c r="KYC44" s="214"/>
      <c r="KYD44" s="214"/>
      <c r="KYE44" s="214"/>
      <c r="KYF44" s="214"/>
      <c r="KYG44" s="214"/>
      <c r="KYH44" s="214"/>
      <c r="KYI44" s="214"/>
      <c r="KYJ44" s="214"/>
      <c r="KYK44" s="214"/>
      <c r="KYL44" s="214"/>
      <c r="KYM44" s="214"/>
      <c r="KYN44" s="214"/>
      <c r="KYO44" s="214"/>
      <c r="KYP44" s="214"/>
      <c r="KYQ44" s="214"/>
      <c r="KYR44" s="214"/>
      <c r="KYS44" s="214"/>
      <c r="KYT44" s="214"/>
      <c r="KYU44" s="214"/>
      <c r="KYV44" s="214"/>
      <c r="KYW44" s="214"/>
      <c r="KYX44" s="214"/>
      <c r="KYY44" s="214"/>
      <c r="KYZ44" s="214"/>
      <c r="KZA44" s="214"/>
      <c r="KZB44" s="214"/>
      <c r="KZC44" s="214"/>
      <c r="KZD44" s="214"/>
      <c r="KZE44" s="214"/>
      <c r="KZF44" s="214"/>
      <c r="KZG44" s="214"/>
      <c r="KZH44" s="214"/>
      <c r="KZI44" s="214"/>
      <c r="KZJ44" s="214"/>
      <c r="KZK44" s="214"/>
      <c r="KZL44" s="214"/>
      <c r="KZM44" s="214"/>
      <c r="KZN44" s="214"/>
      <c r="KZO44" s="214"/>
      <c r="KZP44" s="214"/>
      <c r="KZQ44" s="214"/>
      <c r="KZR44" s="214"/>
      <c r="KZS44" s="214"/>
      <c r="KZT44" s="214"/>
      <c r="KZU44" s="214"/>
      <c r="KZV44" s="214"/>
      <c r="KZW44" s="214"/>
      <c r="KZX44" s="214"/>
      <c r="KZY44" s="214"/>
      <c r="KZZ44" s="214"/>
      <c r="LAA44" s="214"/>
      <c r="LAB44" s="214"/>
      <c r="LAC44" s="214"/>
      <c r="LAD44" s="214"/>
      <c r="LAE44" s="214"/>
      <c r="LAF44" s="214"/>
      <c r="LAG44" s="214"/>
      <c r="LAH44" s="214"/>
      <c r="LAI44" s="214"/>
      <c r="LAJ44" s="214"/>
      <c r="LAK44" s="214"/>
      <c r="LAL44" s="214"/>
      <c r="LAM44" s="214"/>
      <c r="LAN44" s="214"/>
      <c r="LAO44" s="214"/>
      <c r="LAP44" s="214"/>
      <c r="LAQ44" s="214"/>
      <c r="LAR44" s="214"/>
      <c r="LAS44" s="214"/>
      <c r="LAT44" s="214"/>
      <c r="LAU44" s="214"/>
      <c r="LAV44" s="214"/>
      <c r="LAW44" s="214"/>
      <c r="LAX44" s="214"/>
      <c r="LAY44" s="214"/>
      <c r="LAZ44" s="214"/>
      <c r="LBA44" s="214"/>
      <c r="LBB44" s="214"/>
      <c r="LBC44" s="214"/>
      <c r="LBD44" s="214"/>
      <c r="LBE44" s="214"/>
      <c r="LBF44" s="214"/>
      <c r="LBG44" s="214"/>
      <c r="LBH44" s="214"/>
      <c r="LBI44" s="214"/>
      <c r="LBJ44" s="214"/>
      <c r="LBK44" s="214"/>
      <c r="LBL44" s="214"/>
      <c r="LBM44" s="214"/>
      <c r="LBN44" s="214"/>
      <c r="LBO44" s="214"/>
      <c r="LBP44" s="214"/>
      <c r="LBQ44" s="214"/>
      <c r="LBR44" s="214"/>
      <c r="LBS44" s="214"/>
      <c r="LBT44" s="214"/>
      <c r="LBU44" s="214"/>
      <c r="LBV44" s="214"/>
      <c r="LBW44" s="214"/>
      <c r="LBX44" s="214"/>
      <c r="LBY44" s="214"/>
      <c r="LBZ44" s="214"/>
      <c r="LCA44" s="214"/>
      <c r="LCB44" s="214"/>
      <c r="LCC44" s="214"/>
      <c r="LCD44" s="214"/>
      <c r="LCE44" s="214"/>
      <c r="LCF44" s="214"/>
      <c r="LCG44" s="214"/>
      <c r="LCH44" s="214"/>
      <c r="LCI44" s="214"/>
      <c r="LCJ44" s="214"/>
      <c r="LCK44" s="214"/>
      <c r="LCL44" s="214"/>
      <c r="LCM44" s="214"/>
      <c r="LCN44" s="214"/>
      <c r="LCO44" s="214"/>
      <c r="LCP44" s="214"/>
      <c r="LCQ44" s="214"/>
      <c r="LCR44" s="214"/>
      <c r="LCS44" s="214"/>
      <c r="LCT44" s="214"/>
      <c r="LCU44" s="214"/>
      <c r="LCV44" s="214"/>
      <c r="LCW44" s="214"/>
      <c r="LCX44" s="214"/>
      <c r="LCY44" s="214"/>
      <c r="LCZ44" s="214"/>
      <c r="LDA44" s="214"/>
      <c r="LDB44" s="214"/>
      <c r="LDC44" s="214"/>
      <c r="LDD44" s="214"/>
      <c r="LDE44" s="214"/>
      <c r="LDF44" s="214"/>
      <c r="LDG44" s="214"/>
      <c r="LDH44" s="214"/>
      <c r="LDI44" s="214"/>
      <c r="LDJ44" s="214"/>
      <c r="LDK44" s="214"/>
      <c r="LDL44" s="214"/>
      <c r="LDM44" s="214"/>
      <c r="LDN44" s="214"/>
      <c r="LDO44" s="214"/>
      <c r="LDP44" s="214"/>
      <c r="LDQ44" s="214"/>
      <c r="LDR44" s="214"/>
      <c r="LDS44" s="214"/>
      <c r="LDT44" s="214"/>
      <c r="LDU44" s="214"/>
      <c r="LDV44" s="214"/>
      <c r="LDW44" s="214"/>
      <c r="LDX44" s="214"/>
      <c r="LDY44" s="214"/>
      <c r="LDZ44" s="214"/>
      <c r="LEA44" s="214"/>
      <c r="LEB44" s="214"/>
      <c r="LEC44" s="214"/>
      <c r="LED44" s="214"/>
      <c r="LEE44" s="214"/>
      <c r="LEF44" s="214"/>
      <c r="LEG44" s="214"/>
      <c r="LEH44" s="214"/>
      <c r="LEI44" s="214"/>
      <c r="LEJ44" s="214"/>
      <c r="LEK44" s="214"/>
      <c r="LEL44" s="214"/>
      <c r="LEM44" s="214"/>
      <c r="LEN44" s="214"/>
      <c r="LEO44" s="214"/>
      <c r="LEP44" s="214"/>
      <c r="LEQ44" s="214"/>
      <c r="LER44" s="214"/>
      <c r="LES44" s="214"/>
      <c r="LET44" s="214"/>
      <c r="LEU44" s="214"/>
      <c r="LEV44" s="214"/>
      <c r="LEW44" s="214"/>
      <c r="LEX44" s="214"/>
      <c r="LEY44" s="214"/>
      <c r="LEZ44" s="214"/>
      <c r="LFA44" s="214"/>
      <c r="LFB44" s="214"/>
      <c r="LFC44" s="214"/>
      <c r="LFD44" s="214"/>
      <c r="LFE44" s="214"/>
      <c r="LFF44" s="214"/>
      <c r="LFG44" s="214"/>
      <c r="LFH44" s="214"/>
      <c r="LFI44" s="214"/>
      <c r="LFJ44" s="214"/>
      <c r="LFK44" s="214"/>
      <c r="LFL44" s="214"/>
      <c r="LFM44" s="214"/>
      <c r="LFN44" s="214"/>
      <c r="LFO44" s="214"/>
      <c r="LFP44" s="214"/>
      <c r="LFQ44" s="214"/>
      <c r="LFR44" s="214"/>
      <c r="LFS44" s="214"/>
      <c r="LFT44" s="214"/>
      <c r="LFU44" s="214"/>
      <c r="LFV44" s="214"/>
      <c r="LFW44" s="214"/>
      <c r="LFX44" s="214"/>
      <c r="LFY44" s="214"/>
      <c r="LFZ44" s="214"/>
      <c r="LGA44" s="214"/>
      <c r="LGB44" s="214"/>
      <c r="LGC44" s="214"/>
      <c r="LGD44" s="214"/>
      <c r="LGE44" s="214"/>
      <c r="LGF44" s="214"/>
      <c r="LGG44" s="214"/>
      <c r="LGH44" s="214"/>
      <c r="LGI44" s="214"/>
      <c r="LGJ44" s="214"/>
      <c r="LGK44" s="214"/>
      <c r="LGL44" s="214"/>
      <c r="LGM44" s="214"/>
      <c r="LGN44" s="214"/>
      <c r="LGO44" s="214"/>
      <c r="LGP44" s="214"/>
      <c r="LGQ44" s="214"/>
      <c r="LGR44" s="214"/>
      <c r="LGS44" s="214"/>
      <c r="LGT44" s="214"/>
      <c r="LGU44" s="214"/>
      <c r="LGV44" s="214"/>
      <c r="LGW44" s="214"/>
      <c r="LGX44" s="214"/>
      <c r="LGY44" s="214"/>
      <c r="LGZ44" s="214"/>
      <c r="LHA44" s="214"/>
      <c r="LHB44" s="214"/>
      <c r="LHC44" s="214"/>
      <c r="LHD44" s="214"/>
      <c r="LHE44" s="214"/>
      <c r="LHF44" s="214"/>
      <c r="LHG44" s="214"/>
      <c r="LHH44" s="214"/>
      <c r="LHI44" s="214"/>
      <c r="LHJ44" s="214"/>
      <c r="LHK44" s="214"/>
      <c r="LHL44" s="214"/>
      <c r="LHM44" s="214"/>
      <c r="LHN44" s="214"/>
      <c r="LHO44" s="214"/>
      <c r="LHP44" s="214"/>
      <c r="LHQ44" s="214"/>
      <c r="LHR44" s="214"/>
      <c r="LHS44" s="214"/>
      <c r="LHT44" s="214"/>
      <c r="LHU44" s="214"/>
      <c r="LHV44" s="214"/>
      <c r="LHW44" s="214"/>
      <c r="LHX44" s="214"/>
      <c r="LHY44" s="214"/>
      <c r="LHZ44" s="214"/>
      <c r="LIA44" s="214"/>
      <c r="LIB44" s="214"/>
      <c r="LIC44" s="214"/>
      <c r="LID44" s="214"/>
      <c r="LIE44" s="214"/>
      <c r="LIF44" s="214"/>
      <c r="LIG44" s="214"/>
      <c r="LIH44" s="214"/>
      <c r="LII44" s="214"/>
      <c r="LIJ44" s="214"/>
      <c r="LIK44" s="214"/>
      <c r="LIL44" s="214"/>
      <c r="LIM44" s="214"/>
      <c r="LIN44" s="214"/>
      <c r="LIO44" s="214"/>
      <c r="LIP44" s="214"/>
      <c r="LIQ44" s="214"/>
      <c r="LIR44" s="214"/>
      <c r="LIS44" s="214"/>
      <c r="LIT44" s="214"/>
      <c r="LIU44" s="214"/>
      <c r="LIV44" s="214"/>
      <c r="LIW44" s="214"/>
      <c r="LIX44" s="214"/>
      <c r="LIY44" s="214"/>
      <c r="LIZ44" s="214"/>
      <c r="LJA44" s="214"/>
      <c r="LJB44" s="214"/>
      <c r="LJC44" s="214"/>
      <c r="LJD44" s="214"/>
      <c r="LJE44" s="214"/>
      <c r="LJF44" s="214"/>
      <c r="LJG44" s="214"/>
      <c r="LJH44" s="214"/>
      <c r="LJI44" s="214"/>
      <c r="LJJ44" s="214"/>
      <c r="LJK44" s="214"/>
      <c r="LJL44" s="214"/>
      <c r="LJM44" s="214"/>
      <c r="LJN44" s="214"/>
      <c r="LJO44" s="214"/>
      <c r="LJP44" s="214"/>
      <c r="LJQ44" s="214"/>
      <c r="LJR44" s="214"/>
      <c r="LJS44" s="214"/>
      <c r="LJT44" s="214"/>
      <c r="LJU44" s="214"/>
      <c r="LJV44" s="214"/>
      <c r="LJW44" s="214"/>
      <c r="LJX44" s="214"/>
      <c r="LJY44" s="214"/>
      <c r="LJZ44" s="214"/>
      <c r="LKA44" s="214"/>
      <c r="LKB44" s="214"/>
      <c r="LKC44" s="214"/>
      <c r="LKD44" s="214"/>
      <c r="LKE44" s="214"/>
      <c r="LKF44" s="214"/>
      <c r="LKG44" s="214"/>
      <c r="LKH44" s="214"/>
      <c r="LKI44" s="214"/>
      <c r="LKJ44" s="214"/>
      <c r="LKK44" s="214"/>
      <c r="LKL44" s="214"/>
      <c r="LKM44" s="214"/>
      <c r="LKN44" s="214"/>
      <c r="LKO44" s="214"/>
      <c r="LKP44" s="214"/>
      <c r="LKQ44" s="214"/>
      <c r="LKR44" s="214"/>
      <c r="LKS44" s="214"/>
      <c r="LKT44" s="214"/>
      <c r="LKU44" s="214"/>
      <c r="LKV44" s="214"/>
      <c r="LKW44" s="214"/>
      <c r="LKX44" s="214"/>
      <c r="LKY44" s="214"/>
      <c r="LKZ44" s="214"/>
      <c r="LLA44" s="214"/>
      <c r="LLB44" s="214"/>
      <c r="LLC44" s="214"/>
      <c r="LLD44" s="214"/>
      <c r="LLE44" s="214"/>
      <c r="LLF44" s="214"/>
      <c r="LLG44" s="214"/>
      <c r="LLH44" s="214"/>
      <c r="LLI44" s="214"/>
      <c r="LLJ44" s="214"/>
      <c r="LLK44" s="214"/>
      <c r="LLL44" s="214"/>
      <c r="LLM44" s="214"/>
      <c r="LLN44" s="214"/>
      <c r="LLO44" s="214"/>
      <c r="LLP44" s="214"/>
      <c r="LLQ44" s="214"/>
      <c r="LLR44" s="214"/>
      <c r="LLS44" s="214"/>
      <c r="LLT44" s="214"/>
      <c r="LLU44" s="214"/>
      <c r="LLV44" s="214"/>
      <c r="LLW44" s="214"/>
      <c r="LLX44" s="214"/>
      <c r="LLY44" s="214"/>
      <c r="LLZ44" s="214"/>
      <c r="LMA44" s="214"/>
      <c r="LMB44" s="214"/>
      <c r="LMC44" s="214"/>
      <c r="LMD44" s="214"/>
      <c r="LME44" s="214"/>
      <c r="LMF44" s="214"/>
      <c r="LMG44" s="214"/>
      <c r="LMH44" s="214"/>
      <c r="LMI44" s="214"/>
      <c r="LMJ44" s="214"/>
      <c r="LMK44" s="214"/>
      <c r="LML44" s="214"/>
      <c r="LMM44" s="214"/>
      <c r="LMN44" s="214"/>
      <c r="LMO44" s="214"/>
      <c r="LMP44" s="214"/>
      <c r="LMQ44" s="214"/>
      <c r="LMR44" s="214"/>
      <c r="LMS44" s="214"/>
      <c r="LMT44" s="214"/>
      <c r="LMU44" s="214"/>
      <c r="LMV44" s="214"/>
      <c r="LMW44" s="214"/>
      <c r="LMX44" s="214"/>
      <c r="LMY44" s="214"/>
      <c r="LMZ44" s="214"/>
      <c r="LNA44" s="214"/>
      <c r="LNB44" s="214"/>
      <c r="LNC44" s="214"/>
      <c r="LND44" s="214"/>
      <c r="LNE44" s="214"/>
      <c r="LNF44" s="214"/>
      <c r="LNG44" s="214"/>
      <c r="LNH44" s="214"/>
      <c r="LNI44" s="214"/>
      <c r="LNJ44" s="214"/>
      <c r="LNK44" s="214"/>
      <c r="LNL44" s="214"/>
      <c r="LNM44" s="214"/>
      <c r="LNN44" s="214"/>
      <c r="LNO44" s="214"/>
      <c r="LNP44" s="214"/>
      <c r="LNQ44" s="214"/>
      <c r="LNR44" s="214"/>
      <c r="LNS44" s="214"/>
      <c r="LNT44" s="214"/>
      <c r="LNU44" s="214"/>
      <c r="LNV44" s="214"/>
      <c r="LNW44" s="214"/>
      <c r="LNX44" s="214"/>
      <c r="LNY44" s="214"/>
      <c r="LNZ44" s="214"/>
      <c r="LOA44" s="214"/>
      <c r="LOB44" s="214"/>
      <c r="LOC44" s="214"/>
      <c r="LOD44" s="214"/>
      <c r="LOE44" s="214"/>
      <c r="LOF44" s="214"/>
      <c r="LOG44" s="214"/>
      <c r="LOH44" s="214"/>
      <c r="LOI44" s="214"/>
      <c r="LOJ44" s="214"/>
      <c r="LOK44" s="214"/>
      <c r="LOL44" s="214"/>
      <c r="LOM44" s="214"/>
      <c r="LON44" s="214"/>
      <c r="LOO44" s="214"/>
      <c r="LOP44" s="214"/>
      <c r="LOQ44" s="214"/>
      <c r="LOR44" s="214"/>
      <c r="LOS44" s="214"/>
      <c r="LOT44" s="214"/>
      <c r="LOU44" s="214"/>
      <c r="LOV44" s="214"/>
      <c r="LOW44" s="214"/>
      <c r="LOX44" s="214"/>
      <c r="LOY44" s="214"/>
      <c r="LOZ44" s="214"/>
      <c r="LPA44" s="214"/>
      <c r="LPB44" s="214"/>
      <c r="LPC44" s="214"/>
      <c r="LPD44" s="214"/>
      <c r="LPE44" s="214"/>
      <c r="LPF44" s="214"/>
      <c r="LPG44" s="214"/>
      <c r="LPH44" s="214"/>
      <c r="LPI44" s="214"/>
      <c r="LPJ44" s="214"/>
      <c r="LPK44" s="214"/>
      <c r="LPL44" s="214"/>
      <c r="LPM44" s="214"/>
      <c r="LPN44" s="214"/>
      <c r="LPO44" s="214"/>
      <c r="LPP44" s="214"/>
      <c r="LPQ44" s="214"/>
      <c r="LPR44" s="214"/>
      <c r="LPS44" s="214"/>
      <c r="LPT44" s="214"/>
      <c r="LPU44" s="214"/>
      <c r="LPV44" s="214"/>
      <c r="LPW44" s="214"/>
      <c r="LPX44" s="214"/>
      <c r="LPY44" s="214"/>
      <c r="LPZ44" s="214"/>
      <c r="LQA44" s="214"/>
      <c r="LQB44" s="214"/>
      <c r="LQC44" s="214"/>
      <c r="LQD44" s="214"/>
      <c r="LQE44" s="214"/>
      <c r="LQF44" s="214"/>
      <c r="LQG44" s="214"/>
      <c r="LQH44" s="214"/>
      <c r="LQI44" s="214"/>
      <c r="LQJ44" s="214"/>
      <c r="LQK44" s="214"/>
      <c r="LQL44" s="214"/>
      <c r="LQM44" s="214"/>
      <c r="LQN44" s="214"/>
      <c r="LQO44" s="214"/>
      <c r="LQP44" s="214"/>
      <c r="LQQ44" s="214"/>
      <c r="LQR44" s="214"/>
      <c r="LQS44" s="214"/>
      <c r="LQT44" s="214"/>
      <c r="LQU44" s="214"/>
      <c r="LQV44" s="214"/>
      <c r="LQW44" s="214"/>
      <c r="LQX44" s="214"/>
      <c r="LQY44" s="214"/>
      <c r="LQZ44" s="214"/>
      <c r="LRA44" s="214"/>
      <c r="LRB44" s="214"/>
      <c r="LRC44" s="214"/>
      <c r="LRD44" s="214"/>
      <c r="LRE44" s="214"/>
      <c r="LRF44" s="214"/>
      <c r="LRG44" s="214"/>
      <c r="LRH44" s="214"/>
      <c r="LRI44" s="214"/>
      <c r="LRJ44" s="214"/>
      <c r="LRK44" s="214"/>
      <c r="LRL44" s="214"/>
      <c r="LRM44" s="214"/>
      <c r="LRN44" s="214"/>
      <c r="LRO44" s="214"/>
      <c r="LRP44" s="214"/>
      <c r="LRQ44" s="214"/>
      <c r="LRR44" s="214"/>
      <c r="LRS44" s="214"/>
      <c r="LRT44" s="214"/>
      <c r="LRU44" s="214"/>
      <c r="LRV44" s="214"/>
      <c r="LRW44" s="214"/>
      <c r="LRX44" s="214"/>
      <c r="LRY44" s="214"/>
      <c r="LRZ44" s="214"/>
      <c r="LSA44" s="214"/>
      <c r="LSB44" s="214"/>
      <c r="LSC44" s="214"/>
      <c r="LSD44" s="214"/>
      <c r="LSE44" s="214"/>
      <c r="LSF44" s="214"/>
      <c r="LSG44" s="214"/>
      <c r="LSH44" s="214"/>
      <c r="LSI44" s="214"/>
      <c r="LSJ44" s="214"/>
      <c r="LSK44" s="214"/>
      <c r="LSL44" s="214"/>
      <c r="LSM44" s="214"/>
      <c r="LSN44" s="214"/>
      <c r="LSO44" s="214"/>
      <c r="LSP44" s="214"/>
      <c r="LSQ44" s="214"/>
      <c r="LSR44" s="214"/>
      <c r="LSS44" s="214"/>
      <c r="LST44" s="214"/>
      <c r="LSU44" s="214"/>
      <c r="LSV44" s="214"/>
      <c r="LSW44" s="214"/>
      <c r="LSX44" s="214"/>
      <c r="LSY44" s="214"/>
      <c r="LSZ44" s="214"/>
      <c r="LTA44" s="214"/>
      <c r="LTB44" s="214"/>
      <c r="LTC44" s="214"/>
      <c r="LTD44" s="214"/>
      <c r="LTE44" s="214"/>
      <c r="LTF44" s="214"/>
      <c r="LTG44" s="214"/>
      <c r="LTH44" s="214"/>
      <c r="LTI44" s="214"/>
      <c r="LTJ44" s="214"/>
      <c r="LTK44" s="214"/>
      <c r="LTL44" s="214"/>
      <c r="LTM44" s="214"/>
      <c r="LTN44" s="214"/>
      <c r="LTO44" s="214"/>
      <c r="LTP44" s="214"/>
      <c r="LTQ44" s="214"/>
      <c r="LTR44" s="214"/>
      <c r="LTS44" s="214"/>
      <c r="LTT44" s="214"/>
      <c r="LTU44" s="214"/>
      <c r="LTV44" s="214"/>
      <c r="LTW44" s="214"/>
      <c r="LTX44" s="214"/>
      <c r="LTY44" s="214"/>
      <c r="LTZ44" s="214"/>
      <c r="LUA44" s="214"/>
      <c r="LUB44" s="214"/>
      <c r="LUC44" s="214"/>
      <c r="LUD44" s="214"/>
      <c r="LUE44" s="214"/>
      <c r="LUF44" s="214"/>
      <c r="LUG44" s="214"/>
      <c r="LUH44" s="214"/>
      <c r="LUI44" s="214"/>
      <c r="LUJ44" s="214"/>
      <c r="LUK44" s="214"/>
      <c r="LUL44" s="214"/>
      <c r="LUM44" s="214"/>
      <c r="LUN44" s="214"/>
      <c r="LUO44" s="214"/>
      <c r="LUP44" s="214"/>
      <c r="LUQ44" s="214"/>
      <c r="LUR44" s="214"/>
      <c r="LUS44" s="214"/>
      <c r="LUT44" s="214"/>
      <c r="LUU44" s="214"/>
      <c r="LUV44" s="214"/>
      <c r="LUW44" s="214"/>
      <c r="LUX44" s="214"/>
      <c r="LUY44" s="214"/>
      <c r="LUZ44" s="214"/>
      <c r="LVA44" s="214"/>
      <c r="LVB44" s="214"/>
      <c r="LVC44" s="214"/>
      <c r="LVD44" s="214"/>
      <c r="LVE44" s="214"/>
      <c r="LVF44" s="214"/>
      <c r="LVG44" s="214"/>
      <c r="LVH44" s="214"/>
      <c r="LVI44" s="214"/>
      <c r="LVJ44" s="214"/>
      <c r="LVK44" s="214"/>
      <c r="LVL44" s="214"/>
      <c r="LVM44" s="214"/>
      <c r="LVN44" s="214"/>
      <c r="LVO44" s="214"/>
      <c r="LVP44" s="214"/>
      <c r="LVQ44" s="214"/>
      <c r="LVR44" s="214"/>
      <c r="LVS44" s="214"/>
      <c r="LVT44" s="214"/>
      <c r="LVU44" s="214"/>
      <c r="LVV44" s="214"/>
      <c r="LVW44" s="214"/>
      <c r="LVX44" s="214"/>
      <c r="LVY44" s="214"/>
      <c r="LVZ44" s="214"/>
      <c r="LWA44" s="214"/>
      <c r="LWB44" s="214"/>
      <c r="LWC44" s="214"/>
      <c r="LWD44" s="214"/>
      <c r="LWE44" s="214"/>
      <c r="LWF44" s="214"/>
      <c r="LWG44" s="214"/>
      <c r="LWH44" s="214"/>
      <c r="LWI44" s="214"/>
      <c r="LWJ44" s="214"/>
      <c r="LWK44" s="214"/>
      <c r="LWL44" s="214"/>
      <c r="LWM44" s="214"/>
      <c r="LWN44" s="214"/>
      <c r="LWO44" s="214"/>
      <c r="LWP44" s="214"/>
      <c r="LWQ44" s="214"/>
      <c r="LWR44" s="214"/>
      <c r="LWS44" s="214"/>
      <c r="LWT44" s="214"/>
      <c r="LWU44" s="214"/>
      <c r="LWV44" s="214"/>
      <c r="LWW44" s="214"/>
      <c r="LWX44" s="214"/>
      <c r="LWY44" s="214"/>
      <c r="LWZ44" s="214"/>
      <c r="LXA44" s="214"/>
      <c r="LXB44" s="214"/>
      <c r="LXC44" s="214"/>
      <c r="LXD44" s="214"/>
      <c r="LXE44" s="214"/>
      <c r="LXF44" s="214"/>
      <c r="LXG44" s="214"/>
      <c r="LXH44" s="214"/>
      <c r="LXI44" s="214"/>
      <c r="LXJ44" s="214"/>
      <c r="LXK44" s="214"/>
      <c r="LXL44" s="214"/>
      <c r="LXM44" s="214"/>
      <c r="LXN44" s="214"/>
      <c r="LXO44" s="214"/>
      <c r="LXP44" s="214"/>
      <c r="LXQ44" s="214"/>
      <c r="LXR44" s="214"/>
      <c r="LXS44" s="214"/>
      <c r="LXT44" s="214"/>
      <c r="LXU44" s="214"/>
      <c r="LXV44" s="214"/>
      <c r="LXW44" s="214"/>
      <c r="LXX44" s="214"/>
      <c r="LXY44" s="214"/>
      <c r="LXZ44" s="214"/>
      <c r="LYA44" s="214"/>
      <c r="LYB44" s="214"/>
      <c r="LYC44" s="214"/>
      <c r="LYD44" s="214"/>
      <c r="LYE44" s="214"/>
      <c r="LYF44" s="214"/>
      <c r="LYG44" s="214"/>
      <c r="LYH44" s="214"/>
      <c r="LYI44" s="214"/>
      <c r="LYJ44" s="214"/>
      <c r="LYK44" s="214"/>
      <c r="LYL44" s="214"/>
      <c r="LYM44" s="214"/>
      <c r="LYN44" s="214"/>
      <c r="LYO44" s="214"/>
      <c r="LYP44" s="214"/>
      <c r="LYQ44" s="214"/>
      <c r="LYR44" s="214"/>
      <c r="LYS44" s="214"/>
      <c r="LYT44" s="214"/>
      <c r="LYU44" s="214"/>
      <c r="LYV44" s="214"/>
      <c r="LYW44" s="214"/>
      <c r="LYX44" s="214"/>
      <c r="LYY44" s="214"/>
      <c r="LYZ44" s="214"/>
      <c r="LZA44" s="214"/>
      <c r="LZB44" s="214"/>
      <c r="LZC44" s="214"/>
      <c r="LZD44" s="214"/>
      <c r="LZE44" s="214"/>
      <c r="LZF44" s="214"/>
      <c r="LZG44" s="214"/>
      <c r="LZH44" s="214"/>
      <c r="LZI44" s="214"/>
      <c r="LZJ44" s="214"/>
      <c r="LZK44" s="214"/>
      <c r="LZL44" s="214"/>
      <c r="LZM44" s="214"/>
      <c r="LZN44" s="214"/>
      <c r="LZO44" s="214"/>
      <c r="LZP44" s="214"/>
      <c r="LZQ44" s="214"/>
      <c r="LZR44" s="214"/>
      <c r="LZS44" s="214"/>
      <c r="LZT44" s="214"/>
      <c r="LZU44" s="214"/>
      <c r="LZV44" s="214"/>
      <c r="LZW44" s="214"/>
      <c r="LZX44" s="214"/>
      <c r="LZY44" s="214"/>
      <c r="LZZ44" s="214"/>
      <c r="MAA44" s="214"/>
      <c r="MAB44" s="214"/>
      <c r="MAC44" s="214"/>
      <c r="MAD44" s="214"/>
      <c r="MAE44" s="214"/>
      <c r="MAF44" s="214"/>
      <c r="MAG44" s="214"/>
      <c r="MAH44" s="214"/>
      <c r="MAI44" s="214"/>
      <c r="MAJ44" s="214"/>
      <c r="MAK44" s="214"/>
      <c r="MAL44" s="214"/>
      <c r="MAM44" s="214"/>
      <c r="MAN44" s="214"/>
      <c r="MAO44" s="214"/>
      <c r="MAP44" s="214"/>
      <c r="MAQ44" s="214"/>
      <c r="MAR44" s="214"/>
      <c r="MAS44" s="214"/>
      <c r="MAT44" s="214"/>
      <c r="MAU44" s="214"/>
      <c r="MAV44" s="214"/>
      <c r="MAW44" s="214"/>
      <c r="MAX44" s="214"/>
      <c r="MAY44" s="214"/>
      <c r="MAZ44" s="214"/>
      <c r="MBA44" s="214"/>
      <c r="MBB44" s="214"/>
      <c r="MBC44" s="214"/>
      <c r="MBD44" s="214"/>
      <c r="MBE44" s="214"/>
      <c r="MBF44" s="214"/>
      <c r="MBG44" s="214"/>
      <c r="MBH44" s="214"/>
      <c r="MBI44" s="214"/>
      <c r="MBJ44" s="214"/>
      <c r="MBK44" s="214"/>
      <c r="MBL44" s="214"/>
      <c r="MBM44" s="214"/>
      <c r="MBN44" s="214"/>
      <c r="MBO44" s="214"/>
      <c r="MBP44" s="214"/>
      <c r="MBQ44" s="214"/>
      <c r="MBR44" s="214"/>
      <c r="MBS44" s="214"/>
      <c r="MBT44" s="214"/>
      <c r="MBU44" s="214"/>
      <c r="MBV44" s="214"/>
      <c r="MBW44" s="214"/>
      <c r="MBX44" s="214"/>
      <c r="MBY44" s="214"/>
      <c r="MBZ44" s="214"/>
      <c r="MCA44" s="214"/>
      <c r="MCB44" s="214"/>
      <c r="MCC44" s="214"/>
      <c r="MCD44" s="214"/>
      <c r="MCE44" s="214"/>
      <c r="MCF44" s="214"/>
      <c r="MCG44" s="214"/>
      <c r="MCH44" s="214"/>
      <c r="MCI44" s="214"/>
      <c r="MCJ44" s="214"/>
      <c r="MCK44" s="214"/>
      <c r="MCL44" s="214"/>
      <c r="MCM44" s="214"/>
      <c r="MCN44" s="214"/>
      <c r="MCO44" s="214"/>
      <c r="MCP44" s="214"/>
      <c r="MCQ44" s="214"/>
      <c r="MCR44" s="214"/>
      <c r="MCS44" s="214"/>
      <c r="MCT44" s="214"/>
      <c r="MCU44" s="214"/>
      <c r="MCV44" s="214"/>
      <c r="MCW44" s="214"/>
      <c r="MCX44" s="214"/>
      <c r="MCY44" s="214"/>
      <c r="MCZ44" s="214"/>
      <c r="MDA44" s="214"/>
      <c r="MDB44" s="214"/>
      <c r="MDC44" s="214"/>
      <c r="MDD44" s="214"/>
      <c r="MDE44" s="214"/>
      <c r="MDF44" s="214"/>
      <c r="MDG44" s="214"/>
      <c r="MDH44" s="214"/>
      <c r="MDI44" s="214"/>
      <c r="MDJ44" s="214"/>
      <c r="MDK44" s="214"/>
      <c r="MDL44" s="214"/>
      <c r="MDM44" s="214"/>
      <c r="MDN44" s="214"/>
      <c r="MDO44" s="214"/>
      <c r="MDP44" s="214"/>
      <c r="MDQ44" s="214"/>
      <c r="MDR44" s="214"/>
      <c r="MDS44" s="214"/>
      <c r="MDT44" s="214"/>
      <c r="MDU44" s="214"/>
      <c r="MDV44" s="214"/>
      <c r="MDW44" s="214"/>
      <c r="MDX44" s="214"/>
      <c r="MDY44" s="214"/>
      <c r="MDZ44" s="214"/>
      <c r="MEA44" s="214"/>
      <c r="MEB44" s="214"/>
      <c r="MEC44" s="214"/>
      <c r="MED44" s="214"/>
      <c r="MEE44" s="214"/>
      <c r="MEF44" s="214"/>
      <c r="MEG44" s="214"/>
      <c r="MEH44" s="214"/>
      <c r="MEI44" s="214"/>
      <c r="MEJ44" s="214"/>
      <c r="MEK44" s="214"/>
      <c r="MEL44" s="214"/>
      <c r="MEM44" s="214"/>
      <c r="MEN44" s="214"/>
      <c r="MEO44" s="214"/>
      <c r="MEP44" s="214"/>
      <c r="MEQ44" s="214"/>
      <c r="MER44" s="214"/>
      <c r="MES44" s="214"/>
      <c r="MET44" s="214"/>
      <c r="MEU44" s="214"/>
      <c r="MEV44" s="214"/>
      <c r="MEW44" s="214"/>
      <c r="MEX44" s="214"/>
      <c r="MEY44" s="214"/>
      <c r="MEZ44" s="214"/>
      <c r="MFA44" s="214"/>
      <c r="MFB44" s="214"/>
      <c r="MFC44" s="214"/>
      <c r="MFD44" s="214"/>
      <c r="MFE44" s="214"/>
      <c r="MFF44" s="214"/>
      <c r="MFG44" s="214"/>
      <c r="MFH44" s="214"/>
      <c r="MFI44" s="214"/>
      <c r="MFJ44" s="214"/>
      <c r="MFK44" s="214"/>
      <c r="MFL44" s="214"/>
      <c r="MFM44" s="214"/>
      <c r="MFN44" s="214"/>
      <c r="MFO44" s="214"/>
      <c r="MFP44" s="214"/>
      <c r="MFQ44" s="214"/>
      <c r="MFR44" s="214"/>
      <c r="MFS44" s="214"/>
      <c r="MFT44" s="214"/>
      <c r="MFU44" s="214"/>
      <c r="MFV44" s="214"/>
      <c r="MFW44" s="214"/>
      <c r="MFX44" s="214"/>
      <c r="MFY44" s="214"/>
      <c r="MFZ44" s="214"/>
      <c r="MGA44" s="214"/>
      <c r="MGB44" s="214"/>
      <c r="MGC44" s="214"/>
      <c r="MGD44" s="214"/>
      <c r="MGE44" s="214"/>
      <c r="MGF44" s="214"/>
      <c r="MGG44" s="214"/>
      <c r="MGH44" s="214"/>
      <c r="MGI44" s="214"/>
      <c r="MGJ44" s="214"/>
      <c r="MGK44" s="214"/>
      <c r="MGL44" s="214"/>
      <c r="MGM44" s="214"/>
      <c r="MGN44" s="214"/>
      <c r="MGO44" s="214"/>
      <c r="MGP44" s="214"/>
      <c r="MGQ44" s="214"/>
      <c r="MGR44" s="214"/>
      <c r="MGS44" s="214"/>
      <c r="MGT44" s="214"/>
      <c r="MGU44" s="214"/>
      <c r="MGV44" s="214"/>
      <c r="MGW44" s="214"/>
      <c r="MGX44" s="214"/>
      <c r="MGY44" s="214"/>
      <c r="MGZ44" s="214"/>
      <c r="MHA44" s="214"/>
      <c r="MHB44" s="214"/>
      <c r="MHC44" s="214"/>
      <c r="MHD44" s="214"/>
      <c r="MHE44" s="214"/>
      <c r="MHF44" s="214"/>
      <c r="MHG44" s="214"/>
      <c r="MHH44" s="214"/>
      <c r="MHI44" s="214"/>
      <c r="MHJ44" s="214"/>
      <c r="MHK44" s="214"/>
      <c r="MHL44" s="214"/>
      <c r="MHM44" s="214"/>
      <c r="MHN44" s="214"/>
      <c r="MHO44" s="214"/>
      <c r="MHP44" s="214"/>
      <c r="MHQ44" s="214"/>
      <c r="MHR44" s="214"/>
      <c r="MHS44" s="214"/>
      <c r="MHT44" s="214"/>
      <c r="MHU44" s="214"/>
      <c r="MHV44" s="214"/>
      <c r="MHW44" s="214"/>
      <c r="MHX44" s="214"/>
      <c r="MHY44" s="214"/>
      <c r="MHZ44" s="214"/>
      <c r="MIA44" s="214"/>
      <c r="MIB44" s="214"/>
      <c r="MIC44" s="214"/>
      <c r="MID44" s="214"/>
      <c r="MIE44" s="214"/>
      <c r="MIF44" s="214"/>
      <c r="MIG44" s="214"/>
      <c r="MIH44" s="214"/>
      <c r="MII44" s="214"/>
      <c r="MIJ44" s="214"/>
      <c r="MIK44" s="214"/>
      <c r="MIL44" s="214"/>
      <c r="MIM44" s="214"/>
      <c r="MIN44" s="214"/>
      <c r="MIO44" s="214"/>
      <c r="MIP44" s="214"/>
      <c r="MIQ44" s="214"/>
      <c r="MIR44" s="214"/>
      <c r="MIS44" s="214"/>
      <c r="MIT44" s="214"/>
      <c r="MIU44" s="214"/>
      <c r="MIV44" s="214"/>
      <c r="MIW44" s="214"/>
      <c r="MIX44" s="214"/>
      <c r="MIY44" s="214"/>
      <c r="MIZ44" s="214"/>
      <c r="MJA44" s="214"/>
      <c r="MJB44" s="214"/>
      <c r="MJC44" s="214"/>
      <c r="MJD44" s="214"/>
      <c r="MJE44" s="214"/>
      <c r="MJF44" s="214"/>
      <c r="MJG44" s="214"/>
      <c r="MJH44" s="214"/>
      <c r="MJI44" s="214"/>
      <c r="MJJ44" s="214"/>
      <c r="MJK44" s="214"/>
      <c r="MJL44" s="214"/>
      <c r="MJM44" s="214"/>
      <c r="MJN44" s="214"/>
      <c r="MJO44" s="214"/>
      <c r="MJP44" s="214"/>
      <c r="MJQ44" s="214"/>
      <c r="MJR44" s="214"/>
      <c r="MJS44" s="214"/>
      <c r="MJT44" s="214"/>
      <c r="MJU44" s="214"/>
      <c r="MJV44" s="214"/>
      <c r="MJW44" s="214"/>
      <c r="MJX44" s="214"/>
      <c r="MJY44" s="214"/>
      <c r="MJZ44" s="214"/>
      <c r="MKA44" s="214"/>
      <c r="MKB44" s="214"/>
      <c r="MKC44" s="214"/>
      <c r="MKD44" s="214"/>
      <c r="MKE44" s="214"/>
      <c r="MKF44" s="214"/>
      <c r="MKG44" s="214"/>
      <c r="MKH44" s="214"/>
      <c r="MKI44" s="214"/>
      <c r="MKJ44" s="214"/>
      <c r="MKK44" s="214"/>
      <c r="MKL44" s="214"/>
      <c r="MKM44" s="214"/>
      <c r="MKN44" s="214"/>
      <c r="MKO44" s="214"/>
      <c r="MKP44" s="214"/>
      <c r="MKQ44" s="214"/>
      <c r="MKR44" s="214"/>
      <c r="MKS44" s="214"/>
      <c r="MKT44" s="214"/>
      <c r="MKU44" s="214"/>
      <c r="MKV44" s="214"/>
      <c r="MKW44" s="214"/>
      <c r="MKX44" s="214"/>
      <c r="MKY44" s="214"/>
      <c r="MKZ44" s="214"/>
      <c r="MLA44" s="214"/>
      <c r="MLB44" s="214"/>
      <c r="MLC44" s="214"/>
      <c r="MLD44" s="214"/>
      <c r="MLE44" s="214"/>
      <c r="MLF44" s="214"/>
      <c r="MLG44" s="214"/>
      <c r="MLH44" s="214"/>
      <c r="MLI44" s="214"/>
      <c r="MLJ44" s="214"/>
      <c r="MLK44" s="214"/>
      <c r="MLL44" s="214"/>
      <c r="MLM44" s="214"/>
      <c r="MLN44" s="214"/>
      <c r="MLO44" s="214"/>
      <c r="MLP44" s="214"/>
      <c r="MLQ44" s="214"/>
      <c r="MLR44" s="214"/>
      <c r="MLS44" s="214"/>
      <c r="MLT44" s="214"/>
      <c r="MLU44" s="214"/>
      <c r="MLV44" s="214"/>
      <c r="MLW44" s="214"/>
      <c r="MLX44" s="214"/>
      <c r="MLY44" s="214"/>
      <c r="MLZ44" s="214"/>
      <c r="MMA44" s="214"/>
      <c r="MMB44" s="214"/>
      <c r="MMC44" s="214"/>
      <c r="MMD44" s="214"/>
      <c r="MME44" s="214"/>
      <c r="MMF44" s="214"/>
      <c r="MMG44" s="214"/>
      <c r="MMH44" s="214"/>
      <c r="MMI44" s="214"/>
      <c r="MMJ44" s="214"/>
      <c r="MMK44" s="214"/>
      <c r="MML44" s="214"/>
      <c r="MMM44" s="214"/>
      <c r="MMN44" s="214"/>
      <c r="MMO44" s="214"/>
      <c r="MMP44" s="214"/>
      <c r="MMQ44" s="214"/>
      <c r="MMR44" s="214"/>
      <c r="MMS44" s="214"/>
      <c r="MMT44" s="214"/>
      <c r="MMU44" s="214"/>
      <c r="MMV44" s="214"/>
      <c r="MMW44" s="214"/>
      <c r="MMX44" s="214"/>
      <c r="MMY44" s="214"/>
      <c r="MMZ44" s="214"/>
      <c r="MNA44" s="214"/>
      <c r="MNB44" s="214"/>
      <c r="MNC44" s="214"/>
      <c r="MND44" s="214"/>
      <c r="MNE44" s="214"/>
      <c r="MNF44" s="214"/>
      <c r="MNG44" s="214"/>
      <c r="MNH44" s="214"/>
      <c r="MNI44" s="214"/>
      <c r="MNJ44" s="214"/>
      <c r="MNK44" s="214"/>
      <c r="MNL44" s="214"/>
      <c r="MNM44" s="214"/>
      <c r="MNN44" s="214"/>
      <c r="MNO44" s="214"/>
      <c r="MNP44" s="214"/>
      <c r="MNQ44" s="214"/>
      <c r="MNR44" s="214"/>
      <c r="MNS44" s="214"/>
      <c r="MNT44" s="214"/>
      <c r="MNU44" s="214"/>
      <c r="MNV44" s="214"/>
      <c r="MNW44" s="214"/>
      <c r="MNX44" s="214"/>
      <c r="MNY44" s="214"/>
      <c r="MNZ44" s="214"/>
      <c r="MOA44" s="214"/>
      <c r="MOB44" s="214"/>
      <c r="MOC44" s="214"/>
      <c r="MOD44" s="214"/>
      <c r="MOE44" s="214"/>
      <c r="MOF44" s="214"/>
      <c r="MOG44" s="214"/>
      <c r="MOH44" s="214"/>
      <c r="MOI44" s="214"/>
      <c r="MOJ44" s="214"/>
      <c r="MOK44" s="214"/>
      <c r="MOL44" s="214"/>
      <c r="MOM44" s="214"/>
      <c r="MON44" s="214"/>
      <c r="MOO44" s="214"/>
      <c r="MOP44" s="214"/>
      <c r="MOQ44" s="214"/>
      <c r="MOR44" s="214"/>
      <c r="MOS44" s="214"/>
      <c r="MOT44" s="214"/>
      <c r="MOU44" s="214"/>
      <c r="MOV44" s="214"/>
      <c r="MOW44" s="214"/>
      <c r="MOX44" s="214"/>
      <c r="MOY44" s="214"/>
      <c r="MOZ44" s="214"/>
      <c r="MPA44" s="214"/>
      <c r="MPB44" s="214"/>
      <c r="MPC44" s="214"/>
      <c r="MPD44" s="214"/>
      <c r="MPE44" s="214"/>
      <c r="MPF44" s="214"/>
      <c r="MPG44" s="214"/>
      <c r="MPH44" s="214"/>
      <c r="MPI44" s="214"/>
      <c r="MPJ44" s="214"/>
      <c r="MPK44" s="214"/>
      <c r="MPL44" s="214"/>
      <c r="MPM44" s="214"/>
      <c r="MPN44" s="214"/>
      <c r="MPO44" s="214"/>
      <c r="MPP44" s="214"/>
      <c r="MPQ44" s="214"/>
      <c r="MPR44" s="214"/>
      <c r="MPS44" s="214"/>
      <c r="MPT44" s="214"/>
      <c r="MPU44" s="214"/>
      <c r="MPV44" s="214"/>
      <c r="MPW44" s="214"/>
      <c r="MPX44" s="214"/>
      <c r="MPY44" s="214"/>
      <c r="MPZ44" s="214"/>
      <c r="MQA44" s="214"/>
      <c r="MQB44" s="214"/>
      <c r="MQC44" s="214"/>
      <c r="MQD44" s="214"/>
      <c r="MQE44" s="214"/>
      <c r="MQF44" s="214"/>
      <c r="MQG44" s="214"/>
      <c r="MQH44" s="214"/>
      <c r="MQI44" s="214"/>
      <c r="MQJ44" s="214"/>
      <c r="MQK44" s="214"/>
      <c r="MQL44" s="214"/>
      <c r="MQM44" s="214"/>
      <c r="MQN44" s="214"/>
      <c r="MQO44" s="214"/>
      <c r="MQP44" s="214"/>
      <c r="MQQ44" s="214"/>
      <c r="MQR44" s="214"/>
      <c r="MQS44" s="214"/>
      <c r="MQT44" s="214"/>
      <c r="MQU44" s="214"/>
      <c r="MQV44" s="214"/>
      <c r="MQW44" s="214"/>
      <c r="MQX44" s="214"/>
      <c r="MQY44" s="214"/>
      <c r="MQZ44" s="214"/>
      <c r="MRA44" s="214"/>
      <c r="MRB44" s="214"/>
      <c r="MRC44" s="214"/>
      <c r="MRD44" s="214"/>
      <c r="MRE44" s="214"/>
      <c r="MRF44" s="214"/>
      <c r="MRG44" s="214"/>
      <c r="MRH44" s="214"/>
      <c r="MRI44" s="214"/>
      <c r="MRJ44" s="214"/>
      <c r="MRK44" s="214"/>
      <c r="MRL44" s="214"/>
      <c r="MRM44" s="214"/>
      <c r="MRN44" s="214"/>
      <c r="MRO44" s="214"/>
      <c r="MRP44" s="214"/>
      <c r="MRQ44" s="214"/>
      <c r="MRR44" s="214"/>
      <c r="MRS44" s="214"/>
      <c r="MRT44" s="214"/>
      <c r="MRU44" s="214"/>
      <c r="MRV44" s="214"/>
      <c r="MRW44" s="214"/>
      <c r="MRX44" s="214"/>
      <c r="MRY44" s="214"/>
      <c r="MRZ44" s="214"/>
      <c r="MSA44" s="214"/>
      <c r="MSB44" s="214"/>
      <c r="MSC44" s="214"/>
      <c r="MSD44" s="214"/>
      <c r="MSE44" s="214"/>
      <c r="MSF44" s="214"/>
      <c r="MSG44" s="214"/>
      <c r="MSH44" s="214"/>
      <c r="MSI44" s="214"/>
      <c r="MSJ44" s="214"/>
      <c r="MSK44" s="214"/>
      <c r="MSL44" s="214"/>
      <c r="MSM44" s="214"/>
      <c r="MSN44" s="214"/>
      <c r="MSO44" s="214"/>
      <c r="MSP44" s="214"/>
      <c r="MSQ44" s="214"/>
      <c r="MSR44" s="214"/>
      <c r="MSS44" s="214"/>
      <c r="MST44" s="214"/>
      <c r="MSU44" s="214"/>
      <c r="MSV44" s="214"/>
      <c r="MSW44" s="214"/>
      <c r="MSX44" s="214"/>
      <c r="MSY44" s="214"/>
      <c r="MSZ44" s="214"/>
      <c r="MTA44" s="214"/>
      <c r="MTB44" s="214"/>
      <c r="MTC44" s="214"/>
      <c r="MTD44" s="214"/>
      <c r="MTE44" s="214"/>
      <c r="MTF44" s="214"/>
      <c r="MTG44" s="214"/>
      <c r="MTH44" s="214"/>
      <c r="MTI44" s="214"/>
      <c r="MTJ44" s="214"/>
      <c r="MTK44" s="214"/>
      <c r="MTL44" s="214"/>
      <c r="MTM44" s="214"/>
      <c r="MTN44" s="214"/>
      <c r="MTO44" s="214"/>
      <c r="MTP44" s="214"/>
      <c r="MTQ44" s="214"/>
      <c r="MTR44" s="214"/>
      <c r="MTS44" s="214"/>
      <c r="MTT44" s="214"/>
      <c r="MTU44" s="214"/>
      <c r="MTV44" s="214"/>
      <c r="MTW44" s="214"/>
      <c r="MTX44" s="214"/>
      <c r="MTY44" s="214"/>
      <c r="MTZ44" s="214"/>
      <c r="MUA44" s="214"/>
      <c r="MUB44" s="214"/>
      <c r="MUC44" s="214"/>
      <c r="MUD44" s="214"/>
      <c r="MUE44" s="214"/>
      <c r="MUF44" s="214"/>
      <c r="MUG44" s="214"/>
      <c r="MUH44" s="214"/>
      <c r="MUI44" s="214"/>
      <c r="MUJ44" s="214"/>
      <c r="MUK44" s="214"/>
      <c r="MUL44" s="214"/>
      <c r="MUM44" s="214"/>
      <c r="MUN44" s="214"/>
      <c r="MUO44" s="214"/>
      <c r="MUP44" s="214"/>
      <c r="MUQ44" s="214"/>
      <c r="MUR44" s="214"/>
      <c r="MUS44" s="214"/>
      <c r="MUT44" s="214"/>
      <c r="MUU44" s="214"/>
      <c r="MUV44" s="214"/>
      <c r="MUW44" s="214"/>
      <c r="MUX44" s="214"/>
      <c r="MUY44" s="214"/>
      <c r="MUZ44" s="214"/>
      <c r="MVA44" s="214"/>
      <c r="MVB44" s="214"/>
      <c r="MVC44" s="214"/>
      <c r="MVD44" s="214"/>
      <c r="MVE44" s="214"/>
      <c r="MVF44" s="214"/>
      <c r="MVG44" s="214"/>
      <c r="MVH44" s="214"/>
      <c r="MVI44" s="214"/>
      <c r="MVJ44" s="214"/>
      <c r="MVK44" s="214"/>
      <c r="MVL44" s="214"/>
      <c r="MVM44" s="214"/>
      <c r="MVN44" s="214"/>
      <c r="MVO44" s="214"/>
      <c r="MVP44" s="214"/>
      <c r="MVQ44" s="214"/>
      <c r="MVR44" s="214"/>
      <c r="MVS44" s="214"/>
      <c r="MVT44" s="214"/>
      <c r="MVU44" s="214"/>
      <c r="MVV44" s="214"/>
      <c r="MVW44" s="214"/>
      <c r="MVX44" s="214"/>
      <c r="MVY44" s="214"/>
      <c r="MVZ44" s="214"/>
      <c r="MWA44" s="214"/>
      <c r="MWB44" s="214"/>
      <c r="MWC44" s="214"/>
      <c r="MWD44" s="214"/>
      <c r="MWE44" s="214"/>
      <c r="MWF44" s="214"/>
      <c r="MWG44" s="214"/>
      <c r="MWH44" s="214"/>
      <c r="MWI44" s="214"/>
      <c r="MWJ44" s="214"/>
      <c r="MWK44" s="214"/>
      <c r="MWL44" s="214"/>
      <c r="MWM44" s="214"/>
      <c r="MWN44" s="214"/>
      <c r="MWO44" s="214"/>
      <c r="MWP44" s="214"/>
      <c r="MWQ44" s="214"/>
      <c r="MWR44" s="214"/>
      <c r="MWS44" s="214"/>
      <c r="MWT44" s="214"/>
      <c r="MWU44" s="214"/>
      <c r="MWV44" s="214"/>
      <c r="MWW44" s="214"/>
      <c r="MWX44" s="214"/>
      <c r="MWY44" s="214"/>
      <c r="MWZ44" s="214"/>
      <c r="MXA44" s="214"/>
      <c r="MXB44" s="214"/>
      <c r="MXC44" s="214"/>
      <c r="MXD44" s="214"/>
      <c r="MXE44" s="214"/>
      <c r="MXF44" s="214"/>
      <c r="MXG44" s="214"/>
      <c r="MXH44" s="214"/>
      <c r="MXI44" s="214"/>
      <c r="MXJ44" s="214"/>
      <c r="MXK44" s="214"/>
      <c r="MXL44" s="214"/>
      <c r="MXM44" s="214"/>
      <c r="MXN44" s="214"/>
      <c r="MXO44" s="214"/>
      <c r="MXP44" s="214"/>
      <c r="MXQ44" s="214"/>
      <c r="MXR44" s="214"/>
      <c r="MXS44" s="214"/>
      <c r="MXT44" s="214"/>
      <c r="MXU44" s="214"/>
      <c r="MXV44" s="214"/>
      <c r="MXW44" s="214"/>
      <c r="MXX44" s="214"/>
      <c r="MXY44" s="214"/>
      <c r="MXZ44" s="214"/>
      <c r="MYA44" s="214"/>
      <c r="MYB44" s="214"/>
      <c r="MYC44" s="214"/>
      <c r="MYD44" s="214"/>
      <c r="MYE44" s="214"/>
      <c r="MYF44" s="214"/>
      <c r="MYG44" s="214"/>
      <c r="MYH44" s="214"/>
      <c r="MYI44" s="214"/>
      <c r="MYJ44" s="214"/>
      <c r="MYK44" s="214"/>
      <c r="MYL44" s="214"/>
      <c r="MYM44" s="214"/>
      <c r="MYN44" s="214"/>
      <c r="MYO44" s="214"/>
      <c r="MYP44" s="214"/>
      <c r="MYQ44" s="214"/>
      <c r="MYR44" s="214"/>
      <c r="MYS44" s="214"/>
      <c r="MYT44" s="214"/>
      <c r="MYU44" s="214"/>
      <c r="MYV44" s="214"/>
      <c r="MYW44" s="214"/>
      <c r="MYX44" s="214"/>
      <c r="MYY44" s="214"/>
      <c r="MYZ44" s="214"/>
      <c r="MZA44" s="214"/>
      <c r="MZB44" s="214"/>
      <c r="MZC44" s="214"/>
      <c r="MZD44" s="214"/>
      <c r="MZE44" s="214"/>
      <c r="MZF44" s="214"/>
      <c r="MZG44" s="214"/>
      <c r="MZH44" s="214"/>
      <c r="MZI44" s="214"/>
      <c r="MZJ44" s="214"/>
      <c r="MZK44" s="214"/>
      <c r="MZL44" s="214"/>
      <c r="MZM44" s="214"/>
      <c r="MZN44" s="214"/>
      <c r="MZO44" s="214"/>
      <c r="MZP44" s="214"/>
      <c r="MZQ44" s="214"/>
      <c r="MZR44" s="214"/>
      <c r="MZS44" s="214"/>
      <c r="MZT44" s="214"/>
      <c r="MZU44" s="214"/>
      <c r="MZV44" s="214"/>
      <c r="MZW44" s="214"/>
      <c r="MZX44" s="214"/>
      <c r="MZY44" s="214"/>
      <c r="MZZ44" s="214"/>
      <c r="NAA44" s="214"/>
      <c r="NAB44" s="214"/>
      <c r="NAC44" s="214"/>
      <c r="NAD44" s="214"/>
      <c r="NAE44" s="214"/>
      <c r="NAF44" s="214"/>
      <c r="NAG44" s="214"/>
      <c r="NAH44" s="214"/>
      <c r="NAI44" s="214"/>
      <c r="NAJ44" s="214"/>
      <c r="NAK44" s="214"/>
      <c r="NAL44" s="214"/>
      <c r="NAM44" s="214"/>
      <c r="NAN44" s="214"/>
      <c r="NAO44" s="214"/>
      <c r="NAP44" s="214"/>
      <c r="NAQ44" s="214"/>
      <c r="NAR44" s="214"/>
      <c r="NAS44" s="214"/>
      <c r="NAT44" s="214"/>
      <c r="NAU44" s="214"/>
      <c r="NAV44" s="214"/>
      <c r="NAW44" s="214"/>
      <c r="NAX44" s="214"/>
      <c r="NAY44" s="214"/>
      <c r="NAZ44" s="214"/>
      <c r="NBA44" s="214"/>
      <c r="NBB44" s="214"/>
      <c r="NBC44" s="214"/>
      <c r="NBD44" s="214"/>
      <c r="NBE44" s="214"/>
      <c r="NBF44" s="214"/>
      <c r="NBG44" s="214"/>
      <c r="NBH44" s="214"/>
      <c r="NBI44" s="214"/>
      <c r="NBJ44" s="214"/>
      <c r="NBK44" s="214"/>
      <c r="NBL44" s="214"/>
      <c r="NBM44" s="214"/>
      <c r="NBN44" s="214"/>
      <c r="NBO44" s="214"/>
      <c r="NBP44" s="214"/>
      <c r="NBQ44" s="214"/>
      <c r="NBR44" s="214"/>
      <c r="NBS44" s="214"/>
      <c r="NBT44" s="214"/>
      <c r="NBU44" s="214"/>
      <c r="NBV44" s="214"/>
      <c r="NBW44" s="214"/>
      <c r="NBX44" s="214"/>
      <c r="NBY44" s="214"/>
      <c r="NBZ44" s="214"/>
      <c r="NCA44" s="214"/>
      <c r="NCB44" s="214"/>
      <c r="NCC44" s="214"/>
      <c r="NCD44" s="214"/>
      <c r="NCE44" s="214"/>
      <c r="NCF44" s="214"/>
      <c r="NCG44" s="214"/>
      <c r="NCH44" s="214"/>
      <c r="NCI44" s="214"/>
      <c r="NCJ44" s="214"/>
      <c r="NCK44" s="214"/>
      <c r="NCL44" s="214"/>
      <c r="NCM44" s="214"/>
      <c r="NCN44" s="214"/>
      <c r="NCO44" s="214"/>
      <c r="NCP44" s="214"/>
      <c r="NCQ44" s="214"/>
      <c r="NCR44" s="214"/>
      <c r="NCS44" s="214"/>
      <c r="NCT44" s="214"/>
      <c r="NCU44" s="214"/>
      <c r="NCV44" s="214"/>
      <c r="NCW44" s="214"/>
      <c r="NCX44" s="214"/>
      <c r="NCY44" s="214"/>
      <c r="NCZ44" s="214"/>
      <c r="NDA44" s="214"/>
      <c r="NDB44" s="214"/>
      <c r="NDC44" s="214"/>
      <c r="NDD44" s="214"/>
      <c r="NDE44" s="214"/>
      <c r="NDF44" s="214"/>
      <c r="NDG44" s="214"/>
      <c r="NDH44" s="214"/>
      <c r="NDI44" s="214"/>
      <c r="NDJ44" s="214"/>
      <c r="NDK44" s="214"/>
      <c r="NDL44" s="214"/>
      <c r="NDM44" s="214"/>
      <c r="NDN44" s="214"/>
      <c r="NDO44" s="214"/>
      <c r="NDP44" s="214"/>
      <c r="NDQ44" s="214"/>
      <c r="NDR44" s="214"/>
      <c r="NDS44" s="214"/>
      <c r="NDT44" s="214"/>
      <c r="NDU44" s="214"/>
      <c r="NDV44" s="214"/>
      <c r="NDW44" s="214"/>
      <c r="NDX44" s="214"/>
      <c r="NDY44" s="214"/>
      <c r="NDZ44" s="214"/>
      <c r="NEA44" s="214"/>
      <c r="NEB44" s="214"/>
      <c r="NEC44" s="214"/>
      <c r="NED44" s="214"/>
      <c r="NEE44" s="214"/>
      <c r="NEF44" s="214"/>
      <c r="NEG44" s="214"/>
      <c r="NEH44" s="214"/>
      <c r="NEI44" s="214"/>
      <c r="NEJ44" s="214"/>
      <c r="NEK44" s="214"/>
      <c r="NEL44" s="214"/>
      <c r="NEM44" s="214"/>
      <c r="NEN44" s="214"/>
      <c r="NEO44" s="214"/>
      <c r="NEP44" s="214"/>
      <c r="NEQ44" s="214"/>
      <c r="NER44" s="214"/>
      <c r="NES44" s="214"/>
      <c r="NET44" s="214"/>
      <c r="NEU44" s="214"/>
      <c r="NEV44" s="214"/>
      <c r="NEW44" s="214"/>
      <c r="NEX44" s="214"/>
      <c r="NEY44" s="214"/>
      <c r="NEZ44" s="214"/>
      <c r="NFA44" s="214"/>
      <c r="NFB44" s="214"/>
      <c r="NFC44" s="214"/>
      <c r="NFD44" s="214"/>
      <c r="NFE44" s="214"/>
      <c r="NFF44" s="214"/>
      <c r="NFG44" s="214"/>
      <c r="NFH44" s="214"/>
      <c r="NFI44" s="214"/>
      <c r="NFJ44" s="214"/>
      <c r="NFK44" s="214"/>
      <c r="NFL44" s="214"/>
      <c r="NFM44" s="214"/>
      <c r="NFN44" s="214"/>
      <c r="NFO44" s="214"/>
      <c r="NFP44" s="214"/>
      <c r="NFQ44" s="214"/>
      <c r="NFR44" s="214"/>
      <c r="NFS44" s="214"/>
      <c r="NFT44" s="214"/>
      <c r="NFU44" s="214"/>
      <c r="NFV44" s="214"/>
      <c r="NFW44" s="214"/>
      <c r="NFX44" s="214"/>
      <c r="NFY44" s="214"/>
      <c r="NFZ44" s="214"/>
      <c r="NGA44" s="214"/>
      <c r="NGB44" s="214"/>
      <c r="NGC44" s="214"/>
      <c r="NGD44" s="214"/>
      <c r="NGE44" s="214"/>
      <c r="NGF44" s="214"/>
      <c r="NGG44" s="214"/>
      <c r="NGH44" s="214"/>
      <c r="NGI44" s="214"/>
      <c r="NGJ44" s="214"/>
      <c r="NGK44" s="214"/>
      <c r="NGL44" s="214"/>
      <c r="NGM44" s="214"/>
      <c r="NGN44" s="214"/>
      <c r="NGO44" s="214"/>
      <c r="NGP44" s="214"/>
      <c r="NGQ44" s="214"/>
      <c r="NGR44" s="214"/>
      <c r="NGS44" s="214"/>
      <c r="NGT44" s="214"/>
      <c r="NGU44" s="214"/>
      <c r="NGV44" s="214"/>
      <c r="NGW44" s="214"/>
      <c r="NGX44" s="214"/>
      <c r="NGY44" s="214"/>
      <c r="NGZ44" s="214"/>
      <c r="NHA44" s="214"/>
      <c r="NHB44" s="214"/>
      <c r="NHC44" s="214"/>
      <c r="NHD44" s="214"/>
      <c r="NHE44" s="214"/>
      <c r="NHF44" s="214"/>
      <c r="NHG44" s="214"/>
      <c r="NHH44" s="214"/>
      <c r="NHI44" s="214"/>
      <c r="NHJ44" s="214"/>
      <c r="NHK44" s="214"/>
      <c r="NHL44" s="214"/>
      <c r="NHM44" s="214"/>
      <c r="NHN44" s="214"/>
      <c r="NHO44" s="214"/>
      <c r="NHP44" s="214"/>
      <c r="NHQ44" s="214"/>
      <c r="NHR44" s="214"/>
      <c r="NHS44" s="214"/>
      <c r="NHT44" s="214"/>
      <c r="NHU44" s="214"/>
      <c r="NHV44" s="214"/>
      <c r="NHW44" s="214"/>
      <c r="NHX44" s="214"/>
      <c r="NHY44" s="214"/>
      <c r="NHZ44" s="214"/>
      <c r="NIA44" s="214"/>
      <c r="NIB44" s="214"/>
      <c r="NIC44" s="214"/>
      <c r="NID44" s="214"/>
      <c r="NIE44" s="214"/>
      <c r="NIF44" s="214"/>
      <c r="NIG44" s="214"/>
      <c r="NIH44" s="214"/>
      <c r="NII44" s="214"/>
      <c r="NIJ44" s="214"/>
      <c r="NIK44" s="214"/>
      <c r="NIL44" s="214"/>
      <c r="NIM44" s="214"/>
      <c r="NIN44" s="214"/>
      <c r="NIO44" s="214"/>
      <c r="NIP44" s="214"/>
      <c r="NIQ44" s="214"/>
      <c r="NIR44" s="214"/>
      <c r="NIS44" s="214"/>
      <c r="NIT44" s="214"/>
      <c r="NIU44" s="214"/>
      <c r="NIV44" s="214"/>
      <c r="NIW44" s="214"/>
      <c r="NIX44" s="214"/>
      <c r="NIY44" s="214"/>
      <c r="NIZ44" s="214"/>
      <c r="NJA44" s="214"/>
      <c r="NJB44" s="214"/>
      <c r="NJC44" s="214"/>
      <c r="NJD44" s="214"/>
      <c r="NJE44" s="214"/>
      <c r="NJF44" s="214"/>
      <c r="NJG44" s="214"/>
      <c r="NJH44" s="214"/>
      <c r="NJI44" s="214"/>
      <c r="NJJ44" s="214"/>
      <c r="NJK44" s="214"/>
      <c r="NJL44" s="214"/>
      <c r="NJM44" s="214"/>
      <c r="NJN44" s="214"/>
      <c r="NJO44" s="214"/>
      <c r="NJP44" s="214"/>
      <c r="NJQ44" s="214"/>
      <c r="NJR44" s="214"/>
      <c r="NJS44" s="214"/>
      <c r="NJT44" s="214"/>
      <c r="NJU44" s="214"/>
      <c r="NJV44" s="214"/>
      <c r="NJW44" s="214"/>
      <c r="NJX44" s="214"/>
      <c r="NJY44" s="214"/>
      <c r="NJZ44" s="214"/>
      <c r="NKA44" s="214"/>
      <c r="NKB44" s="214"/>
      <c r="NKC44" s="214"/>
      <c r="NKD44" s="214"/>
      <c r="NKE44" s="214"/>
      <c r="NKF44" s="214"/>
      <c r="NKG44" s="214"/>
      <c r="NKH44" s="214"/>
      <c r="NKI44" s="214"/>
      <c r="NKJ44" s="214"/>
      <c r="NKK44" s="214"/>
      <c r="NKL44" s="214"/>
      <c r="NKM44" s="214"/>
      <c r="NKN44" s="214"/>
      <c r="NKO44" s="214"/>
      <c r="NKP44" s="214"/>
      <c r="NKQ44" s="214"/>
      <c r="NKR44" s="214"/>
      <c r="NKS44" s="214"/>
      <c r="NKT44" s="214"/>
      <c r="NKU44" s="214"/>
      <c r="NKV44" s="214"/>
      <c r="NKW44" s="214"/>
      <c r="NKX44" s="214"/>
      <c r="NKY44" s="214"/>
      <c r="NKZ44" s="214"/>
      <c r="NLA44" s="214"/>
      <c r="NLB44" s="214"/>
      <c r="NLC44" s="214"/>
      <c r="NLD44" s="214"/>
      <c r="NLE44" s="214"/>
      <c r="NLF44" s="214"/>
      <c r="NLG44" s="214"/>
      <c r="NLH44" s="214"/>
      <c r="NLI44" s="214"/>
      <c r="NLJ44" s="214"/>
      <c r="NLK44" s="214"/>
      <c r="NLL44" s="214"/>
      <c r="NLM44" s="214"/>
      <c r="NLN44" s="214"/>
      <c r="NLO44" s="214"/>
      <c r="NLP44" s="214"/>
      <c r="NLQ44" s="214"/>
      <c r="NLR44" s="214"/>
      <c r="NLS44" s="214"/>
      <c r="NLT44" s="214"/>
      <c r="NLU44" s="214"/>
      <c r="NLV44" s="214"/>
      <c r="NLW44" s="214"/>
      <c r="NLX44" s="214"/>
      <c r="NLY44" s="214"/>
      <c r="NLZ44" s="214"/>
      <c r="NMA44" s="214"/>
      <c r="NMB44" s="214"/>
      <c r="NMC44" s="214"/>
      <c r="NMD44" s="214"/>
      <c r="NME44" s="214"/>
      <c r="NMF44" s="214"/>
      <c r="NMG44" s="214"/>
      <c r="NMH44" s="214"/>
      <c r="NMI44" s="214"/>
      <c r="NMJ44" s="214"/>
      <c r="NMK44" s="214"/>
      <c r="NML44" s="214"/>
      <c r="NMM44" s="214"/>
      <c r="NMN44" s="214"/>
      <c r="NMO44" s="214"/>
      <c r="NMP44" s="214"/>
      <c r="NMQ44" s="214"/>
      <c r="NMR44" s="214"/>
      <c r="NMS44" s="214"/>
      <c r="NMT44" s="214"/>
      <c r="NMU44" s="214"/>
      <c r="NMV44" s="214"/>
      <c r="NMW44" s="214"/>
      <c r="NMX44" s="214"/>
      <c r="NMY44" s="214"/>
      <c r="NMZ44" s="214"/>
      <c r="NNA44" s="214"/>
      <c r="NNB44" s="214"/>
      <c r="NNC44" s="214"/>
      <c r="NND44" s="214"/>
      <c r="NNE44" s="214"/>
      <c r="NNF44" s="214"/>
      <c r="NNG44" s="214"/>
      <c r="NNH44" s="214"/>
      <c r="NNI44" s="214"/>
      <c r="NNJ44" s="214"/>
      <c r="NNK44" s="214"/>
      <c r="NNL44" s="214"/>
      <c r="NNM44" s="214"/>
      <c r="NNN44" s="214"/>
      <c r="NNO44" s="214"/>
      <c r="NNP44" s="214"/>
      <c r="NNQ44" s="214"/>
      <c r="NNR44" s="214"/>
      <c r="NNS44" s="214"/>
      <c r="NNT44" s="214"/>
      <c r="NNU44" s="214"/>
      <c r="NNV44" s="214"/>
      <c r="NNW44" s="214"/>
      <c r="NNX44" s="214"/>
      <c r="NNY44" s="214"/>
      <c r="NNZ44" s="214"/>
      <c r="NOA44" s="214"/>
      <c r="NOB44" s="214"/>
      <c r="NOC44" s="214"/>
      <c r="NOD44" s="214"/>
      <c r="NOE44" s="214"/>
      <c r="NOF44" s="214"/>
      <c r="NOG44" s="214"/>
      <c r="NOH44" s="214"/>
      <c r="NOI44" s="214"/>
      <c r="NOJ44" s="214"/>
      <c r="NOK44" s="214"/>
      <c r="NOL44" s="214"/>
      <c r="NOM44" s="214"/>
      <c r="NON44" s="214"/>
      <c r="NOO44" s="214"/>
      <c r="NOP44" s="214"/>
      <c r="NOQ44" s="214"/>
      <c r="NOR44" s="214"/>
      <c r="NOS44" s="214"/>
      <c r="NOT44" s="214"/>
      <c r="NOU44" s="214"/>
      <c r="NOV44" s="214"/>
      <c r="NOW44" s="214"/>
      <c r="NOX44" s="214"/>
      <c r="NOY44" s="214"/>
      <c r="NOZ44" s="214"/>
      <c r="NPA44" s="214"/>
      <c r="NPB44" s="214"/>
      <c r="NPC44" s="214"/>
      <c r="NPD44" s="214"/>
      <c r="NPE44" s="214"/>
      <c r="NPF44" s="214"/>
      <c r="NPG44" s="214"/>
      <c r="NPH44" s="214"/>
      <c r="NPI44" s="214"/>
      <c r="NPJ44" s="214"/>
      <c r="NPK44" s="214"/>
      <c r="NPL44" s="214"/>
      <c r="NPM44" s="214"/>
      <c r="NPN44" s="214"/>
      <c r="NPO44" s="214"/>
      <c r="NPP44" s="214"/>
      <c r="NPQ44" s="214"/>
      <c r="NPR44" s="214"/>
      <c r="NPS44" s="214"/>
      <c r="NPT44" s="214"/>
      <c r="NPU44" s="214"/>
      <c r="NPV44" s="214"/>
      <c r="NPW44" s="214"/>
      <c r="NPX44" s="214"/>
      <c r="NPY44" s="214"/>
      <c r="NPZ44" s="214"/>
      <c r="NQA44" s="214"/>
      <c r="NQB44" s="214"/>
      <c r="NQC44" s="214"/>
      <c r="NQD44" s="214"/>
      <c r="NQE44" s="214"/>
      <c r="NQF44" s="214"/>
      <c r="NQG44" s="214"/>
      <c r="NQH44" s="214"/>
      <c r="NQI44" s="214"/>
      <c r="NQJ44" s="214"/>
      <c r="NQK44" s="214"/>
      <c r="NQL44" s="214"/>
      <c r="NQM44" s="214"/>
      <c r="NQN44" s="214"/>
      <c r="NQO44" s="214"/>
      <c r="NQP44" s="214"/>
      <c r="NQQ44" s="214"/>
      <c r="NQR44" s="214"/>
      <c r="NQS44" s="214"/>
      <c r="NQT44" s="214"/>
      <c r="NQU44" s="214"/>
      <c r="NQV44" s="214"/>
      <c r="NQW44" s="214"/>
      <c r="NQX44" s="214"/>
      <c r="NQY44" s="214"/>
      <c r="NQZ44" s="214"/>
      <c r="NRA44" s="214"/>
      <c r="NRB44" s="214"/>
      <c r="NRC44" s="214"/>
      <c r="NRD44" s="214"/>
      <c r="NRE44" s="214"/>
      <c r="NRF44" s="214"/>
      <c r="NRG44" s="214"/>
      <c r="NRH44" s="214"/>
      <c r="NRI44" s="214"/>
      <c r="NRJ44" s="214"/>
      <c r="NRK44" s="214"/>
      <c r="NRL44" s="214"/>
      <c r="NRM44" s="214"/>
      <c r="NRN44" s="214"/>
      <c r="NRO44" s="214"/>
      <c r="NRP44" s="214"/>
      <c r="NRQ44" s="214"/>
      <c r="NRR44" s="214"/>
      <c r="NRS44" s="214"/>
      <c r="NRT44" s="214"/>
      <c r="NRU44" s="214"/>
      <c r="NRV44" s="214"/>
      <c r="NRW44" s="214"/>
      <c r="NRX44" s="214"/>
      <c r="NRY44" s="214"/>
      <c r="NRZ44" s="214"/>
      <c r="NSA44" s="214"/>
      <c r="NSB44" s="214"/>
      <c r="NSC44" s="214"/>
      <c r="NSD44" s="214"/>
      <c r="NSE44" s="214"/>
      <c r="NSF44" s="214"/>
      <c r="NSG44" s="214"/>
      <c r="NSH44" s="214"/>
      <c r="NSI44" s="214"/>
      <c r="NSJ44" s="214"/>
      <c r="NSK44" s="214"/>
      <c r="NSL44" s="214"/>
      <c r="NSM44" s="214"/>
      <c r="NSN44" s="214"/>
      <c r="NSO44" s="214"/>
      <c r="NSP44" s="214"/>
      <c r="NSQ44" s="214"/>
      <c r="NSR44" s="214"/>
      <c r="NSS44" s="214"/>
      <c r="NST44" s="214"/>
      <c r="NSU44" s="214"/>
      <c r="NSV44" s="214"/>
      <c r="NSW44" s="214"/>
      <c r="NSX44" s="214"/>
      <c r="NSY44" s="214"/>
      <c r="NSZ44" s="214"/>
      <c r="NTA44" s="214"/>
      <c r="NTB44" s="214"/>
      <c r="NTC44" s="214"/>
      <c r="NTD44" s="214"/>
      <c r="NTE44" s="214"/>
      <c r="NTF44" s="214"/>
      <c r="NTG44" s="214"/>
      <c r="NTH44" s="214"/>
      <c r="NTI44" s="214"/>
      <c r="NTJ44" s="214"/>
      <c r="NTK44" s="214"/>
      <c r="NTL44" s="214"/>
      <c r="NTM44" s="214"/>
      <c r="NTN44" s="214"/>
      <c r="NTO44" s="214"/>
      <c r="NTP44" s="214"/>
      <c r="NTQ44" s="214"/>
      <c r="NTR44" s="214"/>
      <c r="NTS44" s="214"/>
      <c r="NTT44" s="214"/>
      <c r="NTU44" s="214"/>
      <c r="NTV44" s="214"/>
      <c r="NTW44" s="214"/>
      <c r="NTX44" s="214"/>
      <c r="NTY44" s="214"/>
      <c r="NTZ44" s="214"/>
      <c r="NUA44" s="214"/>
      <c r="NUB44" s="214"/>
      <c r="NUC44" s="214"/>
      <c r="NUD44" s="214"/>
      <c r="NUE44" s="214"/>
      <c r="NUF44" s="214"/>
      <c r="NUG44" s="214"/>
      <c r="NUH44" s="214"/>
      <c r="NUI44" s="214"/>
      <c r="NUJ44" s="214"/>
      <c r="NUK44" s="214"/>
      <c r="NUL44" s="214"/>
      <c r="NUM44" s="214"/>
      <c r="NUN44" s="214"/>
      <c r="NUO44" s="214"/>
      <c r="NUP44" s="214"/>
      <c r="NUQ44" s="214"/>
      <c r="NUR44" s="214"/>
      <c r="NUS44" s="214"/>
      <c r="NUT44" s="214"/>
      <c r="NUU44" s="214"/>
      <c r="NUV44" s="214"/>
      <c r="NUW44" s="214"/>
      <c r="NUX44" s="214"/>
      <c r="NUY44" s="214"/>
      <c r="NUZ44" s="214"/>
      <c r="NVA44" s="214"/>
      <c r="NVB44" s="214"/>
      <c r="NVC44" s="214"/>
      <c r="NVD44" s="214"/>
      <c r="NVE44" s="214"/>
      <c r="NVF44" s="214"/>
      <c r="NVG44" s="214"/>
      <c r="NVH44" s="214"/>
      <c r="NVI44" s="214"/>
      <c r="NVJ44" s="214"/>
      <c r="NVK44" s="214"/>
      <c r="NVL44" s="214"/>
      <c r="NVM44" s="214"/>
      <c r="NVN44" s="214"/>
      <c r="NVO44" s="214"/>
      <c r="NVP44" s="214"/>
      <c r="NVQ44" s="214"/>
      <c r="NVR44" s="214"/>
      <c r="NVS44" s="214"/>
      <c r="NVT44" s="214"/>
      <c r="NVU44" s="214"/>
      <c r="NVV44" s="214"/>
      <c r="NVW44" s="214"/>
      <c r="NVX44" s="214"/>
      <c r="NVY44" s="214"/>
      <c r="NVZ44" s="214"/>
      <c r="NWA44" s="214"/>
      <c r="NWB44" s="214"/>
      <c r="NWC44" s="214"/>
      <c r="NWD44" s="214"/>
      <c r="NWE44" s="214"/>
      <c r="NWF44" s="214"/>
      <c r="NWG44" s="214"/>
      <c r="NWH44" s="214"/>
      <c r="NWI44" s="214"/>
      <c r="NWJ44" s="214"/>
      <c r="NWK44" s="214"/>
      <c r="NWL44" s="214"/>
      <c r="NWM44" s="214"/>
      <c r="NWN44" s="214"/>
      <c r="NWO44" s="214"/>
      <c r="NWP44" s="214"/>
      <c r="NWQ44" s="214"/>
      <c r="NWR44" s="214"/>
      <c r="NWS44" s="214"/>
      <c r="NWT44" s="214"/>
      <c r="NWU44" s="214"/>
      <c r="NWV44" s="214"/>
      <c r="NWW44" s="214"/>
      <c r="NWX44" s="214"/>
      <c r="NWY44" s="214"/>
      <c r="NWZ44" s="214"/>
      <c r="NXA44" s="214"/>
      <c r="NXB44" s="214"/>
      <c r="NXC44" s="214"/>
      <c r="NXD44" s="214"/>
      <c r="NXE44" s="214"/>
      <c r="NXF44" s="214"/>
      <c r="NXG44" s="214"/>
      <c r="NXH44" s="214"/>
      <c r="NXI44" s="214"/>
      <c r="NXJ44" s="214"/>
      <c r="NXK44" s="214"/>
      <c r="NXL44" s="214"/>
      <c r="NXM44" s="214"/>
      <c r="NXN44" s="214"/>
      <c r="NXO44" s="214"/>
      <c r="NXP44" s="214"/>
      <c r="NXQ44" s="214"/>
      <c r="NXR44" s="214"/>
      <c r="NXS44" s="214"/>
      <c r="NXT44" s="214"/>
      <c r="NXU44" s="214"/>
      <c r="NXV44" s="214"/>
      <c r="NXW44" s="214"/>
      <c r="NXX44" s="214"/>
      <c r="NXY44" s="214"/>
      <c r="NXZ44" s="214"/>
      <c r="NYA44" s="214"/>
      <c r="NYB44" s="214"/>
      <c r="NYC44" s="214"/>
      <c r="NYD44" s="214"/>
      <c r="NYE44" s="214"/>
      <c r="NYF44" s="214"/>
      <c r="NYG44" s="214"/>
      <c r="NYH44" s="214"/>
      <c r="NYI44" s="214"/>
      <c r="NYJ44" s="214"/>
      <c r="NYK44" s="214"/>
      <c r="NYL44" s="214"/>
      <c r="NYM44" s="214"/>
      <c r="NYN44" s="214"/>
      <c r="NYO44" s="214"/>
      <c r="NYP44" s="214"/>
      <c r="NYQ44" s="214"/>
      <c r="NYR44" s="214"/>
      <c r="NYS44" s="214"/>
      <c r="NYT44" s="214"/>
      <c r="NYU44" s="214"/>
      <c r="NYV44" s="214"/>
      <c r="NYW44" s="214"/>
      <c r="NYX44" s="214"/>
      <c r="NYY44" s="214"/>
      <c r="NYZ44" s="214"/>
      <c r="NZA44" s="214"/>
      <c r="NZB44" s="214"/>
      <c r="NZC44" s="214"/>
      <c r="NZD44" s="214"/>
      <c r="NZE44" s="214"/>
      <c r="NZF44" s="214"/>
      <c r="NZG44" s="214"/>
      <c r="NZH44" s="214"/>
      <c r="NZI44" s="214"/>
      <c r="NZJ44" s="214"/>
      <c r="NZK44" s="214"/>
      <c r="NZL44" s="214"/>
      <c r="NZM44" s="214"/>
      <c r="NZN44" s="214"/>
      <c r="NZO44" s="214"/>
      <c r="NZP44" s="214"/>
      <c r="NZQ44" s="214"/>
      <c r="NZR44" s="214"/>
      <c r="NZS44" s="214"/>
      <c r="NZT44" s="214"/>
      <c r="NZU44" s="214"/>
      <c r="NZV44" s="214"/>
      <c r="NZW44" s="214"/>
      <c r="NZX44" s="214"/>
      <c r="NZY44" s="214"/>
      <c r="NZZ44" s="214"/>
      <c r="OAA44" s="214"/>
      <c r="OAB44" s="214"/>
      <c r="OAC44" s="214"/>
      <c r="OAD44" s="214"/>
      <c r="OAE44" s="214"/>
      <c r="OAF44" s="214"/>
      <c r="OAG44" s="214"/>
      <c r="OAH44" s="214"/>
      <c r="OAI44" s="214"/>
      <c r="OAJ44" s="214"/>
      <c r="OAK44" s="214"/>
      <c r="OAL44" s="214"/>
      <c r="OAM44" s="214"/>
      <c r="OAN44" s="214"/>
      <c r="OAO44" s="214"/>
      <c r="OAP44" s="214"/>
      <c r="OAQ44" s="214"/>
      <c r="OAR44" s="214"/>
      <c r="OAS44" s="214"/>
      <c r="OAT44" s="214"/>
      <c r="OAU44" s="214"/>
      <c r="OAV44" s="214"/>
      <c r="OAW44" s="214"/>
      <c r="OAX44" s="214"/>
      <c r="OAY44" s="214"/>
      <c r="OAZ44" s="214"/>
      <c r="OBA44" s="214"/>
      <c r="OBB44" s="214"/>
      <c r="OBC44" s="214"/>
      <c r="OBD44" s="214"/>
      <c r="OBE44" s="214"/>
      <c r="OBF44" s="214"/>
      <c r="OBG44" s="214"/>
      <c r="OBH44" s="214"/>
      <c r="OBI44" s="214"/>
      <c r="OBJ44" s="214"/>
      <c r="OBK44" s="214"/>
      <c r="OBL44" s="214"/>
      <c r="OBM44" s="214"/>
      <c r="OBN44" s="214"/>
      <c r="OBO44" s="214"/>
      <c r="OBP44" s="214"/>
      <c r="OBQ44" s="214"/>
      <c r="OBR44" s="214"/>
      <c r="OBS44" s="214"/>
      <c r="OBT44" s="214"/>
      <c r="OBU44" s="214"/>
      <c r="OBV44" s="214"/>
      <c r="OBW44" s="214"/>
      <c r="OBX44" s="214"/>
      <c r="OBY44" s="214"/>
      <c r="OBZ44" s="214"/>
      <c r="OCA44" s="214"/>
      <c r="OCB44" s="214"/>
      <c r="OCC44" s="214"/>
      <c r="OCD44" s="214"/>
      <c r="OCE44" s="214"/>
      <c r="OCF44" s="214"/>
      <c r="OCG44" s="214"/>
      <c r="OCH44" s="214"/>
      <c r="OCI44" s="214"/>
      <c r="OCJ44" s="214"/>
      <c r="OCK44" s="214"/>
      <c r="OCL44" s="214"/>
      <c r="OCM44" s="214"/>
      <c r="OCN44" s="214"/>
      <c r="OCO44" s="214"/>
      <c r="OCP44" s="214"/>
      <c r="OCQ44" s="214"/>
      <c r="OCR44" s="214"/>
      <c r="OCS44" s="214"/>
      <c r="OCT44" s="214"/>
      <c r="OCU44" s="214"/>
      <c r="OCV44" s="214"/>
      <c r="OCW44" s="214"/>
      <c r="OCX44" s="214"/>
      <c r="OCY44" s="214"/>
      <c r="OCZ44" s="214"/>
      <c r="ODA44" s="214"/>
      <c r="ODB44" s="214"/>
      <c r="ODC44" s="214"/>
      <c r="ODD44" s="214"/>
      <c r="ODE44" s="214"/>
      <c r="ODF44" s="214"/>
      <c r="ODG44" s="214"/>
      <c r="ODH44" s="214"/>
      <c r="ODI44" s="214"/>
      <c r="ODJ44" s="214"/>
      <c r="ODK44" s="214"/>
      <c r="ODL44" s="214"/>
      <c r="ODM44" s="214"/>
      <c r="ODN44" s="214"/>
      <c r="ODO44" s="214"/>
      <c r="ODP44" s="214"/>
      <c r="ODQ44" s="214"/>
      <c r="ODR44" s="214"/>
      <c r="ODS44" s="214"/>
      <c r="ODT44" s="214"/>
      <c r="ODU44" s="214"/>
      <c r="ODV44" s="214"/>
      <c r="ODW44" s="214"/>
      <c r="ODX44" s="214"/>
      <c r="ODY44" s="214"/>
      <c r="ODZ44" s="214"/>
      <c r="OEA44" s="214"/>
      <c r="OEB44" s="214"/>
      <c r="OEC44" s="214"/>
      <c r="OED44" s="214"/>
      <c r="OEE44" s="214"/>
      <c r="OEF44" s="214"/>
      <c r="OEG44" s="214"/>
      <c r="OEH44" s="214"/>
      <c r="OEI44" s="214"/>
      <c r="OEJ44" s="214"/>
      <c r="OEK44" s="214"/>
      <c r="OEL44" s="214"/>
      <c r="OEM44" s="214"/>
      <c r="OEN44" s="214"/>
      <c r="OEO44" s="214"/>
      <c r="OEP44" s="214"/>
      <c r="OEQ44" s="214"/>
      <c r="OER44" s="214"/>
      <c r="OES44" s="214"/>
      <c r="OET44" s="214"/>
      <c r="OEU44" s="214"/>
      <c r="OEV44" s="214"/>
      <c r="OEW44" s="214"/>
      <c r="OEX44" s="214"/>
      <c r="OEY44" s="214"/>
      <c r="OEZ44" s="214"/>
      <c r="OFA44" s="214"/>
      <c r="OFB44" s="214"/>
      <c r="OFC44" s="214"/>
      <c r="OFD44" s="214"/>
      <c r="OFE44" s="214"/>
      <c r="OFF44" s="214"/>
      <c r="OFG44" s="214"/>
      <c r="OFH44" s="214"/>
      <c r="OFI44" s="214"/>
      <c r="OFJ44" s="214"/>
      <c r="OFK44" s="214"/>
      <c r="OFL44" s="214"/>
      <c r="OFM44" s="214"/>
      <c r="OFN44" s="214"/>
      <c r="OFO44" s="214"/>
      <c r="OFP44" s="214"/>
      <c r="OFQ44" s="214"/>
      <c r="OFR44" s="214"/>
      <c r="OFS44" s="214"/>
      <c r="OFT44" s="214"/>
      <c r="OFU44" s="214"/>
      <c r="OFV44" s="214"/>
      <c r="OFW44" s="214"/>
      <c r="OFX44" s="214"/>
      <c r="OFY44" s="214"/>
      <c r="OFZ44" s="214"/>
      <c r="OGA44" s="214"/>
      <c r="OGB44" s="214"/>
      <c r="OGC44" s="214"/>
      <c r="OGD44" s="214"/>
      <c r="OGE44" s="214"/>
      <c r="OGF44" s="214"/>
      <c r="OGG44" s="214"/>
      <c r="OGH44" s="214"/>
      <c r="OGI44" s="214"/>
      <c r="OGJ44" s="214"/>
      <c r="OGK44" s="214"/>
      <c r="OGL44" s="214"/>
      <c r="OGM44" s="214"/>
      <c r="OGN44" s="214"/>
      <c r="OGO44" s="214"/>
      <c r="OGP44" s="214"/>
      <c r="OGQ44" s="214"/>
      <c r="OGR44" s="214"/>
      <c r="OGS44" s="214"/>
      <c r="OGT44" s="214"/>
      <c r="OGU44" s="214"/>
      <c r="OGV44" s="214"/>
      <c r="OGW44" s="214"/>
      <c r="OGX44" s="214"/>
      <c r="OGY44" s="214"/>
      <c r="OGZ44" s="214"/>
      <c r="OHA44" s="214"/>
      <c r="OHB44" s="214"/>
      <c r="OHC44" s="214"/>
      <c r="OHD44" s="214"/>
      <c r="OHE44" s="214"/>
      <c r="OHF44" s="214"/>
      <c r="OHG44" s="214"/>
      <c r="OHH44" s="214"/>
      <c r="OHI44" s="214"/>
      <c r="OHJ44" s="214"/>
      <c r="OHK44" s="214"/>
      <c r="OHL44" s="214"/>
      <c r="OHM44" s="214"/>
      <c r="OHN44" s="214"/>
      <c r="OHO44" s="214"/>
      <c r="OHP44" s="214"/>
      <c r="OHQ44" s="214"/>
      <c r="OHR44" s="214"/>
      <c r="OHS44" s="214"/>
      <c r="OHT44" s="214"/>
      <c r="OHU44" s="214"/>
      <c r="OHV44" s="214"/>
      <c r="OHW44" s="214"/>
      <c r="OHX44" s="214"/>
      <c r="OHY44" s="214"/>
      <c r="OHZ44" s="214"/>
      <c r="OIA44" s="214"/>
      <c r="OIB44" s="214"/>
      <c r="OIC44" s="214"/>
      <c r="OID44" s="214"/>
      <c r="OIE44" s="214"/>
      <c r="OIF44" s="214"/>
      <c r="OIG44" s="214"/>
      <c r="OIH44" s="214"/>
      <c r="OII44" s="214"/>
      <c r="OIJ44" s="214"/>
      <c r="OIK44" s="214"/>
      <c r="OIL44" s="214"/>
      <c r="OIM44" s="214"/>
      <c r="OIN44" s="214"/>
      <c r="OIO44" s="214"/>
      <c r="OIP44" s="214"/>
      <c r="OIQ44" s="214"/>
      <c r="OIR44" s="214"/>
      <c r="OIS44" s="214"/>
      <c r="OIT44" s="214"/>
      <c r="OIU44" s="214"/>
      <c r="OIV44" s="214"/>
      <c r="OIW44" s="214"/>
      <c r="OIX44" s="214"/>
      <c r="OIY44" s="214"/>
      <c r="OIZ44" s="214"/>
      <c r="OJA44" s="214"/>
      <c r="OJB44" s="214"/>
      <c r="OJC44" s="214"/>
      <c r="OJD44" s="214"/>
      <c r="OJE44" s="214"/>
      <c r="OJF44" s="214"/>
      <c r="OJG44" s="214"/>
      <c r="OJH44" s="214"/>
      <c r="OJI44" s="214"/>
      <c r="OJJ44" s="214"/>
      <c r="OJK44" s="214"/>
      <c r="OJL44" s="214"/>
      <c r="OJM44" s="214"/>
      <c r="OJN44" s="214"/>
      <c r="OJO44" s="214"/>
      <c r="OJP44" s="214"/>
      <c r="OJQ44" s="214"/>
      <c r="OJR44" s="214"/>
      <c r="OJS44" s="214"/>
      <c r="OJT44" s="214"/>
      <c r="OJU44" s="214"/>
      <c r="OJV44" s="214"/>
      <c r="OJW44" s="214"/>
      <c r="OJX44" s="214"/>
      <c r="OJY44" s="214"/>
      <c r="OJZ44" s="214"/>
      <c r="OKA44" s="214"/>
      <c r="OKB44" s="214"/>
      <c r="OKC44" s="214"/>
      <c r="OKD44" s="214"/>
      <c r="OKE44" s="214"/>
      <c r="OKF44" s="214"/>
      <c r="OKG44" s="214"/>
      <c r="OKH44" s="214"/>
      <c r="OKI44" s="214"/>
      <c r="OKJ44" s="214"/>
      <c r="OKK44" s="214"/>
      <c r="OKL44" s="214"/>
      <c r="OKM44" s="214"/>
      <c r="OKN44" s="214"/>
      <c r="OKO44" s="214"/>
      <c r="OKP44" s="214"/>
      <c r="OKQ44" s="214"/>
      <c r="OKR44" s="214"/>
      <c r="OKS44" s="214"/>
      <c r="OKT44" s="214"/>
      <c r="OKU44" s="214"/>
      <c r="OKV44" s="214"/>
      <c r="OKW44" s="214"/>
      <c r="OKX44" s="214"/>
      <c r="OKY44" s="214"/>
      <c r="OKZ44" s="214"/>
      <c r="OLA44" s="214"/>
      <c r="OLB44" s="214"/>
      <c r="OLC44" s="214"/>
      <c r="OLD44" s="214"/>
      <c r="OLE44" s="214"/>
      <c r="OLF44" s="214"/>
      <c r="OLG44" s="214"/>
      <c r="OLH44" s="214"/>
      <c r="OLI44" s="214"/>
      <c r="OLJ44" s="214"/>
      <c r="OLK44" s="214"/>
      <c r="OLL44" s="214"/>
      <c r="OLM44" s="214"/>
      <c r="OLN44" s="214"/>
      <c r="OLO44" s="214"/>
      <c r="OLP44" s="214"/>
      <c r="OLQ44" s="214"/>
      <c r="OLR44" s="214"/>
      <c r="OLS44" s="214"/>
      <c r="OLT44" s="214"/>
      <c r="OLU44" s="214"/>
      <c r="OLV44" s="214"/>
      <c r="OLW44" s="214"/>
      <c r="OLX44" s="214"/>
      <c r="OLY44" s="214"/>
      <c r="OLZ44" s="214"/>
      <c r="OMA44" s="214"/>
      <c r="OMB44" s="214"/>
      <c r="OMC44" s="214"/>
      <c r="OMD44" s="214"/>
      <c r="OME44" s="214"/>
      <c r="OMF44" s="214"/>
      <c r="OMG44" s="214"/>
      <c r="OMH44" s="214"/>
      <c r="OMI44" s="214"/>
      <c r="OMJ44" s="214"/>
      <c r="OMK44" s="214"/>
      <c r="OML44" s="214"/>
      <c r="OMM44" s="214"/>
      <c r="OMN44" s="214"/>
      <c r="OMO44" s="214"/>
      <c r="OMP44" s="214"/>
      <c r="OMQ44" s="214"/>
      <c r="OMR44" s="214"/>
      <c r="OMS44" s="214"/>
      <c r="OMT44" s="214"/>
      <c r="OMU44" s="214"/>
      <c r="OMV44" s="214"/>
      <c r="OMW44" s="214"/>
      <c r="OMX44" s="214"/>
      <c r="OMY44" s="214"/>
      <c r="OMZ44" s="214"/>
      <c r="ONA44" s="214"/>
      <c r="ONB44" s="214"/>
      <c r="ONC44" s="214"/>
      <c r="OND44" s="214"/>
      <c r="ONE44" s="214"/>
      <c r="ONF44" s="214"/>
      <c r="ONG44" s="214"/>
      <c r="ONH44" s="214"/>
      <c r="ONI44" s="214"/>
      <c r="ONJ44" s="214"/>
      <c r="ONK44" s="214"/>
      <c r="ONL44" s="214"/>
      <c r="ONM44" s="214"/>
      <c r="ONN44" s="214"/>
      <c r="ONO44" s="214"/>
      <c r="ONP44" s="214"/>
      <c r="ONQ44" s="214"/>
      <c r="ONR44" s="214"/>
      <c r="ONS44" s="214"/>
      <c r="ONT44" s="214"/>
      <c r="ONU44" s="214"/>
      <c r="ONV44" s="214"/>
      <c r="ONW44" s="214"/>
      <c r="ONX44" s="214"/>
      <c r="ONY44" s="214"/>
      <c r="ONZ44" s="214"/>
      <c r="OOA44" s="214"/>
      <c r="OOB44" s="214"/>
      <c r="OOC44" s="214"/>
      <c r="OOD44" s="214"/>
      <c r="OOE44" s="214"/>
      <c r="OOF44" s="214"/>
      <c r="OOG44" s="214"/>
      <c r="OOH44" s="214"/>
      <c r="OOI44" s="214"/>
      <c r="OOJ44" s="214"/>
      <c r="OOK44" s="214"/>
      <c r="OOL44" s="214"/>
      <c r="OOM44" s="214"/>
      <c r="OON44" s="214"/>
      <c r="OOO44" s="214"/>
      <c r="OOP44" s="214"/>
      <c r="OOQ44" s="214"/>
      <c r="OOR44" s="214"/>
      <c r="OOS44" s="214"/>
      <c r="OOT44" s="214"/>
      <c r="OOU44" s="214"/>
      <c r="OOV44" s="214"/>
      <c r="OOW44" s="214"/>
      <c r="OOX44" s="214"/>
      <c r="OOY44" s="214"/>
      <c r="OOZ44" s="214"/>
      <c r="OPA44" s="214"/>
      <c r="OPB44" s="214"/>
      <c r="OPC44" s="214"/>
      <c r="OPD44" s="214"/>
      <c r="OPE44" s="214"/>
      <c r="OPF44" s="214"/>
      <c r="OPG44" s="214"/>
      <c r="OPH44" s="214"/>
      <c r="OPI44" s="214"/>
      <c r="OPJ44" s="214"/>
      <c r="OPK44" s="214"/>
      <c r="OPL44" s="214"/>
      <c r="OPM44" s="214"/>
      <c r="OPN44" s="214"/>
      <c r="OPO44" s="214"/>
      <c r="OPP44" s="214"/>
      <c r="OPQ44" s="214"/>
      <c r="OPR44" s="214"/>
      <c r="OPS44" s="214"/>
      <c r="OPT44" s="214"/>
      <c r="OPU44" s="214"/>
      <c r="OPV44" s="214"/>
      <c r="OPW44" s="214"/>
      <c r="OPX44" s="214"/>
      <c r="OPY44" s="214"/>
      <c r="OPZ44" s="214"/>
      <c r="OQA44" s="214"/>
      <c r="OQB44" s="214"/>
      <c r="OQC44" s="214"/>
      <c r="OQD44" s="214"/>
      <c r="OQE44" s="214"/>
      <c r="OQF44" s="214"/>
      <c r="OQG44" s="214"/>
      <c r="OQH44" s="214"/>
      <c r="OQI44" s="214"/>
      <c r="OQJ44" s="214"/>
      <c r="OQK44" s="214"/>
      <c r="OQL44" s="214"/>
      <c r="OQM44" s="214"/>
      <c r="OQN44" s="214"/>
      <c r="OQO44" s="214"/>
      <c r="OQP44" s="214"/>
      <c r="OQQ44" s="214"/>
      <c r="OQR44" s="214"/>
      <c r="OQS44" s="214"/>
      <c r="OQT44" s="214"/>
      <c r="OQU44" s="214"/>
      <c r="OQV44" s="214"/>
      <c r="OQW44" s="214"/>
      <c r="OQX44" s="214"/>
      <c r="OQY44" s="214"/>
      <c r="OQZ44" s="214"/>
      <c r="ORA44" s="214"/>
      <c r="ORB44" s="214"/>
      <c r="ORC44" s="214"/>
      <c r="ORD44" s="214"/>
      <c r="ORE44" s="214"/>
      <c r="ORF44" s="214"/>
      <c r="ORG44" s="214"/>
      <c r="ORH44" s="214"/>
      <c r="ORI44" s="214"/>
      <c r="ORJ44" s="214"/>
      <c r="ORK44" s="214"/>
      <c r="ORL44" s="214"/>
      <c r="ORM44" s="214"/>
      <c r="ORN44" s="214"/>
      <c r="ORO44" s="214"/>
      <c r="ORP44" s="214"/>
      <c r="ORQ44" s="214"/>
      <c r="ORR44" s="214"/>
      <c r="ORS44" s="214"/>
      <c r="ORT44" s="214"/>
      <c r="ORU44" s="214"/>
      <c r="ORV44" s="214"/>
      <c r="ORW44" s="214"/>
      <c r="ORX44" s="214"/>
      <c r="ORY44" s="214"/>
      <c r="ORZ44" s="214"/>
      <c r="OSA44" s="214"/>
      <c r="OSB44" s="214"/>
      <c r="OSC44" s="214"/>
      <c r="OSD44" s="214"/>
      <c r="OSE44" s="214"/>
      <c r="OSF44" s="214"/>
      <c r="OSG44" s="214"/>
      <c r="OSH44" s="214"/>
      <c r="OSI44" s="214"/>
      <c r="OSJ44" s="214"/>
      <c r="OSK44" s="214"/>
      <c r="OSL44" s="214"/>
      <c r="OSM44" s="214"/>
      <c r="OSN44" s="214"/>
      <c r="OSO44" s="214"/>
      <c r="OSP44" s="214"/>
      <c r="OSQ44" s="214"/>
      <c r="OSR44" s="214"/>
      <c r="OSS44" s="214"/>
      <c r="OST44" s="214"/>
      <c r="OSU44" s="214"/>
      <c r="OSV44" s="214"/>
      <c r="OSW44" s="214"/>
      <c r="OSX44" s="214"/>
      <c r="OSY44" s="214"/>
      <c r="OSZ44" s="214"/>
      <c r="OTA44" s="214"/>
      <c r="OTB44" s="214"/>
      <c r="OTC44" s="214"/>
      <c r="OTD44" s="214"/>
      <c r="OTE44" s="214"/>
      <c r="OTF44" s="214"/>
      <c r="OTG44" s="214"/>
      <c r="OTH44" s="214"/>
      <c r="OTI44" s="214"/>
      <c r="OTJ44" s="214"/>
      <c r="OTK44" s="214"/>
      <c r="OTL44" s="214"/>
      <c r="OTM44" s="214"/>
      <c r="OTN44" s="214"/>
      <c r="OTO44" s="214"/>
      <c r="OTP44" s="214"/>
      <c r="OTQ44" s="214"/>
      <c r="OTR44" s="214"/>
      <c r="OTS44" s="214"/>
      <c r="OTT44" s="214"/>
      <c r="OTU44" s="214"/>
      <c r="OTV44" s="214"/>
      <c r="OTW44" s="214"/>
      <c r="OTX44" s="214"/>
      <c r="OTY44" s="214"/>
      <c r="OTZ44" s="214"/>
      <c r="OUA44" s="214"/>
      <c r="OUB44" s="214"/>
      <c r="OUC44" s="214"/>
      <c r="OUD44" s="214"/>
      <c r="OUE44" s="214"/>
      <c r="OUF44" s="214"/>
      <c r="OUG44" s="214"/>
      <c r="OUH44" s="214"/>
      <c r="OUI44" s="214"/>
      <c r="OUJ44" s="214"/>
      <c r="OUK44" s="214"/>
      <c r="OUL44" s="214"/>
      <c r="OUM44" s="214"/>
      <c r="OUN44" s="214"/>
      <c r="OUO44" s="214"/>
      <c r="OUP44" s="214"/>
      <c r="OUQ44" s="214"/>
      <c r="OUR44" s="214"/>
      <c r="OUS44" s="214"/>
      <c r="OUT44" s="214"/>
      <c r="OUU44" s="214"/>
      <c r="OUV44" s="214"/>
      <c r="OUW44" s="214"/>
      <c r="OUX44" s="214"/>
      <c r="OUY44" s="214"/>
      <c r="OUZ44" s="214"/>
      <c r="OVA44" s="214"/>
      <c r="OVB44" s="214"/>
      <c r="OVC44" s="214"/>
      <c r="OVD44" s="214"/>
      <c r="OVE44" s="214"/>
      <c r="OVF44" s="214"/>
      <c r="OVG44" s="214"/>
      <c r="OVH44" s="214"/>
      <c r="OVI44" s="214"/>
      <c r="OVJ44" s="214"/>
      <c r="OVK44" s="214"/>
      <c r="OVL44" s="214"/>
      <c r="OVM44" s="214"/>
      <c r="OVN44" s="214"/>
      <c r="OVO44" s="214"/>
      <c r="OVP44" s="214"/>
      <c r="OVQ44" s="214"/>
      <c r="OVR44" s="214"/>
      <c r="OVS44" s="214"/>
      <c r="OVT44" s="214"/>
      <c r="OVU44" s="214"/>
      <c r="OVV44" s="214"/>
      <c r="OVW44" s="214"/>
      <c r="OVX44" s="214"/>
      <c r="OVY44" s="214"/>
      <c r="OVZ44" s="214"/>
      <c r="OWA44" s="214"/>
      <c r="OWB44" s="214"/>
      <c r="OWC44" s="214"/>
      <c r="OWD44" s="214"/>
      <c r="OWE44" s="214"/>
      <c r="OWF44" s="214"/>
      <c r="OWG44" s="214"/>
      <c r="OWH44" s="214"/>
      <c r="OWI44" s="214"/>
      <c r="OWJ44" s="214"/>
      <c r="OWK44" s="214"/>
      <c r="OWL44" s="214"/>
      <c r="OWM44" s="214"/>
      <c r="OWN44" s="214"/>
      <c r="OWO44" s="214"/>
      <c r="OWP44" s="214"/>
      <c r="OWQ44" s="214"/>
      <c r="OWR44" s="214"/>
      <c r="OWS44" s="214"/>
      <c r="OWT44" s="214"/>
      <c r="OWU44" s="214"/>
      <c r="OWV44" s="214"/>
      <c r="OWW44" s="214"/>
      <c r="OWX44" s="214"/>
      <c r="OWY44" s="214"/>
      <c r="OWZ44" s="214"/>
      <c r="OXA44" s="214"/>
      <c r="OXB44" s="214"/>
      <c r="OXC44" s="214"/>
      <c r="OXD44" s="214"/>
      <c r="OXE44" s="214"/>
      <c r="OXF44" s="214"/>
      <c r="OXG44" s="214"/>
      <c r="OXH44" s="214"/>
      <c r="OXI44" s="214"/>
      <c r="OXJ44" s="214"/>
      <c r="OXK44" s="214"/>
      <c r="OXL44" s="214"/>
      <c r="OXM44" s="214"/>
      <c r="OXN44" s="214"/>
      <c r="OXO44" s="214"/>
      <c r="OXP44" s="214"/>
      <c r="OXQ44" s="214"/>
      <c r="OXR44" s="214"/>
      <c r="OXS44" s="214"/>
      <c r="OXT44" s="214"/>
      <c r="OXU44" s="214"/>
      <c r="OXV44" s="214"/>
      <c r="OXW44" s="214"/>
      <c r="OXX44" s="214"/>
      <c r="OXY44" s="214"/>
      <c r="OXZ44" s="214"/>
      <c r="OYA44" s="214"/>
      <c r="OYB44" s="214"/>
      <c r="OYC44" s="214"/>
      <c r="OYD44" s="214"/>
      <c r="OYE44" s="214"/>
      <c r="OYF44" s="214"/>
      <c r="OYG44" s="214"/>
      <c r="OYH44" s="214"/>
      <c r="OYI44" s="214"/>
      <c r="OYJ44" s="214"/>
      <c r="OYK44" s="214"/>
      <c r="OYL44" s="214"/>
      <c r="OYM44" s="214"/>
      <c r="OYN44" s="214"/>
      <c r="OYO44" s="214"/>
      <c r="OYP44" s="214"/>
      <c r="OYQ44" s="214"/>
      <c r="OYR44" s="214"/>
      <c r="OYS44" s="214"/>
      <c r="OYT44" s="214"/>
      <c r="OYU44" s="214"/>
      <c r="OYV44" s="214"/>
      <c r="OYW44" s="214"/>
      <c r="OYX44" s="214"/>
      <c r="OYY44" s="214"/>
      <c r="OYZ44" s="214"/>
      <c r="OZA44" s="214"/>
      <c r="OZB44" s="214"/>
      <c r="OZC44" s="214"/>
      <c r="OZD44" s="214"/>
      <c r="OZE44" s="214"/>
      <c r="OZF44" s="214"/>
      <c r="OZG44" s="214"/>
      <c r="OZH44" s="214"/>
      <c r="OZI44" s="214"/>
      <c r="OZJ44" s="214"/>
      <c r="OZK44" s="214"/>
      <c r="OZL44" s="214"/>
      <c r="OZM44" s="214"/>
      <c r="OZN44" s="214"/>
      <c r="OZO44" s="214"/>
      <c r="OZP44" s="214"/>
      <c r="OZQ44" s="214"/>
      <c r="OZR44" s="214"/>
      <c r="OZS44" s="214"/>
      <c r="OZT44" s="214"/>
      <c r="OZU44" s="214"/>
      <c r="OZV44" s="214"/>
      <c r="OZW44" s="214"/>
      <c r="OZX44" s="214"/>
      <c r="OZY44" s="214"/>
      <c r="OZZ44" s="214"/>
      <c r="PAA44" s="214"/>
      <c r="PAB44" s="214"/>
      <c r="PAC44" s="214"/>
      <c r="PAD44" s="214"/>
      <c r="PAE44" s="214"/>
      <c r="PAF44" s="214"/>
      <c r="PAG44" s="214"/>
      <c r="PAH44" s="214"/>
      <c r="PAI44" s="214"/>
      <c r="PAJ44" s="214"/>
      <c r="PAK44" s="214"/>
      <c r="PAL44" s="214"/>
      <c r="PAM44" s="214"/>
      <c r="PAN44" s="214"/>
      <c r="PAO44" s="214"/>
      <c r="PAP44" s="214"/>
      <c r="PAQ44" s="214"/>
      <c r="PAR44" s="214"/>
      <c r="PAS44" s="214"/>
      <c r="PAT44" s="214"/>
      <c r="PAU44" s="214"/>
      <c r="PAV44" s="214"/>
      <c r="PAW44" s="214"/>
      <c r="PAX44" s="214"/>
      <c r="PAY44" s="214"/>
      <c r="PAZ44" s="214"/>
      <c r="PBA44" s="214"/>
      <c r="PBB44" s="214"/>
      <c r="PBC44" s="214"/>
      <c r="PBD44" s="214"/>
      <c r="PBE44" s="214"/>
      <c r="PBF44" s="214"/>
      <c r="PBG44" s="214"/>
      <c r="PBH44" s="214"/>
      <c r="PBI44" s="214"/>
      <c r="PBJ44" s="214"/>
      <c r="PBK44" s="214"/>
      <c r="PBL44" s="214"/>
      <c r="PBM44" s="214"/>
      <c r="PBN44" s="214"/>
      <c r="PBO44" s="214"/>
      <c r="PBP44" s="214"/>
      <c r="PBQ44" s="214"/>
      <c r="PBR44" s="214"/>
      <c r="PBS44" s="214"/>
      <c r="PBT44" s="214"/>
      <c r="PBU44" s="214"/>
      <c r="PBV44" s="214"/>
      <c r="PBW44" s="214"/>
      <c r="PBX44" s="214"/>
      <c r="PBY44" s="214"/>
      <c r="PBZ44" s="214"/>
      <c r="PCA44" s="214"/>
      <c r="PCB44" s="214"/>
      <c r="PCC44" s="214"/>
      <c r="PCD44" s="214"/>
      <c r="PCE44" s="214"/>
      <c r="PCF44" s="214"/>
      <c r="PCG44" s="214"/>
      <c r="PCH44" s="214"/>
      <c r="PCI44" s="214"/>
      <c r="PCJ44" s="214"/>
      <c r="PCK44" s="214"/>
      <c r="PCL44" s="214"/>
      <c r="PCM44" s="214"/>
      <c r="PCN44" s="214"/>
      <c r="PCO44" s="214"/>
      <c r="PCP44" s="214"/>
      <c r="PCQ44" s="214"/>
      <c r="PCR44" s="214"/>
      <c r="PCS44" s="214"/>
      <c r="PCT44" s="214"/>
      <c r="PCU44" s="214"/>
      <c r="PCV44" s="214"/>
      <c r="PCW44" s="214"/>
      <c r="PCX44" s="214"/>
      <c r="PCY44" s="214"/>
      <c r="PCZ44" s="214"/>
      <c r="PDA44" s="214"/>
      <c r="PDB44" s="214"/>
      <c r="PDC44" s="214"/>
      <c r="PDD44" s="214"/>
      <c r="PDE44" s="214"/>
      <c r="PDF44" s="214"/>
      <c r="PDG44" s="214"/>
      <c r="PDH44" s="214"/>
      <c r="PDI44" s="214"/>
      <c r="PDJ44" s="214"/>
      <c r="PDK44" s="214"/>
      <c r="PDL44" s="214"/>
      <c r="PDM44" s="214"/>
      <c r="PDN44" s="214"/>
      <c r="PDO44" s="214"/>
      <c r="PDP44" s="214"/>
      <c r="PDQ44" s="214"/>
      <c r="PDR44" s="214"/>
      <c r="PDS44" s="214"/>
      <c r="PDT44" s="214"/>
      <c r="PDU44" s="214"/>
      <c r="PDV44" s="214"/>
      <c r="PDW44" s="214"/>
      <c r="PDX44" s="214"/>
      <c r="PDY44" s="214"/>
      <c r="PDZ44" s="214"/>
      <c r="PEA44" s="214"/>
      <c r="PEB44" s="214"/>
      <c r="PEC44" s="214"/>
      <c r="PED44" s="214"/>
      <c r="PEE44" s="214"/>
      <c r="PEF44" s="214"/>
      <c r="PEG44" s="214"/>
      <c r="PEH44" s="214"/>
      <c r="PEI44" s="214"/>
      <c r="PEJ44" s="214"/>
      <c r="PEK44" s="214"/>
      <c r="PEL44" s="214"/>
      <c r="PEM44" s="214"/>
      <c r="PEN44" s="214"/>
      <c r="PEO44" s="214"/>
      <c r="PEP44" s="214"/>
      <c r="PEQ44" s="214"/>
      <c r="PER44" s="214"/>
      <c r="PES44" s="214"/>
      <c r="PET44" s="214"/>
      <c r="PEU44" s="214"/>
      <c r="PEV44" s="214"/>
      <c r="PEW44" s="214"/>
      <c r="PEX44" s="214"/>
      <c r="PEY44" s="214"/>
      <c r="PEZ44" s="214"/>
      <c r="PFA44" s="214"/>
      <c r="PFB44" s="214"/>
      <c r="PFC44" s="214"/>
      <c r="PFD44" s="214"/>
      <c r="PFE44" s="214"/>
      <c r="PFF44" s="214"/>
      <c r="PFG44" s="214"/>
      <c r="PFH44" s="214"/>
      <c r="PFI44" s="214"/>
      <c r="PFJ44" s="214"/>
      <c r="PFK44" s="214"/>
      <c r="PFL44" s="214"/>
      <c r="PFM44" s="214"/>
      <c r="PFN44" s="214"/>
      <c r="PFO44" s="214"/>
      <c r="PFP44" s="214"/>
      <c r="PFQ44" s="214"/>
      <c r="PFR44" s="214"/>
      <c r="PFS44" s="214"/>
      <c r="PFT44" s="214"/>
      <c r="PFU44" s="214"/>
      <c r="PFV44" s="214"/>
      <c r="PFW44" s="214"/>
      <c r="PFX44" s="214"/>
      <c r="PFY44" s="214"/>
      <c r="PFZ44" s="214"/>
      <c r="PGA44" s="214"/>
      <c r="PGB44" s="214"/>
      <c r="PGC44" s="214"/>
      <c r="PGD44" s="214"/>
      <c r="PGE44" s="214"/>
      <c r="PGF44" s="214"/>
      <c r="PGG44" s="214"/>
      <c r="PGH44" s="214"/>
      <c r="PGI44" s="214"/>
      <c r="PGJ44" s="214"/>
      <c r="PGK44" s="214"/>
      <c r="PGL44" s="214"/>
      <c r="PGM44" s="214"/>
      <c r="PGN44" s="214"/>
      <c r="PGO44" s="214"/>
      <c r="PGP44" s="214"/>
      <c r="PGQ44" s="214"/>
      <c r="PGR44" s="214"/>
      <c r="PGS44" s="214"/>
      <c r="PGT44" s="214"/>
      <c r="PGU44" s="214"/>
      <c r="PGV44" s="214"/>
      <c r="PGW44" s="214"/>
      <c r="PGX44" s="214"/>
      <c r="PGY44" s="214"/>
      <c r="PGZ44" s="214"/>
      <c r="PHA44" s="214"/>
      <c r="PHB44" s="214"/>
      <c r="PHC44" s="214"/>
      <c r="PHD44" s="214"/>
      <c r="PHE44" s="214"/>
      <c r="PHF44" s="214"/>
      <c r="PHG44" s="214"/>
      <c r="PHH44" s="214"/>
      <c r="PHI44" s="214"/>
      <c r="PHJ44" s="214"/>
      <c r="PHK44" s="214"/>
      <c r="PHL44" s="214"/>
      <c r="PHM44" s="214"/>
      <c r="PHN44" s="214"/>
      <c r="PHO44" s="214"/>
      <c r="PHP44" s="214"/>
      <c r="PHQ44" s="214"/>
      <c r="PHR44" s="214"/>
      <c r="PHS44" s="214"/>
      <c r="PHT44" s="214"/>
      <c r="PHU44" s="214"/>
      <c r="PHV44" s="214"/>
      <c r="PHW44" s="214"/>
      <c r="PHX44" s="214"/>
      <c r="PHY44" s="214"/>
      <c r="PHZ44" s="214"/>
      <c r="PIA44" s="214"/>
      <c r="PIB44" s="214"/>
      <c r="PIC44" s="214"/>
      <c r="PID44" s="214"/>
      <c r="PIE44" s="214"/>
      <c r="PIF44" s="214"/>
      <c r="PIG44" s="214"/>
      <c r="PIH44" s="214"/>
      <c r="PII44" s="214"/>
      <c r="PIJ44" s="214"/>
      <c r="PIK44" s="214"/>
      <c r="PIL44" s="214"/>
      <c r="PIM44" s="214"/>
      <c r="PIN44" s="214"/>
      <c r="PIO44" s="214"/>
      <c r="PIP44" s="214"/>
      <c r="PIQ44" s="214"/>
      <c r="PIR44" s="214"/>
      <c r="PIS44" s="214"/>
      <c r="PIT44" s="214"/>
      <c r="PIU44" s="214"/>
      <c r="PIV44" s="214"/>
      <c r="PIW44" s="214"/>
      <c r="PIX44" s="214"/>
      <c r="PIY44" s="214"/>
      <c r="PIZ44" s="214"/>
      <c r="PJA44" s="214"/>
      <c r="PJB44" s="214"/>
      <c r="PJC44" s="214"/>
      <c r="PJD44" s="214"/>
      <c r="PJE44" s="214"/>
      <c r="PJF44" s="214"/>
      <c r="PJG44" s="214"/>
      <c r="PJH44" s="214"/>
      <c r="PJI44" s="214"/>
      <c r="PJJ44" s="214"/>
      <c r="PJK44" s="214"/>
      <c r="PJL44" s="214"/>
      <c r="PJM44" s="214"/>
      <c r="PJN44" s="214"/>
      <c r="PJO44" s="214"/>
      <c r="PJP44" s="214"/>
      <c r="PJQ44" s="214"/>
      <c r="PJR44" s="214"/>
      <c r="PJS44" s="214"/>
      <c r="PJT44" s="214"/>
      <c r="PJU44" s="214"/>
      <c r="PJV44" s="214"/>
      <c r="PJW44" s="214"/>
      <c r="PJX44" s="214"/>
      <c r="PJY44" s="214"/>
      <c r="PJZ44" s="214"/>
      <c r="PKA44" s="214"/>
      <c r="PKB44" s="214"/>
      <c r="PKC44" s="214"/>
      <c r="PKD44" s="214"/>
      <c r="PKE44" s="214"/>
      <c r="PKF44" s="214"/>
      <c r="PKG44" s="214"/>
      <c r="PKH44" s="214"/>
      <c r="PKI44" s="214"/>
      <c r="PKJ44" s="214"/>
      <c r="PKK44" s="214"/>
      <c r="PKL44" s="214"/>
      <c r="PKM44" s="214"/>
      <c r="PKN44" s="214"/>
      <c r="PKO44" s="214"/>
      <c r="PKP44" s="214"/>
      <c r="PKQ44" s="214"/>
      <c r="PKR44" s="214"/>
      <c r="PKS44" s="214"/>
      <c r="PKT44" s="214"/>
      <c r="PKU44" s="214"/>
      <c r="PKV44" s="214"/>
      <c r="PKW44" s="214"/>
      <c r="PKX44" s="214"/>
      <c r="PKY44" s="214"/>
      <c r="PKZ44" s="214"/>
      <c r="PLA44" s="214"/>
      <c r="PLB44" s="214"/>
      <c r="PLC44" s="214"/>
      <c r="PLD44" s="214"/>
      <c r="PLE44" s="214"/>
      <c r="PLF44" s="214"/>
      <c r="PLG44" s="214"/>
      <c r="PLH44" s="214"/>
      <c r="PLI44" s="214"/>
      <c r="PLJ44" s="214"/>
      <c r="PLK44" s="214"/>
      <c r="PLL44" s="214"/>
      <c r="PLM44" s="214"/>
      <c r="PLN44" s="214"/>
      <c r="PLO44" s="214"/>
      <c r="PLP44" s="214"/>
      <c r="PLQ44" s="214"/>
      <c r="PLR44" s="214"/>
      <c r="PLS44" s="214"/>
      <c r="PLT44" s="214"/>
      <c r="PLU44" s="214"/>
      <c r="PLV44" s="214"/>
      <c r="PLW44" s="214"/>
      <c r="PLX44" s="214"/>
      <c r="PLY44" s="214"/>
      <c r="PLZ44" s="214"/>
      <c r="PMA44" s="214"/>
      <c r="PMB44" s="214"/>
      <c r="PMC44" s="214"/>
      <c r="PMD44" s="214"/>
      <c r="PME44" s="214"/>
      <c r="PMF44" s="214"/>
      <c r="PMG44" s="214"/>
      <c r="PMH44" s="214"/>
      <c r="PMI44" s="214"/>
      <c r="PMJ44" s="214"/>
      <c r="PMK44" s="214"/>
      <c r="PML44" s="214"/>
      <c r="PMM44" s="214"/>
      <c r="PMN44" s="214"/>
      <c r="PMO44" s="214"/>
      <c r="PMP44" s="214"/>
      <c r="PMQ44" s="214"/>
      <c r="PMR44" s="214"/>
      <c r="PMS44" s="214"/>
      <c r="PMT44" s="214"/>
      <c r="PMU44" s="214"/>
      <c r="PMV44" s="214"/>
      <c r="PMW44" s="214"/>
      <c r="PMX44" s="214"/>
      <c r="PMY44" s="214"/>
      <c r="PMZ44" s="214"/>
      <c r="PNA44" s="214"/>
      <c r="PNB44" s="214"/>
      <c r="PNC44" s="214"/>
      <c r="PND44" s="214"/>
      <c r="PNE44" s="214"/>
      <c r="PNF44" s="214"/>
      <c r="PNG44" s="214"/>
      <c r="PNH44" s="214"/>
      <c r="PNI44" s="214"/>
      <c r="PNJ44" s="214"/>
      <c r="PNK44" s="214"/>
      <c r="PNL44" s="214"/>
      <c r="PNM44" s="214"/>
      <c r="PNN44" s="214"/>
      <c r="PNO44" s="214"/>
      <c r="PNP44" s="214"/>
      <c r="PNQ44" s="214"/>
      <c r="PNR44" s="214"/>
      <c r="PNS44" s="214"/>
      <c r="PNT44" s="214"/>
      <c r="PNU44" s="214"/>
      <c r="PNV44" s="214"/>
      <c r="PNW44" s="214"/>
      <c r="PNX44" s="214"/>
      <c r="PNY44" s="214"/>
      <c r="PNZ44" s="214"/>
      <c r="POA44" s="214"/>
      <c r="POB44" s="214"/>
      <c r="POC44" s="214"/>
      <c r="POD44" s="214"/>
      <c r="POE44" s="214"/>
      <c r="POF44" s="214"/>
      <c r="POG44" s="214"/>
      <c r="POH44" s="214"/>
      <c r="POI44" s="214"/>
      <c r="POJ44" s="214"/>
      <c r="POK44" s="214"/>
      <c r="POL44" s="214"/>
      <c r="POM44" s="214"/>
      <c r="PON44" s="214"/>
      <c r="POO44" s="214"/>
      <c r="POP44" s="214"/>
      <c r="POQ44" s="214"/>
      <c r="POR44" s="214"/>
      <c r="POS44" s="214"/>
      <c r="POT44" s="214"/>
      <c r="POU44" s="214"/>
      <c r="POV44" s="214"/>
      <c r="POW44" s="214"/>
      <c r="POX44" s="214"/>
      <c r="POY44" s="214"/>
      <c r="POZ44" s="214"/>
      <c r="PPA44" s="214"/>
      <c r="PPB44" s="214"/>
      <c r="PPC44" s="214"/>
      <c r="PPD44" s="214"/>
      <c r="PPE44" s="214"/>
      <c r="PPF44" s="214"/>
      <c r="PPG44" s="214"/>
      <c r="PPH44" s="214"/>
      <c r="PPI44" s="214"/>
      <c r="PPJ44" s="214"/>
      <c r="PPK44" s="214"/>
      <c r="PPL44" s="214"/>
      <c r="PPM44" s="214"/>
      <c r="PPN44" s="214"/>
      <c r="PPO44" s="214"/>
      <c r="PPP44" s="214"/>
      <c r="PPQ44" s="214"/>
      <c r="PPR44" s="214"/>
      <c r="PPS44" s="214"/>
      <c r="PPT44" s="214"/>
      <c r="PPU44" s="214"/>
      <c r="PPV44" s="214"/>
      <c r="PPW44" s="214"/>
      <c r="PPX44" s="214"/>
      <c r="PPY44" s="214"/>
      <c r="PPZ44" s="214"/>
      <c r="PQA44" s="214"/>
      <c r="PQB44" s="214"/>
      <c r="PQC44" s="214"/>
      <c r="PQD44" s="214"/>
      <c r="PQE44" s="214"/>
      <c r="PQF44" s="214"/>
      <c r="PQG44" s="214"/>
      <c r="PQH44" s="214"/>
      <c r="PQI44" s="214"/>
      <c r="PQJ44" s="214"/>
      <c r="PQK44" s="214"/>
      <c r="PQL44" s="214"/>
      <c r="PQM44" s="214"/>
      <c r="PQN44" s="214"/>
      <c r="PQO44" s="214"/>
      <c r="PQP44" s="214"/>
      <c r="PQQ44" s="214"/>
      <c r="PQR44" s="214"/>
      <c r="PQS44" s="214"/>
      <c r="PQT44" s="214"/>
      <c r="PQU44" s="214"/>
      <c r="PQV44" s="214"/>
      <c r="PQW44" s="214"/>
      <c r="PQX44" s="214"/>
      <c r="PQY44" s="214"/>
      <c r="PQZ44" s="214"/>
      <c r="PRA44" s="214"/>
      <c r="PRB44" s="214"/>
      <c r="PRC44" s="214"/>
      <c r="PRD44" s="214"/>
      <c r="PRE44" s="214"/>
      <c r="PRF44" s="214"/>
      <c r="PRG44" s="214"/>
      <c r="PRH44" s="214"/>
      <c r="PRI44" s="214"/>
      <c r="PRJ44" s="214"/>
      <c r="PRK44" s="214"/>
      <c r="PRL44" s="214"/>
      <c r="PRM44" s="214"/>
      <c r="PRN44" s="214"/>
      <c r="PRO44" s="214"/>
      <c r="PRP44" s="214"/>
      <c r="PRQ44" s="214"/>
      <c r="PRR44" s="214"/>
      <c r="PRS44" s="214"/>
      <c r="PRT44" s="214"/>
      <c r="PRU44" s="214"/>
      <c r="PRV44" s="214"/>
      <c r="PRW44" s="214"/>
      <c r="PRX44" s="214"/>
      <c r="PRY44" s="214"/>
      <c r="PRZ44" s="214"/>
      <c r="PSA44" s="214"/>
      <c r="PSB44" s="214"/>
      <c r="PSC44" s="214"/>
      <c r="PSD44" s="214"/>
      <c r="PSE44" s="214"/>
      <c r="PSF44" s="214"/>
      <c r="PSG44" s="214"/>
      <c r="PSH44" s="214"/>
      <c r="PSI44" s="214"/>
      <c r="PSJ44" s="214"/>
      <c r="PSK44" s="214"/>
      <c r="PSL44" s="214"/>
      <c r="PSM44" s="214"/>
      <c r="PSN44" s="214"/>
      <c r="PSO44" s="214"/>
      <c r="PSP44" s="214"/>
      <c r="PSQ44" s="214"/>
      <c r="PSR44" s="214"/>
      <c r="PSS44" s="214"/>
      <c r="PST44" s="214"/>
      <c r="PSU44" s="214"/>
      <c r="PSV44" s="214"/>
      <c r="PSW44" s="214"/>
      <c r="PSX44" s="214"/>
      <c r="PSY44" s="214"/>
      <c r="PSZ44" s="214"/>
      <c r="PTA44" s="214"/>
      <c r="PTB44" s="214"/>
      <c r="PTC44" s="214"/>
      <c r="PTD44" s="214"/>
      <c r="PTE44" s="214"/>
      <c r="PTF44" s="214"/>
      <c r="PTG44" s="214"/>
      <c r="PTH44" s="214"/>
      <c r="PTI44" s="214"/>
      <c r="PTJ44" s="214"/>
      <c r="PTK44" s="214"/>
      <c r="PTL44" s="214"/>
      <c r="PTM44" s="214"/>
      <c r="PTN44" s="214"/>
      <c r="PTO44" s="214"/>
      <c r="PTP44" s="214"/>
      <c r="PTQ44" s="214"/>
      <c r="PTR44" s="214"/>
      <c r="PTS44" s="214"/>
      <c r="PTT44" s="214"/>
      <c r="PTU44" s="214"/>
      <c r="PTV44" s="214"/>
      <c r="PTW44" s="214"/>
      <c r="PTX44" s="214"/>
      <c r="PTY44" s="214"/>
      <c r="PTZ44" s="214"/>
      <c r="PUA44" s="214"/>
      <c r="PUB44" s="214"/>
      <c r="PUC44" s="214"/>
      <c r="PUD44" s="214"/>
      <c r="PUE44" s="214"/>
      <c r="PUF44" s="214"/>
      <c r="PUG44" s="214"/>
      <c r="PUH44" s="214"/>
      <c r="PUI44" s="214"/>
      <c r="PUJ44" s="214"/>
      <c r="PUK44" s="214"/>
      <c r="PUL44" s="214"/>
      <c r="PUM44" s="214"/>
      <c r="PUN44" s="214"/>
      <c r="PUO44" s="214"/>
      <c r="PUP44" s="214"/>
      <c r="PUQ44" s="214"/>
      <c r="PUR44" s="214"/>
      <c r="PUS44" s="214"/>
      <c r="PUT44" s="214"/>
      <c r="PUU44" s="214"/>
      <c r="PUV44" s="214"/>
      <c r="PUW44" s="214"/>
      <c r="PUX44" s="214"/>
      <c r="PUY44" s="214"/>
      <c r="PUZ44" s="214"/>
      <c r="PVA44" s="214"/>
      <c r="PVB44" s="214"/>
      <c r="PVC44" s="214"/>
      <c r="PVD44" s="214"/>
      <c r="PVE44" s="214"/>
      <c r="PVF44" s="214"/>
      <c r="PVG44" s="214"/>
      <c r="PVH44" s="214"/>
      <c r="PVI44" s="214"/>
      <c r="PVJ44" s="214"/>
      <c r="PVK44" s="214"/>
      <c r="PVL44" s="214"/>
      <c r="PVM44" s="214"/>
      <c r="PVN44" s="214"/>
      <c r="PVO44" s="214"/>
      <c r="PVP44" s="214"/>
      <c r="PVQ44" s="214"/>
      <c r="PVR44" s="214"/>
      <c r="PVS44" s="214"/>
      <c r="PVT44" s="214"/>
      <c r="PVU44" s="214"/>
      <c r="PVV44" s="214"/>
      <c r="PVW44" s="214"/>
      <c r="PVX44" s="214"/>
      <c r="PVY44" s="214"/>
      <c r="PVZ44" s="214"/>
      <c r="PWA44" s="214"/>
      <c r="PWB44" s="214"/>
      <c r="PWC44" s="214"/>
      <c r="PWD44" s="214"/>
      <c r="PWE44" s="214"/>
      <c r="PWF44" s="214"/>
      <c r="PWG44" s="214"/>
      <c r="PWH44" s="214"/>
      <c r="PWI44" s="214"/>
      <c r="PWJ44" s="214"/>
      <c r="PWK44" s="214"/>
      <c r="PWL44" s="214"/>
      <c r="PWM44" s="214"/>
      <c r="PWN44" s="214"/>
      <c r="PWO44" s="214"/>
      <c r="PWP44" s="214"/>
      <c r="PWQ44" s="214"/>
      <c r="PWR44" s="214"/>
      <c r="PWS44" s="214"/>
      <c r="PWT44" s="214"/>
      <c r="PWU44" s="214"/>
      <c r="PWV44" s="214"/>
      <c r="PWW44" s="214"/>
      <c r="PWX44" s="214"/>
      <c r="PWY44" s="214"/>
      <c r="PWZ44" s="214"/>
      <c r="PXA44" s="214"/>
      <c r="PXB44" s="214"/>
      <c r="PXC44" s="214"/>
      <c r="PXD44" s="214"/>
      <c r="PXE44" s="214"/>
      <c r="PXF44" s="214"/>
      <c r="PXG44" s="214"/>
      <c r="PXH44" s="214"/>
      <c r="PXI44" s="214"/>
      <c r="PXJ44" s="214"/>
      <c r="PXK44" s="214"/>
      <c r="PXL44" s="214"/>
      <c r="PXM44" s="214"/>
      <c r="PXN44" s="214"/>
      <c r="PXO44" s="214"/>
      <c r="PXP44" s="214"/>
      <c r="PXQ44" s="214"/>
      <c r="PXR44" s="214"/>
      <c r="PXS44" s="214"/>
      <c r="PXT44" s="214"/>
      <c r="PXU44" s="214"/>
      <c r="PXV44" s="214"/>
      <c r="PXW44" s="214"/>
      <c r="PXX44" s="214"/>
      <c r="PXY44" s="214"/>
      <c r="PXZ44" s="214"/>
      <c r="PYA44" s="214"/>
      <c r="PYB44" s="214"/>
      <c r="PYC44" s="214"/>
      <c r="PYD44" s="214"/>
      <c r="PYE44" s="214"/>
      <c r="PYF44" s="214"/>
      <c r="PYG44" s="214"/>
      <c r="PYH44" s="214"/>
      <c r="PYI44" s="214"/>
      <c r="PYJ44" s="214"/>
      <c r="PYK44" s="214"/>
      <c r="PYL44" s="214"/>
      <c r="PYM44" s="214"/>
      <c r="PYN44" s="214"/>
      <c r="PYO44" s="214"/>
      <c r="PYP44" s="214"/>
      <c r="PYQ44" s="214"/>
      <c r="PYR44" s="214"/>
      <c r="PYS44" s="214"/>
      <c r="PYT44" s="214"/>
      <c r="PYU44" s="214"/>
      <c r="PYV44" s="214"/>
      <c r="PYW44" s="214"/>
      <c r="PYX44" s="214"/>
      <c r="PYY44" s="214"/>
      <c r="PYZ44" s="214"/>
      <c r="PZA44" s="214"/>
      <c r="PZB44" s="214"/>
      <c r="PZC44" s="214"/>
      <c r="PZD44" s="214"/>
      <c r="PZE44" s="214"/>
      <c r="PZF44" s="214"/>
      <c r="PZG44" s="214"/>
      <c r="PZH44" s="214"/>
      <c r="PZI44" s="214"/>
      <c r="PZJ44" s="214"/>
      <c r="PZK44" s="214"/>
      <c r="PZL44" s="214"/>
      <c r="PZM44" s="214"/>
      <c r="PZN44" s="214"/>
      <c r="PZO44" s="214"/>
      <c r="PZP44" s="214"/>
      <c r="PZQ44" s="214"/>
      <c r="PZR44" s="214"/>
      <c r="PZS44" s="214"/>
      <c r="PZT44" s="214"/>
      <c r="PZU44" s="214"/>
      <c r="PZV44" s="214"/>
      <c r="PZW44" s="214"/>
      <c r="PZX44" s="214"/>
      <c r="PZY44" s="214"/>
      <c r="PZZ44" s="214"/>
      <c r="QAA44" s="214"/>
      <c r="QAB44" s="214"/>
      <c r="QAC44" s="214"/>
      <c r="QAD44" s="214"/>
      <c r="QAE44" s="214"/>
      <c r="QAF44" s="214"/>
      <c r="QAG44" s="214"/>
      <c r="QAH44" s="214"/>
      <c r="QAI44" s="214"/>
      <c r="QAJ44" s="214"/>
      <c r="QAK44" s="214"/>
      <c r="QAL44" s="214"/>
      <c r="QAM44" s="214"/>
      <c r="QAN44" s="214"/>
      <c r="QAO44" s="214"/>
      <c r="QAP44" s="214"/>
      <c r="QAQ44" s="214"/>
      <c r="QAR44" s="214"/>
      <c r="QAS44" s="214"/>
      <c r="QAT44" s="214"/>
      <c r="QAU44" s="214"/>
      <c r="QAV44" s="214"/>
      <c r="QAW44" s="214"/>
      <c r="QAX44" s="214"/>
      <c r="QAY44" s="214"/>
      <c r="QAZ44" s="214"/>
      <c r="QBA44" s="214"/>
      <c r="QBB44" s="214"/>
      <c r="QBC44" s="214"/>
      <c r="QBD44" s="214"/>
      <c r="QBE44" s="214"/>
      <c r="QBF44" s="214"/>
      <c r="QBG44" s="214"/>
      <c r="QBH44" s="214"/>
      <c r="QBI44" s="214"/>
      <c r="QBJ44" s="214"/>
      <c r="QBK44" s="214"/>
      <c r="QBL44" s="214"/>
      <c r="QBM44" s="214"/>
      <c r="QBN44" s="214"/>
      <c r="QBO44" s="214"/>
      <c r="QBP44" s="214"/>
      <c r="QBQ44" s="214"/>
      <c r="QBR44" s="214"/>
      <c r="QBS44" s="214"/>
      <c r="QBT44" s="214"/>
      <c r="QBU44" s="214"/>
      <c r="QBV44" s="214"/>
      <c r="QBW44" s="214"/>
      <c r="QBX44" s="214"/>
      <c r="QBY44" s="214"/>
      <c r="QBZ44" s="214"/>
      <c r="QCA44" s="214"/>
      <c r="QCB44" s="214"/>
      <c r="QCC44" s="214"/>
      <c r="QCD44" s="214"/>
      <c r="QCE44" s="214"/>
      <c r="QCF44" s="214"/>
      <c r="QCG44" s="214"/>
      <c r="QCH44" s="214"/>
      <c r="QCI44" s="214"/>
      <c r="QCJ44" s="214"/>
      <c r="QCK44" s="214"/>
      <c r="QCL44" s="214"/>
      <c r="QCM44" s="214"/>
      <c r="QCN44" s="214"/>
      <c r="QCO44" s="214"/>
      <c r="QCP44" s="214"/>
      <c r="QCQ44" s="214"/>
      <c r="QCR44" s="214"/>
      <c r="QCS44" s="214"/>
      <c r="QCT44" s="214"/>
      <c r="QCU44" s="214"/>
      <c r="QCV44" s="214"/>
      <c r="QCW44" s="214"/>
      <c r="QCX44" s="214"/>
      <c r="QCY44" s="214"/>
      <c r="QCZ44" s="214"/>
      <c r="QDA44" s="214"/>
      <c r="QDB44" s="214"/>
      <c r="QDC44" s="214"/>
      <c r="QDD44" s="214"/>
      <c r="QDE44" s="214"/>
      <c r="QDF44" s="214"/>
      <c r="QDG44" s="214"/>
      <c r="QDH44" s="214"/>
      <c r="QDI44" s="214"/>
      <c r="QDJ44" s="214"/>
      <c r="QDK44" s="214"/>
      <c r="QDL44" s="214"/>
      <c r="QDM44" s="214"/>
      <c r="QDN44" s="214"/>
      <c r="QDO44" s="214"/>
      <c r="QDP44" s="214"/>
      <c r="QDQ44" s="214"/>
      <c r="QDR44" s="214"/>
      <c r="QDS44" s="214"/>
      <c r="QDT44" s="214"/>
      <c r="QDU44" s="214"/>
      <c r="QDV44" s="214"/>
      <c r="QDW44" s="214"/>
      <c r="QDX44" s="214"/>
      <c r="QDY44" s="214"/>
      <c r="QDZ44" s="214"/>
      <c r="QEA44" s="214"/>
      <c r="QEB44" s="214"/>
      <c r="QEC44" s="214"/>
      <c r="QED44" s="214"/>
      <c r="QEE44" s="214"/>
      <c r="QEF44" s="214"/>
      <c r="QEG44" s="214"/>
      <c r="QEH44" s="214"/>
      <c r="QEI44" s="214"/>
      <c r="QEJ44" s="214"/>
      <c r="QEK44" s="214"/>
      <c r="QEL44" s="214"/>
      <c r="QEM44" s="214"/>
      <c r="QEN44" s="214"/>
      <c r="QEO44" s="214"/>
      <c r="QEP44" s="214"/>
      <c r="QEQ44" s="214"/>
      <c r="QER44" s="214"/>
      <c r="QES44" s="214"/>
      <c r="QET44" s="214"/>
      <c r="QEU44" s="214"/>
      <c r="QEV44" s="214"/>
      <c r="QEW44" s="214"/>
      <c r="QEX44" s="214"/>
      <c r="QEY44" s="214"/>
      <c r="QEZ44" s="214"/>
      <c r="QFA44" s="214"/>
      <c r="QFB44" s="214"/>
      <c r="QFC44" s="214"/>
      <c r="QFD44" s="214"/>
      <c r="QFE44" s="214"/>
      <c r="QFF44" s="214"/>
      <c r="QFG44" s="214"/>
      <c r="QFH44" s="214"/>
      <c r="QFI44" s="214"/>
      <c r="QFJ44" s="214"/>
      <c r="QFK44" s="214"/>
      <c r="QFL44" s="214"/>
      <c r="QFM44" s="214"/>
      <c r="QFN44" s="214"/>
      <c r="QFO44" s="214"/>
      <c r="QFP44" s="214"/>
      <c r="QFQ44" s="214"/>
      <c r="QFR44" s="214"/>
      <c r="QFS44" s="214"/>
      <c r="QFT44" s="214"/>
      <c r="QFU44" s="214"/>
      <c r="QFV44" s="214"/>
      <c r="QFW44" s="214"/>
      <c r="QFX44" s="214"/>
      <c r="QFY44" s="214"/>
      <c r="QFZ44" s="214"/>
      <c r="QGA44" s="214"/>
      <c r="QGB44" s="214"/>
      <c r="QGC44" s="214"/>
      <c r="QGD44" s="214"/>
      <c r="QGE44" s="214"/>
      <c r="QGF44" s="214"/>
      <c r="QGG44" s="214"/>
      <c r="QGH44" s="214"/>
      <c r="QGI44" s="214"/>
      <c r="QGJ44" s="214"/>
      <c r="QGK44" s="214"/>
      <c r="QGL44" s="214"/>
      <c r="QGM44" s="214"/>
      <c r="QGN44" s="214"/>
      <c r="QGO44" s="214"/>
      <c r="QGP44" s="214"/>
      <c r="QGQ44" s="214"/>
      <c r="QGR44" s="214"/>
      <c r="QGS44" s="214"/>
      <c r="QGT44" s="214"/>
      <c r="QGU44" s="214"/>
      <c r="QGV44" s="214"/>
      <c r="QGW44" s="214"/>
      <c r="QGX44" s="214"/>
      <c r="QGY44" s="214"/>
      <c r="QGZ44" s="214"/>
      <c r="QHA44" s="214"/>
      <c r="QHB44" s="214"/>
      <c r="QHC44" s="214"/>
      <c r="QHD44" s="214"/>
      <c r="QHE44" s="214"/>
      <c r="QHF44" s="214"/>
      <c r="QHG44" s="214"/>
      <c r="QHH44" s="214"/>
      <c r="QHI44" s="214"/>
      <c r="QHJ44" s="214"/>
      <c r="QHK44" s="214"/>
      <c r="QHL44" s="214"/>
      <c r="QHM44" s="214"/>
      <c r="QHN44" s="214"/>
      <c r="QHO44" s="214"/>
      <c r="QHP44" s="214"/>
      <c r="QHQ44" s="214"/>
      <c r="QHR44" s="214"/>
      <c r="QHS44" s="214"/>
      <c r="QHT44" s="214"/>
      <c r="QHU44" s="214"/>
      <c r="QHV44" s="214"/>
      <c r="QHW44" s="214"/>
      <c r="QHX44" s="214"/>
      <c r="QHY44" s="214"/>
      <c r="QHZ44" s="214"/>
      <c r="QIA44" s="214"/>
      <c r="QIB44" s="214"/>
      <c r="QIC44" s="214"/>
      <c r="QID44" s="214"/>
      <c r="QIE44" s="214"/>
      <c r="QIF44" s="214"/>
      <c r="QIG44" s="214"/>
      <c r="QIH44" s="214"/>
      <c r="QII44" s="214"/>
      <c r="QIJ44" s="214"/>
      <c r="QIK44" s="214"/>
      <c r="QIL44" s="214"/>
      <c r="QIM44" s="214"/>
      <c r="QIN44" s="214"/>
      <c r="QIO44" s="214"/>
      <c r="QIP44" s="214"/>
      <c r="QIQ44" s="214"/>
      <c r="QIR44" s="214"/>
      <c r="QIS44" s="214"/>
      <c r="QIT44" s="214"/>
      <c r="QIU44" s="214"/>
      <c r="QIV44" s="214"/>
      <c r="QIW44" s="214"/>
      <c r="QIX44" s="214"/>
      <c r="QIY44" s="214"/>
      <c r="QIZ44" s="214"/>
      <c r="QJA44" s="214"/>
      <c r="QJB44" s="214"/>
      <c r="QJC44" s="214"/>
      <c r="QJD44" s="214"/>
      <c r="QJE44" s="214"/>
      <c r="QJF44" s="214"/>
      <c r="QJG44" s="214"/>
      <c r="QJH44" s="214"/>
      <c r="QJI44" s="214"/>
      <c r="QJJ44" s="214"/>
      <c r="QJK44" s="214"/>
      <c r="QJL44" s="214"/>
      <c r="QJM44" s="214"/>
      <c r="QJN44" s="214"/>
      <c r="QJO44" s="214"/>
      <c r="QJP44" s="214"/>
      <c r="QJQ44" s="214"/>
      <c r="QJR44" s="214"/>
      <c r="QJS44" s="214"/>
      <c r="QJT44" s="214"/>
      <c r="QJU44" s="214"/>
      <c r="QJV44" s="214"/>
      <c r="QJW44" s="214"/>
      <c r="QJX44" s="214"/>
      <c r="QJY44" s="214"/>
      <c r="QJZ44" s="214"/>
      <c r="QKA44" s="214"/>
      <c r="QKB44" s="214"/>
      <c r="QKC44" s="214"/>
      <c r="QKD44" s="214"/>
      <c r="QKE44" s="214"/>
      <c r="QKF44" s="214"/>
      <c r="QKG44" s="214"/>
      <c r="QKH44" s="214"/>
      <c r="QKI44" s="214"/>
      <c r="QKJ44" s="214"/>
      <c r="QKK44" s="214"/>
      <c r="QKL44" s="214"/>
      <c r="QKM44" s="214"/>
      <c r="QKN44" s="214"/>
      <c r="QKO44" s="214"/>
      <c r="QKP44" s="214"/>
      <c r="QKQ44" s="214"/>
      <c r="QKR44" s="214"/>
      <c r="QKS44" s="214"/>
      <c r="QKT44" s="214"/>
      <c r="QKU44" s="214"/>
      <c r="QKV44" s="214"/>
      <c r="QKW44" s="214"/>
      <c r="QKX44" s="214"/>
      <c r="QKY44" s="214"/>
      <c r="QKZ44" s="214"/>
      <c r="QLA44" s="214"/>
      <c r="QLB44" s="214"/>
      <c r="QLC44" s="214"/>
      <c r="QLD44" s="214"/>
      <c r="QLE44" s="214"/>
      <c r="QLF44" s="214"/>
      <c r="QLG44" s="214"/>
      <c r="QLH44" s="214"/>
      <c r="QLI44" s="214"/>
      <c r="QLJ44" s="214"/>
      <c r="QLK44" s="214"/>
      <c r="QLL44" s="214"/>
      <c r="QLM44" s="214"/>
      <c r="QLN44" s="214"/>
      <c r="QLO44" s="214"/>
      <c r="QLP44" s="214"/>
      <c r="QLQ44" s="214"/>
      <c r="QLR44" s="214"/>
      <c r="QLS44" s="214"/>
      <c r="QLT44" s="214"/>
      <c r="QLU44" s="214"/>
      <c r="QLV44" s="214"/>
      <c r="QLW44" s="214"/>
      <c r="QLX44" s="214"/>
      <c r="QLY44" s="214"/>
      <c r="QLZ44" s="214"/>
      <c r="QMA44" s="214"/>
      <c r="QMB44" s="214"/>
      <c r="QMC44" s="214"/>
      <c r="QMD44" s="214"/>
      <c r="QME44" s="214"/>
      <c r="QMF44" s="214"/>
      <c r="QMG44" s="214"/>
      <c r="QMH44" s="214"/>
      <c r="QMI44" s="214"/>
      <c r="QMJ44" s="214"/>
      <c r="QMK44" s="214"/>
      <c r="QML44" s="214"/>
      <c r="QMM44" s="214"/>
      <c r="QMN44" s="214"/>
      <c r="QMO44" s="214"/>
      <c r="QMP44" s="214"/>
      <c r="QMQ44" s="214"/>
      <c r="QMR44" s="214"/>
      <c r="QMS44" s="214"/>
      <c r="QMT44" s="214"/>
      <c r="QMU44" s="214"/>
      <c r="QMV44" s="214"/>
      <c r="QMW44" s="214"/>
      <c r="QMX44" s="214"/>
      <c r="QMY44" s="214"/>
      <c r="QMZ44" s="214"/>
      <c r="QNA44" s="214"/>
      <c r="QNB44" s="214"/>
      <c r="QNC44" s="214"/>
      <c r="QND44" s="214"/>
      <c r="QNE44" s="214"/>
      <c r="QNF44" s="214"/>
      <c r="QNG44" s="214"/>
      <c r="QNH44" s="214"/>
      <c r="QNI44" s="214"/>
      <c r="QNJ44" s="214"/>
      <c r="QNK44" s="214"/>
      <c r="QNL44" s="214"/>
      <c r="QNM44" s="214"/>
      <c r="QNN44" s="214"/>
      <c r="QNO44" s="214"/>
      <c r="QNP44" s="214"/>
      <c r="QNQ44" s="214"/>
      <c r="QNR44" s="214"/>
      <c r="QNS44" s="214"/>
      <c r="QNT44" s="214"/>
      <c r="QNU44" s="214"/>
      <c r="QNV44" s="214"/>
      <c r="QNW44" s="214"/>
      <c r="QNX44" s="214"/>
      <c r="QNY44" s="214"/>
      <c r="QNZ44" s="214"/>
      <c r="QOA44" s="214"/>
      <c r="QOB44" s="214"/>
      <c r="QOC44" s="214"/>
      <c r="QOD44" s="214"/>
      <c r="QOE44" s="214"/>
      <c r="QOF44" s="214"/>
      <c r="QOG44" s="214"/>
      <c r="QOH44" s="214"/>
      <c r="QOI44" s="214"/>
      <c r="QOJ44" s="214"/>
      <c r="QOK44" s="214"/>
      <c r="QOL44" s="214"/>
      <c r="QOM44" s="214"/>
      <c r="QON44" s="214"/>
      <c r="QOO44" s="214"/>
      <c r="QOP44" s="214"/>
      <c r="QOQ44" s="214"/>
      <c r="QOR44" s="214"/>
      <c r="QOS44" s="214"/>
      <c r="QOT44" s="214"/>
      <c r="QOU44" s="214"/>
      <c r="QOV44" s="214"/>
      <c r="QOW44" s="214"/>
      <c r="QOX44" s="214"/>
      <c r="QOY44" s="214"/>
      <c r="QOZ44" s="214"/>
      <c r="QPA44" s="214"/>
      <c r="QPB44" s="214"/>
      <c r="QPC44" s="214"/>
      <c r="QPD44" s="214"/>
      <c r="QPE44" s="214"/>
      <c r="QPF44" s="214"/>
      <c r="QPG44" s="214"/>
      <c r="QPH44" s="214"/>
      <c r="QPI44" s="214"/>
      <c r="QPJ44" s="214"/>
      <c r="QPK44" s="214"/>
      <c r="QPL44" s="214"/>
      <c r="QPM44" s="214"/>
      <c r="QPN44" s="214"/>
      <c r="QPO44" s="214"/>
      <c r="QPP44" s="214"/>
      <c r="QPQ44" s="214"/>
      <c r="QPR44" s="214"/>
      <c r="QPS44" s="214"/>
      <c r="QPT44" s="214"/>
      <c r="QPU44" s="214"/>
      <c r="QPV44" s="214"/>
      <c r="QPW44" s="214"/>
      <c r="QPX44" s="214"/>
      <c r="QPY44" s="214"/>
      <c r="QPZ44" s="214"/>
      <c r="QQA44" s="214"/>
      <c r="QQB44" s="214"/>
      <c r="QQC44" s="214"/>
      <c r="QQD44" s="214"/>
      <c r="QQE44" s="214"/>
      <c r="QQF44" s="214"/>
      <c r="QQG44" s="214"/>
      <c r="QQH44" s="214"/>
      <c r="QQI44" s="214"/>
      <c r="QQJ44" s="214"/>
      <c r="QQK44" s="214"/>
      <c r="QQL44" s="214"/>
      <c r="QQM44" s="214"/>
      <c r="QQN44" s="214"/>
      <c r="QQO44" s="214"/>
      <c r="QQP44" s="214"/>
      <c r="QQQ44" s="214"/>
      <c r="QQR44" s="214"/>
      <c r="QQS44" s="214"/>
      <c r="QQT44" s="214"/>
      <c r="QQU44" s="214"/>
      <c r="QQV44" s="214"/>
      <c r="QQW44" s="214"/>
      <c r="QQX44" s="214"/>
      <c r="QQY44" s="214"/>
      <c r="QQZ44" s="214"/>
      <c r="QRA44" s="214"/>
      <c r="QRB44" s="214"/>
      <c r="QRC44" s="214"/>
      <c r="QRD44" s="214"/>
      <c r="QRE44" s="214"/>
      <c r="QRF44" s="214"/>
      <c r="QRG44" s="214"/>
      <c r="QRH44" s="214"/>
      <c r="QRI44" s="214"/>
      <c r="QRJ44" s="214"/>
      <c r="QRK44" s="214"/>
      <c r="QRL44" s="214"/>
      <c r="QRM44" s="214"/>
      <c r="QRN44" s="214"/>
      <c r="QRO44" s="214"/>
      <c r="QRP44" s="214"/>
      <c r="QRQ44" s="214"/>
      <c r="QRR44" s="214"/>
      <c r="QRS44" s="214"/>
      <c r="QRT44" s="214"/>
      <c r="QRU44" s="214"/>
      <c r="QRV44" s="214"/>
      <c r="QRW44" s="214"/>
      <c r="QRX44" s="214"/>
      <c r="QRY44" s="214"/>
      <c r="QRZ44" s="214"/>
      <c r="QSA44" s="214"/>
      <c r="QSB44" s="214"/>
      <c r="QSC44" s="214"/>
      <c r="QSD44" s="214"/>
      <c r="QSE44" s="214"/>
      <c r="QSF44" s="214"/>
      <c r="QSG44" s="214"/>
      <c r="QSH44" s="214"/>
      <c r="QSI44" s="214"/>
      <c r="QSJ44" s="214"/>
      <c r="QSK44" s="214"/>
      <c r="QSL44" s="214"/>
      <c r="QSM44" s="214"/>
      <c r="QSN44" s="214"/>
      <c r="QSO44" s="214"/>
      <c r="QSP44" s="214"/>
      <c r="QSQ44" s="214"/>
      <c r="QSR44" s="214"/>
      <c r="QSS44" s="214"/>
      <c r="QST44" s="214"/>
      <c r="QSU44" s="214"/>
      <c r="QSV44" s="214"/>
      <c r="QSW44" s="214"/>
      <c r="QSX44" s="214"/>
      <c r="QSY44" s="214"/>
      <c r="QSZ44" s="214"/>
      <c r="QTA44" s="214"/>
      <c r="QTB44" s="214"/>
      <c r="QTC44" s="214"/>
      <c r="QTD44" s="214"/>
      <c r="QTE44" s="214"/>
      <c r="QTF44" s="214"/>
      <c r="QTG44" s="214"/>
      <c r="QTH44" s="214"/>
      <c r="QTI44" s="214"/>
      <c r="QTJ44" s="214"/>
      <c r="QTK44" s="214"/>
      <c r="QTL44" s="214"/>
      <c r="QTM44" s="214"/>
      <c r="QTN44" s="214"/>
      <c r="QTO44" s="214"/>
      <c r="QTP44" s="214"/>
      <c r="QTQ44" s="214"/>
      <c r="QTR44" s="214"/>
      <c r="QTS44" s="214"/>
      <c r="QTT44" s="214"/>
      <c r="QTU44" s="214"/>
      <c r="QTV44" s="214"/>
      <c r="QTW44" s="214"/>
      <c r="QTX44" s="214"/>
      <c r="QTY44" s="214"/>
      <c r="QTZ44" s="214"/>
      <c r="QUA44" s="214"/>
      <c r="QUB44" s="214"/>
      <c r="QUC44" s="214"/>
      <c r="QUD44" s="214"/>
      <c r="QUE44" s="214"/>
      <c r="QUF44" s="214"/>
      <c r="QUG44" s="214"/>
      <c r="QUH44" s="214"/>
      <c r="QUI44" s="214"/>
      <c r="QUJ44" s="214"/>
      <c r="QUK44" s="214"/>
      <c r="QUL44" s="214"/>
      <c r="QUM44" s="214"/>
      <c r="QUN44" s="214"/>
      <c r="QUO44" s="214"/>
      <c r="QUP44" s="214"/>
      <c r="QUQ44" s="214"/>
      <c r="QUR44" s="214"/>
      <c r="QUS44" s="214"/>
      <c r="QUT44" s="214"/>
      <c r="QUU44" s="214"/>
      <c r="QUV44" s="214"/>
      <c r="QUW44" s="214"/>
      <c r="QUX44" s="214"/>
      <c r="QUY44" s="214"/>
      <c r="QUZ44" s="214"/>
      <c r="QVA44" s="214"/>
      <c r="QVB44" s="214"/>
      <c r="QVC44" s="214"/>
      <c r="QVD44" s="214"/>
      <c r="QVE44" s="214"/>
      <c r="QVF44" s="214"/>
      <c r="QVG44" s="214"/>
      <c r="QVH44" s="214"/>
      <c r="QVI44" s="214"/>
      <c r="QVJ44" s="214"/>
      <c r="QVK44" s="214"/>
      <c r="QVL44" s="214"/>
      <c r="QVM44" s="214"/>
      <c r="QVN44" s="214"/>
      <c r="QVO44" s="214"/>
      <c r="QVP44" s="214"/>
      <c r="QVQ44" s="214"/>
      <c r="QVR44" s="214"/>
      <c r="QVS44" s="214"/>
      <c r="QVT44" s="214"/>
      <c r="QVU44" s="214"/>
      <c r="QVV44" s="214"/>
      <c r="QVW44" s="214"/>
      <c r="QVX44" s="214"/>
      <c r="QVY44" s="214"/>
      <c r="QVZ44" s="214"/>
      <c r="QWA44" s="214"/>
      <c r="QWB44" s="214"/>
      <c r="QWC44" s="214"/>
      <c r="QWD44" s="214"/>
      <c r="QWE44" s="214"/>
      <c r="QWF44" s="214"/>
      <c r="QWG44" s="214"/>
      <c r="QWH44" s="214"/>
      <c r="QWI44" s="214"/>
      <c r="QWJ44" s="214"/>
      <c r="QWK44" s="214"/>
      <c r="QWL44" s="214"/>
      <c r="QWM44" s="214"/>
      <c r="QWN44" s="214"/>
      <c r="QWO44" s="214"/>
      <c r="QWP44" s="214"/>
      <c r="QWQ44" s="214"/>
      <c r="QWR44" s="214"/>
      <c r="QWS44" s="214"/>
      <c r="QWT44" s="214"/>
      <c r="QWU44" s="214"/>
      <c r="QWV44" s="214"/>
      <c r="QWW44" s="214"/>
      <c r="QWX44" s="214"/>
      <c r="QWY44" s="214"/>
      <c r="QWZ44" s="214"/>
      <c r="QXA44" s="214"/>
      <c r="QXB44" s="214"/>
      <c r="QXC44" s="214"/>
      <c r="QXD44" s="214"/>
      <c r="QXE44" s="214"/>
      <c r="QXF44" s="214"/>
      <c r="QXG44" s="214"/>
      <c r="QXH44" s="214"/>
      <c r="QXI44" s="214"/>
      <c r="QXJ44" s="214"/>
      <c r="QXK44" s="214"/>
      <c r="QXL44" s="214"/>
      <c r="QXM44" s="214"/>
      <c r="QXN44" s="214"/>
      <c r="QXO44" s="214"/>
      <c r="QXP44" s="214"/>
      <c r="QXQ44" s="214"/>
      <c r="QXR44" s="214"/>
      <c r="QXS44" s="214"/>
      <c r="QXT44" s="214"/>
      <c r="QXU44" s="214"/>
      <c r="QXV44" s="214"/>
      <c r="QXW44" s="214"/>
      <c r="QXX44" s="214"/>
      <c r="QXY44" s="214"/>
      <c r="QXZ44" s="214"/>
      <c r="QYA44" s="214"/>
      <c r="QYB44" s="214"/>
      <c r="QYC44" s="214"/>
      <c r="QYD44" s="214"/>
      <c r="QYE44" s="214"/>
      <c r="QYF44" s="214"/>
      <c r="QYG44" s="214"/>
      <c r="QYH44" s="214"/>
      <c r="QYI44" s="214"/>
      <c r="QYJ44" s="214"/>
      <c r="QYK44" s="214"/>
      <c r="QYL44" s="214"/>
      <c r="QYM44" s="214"/>
      <c r="QYN44" s="214"/>
      <c r="QYO44" s="214"/>
      <c r="QYP44" s="214"/>
      <c r="QYQ44" s="214"/>
      <c r="QYR44" s="214"/>
      <c r="QYS44" s="214"/>
      <c r="QYT44" s="214"/>
      <c r="QYU44" s="214"/>
      <c r="QYV44" s="214"/>
      <c r="QYW44" s="214"/>
      <c r="QYX44" s="214"/>
      <c r="QYY44" s="214"/>
      <c r="QYZ44" s="214"/>
      <c r="QZA44" s="214"/>
      <c r="QZB44" s="214"/>
      <c r="QZC44" s="214"/>
      <c r="QZD44" s="214"/>
      <c r="QZE44" s="214"/>
      <c r="QZF44" s="214"/>
      <c r="QZG44" s="214"/>
      <c r="QZH44" s="214"/>
      <c r="QZI44" s="214"/>
      <c r="QZJ44" s="214"/>
      <c r="QZK44" s="214"/>
      <c r="QZL44" s="214"/>
      <c r="QZM44" s="214"/>
      <c r="QZN44" s="214"/>
      <c r="QZO44" s="214"/>
      <c r="QZP44" s="214"/>
      <c r="QZQ44" s="214"/>
      <c r="QZR44" s="214"/>
      <c r="QZS44" s="214"/>
      <c r="QZT44" s="214"/>
      <c r="QZU44" s="214"/>
      <c r="QZV44" s="214"/>
      <c r="QZW44" s="214"/>
      <c r="QZX44" s="214"/>
      <c r="QZY44" s="214"/>
      <c r="QZZ44" s="214"/>
      <c r="RAA44" s="214"/>
      <c r="RAB44" s="214"/>
      <c r="RAC44" s="214"/>
      <c r="RAD44" s="214"/>
      <c r="RAE44" s="214"/>
      <c r="RAF44" s="214"/>
      <c r="RAG44" s="214"/>
      <c r="RAH44" s="214"/>
      <c r="RAI44" s="214"/>
      <c r="RAJ44" s="214"/>
      <c r="RAK44" s="214"/>
      <c r="RAL44" s="214"/>
      <c r="RAM44" s="214"/>
      <c r="RAN44" s="214"/>
      <c r="RAO44" s="214"/>
      <c r="RAP44" s="214"/>
      <c r="RAQ44" s="214"/>
      <c r="RAR44" s="214"/>
      <c r="RAS44" s="214"/>
      <c r="RAT44" s="214"/>
      <c r="RAU44" s="214"/>
      <c r="RAV44" s="214"/>
      <c r="RAW44" s="214"/>
      <c r="RAX44" s="214"/>
      <c r="RAY44" s="214"/>
      <c r="RAZ44" s="214"/>
      <c r="RBA44" s="214"/>
      <c r="RBB44" s="214"/>
      <c r="RBC44" s="214"/>
      <c r="RBD44" s="214"/>
      <c r="RBE44" s="214"/>
      <c r="RBF44" s="214"/>
      <c r="RBG44" s="214"/>
      <c r="RBH44" s="214"/>
      <c r="RBI44" s="214"/>
      <c r="RBJ44" s="214"/>
      <c r="RBK44" s="214"/>
      <c r="RBL44" s="214"/>
      <c r="RBM44" s="214"/>
      <c r="RBN44" s="214"/>
      <c r="RBO44" s="214"/>
      <c r="RBP44" s="214"/>
      <c r="RBQ44" s="214"/>
      <c r="RBR44" s="214"/>
      <c r="RBS44" s="214"/>
      <c r="RBT44" s="214"/>
      <c r="RBU44" s="214"/>
      <c r="RBV44" s="214"/>
      <c r="RBW44" s="214"/>
      <c r="RBX44" s="214"/>
      <c r="RBY44" s="214"/>
      <c r="RBZ44" s="214"/>
      <c r="RCA44" s="214"/>
      <c r="RCB44" s="214"/>
      <c r="RCC44" s="214"/>
      <c r="RCD44" s="214"/>
      <c r="RCE44" s="214"/>
      <c r="RCF44" s="214"/>
      <c r="RCG44" s="214"/>
      <c r="RCH44" s="214"/>
      <c r="RCI44" s="214"/>
      <c r="RCJ44" s="214"/>
      <c r="RCK44" s="214"/>
      <c r="RCL44" s="214"/>
      <c r="RCM44" s="214"/>
      <c r="RCN44" s="214"/>
      <c r="RCO44" s="214"/>
      <c r="RCP44" s="214"/>
      <c r="RCQ44" s="214"/>
      <c r="RCR44" s="214"/>
      <c r="RCS44" s="214"/>
      <c r="RCT44" s="214"/>
      <c r="RCU44" s="214"/>
      <c r="RCV44" s="214"/>
      <c r="RCW44" s="214"/>
      <c r="RCX44" s="214"/>
      <c r="RCY44" s="214"/>
      <c r="RCZ44" s="214"/>
      <c r="RDA44" s="214"/>
      <c r="RDB44" s="214"/>
      <c r="RDC44" s="214"/>
      <c r="RDD44" s="214"/>
      <c r="RDE44" s="214"/>
      <c r="RDF44" s="214"/>
      <c r="RDG44" s="214"/>
      <c r="RDH44" s="214"/>
      <c r="RDI44" s="214"/>
      <c r="RDJ44" s="214"/>
      <c r="RDK44" s="214"/>
      <c r="RDL44" s="214"/>
      <c r="RDM44" s="214"/>
      <c r="RDN44" s="214"/>
      <c r="RDO44" s="214"/>
      <c r="RDP44" s="214"/>
      <c r="RDQ44" s="214"/>
      <c r="RDR44" s="214"/>
      <c r="RDS44" s="214"/>
      <c r="RDT44" s="214"/>
      <c r="RDU44" s="214"/>
      <c r="RDV44" s="214"/>
      <c r="RDW44" s="214"/>
      <c r="RDX44" s="214"/>
      <c r="RDY44" s="214"/>
      <c r="RDZ44" s="214"/>
      <c r="REA44" s="214"/>
      <c r="REB44" s="214"/>
      <c r="REC44" s="214"/>
      <c r="RED44" s="214"/>
      <c r="REE44" s="214"/>
      <c r="REF44" s="214"/>
      <c r="REG44" s="214"/>
      <c r="REH44" s="214"/>
      <c r="REI44" s="214"/>
      <c r="REJ44" s="214"/>
      <c r="REK44" s="214"/>
      <c r="REL44" s="214"/>
      <c r="REM44" s="214"/>
      <c r="REN44" s="214"/>
      <c r="REO44" s="214"/>
      <c r="REP44" s="214"/>
      <c r="REQ44" s="214"/>
      <c r="RER44" s="214"/>
      <c r="RES44" s="214"/>
      <c r="RET44" s="214"/>
      <c r="REU44" s="214"/>
      <c r="REV44" s="214"/>
      <c r="REW44" s="214"/>
      <c r="REX44" s="214"/>
      <c r="REY44" s="214"/>
      <c r="REZ44" s="214"/>
      <c r="RFA44" s="214"/>
      <c r="RFB44" s="214"/>
      <c r="RFC44" s="214"/>
      <c r="RFD44" s="214"/>
      <c r="RFE44" s="214"/>
      <c r="RFF44" s="214"/>
      <c r="RFG44" s="214"/>
      <c r="RFH44" s="214"/>
      <c r="RFI44" s="214"/>
      <c r="RFJ44" s="214"/>
      <c r="RFK44" s="214"/>
      <c r="RFL44" s="214"/>
      <c r="RFM44" s="214"/>
      <c r="RFN44" s="214"/>
      <c r="RFO44" s="214"/>
      <c r="RFP44" s="214"/>
      <c r="RFQ44" s="214"/>
      <c r="RFR44" s="214"/>
      <c r="RFS44" s="214"/>
      <c r="RFT44" s="214"/>
      <c r="RFU44" s="214"/>
      <c r="RFV44" s="214"/>
      <c r="RFW44" s="214"/>
      <c r="RFX44" s="214"/>
      <c r="RFY44" s="214"/>
      <c r="RFZ44" s="214"/>
      <c r="RGA44" s="214"/>
      <c r="RGB44" s="214"/>
      <c r="RGC44" s="214"/>
      <c r="RGD44" s="214"/>
      <c r="RGE44" s="214"/>
      <c r="RGF44" s="214"/>
      <c r="RGG44" s="214"/>
      <c r="RGH44" s="214"/>
      <c r="RGI44" s="214"/>
      <c r="RGJ44" s="214"/>
      <c r="RGK44" s="214"/>
      <c r="RGL44" s="214"/>
      <c r="RGM44" s="214"/>
      <c r="RGN44" s="214"/>
      <c r="RGO44" s="214"/>
      <c r="RGP44" s="214"/>
      <c r="RGQ44" s="214"/>
      <c r="RGR44" s="214"/>
      <c r="RGS44" s="214"/>
      <c r="RGT44" s="214"/>
      <c r="RGU44" s="214"/>
      <c r="RGV44" s="214"/>
      <c r="RGW44" s="214"/>
      <c r="RGX44" s="214"/>
      <c r="RGY44" s="214"/>
      <c r="RGZ44" s="214"/>
      <c r="RHA44" s="214"/>
      <c r="RHB44" s="214"/>
      <c r="RHC44" s="214"/>
      <c r="RHD44" s="214"/>
      <c r="RHE44" s="214"/>
      <c r="RHF44" s="214"/>
      <c r="RHG44" s="214"/>
      <c r="RHH44" s="214"/>
      <c r="RHI44" s="214"/>
      <c r="RHJ44" s="214"/>
      <c r="RHK44" s="214"/>
      <c r="RHL44" s="214"/>
      <c r="RHM44" s="214"/>
      <c r="RHN44" s="214"/>
      <c r="RHO44" s="214"/>
      <c r="RHP44" s="214"/>
      <c r="RHQ44" s="214"/>
      <c r="RHR44" s="214"/>
      <c r="RHS44" s="214"/>
      <c r="RHT44" s="214"/>
      <c r="RHU44" s="214"/>
      <c r="RHV44" s="214"/>
      <c r="RHW44" s="214"/>
      <c r="RHX44" s="214"/>
      <c r="RHY44" s="214"/>
      <c r="RHZ44" s="214"/>
      <c r="RIA44" s="214"/>
      <c r="RIB44" s="214"/>
      <c r="RIC44" s="214"/>
      <c r="RID44" s="214"/>
      <c r="RIE44" s="214"/>
      <c r="RIF44" s="214"/>
      <c r="RIG44" s="214"/>
      <c r="RIH44" s="214"/>
      <c r="RII44" s="214"/>
      <c r="RIJ44" s="214"/>
      <c r="RIK44" s="214"/>
      <c r="RIL44" s="214"/>
      <c r="RIM44" s="214"/>
      <c r="RIN44" s="214"/>
      <c r="RIO44" s="214"/>
      <c r="RIP44" s="214"/>
      <c r="RIQ44" s="214"/>
      <c r="RIR44" s="214"/>
      <c r="RIS44" s="214"/>
      <c r="RIT44" s="214"/>
      <c r="RIU44" s="214"/>
      <c r="RIV44" s="214"/>
      <c r="RIW44" s="214"/>
      <c r="RIX44" s="214"/>
      <c r="RIY44" s="214"/>
      <c r="RIZ44" s="214"/>
      <c r="RJA44" s="214"/>
      <c r="RJB44" s="214"/>
      <c r="RJC44" s="214"/>
      <c r="RJD44" s="214"/>
      <c r="RJE44" s="214"/>
      <c r="RJF44" s="214"/>
      <c r="RJG44" s="214"/>
      <c r="RJH44" s="214"/>
      <c r="RJI44" s="214"/>
      <c r="RJJ44" s="214"/>
      <c r="RJK44" s="214"/>
      <c r="RJL44" s="214"/>
      <c r="RJM44" s="214"/>
      <c r="RJN44" s="214"/>
      <c r="RJO44" s="214"/>
      <c r="RJP44" s="214"/>
      <c r="RJQ44" s="214"/>
      <c r="RJR44" s="214"/>
      <c r="RJS44" s="214"/>
      <c r="RJT44" s="214"/>
      <c r="RJU44" s="214"/>
      <c r="RJV44" s="214"/>
      <c r="RJW44" s="214"/>
      <c r="RJX44" s="214"/>
      <c r="RJY44" s="214"/>
      <c r="RJZ44" s="214"/>
      <c r="RKA44" s="214"/>
      <c r="RKB44" s="214"/>
      <c r="RKC44" s="214"/>
      <c r="RKD44" s="214"/>
      <c r="RKE44" s="214"/>
      <c r="RKF44" s="214"/>
      <c r="RKG44" s="214"/>
      <c r="RKH44" s="214"/>
      <c r="RKI44" s="214"/>
      <c r="RKJ44" s="214"/>
      <c r="RKK44" s="214"/>
      <c r="RKL44" s="214"/>
      <c r="RKM44" s="214"/>
      <c r="RKN44" s="214"/>
      <c r="RKO44" s="214"/>
      <c r="RKP44" s="214"/>
      <c r="RKQ44" s="214"/>
      <c r="RKR44" s="214"/>
      <c r="RKS44" s="214"/>
      <c r="RKT44" s="214"/>
      <c r="RKU44" s="214"/>
      <c r="RKV44" s="214"/>
      <c r="RKW44" s="214"/>
      <c r="RKX44" s="214"/>
      <c r="RKY44" s="214"/>
      <c r="RKZ44" s="214"/>
      <c r="RLA44" s="214"/>
      <c r="RLB44" s="214"/>
      <c r="RLC44" s="214"/>
      <c r="RLD44" s="214"/>
      <c r="RLE44" s="214"/>
      <c r="RLF44" s="214"/>
      <c r="RLG44" s="214"/>
      <c r="RLH44" s="214"/>
      <c r="RLI44" s="214"/>
      <c r="RLJ44" s="214"/>
      <c r="RLK44" s="214"/>
      <c r="RLL44" s="214"/>
      <c r="RLM44" s="214"/>
      <c r="RLN44" s="214"/>
      <c r="RLO44" s="214"/>
      <c r="RLP44" s="214"/>
      <c r="RLQ44" s="214"/>
      <c r="RLR44" s="214"/>
      <c r="RLS44" s="214"/>
      <c r="RLT44" s="214"/>
      <c r="RLU44" s="214"/>
      <c r="RLV44" s="214"/>
      <c r="RLW44" s="214"/>
      <c r="RLX44" s="214"/>
      <c r="RLY44" s="214"/>
      <c r="RLZ44" s="214"/>
      <c r="RMA44" s="214"/>
      <c r="RMB44" s="214"/>
      <c r="RMC44" s="214"/>
      <c r="RMD44" s="214"/>
      <c r="RME44" s="214"/>
      <c r="RMF44" s="214"/>
      <c r="RMG44" s="214"/>
      <c r="RMH44" s="214"/>
      <c r="RMI44" s="214"/>
      <c r="RMJ44" s="214"/>
      <c r="RMK44" s="214"/>
      <c r="RML44" s="214"/>
      <c r="RMM44" s="214"/>
      <c r="RMN44" s="214"/>
      <c r="RMO44" s="214"/>
      <c r="RMP44" s="214"/>
      <c r="RMQ44" s="214"/>
      <c r="RMR44" s="214"/>
      <c r="RMS44" s="214"/>
      <c r="RMT44" s="214"/>
      <c r="RMU44" s="214"/>
      <c r="RMV44" s="214"/>
      <c r="RMW44" s="214"/>
      <c r="RMX44" s="214"/>
      <c r="RMY44" s="214"/>
      <c r="RMZ44" s="214"/>
      <c r="RNA44" s="214"/>
      <c r="RNB44" s="214"/>
      <c r="RNC44" s="214"/>
      <c r="RND44" s="214"/>
      <c r="RNE44" s="214"/>
      <c r="RNF44" s="214"/>
      <c r="RNG44" s="214"/>
      <c r="RNH44" s="214"/>
      <c r="RNI44" s="214"/>
      <c r="RNJ44" s="214"/>
      <c r="RNK44" s="214"/>
      <c r="RNL44" s="214"/>
      <c r="RNM44" s="214"/>
      <c r="RNN44" s="214"/>
      <c r="RNO44" s="214"/>
      <c r="RNP44" s="214"/>
      <c r="RNQ44" s="214"/>
      <c r="RNR44" s="214"/>
      <c r="RNS44" s="214"/>
      <c r="RNT44" s="214"/>
      <c r="RNU44" s="214"/>
      <c r="RNV44" s="214"/>
      <c r="RNW44" s="214"/>
      <c r="RNX44" s="214"/>
      <c r="RNY44" s="214"/>
      <c r="RNZ44" s="214"/>
      <c r="ROA44" s="214"/>
      <c r="ROB44" s="214"/>
      <c r="ROC44" s="214"/>
      <c r="ROD44" s="214"/>
      <c r="ROE44" s="214"/>
      <c r="ROF44" s="214"/>
      <c r="ROG44" s="214"/>
      <c r="ROH44" s="214"/>
      <c r="ROI44" s="214"/>
      <c r="ROJ44" s="214"/>
      <c r="ROK44" s="214"/>
      <c r="ROL44" s="214"/>
      <c r="ROM44" s="214"/>
      <c r="RON44" s="214"/>
      <c r="ROO44" s="214"/>
      <c r="ROP44" s="214"/>
      <c r="ROQ44" s="214"/>
      <c r="ROR44" s="214"/>
      <c r="ROS44" s="214"/>
      <c r="ROT44" s="214"/>
      <c r="ROU44" s="214"/>
      <c r="ROV44" s="214"/>
      <c r="ROW44" s="214"/>
      <c r="ROX44" s="214"/>
      <c r="ROY44" s="214"/>
      <c r="ROZ44" s="214"/>
      <c r="RPA44" s="214"/>
      <c r="RPB44" s="214"/>
      <c r="RPC44" s="214"/>
      <c r="RPD44" s="214"/>
      <c r="RPE44" s="214"/>
      <c r="RPF44" s="214"/>
      <c r="RPG44" s="214"/>
      <c r="RPH44" s="214"/>
      <c r="RPI44" s="214"/>
      <c r="RPJ44" s="214"/>
      <c r="RPK44" s="214"/>
      <c r="RPL44" s="214"/>
      <c r="RPM44" s="214"/>
      <c r="RPN44" s="214"/>
      <c r="RPO44" s="214"/>
      <c r="RPP44" s="214"/>
      <c r="RPQ44" s="214"/>
      <c r="RPR44" s="214"/>
      <c r="RPS44" s="214"/>
      <c r="RPT44" s="214"/>
      <c r="RPU44" s="214"/>
      <c r="RPV44" s="214"/>
      <c r="RPW44" s="214"/>
      <c r="RPX44" s="214"/>
      <c r="RPY44" s="214"/>
      <c r="RPZ44" s="214"/>
      <c r="RQA44" s="214"/>
      <c r="RQB44" s="214"/>
      <c r="RQC44" s="214"/>
      <c r="RQD44" s="214"/>
      <c r="RQE44" s="214"/>
      <c r="RQF44" s="214"/>
      <c r="RQG44" s="214"/>
      <c r="RQH44" s="214"/>
      <c r="RQI44" s="214"/>
      <c r="RQJ44" s="214"/>
      <c r="RQK44" s="214"/>
      <c r="RQL44" s="214"/>
      <c r="RQM44" s="214"/>
      <c r="RQN44" s="214"/>
      <c r="RQO44" s="214"/>
      <c r="RQP44" s="214"/>
      <c r="RQQ44" s="214"/>
      <c r="RQR44" s="214"/>
      <c r="RQS44" s="214"/>
      <c r="RQT44" s="214"/>
      <c r="RQU44" s="214"/>
      <c r="RQV44" s="214"/>
      <c r="RQW44" s="214"/>
      <c r="RQX44" s="214"/>
      <c r="RQY44" s="214"/>
      <c r="RQZ44" s="214"/>
      <c r="RRA44" s="214"/>
      <c r="RRB44" s="214"/>
      <c r="RRC44" s="214"/>
      <c r="RRD44" s="214"/>
      <c r="RRE44" s="214"/>
      <c r="RRF44" s="214"/>
      <c r="RRG44" s="214"/>
      <c r="RRH44" s="214"/>
      <c r="RRI44" s="214"/>
      <c r="RRJ44" s="214"/>
      <c r="RRK44" s="214"/>
      <c r="RRL44" s="214"/>
      <c r="RRM44" s="214"/>
      <c r="RRN44" s="214"/>
      <c r="RRO44" s="214"/>
      <c r="RRP44" s="214"/>
      <c r="RRQ44" s="214"/>
      <c r="RRR44" s="214"/>
      <c r="RRS44" s="214"/>
      <c r="RRT44" s="214"/>
      <c r="RRU44" s="214"/>
      <c r="RRV44" s="214"/>
      <c r="RRW44" s="214"/>
      <c r="RRX44" s="214"/>
      <c r="RRY44" s="214"/>
      <c r="RRZ44" s="214"/>
      <c r="RSA44" s="214"/>
      <c r="RSB44" s="214"/>
      <c r="RSC44" s="214"/>
      <c r="RSD44" s="214"/>
      <c r="RSE44" s="214"/>
      <c r="RSF44" s="214"/>
      <c r="RSG44" s="214"/>
      <c r="RSH44" s="214"/>
      <c r="RSI44" s="214"/>
      <c r="RSJ44" s="214"/>
      <c r="RSK44" s="214"/>
      <c r="RSL44" s="214"/>
      <c r="RSM44" s="214"/>
      <c r="RSN44" s="214"/>
      <c r="RSO44" s="214"/>
      <c r="RSP44" s="214"/>
      <c r="RSQ44" s="214"/>
      <c r="RSR44" s="214"/>
      <c r="RSS44" s="214"/>
      <c r="RST44" s="214"/>
      <c r="RSU44" s="214"/>
      <c r="RSV44" s="214"/>
      <c r="RSW44" s="214"/>
      <c r="RSX44" s="214"/>
      <c r="RSY44" s="214"/>
      <c r="RSZ44" s="214"/>
      <c r="RTA44" s="214"/>
      <c r="RTB44" s="214"/>
      <c r="RTC44" s="214"/>
      <c r="RTD44" s="214"/>
      <c r="RTE44" s="214"/>
      <c r="RTF44" s="214"/>
      <c r="RTG44" s="214"/>
      <c r="RTH44" s="214"/>
      <c r="RTI44" s="214"/>
      <c r="RTJ44" s="214"/>
      <c r="RTK44" s="214"/>
      <c r="RTL44" s="214"/>
      <c r="RTM44" s="214"/>
      <c r="RTN44" s="214"/>
      <c r="RTO44" s="214"/>
      <c r="RTP44" s="214"/>
      <c r="RTQ44" s="214"/>
      <c r="RTR44" s="214"/>
      <c r="RTS44" s="214"/>
      <c r="RTT44" s="214"/>
      <c r="RTU44" s="214"/>
      <c r="RTV44" s="214"/>
      <c r="RTW44" s="214"/>
      <c r="RTX44" s="214"/>
      <c r="RTY44" s="214"/>
      <c r="RTZ44" s="214"/>
      <c r="RUA44" s="214"/>
      <c r="RUB44" s="214"/>
      <c r="RUC44" s="214"/>
      <c r="RUD44" s="214"/>
      <c r="RUE44" s="214"/>
      <c r="RUF44" s="214"/>
      <c r="RUG44" s="214"/>
      <c r="RUH44" s="214"/>
      <c r="RUI44" s="214"/>
      <c r="RUJ44" s="214"/>
      <c r="RUK44" s="214"/>
      <c r="RUL44" s="214"/>
      <c r="RUM44" s="214"/>
      <c r="RUN44" s="214"/>
      <c r="RUO44" s="214"/>
      <c r="RUP44" s="214"/>
      <c r="RUQ44" s="214"/>
      <c r="RUR44" s="214"/>
      <c r="RUS44" s="214"/>
      <c r="RUT44" s="214"/>
      <c r="RUU44" s="214"/>
      <c r="RUV44" s="214"/>
      <c r="RUW44" s="214"/>
      <c r="RUX44" s="214"/>
      <c r="RUY44" s="214"/>
      <c r="RUZ44" s="214"/>
      <c r="RVA44" s="214"/>
      <c r="RVB44" s="214"/>
      <c r="RVC44" s="214"/>
      <c r="RVD44" s="214"/>
      <c r="RVE44" s="214"/>
      <c r="RVF44" s="214"/>
      <c r="RVG44" s="214"/>
      <c r="RVH44" s="214"/>
      <c r="RVI44" s="214"/>
      <c r="RVJ44" s="214"/>
      <c r="RVK44" s="214"/>
      <c r="RVL44" s="214"/>
      <c r="RVM44" s="214"/>
      <c r="RVN44" s="214"/>
      <c r="RVO44" s="214"/>
      <c r="RVP44" s="214"/>
      <c r="RVQ44" s="214"/>
      <c r="RVR44" s="214"/>
      <c r="RVS44" s="214"/>
      <c r="RVT44" s="214"/>
      <c r="RVU44" s="214"/>
      <c r="RVV44" s="214"/>
      <c r="RVW44" s="214"/>
      <c r="RVX44" s="214"/>
      <c r="RVY44" s="214"/>
      <c r="RVZ44" s="214"/>
      <c r="RWA44" s="214"/>
      <c r="RWB44" s="214"/>
      <c r="RWC44" s="214"/>
      <c r="RWD44" s="214"/>
      <c r="RWE44" s="214"/>
      <c r="RWF44" s="214"/>
      <c r="RWG44" s="214"/>
      <c r="RWH44" s="214"/>
      <c r="RWI44" s="214"/>
      <c r="RWJ44" s="214"/>
      <c r="RWK44" s="214"/>
      <c r="RWL44" s="214"/>
      <c r="RWM44" s="214"/>
      <c r="RWN44" s="214"/>
      <c r="RWO44" s="214"/>
      <c r="RWP44" s="214"/>
      <c r="RWQ44" s="214"/>
      <c r="RWR44" s="214"/>
      <c r="RWS44" s="214"/>
      <c r="RWT44" s="214"/>
      <c r="RWU44" s="214"/>
      <c r="RWV44" s="214"/>
      <c r="RWW44" s="214"/>
      <c r="RWX44" s="214"/>
      <c r="RWY44" s="214"/>
      <c r="RWZ44" s="214"/>
      <c r="RXA44" s="214"/>
      <c r="RXB44" s="214"/>
      <c r="RXC44" s="214"/>
      <c r="RXD44" s="214"/>
      <c r="RXE44" s="214"/>
      <c r="RXF44" s="214"/>
      <c r="RXG44" s="214"/>
      <c r="RXH44" s="214"/>
      <c r="RXI44" s="214"/>
      <c r="RXJ44" s="214"/>
      <c r="RXK44" s="214"/>
      <c r="RXL44" s="214"/>
      <c r="RXM44" s="214"/>
      <c r="RXN44" s="214"/>
      <c r="RXO44" s="214"/>
      <c r="RXP44" s="214"/>
      <c r="RXQ44" s="214"/>
      <c r="RXR44" s="214"/>
      <c r="RXS44" s="214"/>
      <c r="RXT44" s="214"/>
      <c r="RXU44" s="214"/>
      <c r="RXV44" s="214"/>
      <c r="RXW44" s="214"/>
      <c r="RXX44" s="214"/>
      <c r="RXY44" s="214"/>
      <c r="RXZ44" s="214"/>
      <c r="RYA44" s="214"/>
      <c r="RYB44" s="214"/>
      <c r="RYC44" s="214"/>
      <c r="RYD44" s="214"/>
      <c r="RYE44" s="214"/>
      <c r="RYF44" s="214"/>
      <c r="RYG44" s="214"/>
      <c r="RYH44" s="214"/>
      <c r="RYI44" s="214"/>
      <c r="RYJ44" s="214"/>
      <c r="RYK44" s="214"/>
      <c r="RYL44" s="214"/>
      <c r="RYM44" s="214"/>
      <c r="RYN44" s="214"/>
      <c r="RYO44" s="214"/>
      <c r="RYP44" s="214"/>
      <c r="RYQ44" s="214"/>
      <c r="RYR44" s="214"/>
      <c r="RYS44" s="214"/>
      <c r="RYT44" s="214"/>
      <c r="RYU44" s="214"/>
      <c r="RYV44" s="214"/>
      <c r="RYW44" s="214"/>
      <c r="RYX44" s="214"/>
      <c r="RYY44" s="214"/>
      <c r="RYZ44" s="214"/>
      <c r="RZA44" s="214"/>
      <c r="RZB44" s="214"/>
      <c r="RZC44" s="214"/>
      <c r="RZD44" s="214"/>
      <c r="RZE44" s="214"/>
      <c r="RZF44" s="214"/>
      <c r="RZG44" s="214"/>
      <c r="RZH44" s="214"/>
      <c r="RZI44" s="214"/>
      <c r="RZJ44" s="214"/>
      <c r="RZK44" s="214"/>
      <c r="RZL44" s="214"/>
      <c r="RZM44" s="214"/>
      <c r="RZN44" s="214"/>
      <c r="RZO44" s="214"/>
      <c r="RZP44" s="214"/>
      <c r="RZQ44" s="214"/>
      <c r="RZR44" s="214"/>
      <c r="RZS44" s="214"/>
      <c r="RZT44" s="214"/>
      <c r="RZU44" s="214"/>
      <c r="RZV44" s="214"/>
      <c r="RZW44" s="214"/>
      <c r="RZX44" s="214"/>
      <c r="RZY44" s="214"/>
      <c r="RZZ44" s="214"/>
      <c r="SAA44" s="214"/>
      <c r="SAB44" s="214"/>
      <c r="SAC44" s="214"/>
      <c r="SAD44" s="214"/>
      <c r="SAE44" s="214"/>
      <c r="SAF44" s="214"/>
      <c r="SAG44" s="214"/>
      <c r="SAH44" s="214"/>
      <c r="SAI44" s="214"/>
      <c r="SAJ44" s="214"/>
      <c r="SAK44" s="214"/>
      <c r="SAL44" s="214"/>
      <c r="SAM44" s="214"/>
      <c r="SAN44" s="214"/>
      <c r="SAO44" s="214"/>
      <c r="SAP44" s="214"/>
      <c r="SAQ44" s="214"/>
      <c r="SAR44" s="214"/>
      <c r="SAS44" s="214"/>
      <c r="SAT44" s="214"/>
      <c r="SAU44" s="214"/>
      <c r="SAV44" s="214"/>
      <c r="SAW44" s="214"/>
      <c r="SAX44" s="214"/>
      <c r="SAY44" s="214"/>
      <c r="SAZ44" s="214"/>
      <c r="SBA44" s="214"/>
      <c r="SBB44" s="214"/>
      <c r="SBC44" s="214"/>
      <c r="SBD44" s="214"/>
      <c r="SBE44" s="214"/>
      <c r="SBF44" s="214"/>
      <c r="SBG44" s="214"/>
      <c r="SBH44" s="214"/>
      <c r="SBI44" s="214"/>
      <c r="SBJ44" s="214"/>
      <c r="SBK44" s="214"/>
      <c r="SBL44" s="214"/>
      <c r="SBM44" s="214"/>
      <c r="SBN44" s="214"/>
      <c r="SBO44" s="214"/>
      <c r="SBP44" s="214"/>
      <c r="SBQ44" s="214"/>
      <c r="SBR44" s="214"/>
      <c r="SBS44" s="214"/>
      <c r="SBT44" s="214"/>
      <c r="SBU44" s="214"/>
      <c r="SBV44" s="214"/>
      <c r="SBW44" s="214"/>
      <c r="SBX44" s="214"/>
      <c r="SBY44" s="214"/>
      <c r="SBZ44" s="214"/>
      <c r="SCA44" s="214"/>
      <c r="SCB44" s="214"/>
      <c r="SCC44" s="214"/>
      <c r="SCD44" s="214"/>
      <c r="SCE44" s="214"/>
      <c r="SCF44" s="214"/>
      <c r="SCG44" s="214"/>
      <c r="SCH44" s="214"/>
      <c r="SCI44" s="214"/>
      <c r="SCJ44" s="214"/>
      <c r="SCK44" s="214"/>
      <c r="SCL44" s="214"/>
      <c r="SCM44" s="214"/>
      <c r="SCN44" s="214"/>
      <c r="SCO44" s="214"/>
      <c r="SCP44" s="214"/>
      <c r="SCQ44" s="214"/>
      <c r="SCR44" s="214"/>
      <c r="SCS44" s="214"/>
      <c r="SCT44" s="214"/>
      <c r="SCU44" s="214"/>
      <c r="SCV44" s="214"/>
      <c r="SCW44" s="214"/>
      <c r="SCX44" s="214"/>
      <c r="SCY44" s="214"/>
      <c r="SCZ44" s="214"/>
      <c r="SDA44" s="214"/>
      <c r="SDB44" s="214"/>
      <c r="SDC44" s="214"/>
      <c r="SDD44" s="214"/>
      <c r="SDE44" s="214"/>
      <c r="SDF44" s="214"/>
      <c r="SDG44" s="214"/>
      <c r="SDH44" s="214"/>
      <c r="SDI44" s="214"/>
      <c r="SDJ44" s="214"/>
      <c r="SDK44" s="214"/>
      <c r="SDL44" s="214"/>
      <c r="SDM44" s="214"/>
      <c r="SDN44" s="214"/>
      <c r="SDO44" s="214"/>
      <c r="SDP44" s="214"/>
      <c r="SDQ44" s="214"/>
      <c r="SDR44" s="214"/>
      <c r="SDS44" s="214"/>
      <c r="SDT44" s="214"/>
      <c r="SDU44" s="214"/>
      <c r="SDV44" s="214"/>
      <c r="SDW44" s="214"/>
      <c r="SDX44" s="214"/>
      <c r="SDY44" s="214"/>
      <c r="SDZ44" s="214"/>
      <c r="SEA44" s="214"/>
      <c r="SEB44" s="214"/>
      <c r="SEC44" s="214"/>
      <c r="SED44" s="214"/>
      <c r="SEE44" s="214"/>
      <c r="SEF44" s="214"/>
      <c r="SEG44" s="214"/>
      <c r="SEH44" s="214"/>
      <c r="SEI44" s="214"/>
      <c r="SEJ44" s="214"/>
      <c r="SEK44" s="214"/>
      <c r="SEL44" s="214"/>
      <c r="SEM44" s="214"/>
      <c r="SEN44" s="214"/>
      <c r="SEO44" s="214"/>
      <c r="SEP44" s="214"/>
      <c r="SEQ44" s="214"/>
      <c r="SER44" s="214"/>
      <c r="SES44" s="214"/>
      <c r="SET44" s="214"/>
      <c r="SEU44" s="214"/>
      <c r="SEV44" s="214"/>
      <c r="SEW44" s="214"/>
      <c r="SEX44" s="214"/>
      <c r="SEY44" s="214"/>
      <c r="SEZ44" s="214"/>
      <c r="SFA44" s="214"/>
      <c r="SFB44" s="214"/>
      <c r="SFC44" s="214"/>
      <c r="SFD44" s="214"/>
      <c r="SFE44" s="214"/>
      <c r="SFF44" s="214"/>
      <c r="SFG44" s="214"/>
      <c r="SFH44" s="214"/>
      <c r="SFI44" s="214"/>
      <c r="SFJ44" s="214"/>
      <c r="SFK44" s="214"/>
      <c r="SFL44" s="214"/>
      <c r="SFM44" s="214"/>
      <c r="SFN44" s="214"/>
      <c r="SFO44" s="214"/>
      <c r="SFP44" s="214"/>
      <c r="SFQ44" s="214"/>
      <c r="SFR44" s="214"/>
      <c r="SFS44" s="214"/>
      <c r="SFT44" s="214"/>
      <c r="SFU44" s="214"/>
      <c r="SFV44" s="214"/>
      <c r="SFW44" s="214"/>
      <c r="SFX44" s="214"/>
      <c r="SFY44" s="214"/>
      <c r="SFZ44" s="214"/>
      <c r="SGA44" s="214"/>
      <c r="SGB44" s="214"/>
      <c r="SGC44" s="214"/>
      <c r="SGD44" s="214"/>
      <c r="SGE44" s="214"/>
      <c r="SGF44" s="214"/>
      <c r="SGG44" s="214"/>
      <c r="SGH44" s="214"/>
      <c r="SGI44" s="214"/>
      <c r="SGJ44" s="214"/>
      <c r="SGK44" s="214"/>
      <c r="SGL44" s="214"/>
      <c r="SGM44" s="214"/>
      <c r="SGN44" s="214"/>
      <c r="SGO44" s="214"/>
      <c r="SGP44" s="214"/>
      <c r="SGQ44" s="214"/>
      <c r="SGR44" s="214"/>
      <c r="SGS44" s="214"/>
      <c r="SGT44" s="214"/>
      <c r="SGU44" s="214"/>
      <c r="SGV44" s="214"/>
      <c r="SGW44" s="214"/>
      <c r="SGX44" s="214"/>
      <c r="SGY44" s="214"/>
      <c r="SGZ44" s="214"/>
      <c r="SHA44" s="214"/>
      <c r="SHB44" s="214"/>
      <c r="SHC44" s="214"/>
      <c r="SHD44" s="214"/>
      <c r="SHE44" s="214"/>
      <c r="SHF44" s="214"/>
      <c r="SHG44" s="214"/>
      <c r="SHH44" s="214"/>
      <c r="SHI44" s="214"/>
      <c r="SHJ44" s="214"/>
      <c r="SHK44" s="214"/>
      <c r="SHL44" s="214"/>
      <c r="SHM44" s="214"/>
      <c r="SHN44" s="214"/>
      <c r="SHO44" s="214"/>
      <c r="SHP44" s="214"/>
      <c r="SHQ44" s="214"/>
      <c r="SHR44" s="214"/>
      <c r="SHS44" s="214"/>
      <c r="SHT44" s="214"/>
      <c r="SHU44" s="214"/>
      <c r="SHV44" s="214"/>
      <c r="SHW44" s="214"/>
      <c r="SHX44" s="214"/>
      <c r="SHY44" s="214"/>
      <c r="SHZ44" s="214"/>
      <c r="SIA44" s="214"/>
      <c r="SIB44" s="214"/>
      <c r="SIC44" s="214"/>
      <c r="SID44" s="214"/>
      <c r="SIE44" s="214"/>
      <c r="SIF44" s="214"/>
      <c r="SIG44" s="214"/>
      <c r="SIH44" s="214"/>
      <c r="SII44" s="214"/>
      <c r="SIJ44" s="214"/>
      <c r="SIK44" s="214"/>
      <c r="SIL44" s="214"/>
      <c r="SIM44" s="214"/>
      <c r="SIN44" s="214"/>
      <c r="SIO44" s="214"/>
      <c r="SIP44" s="214"/>
      <c r="SIQ44" s="214"/>
      <c r="SIR44" s="214"/>
      <c r="SIS44" s="214"/>
      <c r="SIT44" s="214"/>
      <c r="SIU44" s="214"/>
      <c r="SIV44" s="214"/>
      <c r="SIW44" s="214"/>
      <c r="SIX44" s="214"/>
      <c r="SIY44" s="214"/>
      <c r="SIZ44" s="214"/>
      <c r="SJA44" s="214"/>
      <c r="SJB44" s="214"/>
      <c r="SJC44" s="214"/>
      <c r="SJD44" s="214"/>
      <c r="SJE44" s="214"/>
      <c r="SJF44" s="214"/>
      <c r="SJG44" s="214"/>
      <c r="SJH44" s="214"/>
      <c r="SJI44" s="214"/>
      <c r="SJJ44" s="214"/>
      <c r="SJK44" s="214"/>
      <c r="SJL44" s="214"/>
      <c r="SJM44" s="214"/>
      <c r="SJN44" s="214"/>
      <c r="SJO44" s="214"/>
      <c r="SJP44" s="214"/>
      <c r="SJQ44" s="214"/>
      <c r="SJR44" s="214"/>
      <c r="SJS44" s="214"/>
      <c r="SJT44" s="214"/>
      <c r="SJU44" s="214"/>
      <c r="SJV44" s="214"/>
      <c r="SJW44" s="214"/>
      <c r="SJX44" s="214"/>
      <c r="SJY44" s="214"/>
      <c r="SJZ44" s="214"/>
      <c r="SKA44" s="214"/>
      <c r="SKB44" s="214"/>
      <c r="SKC44" s="214"/>
      <c r="SKD44" s="214"/>
      <c r="SKE44" s="214"/>
      <c r="SKF44" s="214"/>
      <c r="SKG44" s="214"/>
      <c r="SKH44" s="214"/>
      <c r="SKI44" s="214"/>
      <c r="SKJ44" s="214"/>
      <c r="SKK44" s="214"/>
      <c r="SKL44" s="214"/>
      <c r="SKM44" s="214"/>
      <c r="SKN44" s="214"/>
      <c r="SKO44" s="214"/>
      <c r="SKP44" s="214"/>
      <c r="SKQ44" s="214"/>
      <c r="SKR44" s="214"/>
      <c r="SKS44" s="214"/>
      <c r="SKT44" s="214"/>
      <c r="SKU44" s="214"/>
      <c r="SKV44" s="214"/>
      <c r="SKW44" s="214"/>
      <c r="SKX44" s="214"/>
      <c r="SKY44" s="214"/>
      <c r="SKZ44" s="214"/>
      <c r="SLA44" s="214"/>
      <c r="SLB44" s="214"/>
      <c r="SLC44" s="214"/>
      <c r="SLD44" s="214"/>
      <c r="SLE44" s="214"/>
      <c r="SLF44" s="214"/>
      <c r="SLG44" s="214"/>
      <c r="SLH44" s="214"/>
      <c r="SLI44" s="214"/>
      <c r="SLJ44" s="214"/>
      <c r="SLK44" s="214"/>
      <c r="SLL44" s="214"/>
      <c r="SLM44" s="214"/>
      <c r="SLN44" s="214"/>
      <c r="SLO44" s="214"/>
      <c r="SLP44" s="214"/>
      <c r="SLQ44" s="214"/>
      <c r="SLR44" s="214"/>
      <c r="SLS44" s="214"/>
      <c r="SLT44" s="214"/>
      <c r="SLU44" s="214"/>
      <c r="SLV44" s="214"/>
      <c r="SLW44" s="214"/>
      <c r="SLX44" s="214"/>
      <c r="SLY44" s="214"/>
      <c r="SLZ44" s="214"/>
      <c r="SMA44" s="214"/>
      <c r="SMB44" s="214"/>
      <c r="SMC44" s="214"/>
      <c r="SMD44" s="214"/>
      <c r="SME44" s="214"/>
      <c r="SMF44" s="214"/>
      <c r="SMG44" s="214"/>
      <c r="SMH44" s="214"/>
      <c r="SMI44" s="214"/>
      <c r="SMJ44" s="214"/>
      <c r="SMK44" s="214"/>
      <c r="SML44" s="214"/>
      <c r="SMM44" s="214"/>
      <c r="SMN44" s="214"/>
      <c r="SMO44" s="214"/>
      <c r="SMP44" s="214"/>
      <c r="SMQ44" s="214"/>
      <c r="SMR44" s="214"/>
      <c r="SMS44" s="214"/>
      <c r="SMT44" s="214"/>
      <c r="SMU44" s="214"/>
      <c r="SMV44" s="214"/>
      <c r="SMW44" s="214"/>
      <c r="SMX44" s="214"/>
      <c r="SMY44" s="214"/>
      <c r="SMZ44" s="214"/>
      <c r="SNA44" s="214"/>
      <c r="SNB44" s="214"/>
      <c r="SNC44" s="214"/>
      <c r="SND44" s="214"/>
      <c r="SNE44" s="214"/>
      <c r="SNF44" s="214"/>
      <c r="SNG44" s="214"/>
      <c r="SNH44" s="214"/>
      <c r="SNI44" s="214"/>
      <c r="SNJ44" s="214"/>
      <c r="SNK44" s="214"/>
      <c r="SNL44" s="214"/>
      <c r="SNM44" s="214"/>
      <c r="SNN44" s="214"/>
      <c r="SNO44" s="214"/>
      <c r="SNP44" s="214"/>
      <c r="SNQ44" s="214"/>
      <c r="SNR44" s="214"/>
      <c r="SNS44" s="214"/>
      <c r="SNT44" s="214"/>
      <c r="SNU44" s="214"/>
      <c r="SNV44" s="214"/>
      <c r="SNW44" s="214"/>
      <c r="SNX44" s="214"/>
      <c r="SNY44" s="214"/>
      <c r="SNZ44" s="214"/>
      <c r="SOA44" s="214"/>
      <c r="SOB44" s="214"/>
      <c r="SOC44" s="214"/>
      <c r="SOD44" s="214"/>
      <c r="SOE44" s="214"/>
      <c r="SOF44" s="214"/>
      <c r="SOG44" s="214"/>
      <c r="SOH44" s="214"/>
      <c r="SOI44" s="214"/>
      <c r="SOJ44" s="214"/>
      <c r="SOK44" s="214"/>
      <c r="SOL44" s="214"/>
      <c r="SOM44" s="214"/>
      <c r="SON44" s="214"/>
      <c r="SOO44" s="214"/>
      <c r="SOP44" s="214"/>
      <c r="SOQ44" s="214"/>
      <c r="SOR44" s="214"/>
      <c r="SOS44" s="214"/>
      <c r="SOT44" s="214"/>
      <c r="SOU44" s="214"/>
      <c r="SOV44" s="214"/>
      <c r="SOW44" s="214"/>
      <c r="SOX44" s="214"/>
      <c r="SOY44" s="214"/>
      <c r="SOZ44" s="214"/>
      <c r="SPA44" s="214"/>
      <c r="SPB44" s="214"/>
      <c r="SPC44" s="214"/>
      <c r="SPD44" s="214"/>
      <c r="SPE44" s="214"/>
      <c r="SPF44" s="214"/>
      <c r="SPG44" s="214"/>
      <c r="SPH44" s="214"/>
      <c r="SPI44" s="214"/>
      <c r="SPJ44" s="214"/>
      <c r="SPK44" s="214"/>
      <c r="SPL44" s="214"/>
      <c r="SPM44" s="214"/>
      <c r="SPN44" s="214"/>
      <c r="SPO44" s="214"/>
      <c r="SPP44" s="214"/>
      <c r="SPQ44" s="214"/>
      <c r="SPR44" s="214"/>
      <c r="SPS44" s="214"/>
      <c r="SPT44" s="214"/>
      <c r="SPU44" s="214"/>
      <c r="SPV44" s="214"/>
      <c r="SPW44" s="214"/>
      <c r="SPX44" s="214"/>
      <c r="SPY44" s="214"/>
      <c r="SPZ44" s="214"/>
      <c r="SQA44" s="214"/>
      <c r="SQB44" s="214"/>
      <c r="SQC44" s="214"/>
      <c r="SQD44" s="214"/>
      <c r="SQE44" s="214"/>
      <c r="SQF44" s="214"/>
      <c r="SQG44" s="214"/>
      <c r="SQH44" s="214"/>
      <c r="SQI44" s="214"/>
      <c r="SQJ44" s="214"/>
      <c r="SQK44" s="214"/>
      <c r="SQL44" s="214"/>
      <c r="SQM44" s="214"/>
      <c r="SQN44" s="214"/>
      <c r="SQO44" s="214"/>
      <c r="SQP44" s="214"/>
      <c r="SQQ44" s="214"/>
      <c r="SQR44" s="214"/>
      <c r="SQS44" s="214"/>
      <c r="SQT44" s="214"/>
      <c r="SQU44" s="214"/>
      <c r="SQV44" s="214"/>
      <c r="SQW44" s="214"/>
      <c r="SQX44" s="214"/>
      <c r="SQY44" s="214"/>
      <c r="SQZ44" s="214"/>
      <c r="SRA44" s="214"/>
      <c r="SRB44" s="214"/>
      <c r="SRC44" s="214"/>
      <c r="SRD44" s="214"/>
      <c r="SRE44" s="214"/>
      <c r="SRF44" s="214"/>
      <c r="SRG44" s="214"/>
      <c r="SRH44" s="214"/>
      <c r="SRI44" s="214"/>
      <c r="SRJ44" s="214"/>
      <c r="SRK44" s="214"/>
      <c r="SRL44" s="214"/>
      <c r="SRM44" s="214"/>
      <c r="SRN44" s="214"/>
      <c r="SRO44" s="214"/>
      <c r="SRP44" s="214"/>
      <c r="SRQ44" s="214"/>
      <c r="SRR44" s="214"/>
      <c r="SRS44" s="214"/>
      <c r="SRT44" s="214"/>
      <c r="SRU44" s="214"/>
      <c r="SRV44" s="214"/>
      <c r="SRW44" s="214"/>
      <c r="SRX44" s="214"/>
      <c r="SRY44" s="214"/>
      <c r="SRZ44" s="214"/>
      <c r="SSA44" s="214"/>
      <c r="SSB44" s="214"/>
      <c r="SSC44" s="214"/>
      <c r="SSD44" s="214"/>
      <c r="SSE44" s="214"/>
      <c r="SSF44" s="214"/>
      <c r="SSG44" s="214"/>
      <c r="SSH44" s="214"/>
      <c r="SSI44" s="214"/>
      <c r="SSJ44" s="214"/>
      <c r="SSK44" s="214"/>
      <c r="SSL44" s="214"/>
      <c r="SSM44" s="214"/>
      <c r="SSN44" s="214"/>
      <c r="SSO44" s="214"/>
      <c r="SSP44" s="214"/>
      <c r="SSQ44" s="214"/>
      <c r="SSR44" s="214"/>
      <c r="SSS44" s="214"/>
      <c r="SST44" s="214"/>
      <c r="SSU44" s="214"/>
      <c r="SSV44" s="214"/>
      <c r="SSW44" s="214"/>
      <c r="SSX44" s="214"/>
      <c r="SSY44" s="214"/>
      <c r="SSZ44" s="214"/>
      <c r="STA44" s="214"/>
      <c r="STB44" s="214"/>
      <c r="STC44" s="214"/>
      <c r="STD44" s="214"/>
      <c r="STE44" s="214"/>
      <c r="STF44" s="214"/>
      <c r="STG44" s="214"/>
      <c r="STH44" s="214"/>
      <c r="STI44" s="214"/>
      <c r="STJ44" s="214"/>
      <c r="STK44" s="214"/>
      <c r="STL44" s="214"/>
      <c r="STM44" s="214"/>
      <c r="STN44" s="214"/>
      <c r="STO44" s="214"/>
      <c r="STP44" s="214"/>
      <c r="STQ44" s="214"/>
      <c r="STR44" s="214"/>
      <c r="STS44" s="214"/>
      <c r="STT44" s="214"/>
      <c r="STU44" s="214"/>
      <c r="STV44" s="214"/>
      <c r="STW44" s="214"/>
      <c r="STX44" s="214"/>
      <c r="STY44" s="214"/>
      <c r="STZ44" s="214"/>
      <c r="SUA44" s="214"/>
      <c r="SUB44" s="214"/>
      <c r="SUC44" s="214"/>
      <c r="SUD44" s="214"/>
      <c r="SUE44" s="214"/>
      <c r="SUF44" s="214"/>
      <c r="SUG44" s="214"/>
      <c r="SUH44" s="214"/>
      <c r="SUI44" s="214"/>
      <c r="SUJ44" s="214"/>
      <c r="SUK44" s="214"/>
      <c r="SUL44" s="214"/>
      <c r="SUM44" s="214"/>
      <c r="SUN44" s="214"/>
      <c r="SUO44" s="214"/>
      <c r="SUP44" s="214"/>
      <c r="SUQ44" s="214"/>
      <c r="SUR44" s="214"/>
      <c r="SUS44" s="214"/>
      <c r="SUT44" s="214"/>
      <c r="SUU44" s="214"/>
      <c r="SUV44" s="214"/>
      <c r="SUW44" s="214"/>
      <c r="SUX44" s="214"/>
      <c r="SUY44" s="214"/>
      <c r="SUZ44" s="214"/>
      <c r="SVA44" s="214"/>
      <c r="SVB44" s="214"/>
      <c r="SVC44" s="214"/>
      <c r="SVD44" s="214"/>
      <c r="SVE44" s="214"/>
      <c r="SVF44" s="214"/>
      <c r="SVG44" s="214"/>
      <c r="SVH44" s="214"/>
      <c r="SVI44" s="214"/>
      <c r="SVJ44" s="214"/>
      <c r="SVK44" s="214"/>
      <c r="SVL44" s="214"/>
      <c r="SVM44" s="214"/>
      <c r="SVN44" s="214"/>
      <c r="SVO44" s="214"/>
      <c r="SVP44" s="214"/>
      <c r="SVQ44" s="214"/>
      <c r="SVR44" s="214"/>
      <c r="SVS44" s="214"/>
      <c r="SVT44" s="214"/>
      <c r="SVU44" s="214"/>
      <c r="SVV44" s="214"/>
      <c r="SVW44" s="214"/>
      <c r="SVX44" s="214"/>
      <c r="SVY44" s="214"/>
      <c r="SVZ44" s="214"/>
      <c r="SWA44" s="214"/>
      <c r="SWB44" s="214"/>
      <c r="SWC44" s="214"/>
      <c r="SWD44" s="214"/>
      <c r="SWE44" s="214"/>
      <c r="SWF44" s="214"/>
      <c r="SWG44" s="214"/>
      <c r="SWH44" s="214"/>
      <c r="SWI44" s="214"/>
      <c r="SWJ44" s="214"/>
      <c r="SWK44" s="214"/>
      <c r="SWL44" s="214"/>
      <c r="SWM44" s="214"/>
      <c r="SWN44" s="214"/>
      <c r="SWO44" s="214"/>
      <c r="SWP44" s="214"/>
      <c r="SWQ44" s="214"/>
      <c r="SWR44" s="214"/>
      <c r="SWS44" s="214"/>
      <c r="SWT44" s="214"/>
      <c r="SWU44" s="214"/>
      <c r="SWV44" s="214"/>
      <c r="SWW44" s="214"/>
      <c r="SWX44" s="214"/>
      <c r="SWY44" s="214"/>
      <c r="SWZ44" s="214"/>
      <c r="SXA44" s="214"/>
      <c r="SXB44" s="214"/>
      <c r="SXC44" s="214"/>
      <c r="SXD44" s="214"/>
      <c r="SXE44" s="214"/>
      <c r="SXF44" s="214"/>
      <c r="SXG44" s="214"/>
      <c r="SXH44" s="214"/>
      <c r="SXI44" s="214"/>
      <c r="SXJ44" s="214"/>
      <c r="SXK44" s="214"/>
      <c r="SXL44" s="214"/>
      <c r="SXM44" s="214"/>
      <c r="SXN44" s="214"/>
      <c r="SXO44" s="214"/>
      <c r="SXP44" s="214"/>
      <c r="SXQ44" s="214"/>
      <c r="SXR44" s="214"/>
      <c r="SXS44" s="214"/>
      <c r="SXT44" s="214"/>
      <c r="SXU44" s="214"/>
      <c r="SXV44" s="214"/>
      <c r="SXW44" s="214"/>
      <c r="SXX44" s="214"/>
      <c r="SXY44" s="214"/>
      <c r="SXZ44" s="214"/>
      <c r="SYA44" s="214"/>
      <c r="SYB44" s="214"/>
      <c r="SYC44" s="214"/>
      <c r="SYD44" s="214"/>
      <c r="SYE44" s="214"/>
      <c r="SYF44" s="214"/>
      <c r="SYG44" s="214"/>
      <c r="SYH44" s="214"/>
      <c r="SYI44" s="214"/>
      <c r="SYJ44" s="214"/>
      <c r="SYK44" s="214"/>
      <c r="SYL44" s="214"/>
      <c r="SYM44" s="214"/>
      <c r="SYN44" s="214"/>
      <c r="SYO44" s="214"/>
      <c r="SYP44" s="214"/>
      <c r="SYQ44" s="214"/>
      <c r="SYR44" s="214"/>
      <c r="SYS44" s="214"/>
      <c r="SYT44" s="214"/>
      <c r="SYU44" s="214"/>
      <c r="SYV44" s="214"/>
      <c r="SYW44" s="214"/>
      <c r="SYX44" s="214"/>
      <c r="SYY44" s="214"/>
      <c r="SYZ44" s="214"/>
      <c r="SZA44" s="214"/>
      <c r="SZB44" s="214"/>
      <c r="SZC44" s="214"/>
      <c r="SZD44" s="214"/>
      <c r="SZE44" s="214"/>
      <c r="SZF44" s="214"/>
      <c r="SZG44" s="214"/>
      <c r="SZH44" s="214"/>
      <c r="SZI44" s="214"/>
      <c r="SZJ44" s="214"/>
      <c r="SZK44" s="214"/>
      <c r="SZL44" s="214"/>
      <c r="SZM44" s="214"/>
      <c r="SZN44" s="214"/>
      <c r="SZO44" s="214"/>
      <c r="SZP44" s="214"/>
      <c r="SZQ44" s="214"/>
      <c r="SZR44" s="214"/>
      <c r="SZS44" s="214"/>
      <c r="SZT44" s="214"/>
      <c r="SZU44" s="214"/>
      <c r="SZV44" s="214"/>
      <c r="SZW44" s="214"/>
      <c r="SZX44" s="214"/>
      <c r="SZY44" s="214"/>
      <c r="SZZ44" s="214"/>
      <c r="TAA44" s="214"/>
      <c r="TAB44" s="214"/>
      <c r="TAC44" s="214"/>
      <c r="TAD44" s="214"/>
      <c r="TAE44" s="214"/>
      <c r="TAF44" s="214"/>
      <c r="TAG44" s="214"/>
      <c r="TAH44" s="214"/>
      <c r="TAI44" s="214"/>
      <c r="TAJ44" s="214"/>
      <c r="TAK44" s="214"/>
      <c r="TAL44" s="214"/>
      <c r="TAM44" s="214"/>
      <c r="TAN44" s="214"/>
      <c r="TAO44" s="214"/>
      <c r="TAP44" s="214"/>
      <c r="TAQ44" s="214"/>
      <c r="TAR44" s="214"/>
      <c r="TAS44" s="214"/>
      <c r="TAT44" s="214"/>
      <c r="TAU44" s="214"/>
      <c r="TAV44" s="214"/>
      <c r="TAW44" s="214"/>
      <c r="TAX44" s="214"/>
      <c r="TAY44" s="214"/>
      <c r="TAZ44" s="214"/>
      <c r="TBA44" s="214"/>
      <c r="TBB44" s="214"/>
      <c r="TBC44" s="214"/>
      <c r="TBD44" s="214"/>
      <c r="TBE44" s="214"/>
      <c r="TBF44" s="214"/>
      <c r="TBG44" s="214"/>
      <c r="TBH44" s="214"/>
      <c r="TBI44" s="214"/>
      <c r="TBJ44" s="214"/>
      <c r="TBK44" s="214"/>
      <c r="TBL44" s="214"/>
      <c r="TBM44" s="214"/>
      <c r="TBN44" s="214"/>
      <c r="TBO44" s="214"/>
      <c r="TBP44" s="214"/>
      <c r="TBQ44" s="214"/>
      <c r="TBR44" s="214"/>
      <c r="TBS44" s="214"/>
      <c r="TBT44" s="214"/>
      <c r="TBU44" s="214"/>
      <c r="TBV44" s="214"/>
      <c r="TBW44" s="214"/>
      <c r="TBX44" s="214"/>
      <c r="TBY44" s="214"/>
      <c r="TBZ44" s="214"/>
      <c r="TCA44" s="214"/>
      <c r="TCB44" s="214"/>
      <c r="TCC44" s="214"/>
      <c r="TCD44" s="214"/>
      <c r="TCE44" s="214"/>
      <c r="TCF44" s="214"/>
      <c r="TCG44" s="214"/>
      <c r="TCH44" s="214"/>
      <c r="TCI44" s="214"/>
      <c r="TCJ44" s="214"/>
      <c r="TCK44" s="214"/>
      <c r="TCL44" s="214"/>
      <c r="TCM44" s="214"/>
      <c r="TCN44" s="214"/>
      <c r="TCO44" s="214"/>
      <c r="TCP44" s="214"/>
      <c r="TCQ44" s="214"/>
      <c r="TCR44" s="214"/>
      <c r="TCS44" s="214"/>
      <c r="TCT44" s="214"/>
      <c r="TCU44" s="214"/>
      <c r="TCV44" s="214"/>
      <c r="TCW44" s="214"/>
      <c r="TCX44" s="214"/>
      <c r="TCY44" s="214"/>
      <c r="TCZ44" s="214"/>
      <c r="TDA44" s="214"/>
      <c r="TDB44" s="214"/>
      <c r="TDC44" s="214"/>
      <c r="TDD44" s="214"/>
      <c r="TDE44" s="214"/>
      <c r="TDF44" s="214"/>
      <c r="TDG44" s="214"/>
      <c r="TDH44" s="214"/>
      <c r="TDI44" s="214"/>
      <c r="TDJ44" s="214"/>
      <c r="TDK44" s="214"/>
      <c r="TDL44" s="214"/>
      <c r="TDM44" s="214"/>
      <c r="TDN44" s="214"/>
      <c r="TDO44" s="214"/>
      <c r="TDP44" s="214"/>
      <c r="TDQ44" s="214"/>
      <c r="TDR44" s="214"/>
      <c r="TDS44" s="214"/>
      <c r="TDT44" s="214"/>
      <c r="TDU44" s="214"/>
      <c r="TDV44" s="214"/>
      <c r="TDW44" s="214"/>
      <c r="TDX44" s="214"/>
      <c r="TDY44" s="214"/>
      <c r="TDZ44" s="214"/>
      <c r="TEA44" s="214"/>
      <c r="TEB44" s="214"/>
      <c r="TEC44" s="214"/>
      <c r="TED44" s="214"/>
      <c r="TEE44" s="214"/>
      <c r="TEF44" s="214"/>
      <c r="TEG44" s="214"/>
      <c r="TEH44" s="214"/>
      <c r="TEI44" s="214"/>
      <c r="TEJ44" s="214"/>
      <c r="TEK44" s="214"/>
      <c r="TEL44" s="214"/>
      <c r="TEM44" s="214"/>
      <c r="TEN44" s="214"/>
      <c r="TEO44" s="214"/>
      <c r="TEP44" s="214"/>
      <c r="TEQ44" s="214"/>
      <c r="TER44" s="214"/>
      <c r="TES44" s="214"/>
      <c r="TET44" s="214"/>
      <c r="TEU44" s="214"/>
      <c r="TEV44" s="214"/>
      <c r="TEW44" s="214"/>
      <c r="TEX44" s="214"/>
      <c r="TEY44" s="214"/>
      <c r="TEZ44" s="214"/>
      <c r="TFA44" s="214"/>
      <c r="TFB44" s="214"/>
      <c r="TFC44" s="214"/>
      <c r="TFD44" s="214"/>
      <c r="TFE44" s="214"/>
      <c r="TFF44" s="214"/>
      <c r="TFG44" s="214"/>
      <c r="TFH44" s="214"/>
      <c r="TFI44" s="214"/>
      <c r="TFJ44" s="214"/>
      <c r="TFK44" s="214"/>
      <c r="TFL44" s="214"/>
      <c r="TFM44" s="214"/>
      <c r="TFN44" s="214"/>
      <c r="TFO44" s="214"/>
      <c r="TFP44" s="214"/>
      <c r="TFQ44" s="214"/>
      <c r="TFR44" s="214"/>
      <c r="TFS44" s="214"/>
      <c r="TFT44" s="214"/>
      <c r="TFU44" s="214"/>
      <c r="TFV44" s="214"/>
      <c r="TFW44" s="214"/>
      <c r="TFX44" s="214"/>
      <c r="TFY44" s="214"/>
      <c r="TFZ44" s="214"/>
      <c r="TGA44" s="214"/>
      <c r="TGB44" s="214"/>
      <c r="TGC44" s="214"/>
      <c r="TGD44" s="214"/>
      <c r="TGE44" s="214"/>
      <c r="TGF44" s="214"/>
      <c r="TGG44" s="214"/>
      <c r="TGH44" s="214"/>
      <c r="TGI44" s="214"/>
      <c r="TGJ44" s="214"/>
      <c r="TGK44" s="214"/>
      <c r="TGL44" s="214"/>
      <c r="TGM44" s="214"/>
      <c r="TGN44" s="214"/>
      <c r="TGO44" s="214"/>
      <c r="TGP44" s="214"/>
      <c r="TGQ44" s="214"/>
      <c r="TGR44" s="214"/>
      <c r="TGS44" s="214"/>
      <c r="TGT44" s="214"/>
      <c r="TGU44" s="214"/>
      <c r="TGV44" s="214"/>
      <c r="TGW44" s="214"/>
      <c r="TGX44" s="214"/>
      <c r="TGY44" s="214"/>
      <c r="TGZ44" s="214"/>
      <c r="THA44" s="214"/>
      <c r="THB44" s="214"/>
      <c r="THC44" s="214"/>
      <c r="THD44" s="214"/>
      <c r="THE44" s="214"/>
      <c r="THF44" s="214"/>
      <c r="THG44" s="214"/>
      <c r="THH44" s="214"/>
      <c r="THI44" s="214"/>
      <c r="THJ44" s="214"/>
      <c r="THK44" s="214"/>
      <c r="THL44" s="214"/>
      <c r="THM44" s="214"/>
      <c r="THN44" s="214"/>
      <c r="THO44" s="214"/>
      <c r="THP44" s="214"/>
      <c r="THQ44" s="214"/>
      <c r="THR44" s="214"/>
      <c r="THS44" s="214"/>
      <c r="THT44" s="214"/>
      <c r="THU44" s="214"/>
      <c r="THV44" s="214"/>
      <c r="THW44" s="214"/>
      <c r="THX44" s="214"/>
      <c r="THY44" s="214"/>
      <c r="THZ44" s="214"/>
      <c r="TIA44" s="214"/>
      <c r="TIB44" s="214"/>
      <c r="TIC44" s="214"/>
      <c r="TID44" s="214"/>
      <c r="TIE44" s="214"/>
      <c r="TIF44" s="214"/>
      <c r="TIG44" s="214"/>
      <c r="TIH44" s="214"/>
      <c r="TII44" s="214"/>
      <c r="TIJ44" s="214"/>
      <c r="TIK44" s="214"/>
      <c r="TIL44" s="214"/>
      <c r="TIM44" s="214"/>
      <c r="TIN44" s="214"/>
      <c r="TIO44" s="214"/>
      <c r="TIP44" s="214"/>
      <c r="TIQ44" s="214"/>
      <c r="TIR44" s="214"/>
      <c r="TIS44" s="214"/>
      <c r="TIT44" s="214"/>
      <c r="TIU44" s="214"/>
      <c r="TIV44" s="214"/>
      <c r="TIW44" s="214"/>
      <c r="TIX44" s="214"/>
      <c r="TIY44" s="214"/>
      <c r="TIZ44" s="214"/>
      <c r="TJA44" s="214"/>
      <c r="TJB44" s="214"/>
      <c r="TJC44" s="214"/>
      <c r="TJD44" s="214"/>
      <c r="TJE44" s="214"/>
      <c r="TJF44" s="214"/>
      <c r="TJG44" s="214"/>
      <c r="TJH44" s="214"/>
      <c r="TJI44" s="214"/>
      <c r="TJJ44" s="214"/>
      <c r="TJK44" s="214"/>
      <c r="TJL44" s="214"/>
      <c r="TJM44" s="214"/>
      <c r="TJN44" s="214"/>
      <c r="TJO44" s="214"/>
      <c r="TJP44" s="214"/>
      <c r="TJQ44" s="214"/>
      <c r="TJR44" s="214"/>
      <c r="TJS44" s="214"/>
      <c r="TJT44" s="214"/>
      <c r="TJU44" s="214"/>
      <c r="TJV44" s="214"/>
      <c r="TJW44" s="214"/>
      <c r="TJX44" s="214"/>
      <c r="TJY44" s="214"/>
      <c r="TJZ44" s="214"/>
      <c r="TKA44" s="214"/>
      <c r="TKB44" s="214"/>
      <c r="TKC44" s="214"/>
      <c r="TKD44" s="214"/>
      <c r="TKE44" s="214"/>
      <c r="TKF44" s="214"/>
      <c r="TKG44" s="214"/>
      <c r="TKH44" s="214"/>
      <c r="TKI44" s="214"/>
      <c r="TKJ44" s="214"/>
      <c r="TKK44" s="214"/>
      <c r="TKL44" s="214"/>
      <c r="TKM44" s="214"/>
      <c r="TKN44" s="214"/>
      <c r="TKO44" s="214"/>
      <c r="TKP44" s="214"/>
      <c r="TKQ44" s="214"/>
      <c r="TKR44" s="214"/>
      <c r="TKS44" s="214"/>
      <c r="TKT44" s="214"/>
      <c r="TKU44" s="214"/>
      <c r="TKV44" s="214"/>
      <c r="TKW44" s="214"/>
      <c r="TKX44" s="214"/>
      <c r="TKY44" s="214"/>
      <c r="TKZ44" s="214"/>
      <c r="TLA44" s="214"/>
      <c r="TLB44" s="214"/>
      <c r="TLC44" s="214"/>
      <c r="TLD44" s="214"/>
      <c r="TLE44" s="214"/>
      <c r="TLF44" s="214"/>
      <c r="TLG44" s="214"/>
      <c r="TLH44" s="214"/>
      <c r="TLI44" s="214"/>
      <c r="TLJ44" s="214"/>
      <c r="TLK44" s="214"/>
      <c r="TLL44" s="214"/>
      <c r="TLM44" s="214"/>
      <c r="TLN44" s="214"/>
      <c r="TLO44" s="214"/>
      <c r="TLP44" s="214"/>
      <c r="TLQ44" s="214"/>
      <c r="TLR44" s="214"/>
      <c r="TLS44" s="214"/>
      <c r="TLT44" s="214"/>
      <c r="TLU44" s="214"/>
      <c r="TLV44" s="214"/>
      <c r="TLW44" s="214"/>
      <c r="TLX44" s="214"/>
      <c r="TLY44" s="214"/>
      <c r="TLZ44" s="214"/>
      <c r="TMA44" s="214"/>
      <c r="TMB44" s="214"/>
      <c r="TMC44" s="214"/>
      <c r="TMD44" s="214"/>
      <c r="TME44" s="214"/>
      <c r="TMF44" s="214"/>
      <c r="TMG44" s="214"/>
      <c r="TMH44" s="214"/>
      <c r="TMI44" s="214"/>
      <c r="TMJ44" s="214"/>
      <c r="TMK44" s="214"/>
      <c r="TML44" s="214"/>
      <c r="TMM44" s="214"/>
      <c r="TMN44" s="214"/>
      <c r="TMO44" s="214"/>
      <c r="TMP44" s="214"/>
      <c r="TMQ44" s="214"/>
      <c r="TMR44" s="214"/>
      <c r="TMS44" s="214"/>
      <c r="TMT44" s="214"/>
      <c r="TMU44" s="214"/>
      <c r="TMV44" s="214"/>
      <c r="TMW44" s="214"/>
      <c r="TMX44" s="214"/>
      <c r="TMY44" s="214"/>
      <c r="TMZ44" s="214"/>
      <c r="TNA44" s="214"/>
      <c r="TNB44" s="214"/>
      <c r="TNC44" s="214"/>
      <c r="TND44" s="214"/>
      <c r="TNE44" s="214"/>
      <c r="TNF44" s="214"/>
      <c r="TNG44" s="214"/>
      <c r="TNH44" s="214"/>
      <c r="TNI44" s="214"/>
      <c r="TNJ44" s="214"/>
      <c r="TNK44" s="214"/>
      <c r="TNL44" s="214"/>
      <c r="TNM44" s="214"/>
      <c r="TNN44" s="214"/>
      <c r="TNO44" s="214"/>
      <c r="TNP44" s="214"/>
      <c r="TNQ44" s="214"/>
      <c r="TNR44" s="214"/>
      <c r="TNS44" s="214"/>
      <c r="TNT44" s="214"/>
      <c r="TNU44" s="214"/>
      <c r="TNV44" s="214"/>
      <c r="TNW44" s="214"/>
      <c r="TNX44" s="214"/>
      <c r="TNY44" s="214"/>
      <c r="TNZ44" s="214"/>
      <c r="TOA44" s="214"/>
      <c r="TOB44" s="214"/>
      <c r="TOC44" s="214"/>
      <c r="TOD44" s="214"/>
      <c r="TOE44" s="214"/>
      <c r="TOF44" s="214"/>
      <c r="TOG44" s="214"/>
      <c r="TOH44" s="214"/>
      <c r="TOI44" s="214"/>
      <c r="TOJ44" s="214"/>
      <c r="TOK44" s="214"/>
      <c r="TOL44" s="214"/>
      <c r="TOM44" s="214"/>
      <c r="TON44" s="214"/>
      <c r="TOO44" s="214"/>
      <c r="TOP44" s="214"/>
      <c r="TOQ44" s="214"/>
      <c r="TOR44" s="214"/>
      <c r="TOS44" s="214"/>
      <c r="TOT44" s="214"/>
      <c r="TOU44" s="214"/>
      <c r="TOV44" s="214"/>
      <c r="TOW44" s="214"/>
      <c r="TOX44" s="214"/>
      <c r="TOY44" s="214"/>
      <c r="TOZ44" s="214"/>
      <c r="TPA44" s="214"/>
      <c r="TPB44" s="214"/>
      <c r="TPC44" s="214"/>
      <c r="TPD44" s="214"/>
      <c r="TPE44" s="214"/>
      <c r="TPF44" s="214"/>
      <c r="TPG44" s="214"/>
      <c r="TPH44" s="214"/>
      <c r="TPI44" s="214"/>
      <c r="TPJ44" s="214"/>
      <c r="TPK44" s="214"/>
      <c r="TPL44" s="214"/>
      <c r="TPM44" s="214"/>
      <c r="TPN44" s="214"/>
      <c r="TPO44" s="214"/>
      <c r="TPP44" s="214"/>
      <c r="TPQ44" s="214"/>
      <c r="TPR44" s="214"/>
      <c r="TPS44" s="214"/>
      <c r="TPT44" s="214"/>
      <c r="TPU44" s="214"/>
      <c r="TPV44" s="214"/>
      <c r="TPW44" s="214"/>
      <c r="TPX44" s="214"/>
      <c r="TPY44" s="214"/>
      <c r="TPZ44" s="214"/>
      <c r="TQA44" s="214"/>
      <c r="TQB44" s="214"/>
      <c r="TQC44" s="214"/>
      <c r="TQD44" s="214"/>
      <c r="TQE44" s="214"/>
      <c r="TQF44" s="214"/>
      <c r="TQG44" s="214"/>
      <c r="TQH44" s="214"/>
      <c r="TQI44" s="214"/>
      <c r="TQJ44" s="214"/>
      <c r="TQK44" s="214"/>
      <c r="TQL44" s="214"/>
      <c r="TQM44" s="214"/>
      <c r="TQN44" s="214"/>
      <c r="TQO44" s="214"/>
      <c r="TQP44" s="214"/>
      <c r="TQQ44" s="214"/>
      <c r="TQR44" s="214"/>
      <c r="TQS44" s="214"/>
      <c r="TQT44" s="214"/>
      <c r="TQU44" s="214"/>
      <c r="TQV44" s="214"/>
      <c r="TQW44" s="214"/>
      <c r="TQX44" s="214"/>
      <c r="TQY44" s="214"/>
      <c r="TQZ44" s="214"/>
      <c r="TRA44" s="214"/>
      <c r="TRB44" s="214"/>
      <c r="TRC44" s="214"/>
      <c r="TRD44" s="214"/>
      <c r="TRE44" s="214"/>
      <c r="TRF44" s="214"/>
      <c r="TRG44" s="214"/>
      <c r="TRH44" s="214"/>
      <c r="TRI44" s="214"/>
      <c r="TRJ44" s="214"/>
      <c r="TRK44" s="214"/>
      <c r="TRL44" s="214"/>
      <c r="TRM44" s="214"/>
      <c r="TRN44" s="214"/>
      <c r="TRO44" s="214"/>
      <c r="TRP44" s="214"/>
      <c r="TRQ44" s="214"/>
      <c r="TRR44" s="214"/>
      <c r="TRS44" s="214"/>
      <c r="TRT44" s="214"/>
      <c r="TRU44" s="214"/>
      <c r="TRV44" s="214"/>
      <c r="TRW44" s="214"/>
      <c r="TRX44" s="214"/>
      <c r="TRY44" s="214"/>
      <c r="TRZ44" s="214"/>
      <c r="TSA44" s="214"/>
      <c r="TSB44" s="214"/>
      <c r="TSC44" s="214"/>
      <c r="TSD44" s="214"/>
      <c r="TSE44" s="214"/>
      <c r="TSF44" s="214"/>
      <c r="TSG44" s="214"/>
      <c r="TSH44" s="214"/>
      <c r="TSI44" s="214"/>
      <c r="TSJ44" s="214"/>
      <c r="TSK44" s="214"/>
      <c r="TSL44" s="214"/>
      <c r="TSM44" s="214"/>
      <c r="TSN44" s="214"/>
      <c r="TSO44" s="214"/>
      <c r="TSP44" s="214"/>
      <c r="TSQ44" s="214"/>
      <c r="TSR44" s="214"/>
      <c r="TSS44" s="214"/>
      <c r="TST44" s="214"/>
      <c r="TSU44" s="214"/>
      <c r="TSV44" s="214"/>
      <c r="TSW44" s="214"/>
      <c r="TSX44" s="214"/>
      <c r="TSY44" s="214"/>
      <c r="TSZ44" s="214"/>
      <c r="TTA44" s="214"/>
      <c r="TTB44" s="214"/>
      <c r="TTC44" s="214"/>
      <c r="TTD44" s="214"/>
      <c r="TTE44" s="214"/>
      <c r="TTF44" s="214"/>
      <c r="TTG44" s="214"/>
      <c r="TTH44" s="214"/>
      <c r="TTI44" s="214"/>
      <c r="TTJ44" s="214"/>
      <c r="TTK44" s="214"/>
      <c r="TTL44" s="214"/>
      <c r="TTM44" s="214"/>
      <c r="TTN44" s="214"/>
      <c r="TTO44" s="214"/>
      <c r="TTP44" s="214"/>
      <c r="TTQ44" s="214"/>
      <c r="TTR44" s="214"/>
      <c r="TTS44" s="214"/>
      <c r="TTT44" s="214"/>
      <c r="TTU44" s="214"/>
      <c r="TTV44" s="214"/>
      <c r="TTW44" s="214"/>
      <c r="TTX44" s="214"/>
      <c r="TTY44" s="214"/>
      <c r="TTZ44" s="214"/>
      <c r="TUA44" s="214"/>
      <c r="TUB44" s="214"/>
      <c r="TUC44" s="214"/>
      <c r="TUD44" s="214"/>
      <c r="TUE44" s="214"/>
      <c r="TUF44" s="214"/>
      <c r="TUG44" s="214"/>
      <c r="TUH44" s="214"/>
      <c r="TUI44" s="214"/>
      <c r="TUJ44" s="214"/>
      <c r="TUK44" s="214"/>
      <c r="TUL44" s="214"/>
      <c r="TUM44" s="214"/>
      <c r="TUN44" s="214"/>
      <c r="TUO44" s="214"/>
      <c r="TUP44" s="214"/>
      <c r="TUQ44" s="214"/>
      <c r="TUR44" s="214"/>
      <c r="TUS44" s="214"/>
      <c r="TUT44" s="214"/>
      <c r="TUU44" s="214"/>
      <c r="TUV44" s="214"/>
      <c r="TUW44" s="214"/>
      <c r="TUX44" s="214"/>
      <c r="TUY44" s="214"/>
      <c r="TUZ44" s="214"/>
      <c r="TVA44" s="214"/>
      <c r="TVB44" s="214"/>
      <c r="TVC44" s="214"/>
      <c r="TVD44" s="214"/>
      <c r="TVE44" s="214"/>
      <c r="TVF44" s="214"/>
      <c r="TVG44" s="214"/>
      <c r="TVH44" s="214"/>
      <c r="TVI44" s="214"/>
      <c r="TVJ44" s="214"/>
      <c r="TVK44" s="214"/>
      <c r="TVL44" s="214"/>
      <c r="TVM44" s="214"/>
      <c r="TVN44" s="214"/>
      <c r="TVO44" s="214"/>
      <c r="TVP44" s="214"/>
      <c r="TVQ44" s="214"/>
      <c r="TVR44" s="214"/>
      <c r="TVS44" s="214"/>
      <c r="TVT44" s="214"/>
      <c r="TVU44" s="214"/>
      <c r="TVV44" s="214"/>
      <c r="TVW44" s="214"/>
      <c r="TVX44" s="214"/>
      <c r="TVY44" s="214"/>
      <c r="TVZ44" s="214"/>
      <c r="TWA44" s="214"/>
      <c r="TWB44" s="214"/>
      <c r="TWC44" s="214"/>
      <c r="TWD44" s="214"/>
      <c r="TWE44" s="214"/>
      <c r="TWF44" s="214"/>
      <c r="TWG44" s="214"/>
      <c r="TWH44" s="214"/>
      <c r="TWI44" s="214"/>
      <c r="TWJ44" s="214"/>
      <c r="TWK44" s="214"/>
      <c r="TWL44" s="214"/>
      <c r="TWM44" s="214"/>
      <c r="TWN44" s="214"/>
      <c r="TWO44" s="214"/>
      <c r="TWP44" s="214"/>
      <c r="TWQ44" s="214"/>
      <c r="TWR44" s="214"/>
      <c r="TWS44" s="214"/>
      <c r="TWT44" s="214"/>
      <c r="TWU44" s="214"/>
      <c r="TWV44" s="214"/>
      <c r="TWW44" s="214"/>
      <c r="TWX44" s="214"/>
      <c r="TWY44" s="214"/>
      <c r="TWZ44" s="214"/>
      <c r="TXA44" s="214"/>
      <c r="TXB44" s="214"/>
      <c r="TXC44" s="214"/>
      <c r="TXD44" s="214"/>
      <c r="TXE44" s="214"/>
      <c r="TXF44" s="214"/>
      <c r="TXG44" s="214"/>
      <c r="TXH44" s="214"/>
      <c r="TXI44" s="214"/>
      <c r="TXJ44" s="214"/>
      <c r="TXK44" s="214"/>
      <c r="TXL44" s="214"/>
      <c r="TXM44" s="214"/>
      <c r="TXN44" s="214"/>
      <c r="TXO44" s="214"/>
      <c r="TXP44" s="214"/>
      <c r="TXQ44" s="214"/>
      <c r="TXR44" s="214"/>
      <c r="TXS44" s="214"/>
      <c r="TXT44" s="214"/>
      <c r="TXU44" s="214"/>
      <c r="TXV44" s="214"/>
      <c r="TXW44" s="214"/>
      <c r="TXX44" s="214"/>
      <c r="TXY44" s="214"/>
      <c r="TXZ44" s="214"/>
      <c r="TYA44" s="214"/>
      <c r="TYB44" s="214"/>
      <c r="TYC44" s="214"/>
      <c r="TYD44" s="214"/>
      <c r="TYE44" s="214"/>
      <c r="TYF44" s="214"/>
      <c r="TYG44" s="214"/>
      <c r="TYH44" s="214"/>
      <c r="TYI44" s="214"/>
      <c r="TYJ44" s="214"/>
      <c r="TYK44" s="214"/>
      <c r="TYL44" s="214"/>
      <c r="TYM44" s="214"/>
      <c r="TYN44" s="214"/>
      <c r="TYO44" s="214"/>
      <c r="TYP44" s="214"/>
      <c r="TYQ44" s="214"/>
      <c r="TYR44" s="214"/>
      <c r="TYS44" s="214"/>
      <c r="TYT44" s="214"/>
      <c r="TYU44" s="214"/>
      <c r="TYV44" s="214"/>
      <c r="TYW44" s="214"/>
      <c r="TYX44" s="214"/>
      <c r="TYY44" s="214"/>
      <c r="TYZ44" s="214"/>
      <c r="TZA44" s="214"/>
      <c r="TZB44" s="214"/>
      <c r="TZC44" s="214"/>
      <c r="TZD44" s="214"/>
      <c r="TZE44" s="214"/>
      <c r="TZF44" s="214"/>
      <c r="TZG44" s="214"/>
      <c r="TZH44" s="214"/>
      <c r="TZI44" s="214"/>
      <c r="TZJ44" s="214"/>
      <c r="TZK44" s="214"/>
      <c r="TZL44" s="214"/>
      <c r="TZM44" s="214"/>
      <c r="TZN44" s="214"/>
      <c r="TZO44" s="214"/>
      <c r="TZP44" s="214"/>
      <c r="TZQ44" s="214"/>
      <c r="TZR44" s="214"/>
      <c r="TZS44" s="214"/>
      <c r="TZT44" s="214"/>
      <c r="TZU44" s="214"/>
      <c r="TZV44" s="214"/>
      <c r="TZW44" s="214"/>
      <c r="TZX44" s="214"/>
      <c r="TZY44" s="214"/>
      <c r="TZZ44" s="214"/>
      <c r="UAA44" s="214"/>
      <c r="UAB44" s="214"/>
      <c r="UAC44" s="214"/>
      <c r="UAD44" s="214"/>
      <c r="UAE44" s="214"/>
      <c r="UAF44" s="214"/>
      <c r="UAG44" s="214"/>
      <c r="UAH44" s="214"/>
      <c r="UAI44" s="214"/>
      <c r="UAJ44" s="214"/>
      <c r="UAK44" s="214"/>
      <c r="UAL44" s="214"/>
      <c r="UAM44" s="214"/>
      <c r="UAN44" s="214"/>
      <c r="UAO44" s="214"/>
      <c r="UAP44" s="214"/>
      <c r="UAQ44" s="214"/>
      <c r="UAR44" s="214"/>
      <c r="UAS44" s="214"/>
      <c r="UAT44" s="214"/>
      <c r="UAU44" s="214"/>
      <c r="UAV44" s="214"/>
      <c r="UAW44" s="214"/>
      <c r="UAX44" s="214"/>
      <c r="UAY44" s="214"/>
      <c r="UAZ44" s="214"/>
      <c r="UBA44" s="214"/>
      <c r="UBB44" s="214"/>
      <c r="UBC44" s="214"/>
      <c r="UBD44" s="214"/>
      <c r="UBE44" s="214"/>
      <c r="UBF44" s="214"/>
      <c r="UBG44" s="214"/>
      <c r="UBH44" s="214"/>
      <c r="UBI44" s="214"/>
      <c r="UBJ44" s="214"/>
      <c r="UBK44" s="214"/>
      <c r="UBL44" s="214"/>
      <c r="UBM44" s="214"/>
      <c r="UBN44" s="214"/>
      <c r="UBO44" s="214"/>
      <c r="UBP44" s="214"/>
      <c r="UBQ44" s="214"/>
      <c r="UBR44" s="214"/>
      <c r="UBS44" s="214"/>
      <c r="UBT44" s="214"/>
      <c r="UBU44" s="214"/>
      <c r="UBV44" s="214"/>
      <c r="UBW44" s="214"/>
      <c r="UBX44" s="214"/>
      <c r="UBY44" s="214"/>
      <c r="UBZ44" s="214"/>
      <c r="UCA44" s="214"/>
      <c r="UCB44" s="214"/>
      <c r="UCC44" s="214"/>
      <c r="UCD44" s="214"/>
      <c r="UCE44" s="214"/>
      <c r="UCF44" s="214"/>
      <c r="UCG44" s="214"/>
      <c r="UCH44" s="214"/>
      <c r="UCI44" s="214"/>
      <c r="UCJ44" s="214"/>
      <c r="UCK44" s="214"/>
      <c r="UCL44" s="214"/>
      <c r="UCM44" s="214"/>
      <c r="UCN44" s="214"/>
      <c r="UCO44" s="214"/>
      <c r="UCP44" s="214"/>
      <c r="UCQ44" s="214"/>
      <c r="UCR44" s="214"/>
      <c r="UCS44" s="214"/>
      <c r="UCT44" s="214"/>
      <c r="UCU44" s="214"/>
      <c r="UCV44" s="214"/>
      <c r="UCW44" s="214"/>
      <c r="UCX44" s="214"/>
      <c r="UCY44" s="214"/>
      <c r="UCZ44" s="214"/>
      <c r="UDA44" s="214"/>
      <c r="UDB44" s="214"/>
      <c r="UDC44" s="214"/>
      <c r="UDD44" s="214"/>
      <c r="UDE44" s="214"/>
      <c r="UDF44" s="214"/>
      <c r="UDG44" s="214"/>
      <c r="UDH44" s="214"/>
      <c r="UDI44" s="214"/>
      <c r="UDJ44" s="214"/>
      <c r="UDK44" s="214"/>
      <c r="UDL44" s="214"/>
      <c r="UDM44" s="214"/>
      <c r="UDN44" s="214"/>
      <c r="UDO44" s="214"/>
      <c r="UDP44" s="214"/>
      <c r="UDQ44" s="214"/>
      <c r="UDR44" s="214"/>
      <c r="UDS44" s="214"/>
      <c r="UDT44" s="214"/>
      <c r="UDU44" s="214"/>
      <c r="UDV44" s="214"/>
      <c r="UDW44" s="214"/>
      <c r="UDX44" s="214"/>
      <c r="UDY44" s="214"/>
      <c r="UDZ44" s="214"/>
      <c r="UEA44" s="214"/>
      <c r="UEB44" s="214"/>
      <c r="UEC44" s="214"/>
      <c r="UED44" s="214"/>
      <c r="UEE44" s="214"/>
      <c r="UEF44" s="214"/>
      <c r="UEG44" s="214"/>
      <c r="UEH44" s="214"/>
      <c r="UEI44" s="214"/>
      <c r="UEJ44" s="214"/>
      <c r="UEK44" s="214"/>
      <c r="UEL44" s="214"/>
      <c r="UEM44" s="214"/>
      <c r="UEN44" s="214"/>
      <c r="UEO44" s="214"/>
      <c r="UEP44" s="214"/>
      <c r="UEQ44" s="214"/>
      <c r="UER44" s="214"/>
      <c r="UES44" s="214"/>
      <c r="UET44" s="214"/>
      <c r="UEU44" s="214"/>
      <c r="UEV44" s="214"/>
      <c r="UEW44" s="214"/>
      <c r="UEX44" s="214"/>
      <c r="UEY44" s="214"/>
      <c r="UEZ44" s="214"/>
      <c r="UFA44" s="214"/>
      <c r="UFB44" s="214"/>
      <c r="UFC44" s="214"/>
      <c r="UFD44" s="214"/>
      <c r="UFE44" s="214"/>
      <c r="UFF44" s="214"/>
      <c r="UFG44" s="214"/>
      <c r="UFH44" s="214"/>
      <c r="UFI44" s="214"/>
      <c r="UFJ44" s="214"/>
      <c r="UFK44" s="214"/>
      <c r="UFL44" s="214"/>
      <c r="UFM44" s="214"/>
      <c r="UFN44" s="214"/>
      <c r="UFO44" s="214"/>
      <c r="UFP44" s="214"/>
      <c r="UFQ44" s="214"/>
      <c r="UFR44" s="214"/>
      <c r="UFS44" s="214"/>
      <c r="UFT44" s="214"/>
      <c r="UFU44" s="214"/>
      <c r="UFV44" s="214"/>
      <c r="UFW44" s="214"/>
      <c r="UFX44" s="214"/>
      <c r="UFY44" s="214"/>
      <c r="UFZ44" s="214"/>
      <c r="UGA44" s="214"/>
      <c r="UGB44" s="214"/>
      <c r="UGC44" s="214"/>
      <c r="UGD44" s="214"/>
      <c r="UGE44" s="214"/>
      <c r="UGF44" s="214"/>
      <c r="UGG44" s="214"/>
      <c r="UGH44" s="214"/>
      <c r="UGI44" s="214"/>
      <c r="UGJ44" s="214"/>
      <c r="UGK44" s="214"/>
      <c r="UGL44" s="214"/>
      <c r="UGM44" s="214"/>
      <c r="UGN44" s="214"/>
      <c r="UGO44" s="214"/>
      <c r="UGP44" s="214"/>
      <c r="UGQ44" s="214"/>
      <c r="UGR44" s="214"/>
      <c r="UGS44" s="214"/>
      <c r="UGT44" s="214"/>
      <c r="UGU44" s="214"/>
      <c r="UGV44" s="214"/>
      <c r="UGW44" s="214"/>
      <c r="UGX44" s="214"/>
      <c r="UGY44" s="214"/>
      <c r="UGZ44" s="214"/>
      <c r="UHA44" s="214"/>
      <c r="UHB44" s="214"/>
      <c r="UHC44" s="214"/>
      <c r="UHD44" s="214"/>
      <c r="UHE44" s="214"/>
      <c r="UHF44" s="214"/>
      <c r="UHG44" s="214"/>
      <c r="UHH44" s="214"/>
      <c r="UHI44" s="214"/>
      <c r="UHJ44" s="214"/>
      <c r="UHK44" s="214"/>
      <c r="UHL44" s="214"/>
      <c r="UHM44" s="214"/>
      <c r="UHN44" s="214"/>
      <c r="UHO44" s="214"/>
      <c r="UHP44" s="214"/>
      <c r="UHQ44" s="214"/>
      <c r="UHR44" s="214"/>
      <c r="UHS44" s="214"/>
      <c r="UHT44" s="214"/>
      <c r="UHU44" s="214"/>
      <c r="UHV44" s="214"/>
      <c r="UHW44" s="214"/>
      <c r="UHX44" s="214"/>
      <c r="UHY44" s="214"/>
      <c r="UHZ44" s="214"/>
      <c r="UIA44" s="214"/>
      <c r="UIB44" s="214"/>
      <c r="UIC44" s="214"/>
      <c r="UID44" s="214"/>
      <c r="UIE44" s="214"/>
      <c r="UIF44" s="214"/>
      <c r="UIG44" s="214"/>
      <c r="UIH44" s="214"/>
      <c r="UII44" s="214"/>
      <c r="UIJ44" s="214"/>
      <c r="UIK44" s="214"/>
      <c r="UIL44" s="214"/>
      <c r="UIM44" s="214"/>
      <c r="UIN44" s="214"/>
      <c r="UIO44" s="214"/>
      <c r="UIP44" s="214"/>
      <c r="UIQ44" s="214"/>
      <c r="UIR44" s="214"/>
      <c r="UIS44" s="214"/>
      <c r="UIT44" s="214"/>
      <c r="UIU44" s="214"/>
      <c r="UIV44" s="214"/>
      <c r="UIW44" s="214"/>
      <c r="UIX44" s="214"/>
      <c r="UIY44" s="214"/>
      <c r="UIZ44" s="214"/>
      <c r="UJA44" s="214"/>
      <c r="UJB44" s="214"/>
      <c r="UJC44" s="214"/>
      <c r="UJD44" s="214"/>
      <c r="UJE44" s="214"/>
      <c r="UJF44" s="214"/>
      <c r="UJG44" s="214"/>
      <c r="UJH44" s="214"/>
      <c r="UJI44" s="214"/>
      <c r="UJJ44" s="214"/>
      <c r="UJK44" s="214"/>
      <c r="UJL44" s="214"/>
      <c r="UJM44" s="214"/>
      <c r="UJN44" s="214"/>
      <c r="UJO44" s="214"/>
      <c r="UJP44" s="214"/>
      <c r="UJQ44" s="214"/>
      <c r="UJR44" s="214"/>
      <c r="UJS44" s="214"/>
      <c r="UJT44" s="214"/>
      <c r="UJU44" s="214"/>
      <c r="UJV44" s="214"/>
      <c r="UJW44" s="214"/>
      <c r="UJX44" s="214"/>
      <c r="UJY44" s="214"/>
      <c r="UJZ44" s="214"/>
      <c r="UKA44" s="214"/>
      <c r="UKB44" s="214"/>
      <c r="UKC44" s="214"/>
      <c r="UKD44" s="214"/>
      <c r="UKE44" s="214"/>
      <c r="UKF44" s="214"/>
      <c r="UKG44" s="214"/>
      <c r="UKH44" s="214"/>
      <c r="UKI44" s="214"/>
      <c r="UKJ44" s="214"/>
      <c r="UKK44" s="214"/>
      <c r="UKL44" s="214"/>
      <c r="UKM44" s="214"/>
      <c r="UKN44" s="214"/>
      <c r="UKO44" s="214"/>
      <c r="UKP44" s="214"/>
      <c r="UKQ44" s="214"/>
      <c r="UKR44" s="214"/>
      <c r="UKS44" s="214"/>
      <c r="UKT44" s="214"/>
      <c r="UKU44" s="214"/>
      <c r="UKV44" s="214"/>
      <c r="UKW44" s="214"/>
      <c r="UKX44" s="214"/>
      <c r="UKY44" s="214"/>
      <c r="UKZ44" s="214"/>
      <c r="ULA44" s="214"/>
      <c r="ULB44" s="214"/>
      <c r="ULC44" s="214"/>
      <c r="ULD44" s="214"/>
      <c r="ULE44" s="214"/>
      <c r="ULF44" s="214"/>
      <c r="ULG44" s="214"/>
      <c r="ULH44" s="214"/>
      <c r="ULI44" s="214"/>
      <c r="ULJ44" s="214"/>
      <c r="ULK44" s="214"/>
      <c r="ULL44" s="214"/>
      <c r="ULM44" s="214"/>
      <c r="ULN44" s="214"/>
      <c r="ULO44" s="214"/>
      <c r="ULP44" s="214"/>
      <c r="ULQ44" s="214"/>
      <c r="ULR44" s="214"/>
      <c r="ULS44" s="214"/>
      <c r="ULT44" s="214"/>
      <c r="ULU44" s="214"/>
      <c r="ULV44" s="214"/>
      <c r="ULW44" s="214"/>
      <c r="ULX44" s="214"/>
      <c r="ULY44" s="214"/>
      <c r="ULZ44" s="214"/>
      <c r="UMA44" s="214"/>
      <c r="UMB44" s="214"/>
      <c r="UMC44" s="214"/>
      <c r="UMD44" s="214"/>
      <c r="UME44" s="214"/>
      <c r="UMF44" s="214"/>
      <c r="UMG44" s="214"/>
      <c r="UMH44" s="214"/>
      <c r="UMI44" s="214"/>
      <c r="UMJ44" s="214"/>
      <c r="UMK44" s="214"/>
      <c r="UML44" s="214"/>
      <c r="UMM44" s="214"/>
      <c r="UMN44" s="214"/>
      <c r="UMO44" s="214"/>
      <c r="UMP44" s="214"/>
      <c r="UMQ44" s="214"/>
      <c r="UMR44" s="214"/>
      <c r="UMS44" s="214"/>
      <c r="UMT44" s="214"/>
      <c r="UMU44" s="214"/>
      <c r="UMV44" s="214"/>
      <c r="UMW44" s="214"/>
      <c r="UMX44" s="214"/>
      <c r="UMY44" s="214"/>
      <c r="UMZ44" s="214"/>
      <c r="UNA44" s="214"/>
      <c r="UNB44" s="214"/>
      <c r="UNC44" s="214"/>
      <c r="UND44" s="214"/>
      <c r="UNE44" s="214"/>
      <c r="UNF44" s="214"/>
      <c r="UNG44" s="214"/>
      <c r="UNH44" s="214"/>
      <c r="UNI44" s="214"/>
      <c r="UNJ44" s="214"/>
      <c r="UNK44" s="214"/>
      <c r="UNL44" s="214"/>
      <c r="UNM44" s="214"/>
      <c r="UNN44" s="214"/>
      <c r="UNO44" s="214"/>
      <c r="UNP44" s="214"/>
      <c r="UNQ44" s="214"/>
      <c r="UNR44" s="214"/>
      <c r="UNS44" s="214"/>
      <c r="UNT44" s="214"/>
      <c r="UNU44" s="214"/>
      <c r="UNV44" s="214"/>
      <c r="UNW44" s="214"/>
      <c r="UNX44" s="214"/>
      <c r="UNY44" s="214"/>
      <c r="UNZ44" s="214"/>
      <c r="UOA44" s="214"/>
      <c r="UOB44" s="214"/>
      <c r="UOC44" s="214"/>
      <c r="UOD44" s="214"/>
      <c r="UOE44" s="214"/>
      <c r="UOF44" s="214"/>
      <c r="UOG44" s="214"/>
      <c r="UOH44" s="214"/>
      <c r="UOI44" s="214"/>
      <c r="UOJ44" s="214"/>
      <c r="UOK44" s="214"/>
      <c r="UOL44" s="214"/>
      <c r="UOM44" s="214"/>
      <c r="UON44" s="214"/>
      <c r="UOO44" s="214"/>
      <c r="UOP44" s="214"/>
      <c r="UOQ44" s="214"/>
      <c r="UOR44" s="214"/>
      <c r="UOS44" s="214"/>
      <c r="UOT44" s="214"/>
      <c r="UOU44" s="214"/>
      <c r="UOV44" s="214"/>
      <c r="UOW44" s="214"/>
      <c r="UOX44" s="214"/>
      <c r="UOY44" s="214"/>
      <c r="UOZ44" s="214"/>
      <c r="UPA44" s="214"/>
      <c r="UPB44" s="214"/>
      <c r="UPC44" s="214"/>
      <c r="UPD44" s="214"/>
      <c r="UPE44" s="214"/>
      <c r="UPF44" s="214"/>
      <c r="UPG44" s="214"/>
      <c r="UPH44" s="214"/>
      <c r="UPI44" s="214"/>
      <c r="UPJ44" s="214"/>
      <c r="UPK44" s="214"/>
      <c r="UPL44" s="214"/>
      <c r="UPM44" s="214"/>
      <c r="UPN44" s="214"/>
      <c r="UPO44" s="214"/>
      <c r="UPP44" s="214"/>
      <c r="UPQ44" s="214"/>
      <c r="UPR44" s="214"/>
      <c r="UPS44" s="214"/>
      <c r="UPT44" s="214"/>
      <c r="UPU44" s="214"/>
      <c r="UPV44" s="214"/>
      <c r="UPW44" s="214"/>
      <c r="UPX44" s="214"/>
      <c r="UPY44" s="214"/>
      <c r="UPZ44" s="214"/>
      <c r="UQA44" s="214"/>
      <c r="UQB44" s="214"/>
      <c r="UQC44" s="214"/>
      <c r="UQD44" s="214"/>
      <c r="UQE44" s="214"/>
      <c r="UQF44" s="214"/>
      <c r="UQG44" s="214"/>
      <c r="UQH44" s="214"/>
      <c r="UQI44" s="214"/>
      <c r="UQJ44" s="214"/>
      <c r="UQK44" s="214"/>
      <c r="UQL44" s="214"/>
      <c r="UQM44" s="214"/>
      <c r="UQN44" s="214"/>
      <c r="UQO44" s="214"/>
      <c r="UQP44" s="214"/>
      <c r="UQQ44" s="214"/>
      <c r="UQR44" s="214"/>
      <c r="UQS44" s="214"/>
      <c r="UQT44" s="214"/>
      <c r="UQU44" s="214"/>
      <c r="UQV44" s="214"/>
      <c r="UQW44" s="214"/>
      <c r="UQX44" s="214"/>
      <c r="UQY44" s="214"/>
      <c r="UQZ44" s="214"/>
      <c r="URA44" s="214"/>
      <c r="URB44" s="214"/>
      <c r="URC44" s="214"/>
      <c r="URD44" s="214"/>
      <c r="URE44" s="214"/>
      <c r="URF44" s="214"/>
      <c r="URG44" s="214"/>
      <c r="URH44" s="214"/>
      <c r="URI44" s="214"/>
      <c r="URJ44" s="214"/>
      <c r="URK44" s="214"/>
      <c r="URL44" s="214"/>
      <c r="URM44" s="214"/>
      <c r="URN44" s="214"/>
      <c r="URO44" s="214"/>
      <c r="URP44" s="214"/>
      <c r="URQ44" s="214"/>
      <c r="URR44" s="214"/>
      <c r="URS44" s="214"/>
      <c r="URT44" s="214"/>
      <c r="URU44" s="214"/>
      <c r="URV44" s="214"/>
      <c r="URW44" s="214"/>
      <c r="URX44" s="214"/>
      <c r="URY44" s="214"/>
      <c r="URZ44" s="214"/>
      <c r="USA44" s="214"/>
      <c r="USB44" s="214"/>
      <c r="USC44" s="214"/>
      <c r="USD44" s="214"/>
      <c r="USE44" s="214"/>
      <c r="USF44" s="214"/>
      <c r="USG44" s="214"/>
      <c r="USH44" s="214"/>
      <c r="USI44" s="214"/>
      <c r="USJ44" s="214"/>
      <c r="USK44" s="214"/>
      <c r="USL44" s="214"/>
      <c r="USM44" s="214"/>
      <c r="USN44" s="214"/>
      <c r="USO44" s="214"/>
      <c r="USP44" s="214"/>
      <c r="USQ44" s="214"/>
      <c r="USR44" s="214"/>
      <c r="USS44" s="214"/>
      <c r="UST44" s="214"/>
      <c r="USU44" s="214"/>
      <c r="USV44" s="214"/>
      <c r="USW44" s="214"/>
      <c r="USX44" s="214"/>
      <c r="USY44" s="214"/>
      <c r="USZ44" s="214"/>
      <c r="UTA44" s="214"/>
      <c r="UTB44" s="214"/>
      <c r="UTC44" s="214"/>
      <c r="UTD44" s="214"/>
      <c r="UTE44" s="214"/>
      <c r="UTF44" s="214"/>
      <c r="UTG44" s="214"/>
      <c r="UTH44" s="214"/>
      <c r="UTI44" s="214"/>
      <c r="UTJ44" s="214"/>
      <c r="UTK44" s="214"/>
      <c r="UTL44" s="214"/>
      <c r="UTM44" s="214"/>
      <c r="UTN44" s="214"/>
      <c r="UTO44" s="214"/>
      <c r="UTP44" s="214"/>
      <c r="UTQ44" s="214"/>
      <c r="UTR44" s="214"/>
      <c r="UTS44" s="214"/>
      <c r="UTT44" s="214"/>
      <c r="UTU44" s="214"/>
      <c r="UTV44" s="214"/>
      <c r="UTW44" s="214"/>
      <c r="UTX44" s="214"/>
      <c r="UTY44" s="214"/>
      <c r="UTZ44" s="214"/>
      <c r="UUA44" s="214"/>
      <c r="UUB44" s="214"/>
      <c r="UUC44" s="214"/>
      <c r="UUD44" s="214"/>
      <c r="UUE44" s="214"/>
      <c r="UUF44" s="214"/>
      <c r="UUG44" s="214"/>
      <c r="UUH44" s="214"/>
      <c r="UUI44" s="214"/>
      <c r="UUJ44" s="214"/>
      <c r="UUK44" s="214"/>
      <c r="UUL44" s="214"/>
      <c r="UUM44" s="214"/>
      <c r="UUN44" s="214"/>
      <c r="UUO44" s="214"/>
      <c r="UUP44" s="214"/>
      <c r="UUQ44" s="214"/>
      <c r="UUR44" s="214"/>
      <c r="UUS44" s="214"/>
      <c r="UUT44" s="214"/>
      <c r="UUU44" s="214"/>
      <c r="UUV44" s="214"/>
      <c r="UUW44" s="214"/>
      <c r="UUX44" s="214"/>
      <c r="UUY44" s="214"/>
      <c r="UUZ44" s="214"/>
      <c r="UVA44" s="214"/>
      <c r="UVB44" s="214"/>
      <c r="UVC44" s="214"/>
      <c r="UVD44" s="214"/>
      <c r="UVE44" s="214"/>
      <c r="UVF44" s="214"/>
      <c r="UVG44" s="214"/>
      <c r="UVH44" s="214"/>
      <c r="UVI44" s="214"/>
      <c r="UVJ44" s="214"/>
      <c r="UVK44" s="214"/>
      <c r="UVL44" s="214"/>
      <c r="UVM44" s="214"/>
      <c r="UVN44" s="214"/>
      <c r="UVO44" s="214"/>
      <c r="UVP44" s="214"/>
      <c r="UVQ44" s="214"/>
      <c r="UVR44" s="214"/>
      <c r="UVS44" s="214"/>
      <c r="UVT44" s="214"/>
      <c r="UVU44" s="214"/>
      <c r="UVV44" s="214"/>
      <c r="UVW44" s="214"/>
      <c r="UVX44" s="214"/>
      <c r="UVY44" s="214"/>
      <c r="UVZ44" s="214"/>
      <c r="UWA44" s="214"/>
      <c r="UWB44" s="214"/>
      <c r="UWC44" s="214"/>
      <c r="UWD44" s="214"/>
      <c r="UWE44" s="214"/>
      <c r="UWF44" s="214"/>
      <c r="UWG44" s="214"/>
      <c r="UWH44" s="214"/>
      <c r="UWI44" s="214"/>
      <c r="UWJ44" s="214"/>
      <c r="UWK44" s="214"/>
      <c r="UWL44" s="214"/>
      <c r="UWM44" s="214"/>
      <c r="UWN44" s="214"/>
      <c r="UWO44" s="214"/>
      <c r="UWP44" s="214"/>
      <c r="UWQ44" s="214"/>
      <c r="UWR44" s="214"/>
      <c r="UWS44" s="214"/>
      <c r="UWT44" s="214"/>
      <c r="UWU44" s="214"/>
      <c r="UWV44" s="214"/>
      <c r="UWW44" s="214"/>
      <c r="UWX44" s="214"/>
      <c r="UWY44" s="214"/>
      <c r="UWZ44" s="214"/>
      <c r="UXA44" s="214"/>
      <c r="UXB44" s="214"/>
      <c r="UXC44" s="214"/>
      <c r="UXD44" s="214"/>
      <c r="UXE44" s="214"/>
      <c r="UXF44" s="214"/>
      <c r="UXG44" s="214"/>
      <c r="UXH44" s="214"/>
      <c r="UXI44" s="214"/>
      <c r="UXJ44" s="214"/>
      <c r="UXK44" s="214"/>
      <c r="UXL44" s="214"/>
      <c r="UXM44" s="214"/>
      <c r="UXN44" s="214"/>
      <c r="UXO44" s="214"/>
      <c r="UXP44" s="214"/>
      <c r="UXQ44" s="214"/>
      <c r="UXR44" s="214"/>
      <c r="UXS44" s="214"/>
      <c r="UXT44" s="214"/>
      <c r="UXU44" s="214"/>
      <c r="UXV44" s="214"/>
      <c r="UXW44" s="214"/>
      <c r="UXX44" s="214"/>
      <c r="UXY44" s="214"/>
      <c r="UXZ44" s="214"/>
      <c r="UYA44" s="214"/>
      <c r="UYB44" s="214"/>
      <c r="UYC44" s="214"/>
      <c r="UYD44" s="214"/>
      <c r="UYE44" s="214"/>
      <c r="UYF44" s="214"/>
      <c r="UYG44" s="214"/>
      <c r="UYH44" s="214"/>
      <c r="UYI44" s="214"/>
      <c r="UYJ44" s="214"/>
      <c r="UYK44" s="214"/>
      <c r="UYL44" s="214"/>
      <c r="UYM44" s="214"/>
      <c r="UYN44" s="214"/>
      <c r="UYO44" s="214"/>
      <c r="UYP44" s="214"/>
      <c r="UYQ44" s="214"/>
      <c r="UYR44" s="214"/>
      <c r="UYS44" s="214"/>
      <c r="UYT44" s="214"/>
      <c r="UYU44" s="214"/>
      <c r="UYV44" s="214"/>
      <c r="UYW44" s="214"/>
      <c r="UYX44" s="214"/>
      <c r="UYY44" s="214"/>
      <c r="UYZ44" s="214"/>
      <c r="UZA44" s="214"/>
      <c r="UZB44" s="214"/>
      <c r="UZC44" s="214"/>
      <c r="UZD44" s="214"/>
      <c r="UZE44" s="214"/>
      <c r="UZF44" s="214"/>
      <c r="UZG44" s="214"/>
      <c r="UZH44" s="214"/>
      <c r="UZI44" s="214"/>
      <c r="UZJ44" s="214"/>
      <c r="UZK44" s="214"/>
      <c r="UZL44" s="214"/>
      <c r="UZM44" s="214"/>
      <c r="UZN44" s="214"/>
      <c r="UZO44" s="214"/>
      <c r="UZP44" s="214"/>
      <c r="UZQ44" s="214"/>
      <c r="UZR44" s="214"/>
      <c r="UZS44" s="214"/>
      <c r="UZT44" s="214"/>
      <c r="UZU44" s="214"/>
      <c r="UZV44" s="214"/>
      <c r="UZW44" s="214"/>
      <c r="UZX44" s="214"/>
      <c r="UZY44" s="214"/>
      <c r="UZZ44" s="214"/>
      <c r="VAA44" s="214"/>
      <c r="VAB44" s="214"/>
      <c r="VAC44" s="214"/>
      <c r="VAD44" s="214"/>
      <c r="VAE44" s="214"/>
      <c r="VAF44" s="214"/>
      <c r="VAG44" s="214"/>
      <c r="VAH44" s="214"/>
      <c r="VAI44" s="214"/>
      <c r="VAJ44" s="214"/>
      <c r="VAK44" s="214"/>
      <c r="VAL44" s="214"/>
      <c r="VAM44" s="214"/>
      <c r="VAN44" s="214"/>
      <c r="VAO44" s="214"/>
      <c r="VAP44" s="214"/>
      <c r="VAQ44" s="214"/>
      <c r="VAR44" s="214"/>
      <c r="VAS44" s="214"/>
      <c r="VAT44" s="214"/>
      <c r="VAU44" s="214"/>
      <c r="VAV44" s="214"/>
      <c r="VAW44" s="214"/>
      <c r="VAX44" s="214"/>
      <c r="VAY44" s="214"/>
      <c r="VAZ44" s="214"/>
      <c r="VBA44" s="214"/>
      <c r="VBB44" s="214"/>
      <c r="VBC44" s="214"/>
      <c r="VBD44" s="214"/>
      <c r="VBE44" s="214"/>
      <c r="VBF44" s="214"/>
      <c r="VBG44" s="214"/>
      <c r="VBH44" s="214"/>
      <c r="VBI44" s="214"/>
      <c r="VBJ44" s="214"/>
      <c r="VBK44" s="214"/>
      <c r="VBL44" s="214"/>
      <c r="VBM44" s="214"/>
      <c r="VBN44" s="214"/>
      <c r="VBO44" s="214"/>
      <c r="VBP44" s="214"/>
      <c r="VBQ44" s="214"/>
      <c r="VBR44" s="214"/>
      <c r="VBS44" s="214"/>
      <c r="VBT44" s="214"/>
      <c r="VBU44" s="214"/>
      <c r="VBV44" s="214"/>
      <c r="VBW44" s="214"/>
      <c r="VBX44" s="214"/>
      <c r="VBY44" s="214"/>
      <c r="VBZ44" s="214"/>
      <c r="VCA44" s="214"/>
      <c r="VCB44" s="214"/>
      <c r="VCC44" s="214"/>
      <c r="VCD44" s="214"/>
      <c r="VCE44" s="214"/>
      <c r="VCF44" s="214"/>
      <c r="VCG44" s="214"/>
      <c r="VCH44" s="214"/>
      <c r="VCI44" s="214"/>
      <c r="VCJ44" s="214"/>
      <c r="VCK44" s="214"/>
      <c r="VCL44" s="214"/>
      <c r="VCM44" s="214"/>
      <c r="VCN44" s="214"/>
      <c r="VCO44" s="214"/>
      <c r="VCP44" s="214"/>
      <c r="VCQ44" s="214"/>
      <c r="VCR44" s="214"/>
      <c r="VCS44" s="214"/>
      <c r="VCT44" s="214"/>
      <c r="VCU44" s="214"/>
      <c r="VCV44" s="214"/>
      <c r="VCW44" s="214"/>
      <c r="VCX44" s="214"/>
      <c r="VCY44" s="214"/>
      <c r="VCZ44" s="214"/>
      <c r="VDA44" s="214"/>
      <c r="VDB44" s="214"/>
      <c r="VDC44" s="214"/>
      <c r="VDD44" s="214"/>
      <c r="VDE44" s="214"/>
      <c r="VDF44" s="214"/>
      <c r="VDG44" s="214"/>
      <c r="VDH44" s="214"/>
      <c r="VDI44" s="214"/>
      <c r="VDJ44" s="214"/>
      <c r="VDK44" s="214"/>
      <c r="VDL44" s="214"/>
      <c r="VDM44" s="214"/>
      <c r="VDN44" s="214"/>
      <c r="VDO44" s="214"/>
      <c r="VDP44" s="214"/>
      <c r="VDQ44" s="214"/>
      <c r="VDR44" s="214"/>
      <c r="VDS44" s="214"/>
      <c r="VDT44" s="214"/>
      <c r="VDU44" s="214"/>
      <c r="VDV44" s="214"/>
      <c r="VDW44" s="214"/>
      <c r="VDX44" s="214"/>
      <c r="VDY44" s="214"/>
      <c r="VDZ44" s="214"/>
      <c r="VEA44" s="214"/>
      <c r="VEB44" s="214"/>
      <c r="VEC44" s="214"/>
      <c r="VED44" s="214"/>
      <c r="VEE44" s="214"/>
      <c r="VEF44" s="214"/>
      <c r="VEG44" s="214"/>
      <c r="VEH44" s="214"/>
      <c r="VEI44" s="214"/>
      <c r="VEJ44" s="214"/>
      <c r="VEK44" s="214"/>
      <c r="VEL44" s="214"/>
      <c r="VEM44" s="214"/>
      <c r="VEN44" s="214"/>
      <c r="VEO44" s="214"/>
      <c r="VEP44" s="214"/>
      <c r="VEQ44" s="214"/>
      <c r="VER44" s="214"/>
      <c r="VES44" s="214"/>
      <c r="VET44" s="214"/>
      <c r="VEU44" s="214"/>
      <c r="VEV44" s="214"/>
      <c r="VEW44" s="214"/>
      <c r="VEX44" s="214"/>
      <c r="VEY44" s="214"/>
      <c r="VEZ44" s="214"/>
      <c r="VFA44" s="214"/>
      <c r="VFB44" s="214"/>
      <c r="VFC44" s="214"/>
      <c r="VFD44" s="214"/>
      <c r="VFE44" s="214"/>
      <c r="VFF44" s="214"/>
      <c r="VFG44" s="214"/>
      <c r="VFH44" s="214"/>
      <c r="VFI44" s="214"/>
      <c r="VFJ44" s="214"/>
      <c r="VFK44" s="214"/>
      <c r="VFL44" s="214"/>
      <c r="VFM44" s="214"/>
      <c r="VFN44" s="214"/>
      <c r="VFO44" s="214"/>
      <c r="VFP44" s="214"/>
      <c r="VFQ44" s="214"/>
      <c r="VFR44" s="214"/>
      <c r="VFS44" s="214"/>
      <c r="VFT44" s="214"/>
      <c r="VFU44" s="214"/>
      <c r="VFV44" s="214"/>
      <c r="VFW44" s="214"/>
      <c r="VFX44" s="214"/>
      <c r="VFY44" s="214"/>
      <c r="VFZ44" s="214"/>
      <c r="VGA44" s="214"/>
      <c r="VGB44" s="214"/>
      <c r="VGC44" s="214"/>
      <c r="VGD44" s="214"/>
      <c r="VGE44" s="214"/>
      <c r="VGF44" s="214"/>
      <c r="VGG44" s="214"/>
      <c r="VGH44" s="214"/>
      <c r="VGI44" s="214"/>
      <c r="VGJ44" s="214"/>
      <c r="VGK44" s="214"/>
      <c r="VGL44" s="214"/>
      <c r="VGM44" s="214"/>
      <c r="VGN44" s="214"/>
      <c r="VGO44" s="214"/>
      <c r="VGP44" s="214"/>
      <c r="VGQ44" s="214"/>
      <c r="VGR44" s="214"/>
      <c r="VGS44" s="214"/>
      <c r="VGT44" s="214"/>
      <c r="VGU44" s="214"/>
      <c r="VGV44" s="214"/>
      <c r="VGW44" s="214"/>
      <c r="VGX44" s="214"/>
      <c r="VGY44" s="214"/>
      <c r="VGZ44" s="214"/>
      <c r="VHA44" s="214"/>
      <c r="VHB44" s="214"/>
      <c r="VHC44" s="214"/>
      <c r="VHD44" s="214"/>
      <c r="VHE44" s="214"/>
      <c r="VHF44" s="214"/>
      <c r="VHG44" s="214"/>
      <c r="VHH44" s="214"/>
      <c r="VHI44" s="214"/>
      <c r="VHJ44" s="214"/>
      <c r="VHK44" s="214"/>
      <c r="VHL44" s="214"/>
      <c r="VHM44" s="214"/>
      <c r="VHN44" s="214"/>
      <c r="VHO44" s="214"/>
      <c r="VHP44" s="214"/>
      <c r="VHQ44" s="214"/>
      <c r="VHR44" s="214"/>
      <c r="VHS44" s="214"/>
      <c r="VHT44" s="214"/>
      <c r="VHU44" s="214"/>
      <c r="VHV44" s="214"/>
      <c r="VHW44" s="214"/>
      <c r="VHX44" s="214"/>
      <c r="VHY44" s="214"/>
      <c r="VHZ44" s="214"/>
      <c r="VIA44" s="214"/>
      <c r="VIB44" s="214"/>
      <c r="VIC44" s="214"/>
      <c r="VID44" s="214"/>
      <c r="VIE44" s="214"/>
      <c r="VIF44" s="214"/>
      <c r="VIG44" s="214"/>
      <c r="VIH44" s="214"/>
      <c r="VII44" s="214"/>
      <c r="VIJ44" s="214"/>
      <c r="VIK44" s="214"/>
      <c r="VIL44" s="214"/>
      <c r="VIM44" s="214"/>
      <c r="VIN44" s="214"/>
      <c r="VIO44" s="214"/>
      <c r="VIP44" s="214"/>
      <c r="VIQ44" s="214"/>
      <c r="VIR44" s="214"/>
      <c r="VIS44" s="214"/>
      <c r="VIT44" s="214"/>
      <c r="VIU44" s="214"/>
      <c r="VIV44" s="214"/>
      <c r="VIW44" s="214"/>
      <c r="VIX44" s="214"/>
      <c r="VIY44" s="214"/>
      <c r="VIZ44" s="214"/>
      <c r="VJA44" s="214"/>
      <c r="VJB44" s="214"/>
      <c r="VJC44" s="214"/>
      <c r="VJD44" s="214"/>
      <c r="VJE44" s="214"/>
      <c r="VJF44" s="214"/>
      <c r="VJG44" s="214"/>
      <c r="VJH44" s="214"/>
      <c r="VJI44" s="214"/>
      <c r="VJJ44" s="214"/>
      <c r="VJK44" s="214"/>
      <c r="VJL44" s="214"/>
      <c r="VJM44" s="214"/>
      <c r="VJN44" s="214"/>
      <c r="VJO44" s="214"/>
      <c r="VJP44" s="214"/>
      <c r="VJQ44" s="214"/>
      <c r="VJR44" s="214"/>
      <c r="VJS44" s="214"/>
      <c r="VJT44" s="214"/>
      <c r="VJU44" s="214"/>
      <c r="VJV44" s="214"/>
      <c r="VJW44" s="214"/>
      <c r="VJX44" s="214"/>
      <c r="VJY44" s="214"/>
      <c r="VJZ44" s="214"/>
      <c r="VKA44" s="214"/>
      <c r="VKB44" s="214"/>
      <c r="VKC44" s="214"/>
      <c r="VKD44" s="214"/>
      <c r="VKE44" s="214"/>
      <c r="VKF44" s="214"/>
      <c r="VKG44" s="214"/>
      <c r="VKH44" s="214"/>
      <c r="VKI44" s="214"/>
      <c r="VKJ44" s="214"/>
      <c r="VKK44" s="214"/>
      <c r="VKL44" s="214"/>
      <c r="VKM44" s="214"/>
      <c r="VKN44" s="214"/>
      <c r="VKO44" s="214"/>
      <c r="VKP44" s="214"/>
      <c r="VKQ44" s="214"/>
      <c r="VKR44" s="214"/>
      <c r="VKS44" s="214"/>
      <c r="VKT44" s="214"/>
      <c r="VKU44" s="214"/>
      <c r="VKV44" s="214"/>
      <c r="VKW44" s="214"/>
      <c r="VKX44" s="214"/>
      <c r="VKY44" s="214"/>
      <c r="VKZ44" s="214"/>
      <c r="VLA44" s="214"/>
      <c r="VLB44" s="214"/>
      <c r="VLC44" s="214"/>
      <c r="VLD44" s="214"/>
      <c r="VLE44" s="214"/>
      <c r="VLF44" s="214"/>
      <c r="VLG44" s="214"/>
      <c r="VLH44" s="214"/>
      <c r="VLI44" s="214"/>
      <c r="VLJ44" s="214"/>
      <c r="VLK44" s="214"/>
      <c r="VLL44" s="214"/>
      <c r="VLM44" s="214"/>
      <c r="VLN44" s="214"/>
      <c r="VLO44" s="214"/>
      <c r="VLP44" s="214"/>
      <c r="VLQ44" s="214"/>
      <c r="VLR44" s="214"/>
      <c r="VLS44" s="214"/>
      <c r="VLT44" s="214"/>
      <c r="VLU44" s="214"/>
      <c r="VLV44" s="214"/>
      <c r="VLW44" s="214"/>
      <c r="VLX44" s="214"/>
      <c r="VLY44" s="214"/>
      <c r="VLZ44" s="214"/>
      <c r="VMA44" s="214"/>
      <c r="VMB44" s="214"/>
      <c r="VMC44" s="214"/>
      <c r="VMD44" s="214"/>
      <c r="VME44" s="214"/>
      <c r="VMF44" s="214"/>
      <c r="VMG44" s="214"/>
      <c r="VMH44" s="214"/>
      <c r="VMI44" s="214"/>
      <c r="VMJ44" s="214"/>
      <c r="VMK44" s="214"/>
      <c r="VML44" s="214"/>
      <c r="VMM44" s="214"/>
      <c r="VMN44" s="214"/>
      <c r="VMO44" s="214"/>
      <c r="VMP44" s="214"/>
      <c r="VMQ44" s="214"/>
      <c r="VMR44" s="214"/>
      <c r="VMS44" s="214"/>
      <c r="VMT44" s="214"/>
      <c r="VMU44" s="214"/>
      <c r="VMV44" s="214"/>
      <c r="VMW44" s="214"/>
      <c r="VMX44" s="214"/>
      <c r="VMY44" s="214"/>
      <c r="VMZ44" s="214"/>
      <c r="VNA44" s="214"/>
      <c r="VNB44" s="214"/>
      <c r="VNC44" s="214"/>
      <c r="VND44" s="214"/>
      <c r="VNE44" s="214"/>
      <c r="VNF44" s="214"/>
      <c r="VNG44" s="214"/>
      <c r="VNH44" s="214"/>
      <c r="VNI44" s="214"/>
      <c r="VNJ44" s="214"/>
      <c r="VNK44" s="214"/>
      <c r="VNL44" s="214"/>
      <c r="VNM44" s="214"/>
      <c r="VNN44" s="214"/>
      <c r="VNO44" s="214"/>
      <c r="VNP44" s="214"/>
      <c r="VNQ44" s="214"/>
      <c r="VNR44" s="214"/>
      <c r="VNS44" s="214"/>
      <c r="VNT44" s="214"/>
      <c r="VNU44" s="214"/>
      <c r="VNV44" s="214"/>
      <c r="VNW44" s="214"/>
      <c r="VNX44" s="214"/>
      <c r="VNY44" s="214"/>
      <c r="VNZ44" s="214"/>
      <c r="VOA44" s="214"/>
      <c r="VOB44" s="214"/>
      <c r="VOC44" s="214"/>
      <c r="VOD44" s="214"/>
      <c r="VOE44" s="214"/>
      <c r="VOF44" s="214"/>
      <c r="VOG44" s="214"/>
      <c r="VOH44" s="214"/>
      <c r="VOI44" s="214"/>
      <c r="VOJ44" s="214"/>
      <c r="VOK44" s="214"/>
      <c r="VOL44" s="214"/>
      <c r="VOM44" s="214"/>
      <c r="VON44" s="214"/>
      <c r="VOO44" s="214"/>
      <c r="VOP44" s="214"/>
      <c r="VOQ44" s="214"/>
      <c r="VOR44" s="214"/>
      <c r="VOS44" s="214"/>
      <c r="VOT44" s="214"/>
      <c r="VOU44" s="214"/>
      <c r="VOV44" s="214"/>
      <c r="VOW44" s="214"/>
      <c r="VOX44" s="214"/>
      <c r="VOY44" s="214"/>
      <c r="VOZ44" s="214"/>
      <c r="VPA44" s="214"/>
      <c r="VPB44" s="214"/>
      <c r="VPC44" s="214"/>
      <c r="VPD44" s="214"/>
      <c r="VPE44" s="214"/>
      <c r="VPF44" s="214"/>
      <c r="VPG44" s="214"/>
      <c r="VPH44" s="214"/>
      <c r="VPI44" s="214"/>
      <c r="VPJ44" s="214"/>
      <c r="VPK44" s="214"/>
      <c r="VPL44" s="214"/>
      <c r="VPM44" s="214"/>
      <c r="VPN44" s="214"/>
      <c r="VPO44" s="214"/>
      <c r="VPP44" s="214"/>
      <c r="VPQ44" s="214"/>
      <c r="VPR44" s="214"/>
      <c r="VPS44" s="214"/>
      <c r="VPT44" s="214"/>
      <c r="VPU44" s="214"/>
      <c r="VPV44" s="214"/>
      <c r="VPW44" s="214"/>
      <c r="VPX44" s="214"/>
      <c r="VPY44" s="214"/>
      <c r="VPZ44" s="214"/>
      <c r="VQA44" s="214"/>
      <c r="VQB44" s="214"/>
      <c r="VQC44" s="214"/>
      <c r="VQD44" s="214"/>
      <c r="VQE44" s="214"/>
      <c r="VQF44" s="214"/>
      <c r="VQG44" s="214"/>
      <c r="VQH44" s="214"/>
      <c r="VQI44" s="214"/>
      <c r="VQJ44" s="214"/>
      <c r="VQK44" s="214"/>
      <c r="VQL44" s="214"/>
      <c r="VQM44" s="214"/>
      <c r="VQN44" s="214"/>
      <c r="VQO44" s="214"/>
      <c r="VQP44" s="214"/>
      <c r="VQQ44" s="214"/>
      <c r="VQR44" s="214"/>
      <c r="VQS44" s="214"/>
      <c r="VQT44" s="214"/>
      <c r="VQU44" s="214"/>
      <c r="VQV44" s="214"/>
      <c r="VQW44" s="214"/>
      <c r="VQX44" s="214"/>
      <c r="VQY44" s="214"/>
      <c r="VQZ44" s="214"/>
      <c r="VRA44" s="214"/>
      <c r="VRB44" s="214"/>
      <c r="VRC44" s="214"/>
      <c r="VRD44" s="214"/>
      <c r="VRE44" s="214"/>
      <c r="VRF44" s="214"/>
      <c r="VRG44" s="214"/>
      <c r="VRH44" s="214"/>
      <c r="VRI44" s="214"/>
      <c r="VRJ44" s="214"/>
      <c r="VRK44" s="214"/>
      <c r="VRL44" s="214"/>
      <c r="VRM44" s="214"/>
      <c r="VRN44" s="214"/>
      <c r="VRO44" s="214"/>
      <c r="VRP44" s="214"/>
      <c r="VRQ44" s="214"/>
      <c r="VRR44" s="214"/>
      <c r="VRS44" s="214"/>
      <c r="VRT44" s="214"/>
      <c r="VRU44" s="214"/>
      <c r="VRV44" s="214"/>
      <c r="VRW44" s="214"/>
      <c r="VRX44" s="214"/>
      <c r="VRY44" s="214"/>
      <c r="VRZ44" s="214"/>
      <c r="VSA44" s="214"/>
      <c r="VSB44" s="214"/>
      <c r="VSC44" s="214"/>
      <c r="VSD44" s="214"/>
      <c r="VSE44" s="214"/>
      <c r="VSF44" s="214"/>
      <c r="VSG44" s="214"/>
      <c r="VSH44" s="214"/>
      <c r="VSI44" s="214"/>
      <c r="VSJ44" s="214"/>
      <c r="VSK44" s="214"/>
      <c r="VSL44" s="214"/>
      <c r="VSM44" s="214"/>
      <c r="VSN44" s="214"/>
      <c r="VSO44" s="214"/>
      <c r="VSP44" s="214"/>
      <c r="VSQ44" s="214"/>
      <c r="VSR44" s="214"/>
      <c r="VSS44" s="214"/>
      <c r="VST44" s="214"/>
      <c r="VSU44" s="214"/>
      <c r="VSV44" s="214"/>
      <c r="VSW44" s="214"/>
      <c r="VSX44" s="214"/>
      <c r="VSY44" s="214"/>
      <c r="VSZ44" s="214"/>
      <c r="VTA44" s="214"/>
      <c r="VTB44" s="214"/>
      <c r="VTC44" s="214"/>
      <c r="VTD44" s="214"/>
      <c r="VTE44" s="214"/>
      <c r="VTF44" s="214"/>
      <c r="VTG44" s="214"/>
      <c r="VTH44" s="214"/>
      <c r="VTI44" s="214"/>
      <c r="VTJ44" s="214"/>
      <c r="VTK44" s="214"/>
      <c r="VTL44" s="214"/>
      <c r="VTM44" s="214"/>
      <c r="VTN44" s="214"/>
      <c r="VTO44" s="214"/>
      <c r="VTP44" s="214"/>
      <c r="VTQ44" s="214"/>
      <c r="VTR44" s="214"/>
      <c r="VTS44" s="214"/>
      <c r="VTT44" s="214"/>
      <c r="VTU44" s="214"/>
      <c r="VTV44" s="214"/>
      <c r="VTW44" s="214"/>
      <c r="VTX44" s="214"/>
      <c r="VTY44" s="214"/>
      <c r="VTZ44" s="214"/>
      <c r="VUA44" s="214"/>
      <c r="VUB44" s="214"/>
      <c r="VUC44" s="214"/>
      <c r="VUD44" s="214"/>
      <c r="VUE44" s="214"/>
      <c r="VUF44" s="214"/>
      <c r="VUG44" s="214"/>
      <c r="VUH44" s="214"/>
      <c r="VUI44" s="214"/>
      <c r="VUJ44" s="214"/>
      <c r="VUK44" s="214"/>
      <c r="VUL44" s="214"/>
      <c r="VUM44" s="214"/>
      <c r="VUN44" s="214"/>
      <c r="VUO44" s="214"/>
      <c r="VUP44" s="214"/>
      <c r="VUQ44" s="214"/>
      <c r="VUR44" s="214"/>
      <c r="VUS44" s="214"/>
      <c r="VUT44" s="214"/>
      <c r="VUU44" s="214"/>
      <c r="VUV44" s="214"/>
      <c r="VUW44" s="214"/>
      <c r="VUX44" s="214"/>
      <c r="VUY44" s="214"/>
      <c r="VUZ44" s="214"/>
      <c r="VVA44" s="214"/>
      <c r="VVB44" s="214"/>
      <c r="VVC44" s="214"/>
      <c r="VVD44" s="214"/>
      <c r="VVE44" s="214"/>
      <c r="VVF44" s="214"/>
      <c r="VVG44" s="214"/>
      <c r="VVH44" s="214"/>
      <c r="VVI44" s="214"/>
      <c r="VVJ44" s="214"/>
      <c r="VVK44" s="214"/>
      <c r="VVL44" s="214"/>
      <c r="VVM44" s="214"/>
      <c r="VVN44" s="214"/>
      <c r="VVO44" s="214"/>
      <c r="VVP44" s="214"/>
      <c r="VVQ44" s="214"/>
      <c r="VVR44" s="214"/>
      <c r="VVS44" s="214"/>
      <c r="VVT44" s="214"/>
      <c r="VVU44" s="214"/>
      <c r="VVV44" s="214"/>
      <c r="VVW44" s="214"/>
      <c r="VVX44" s="214"/>
      <c r="VVY44" s="214"/>
      <c r="VVZ44" s="214"/>
      <c r="VWA44" s="214"/>
      <c r="VWB44" s="214"/>
      <c r="VWC44" s="214"/>
      <c r="VWD44" s="214"/>
      <c r="VWE44" s="214"/>
      <c r="VWF44" s="214"/>
      <c r="VWG44" s="214"/>
      <c r="VWH44" s="214"/>
      <c r="VWI44" s="214"/>
      <c r="VWJ44" s="214"/>
      <c r="VWK44" s="214"/>
      <c r="VWL44" s="214"/>
      <c r="VWM44" s="214"/>
      <c r="VWN44" s="214"/>
      <c r="VWO44" s="214"/>
      <c r="VWP44" s="214"/>
      <c r="VWQ44" s="214"/>
      <c r="VWR44" s="214"/>
      <c r="VWS44" s="214"/>
      <c r="VWT44" s="214"/>
      <c r="VWU44" s="214"/>
      <c r="VWV44" s="214"/>
      <c r="VWW44" s="214"/>
      <c r="VWX44" s="214"/>
      <c r="VWY44" s="214"/>
      <c r="VWZ44" s="214"/>
      <c r="VXA44" s="214"/>
      <c r="VXB44" s="214"/>
      <c r="VXC44" s="214"/>
      <c r="VXD44" s="214"/>
      <c r="VXE44" s="214"/>
      <c r="VXF44" s="214"/>
      <c r="VXG44" s="214"/>
      <c r="VXH44" s="214"/>
      <c r="VXI44" s="214"/>
      <c r="VXJ44" s="214"/>
      <c r="VXK44" s="214"/>
      <c r="VXL44" s="214"/>
      <c r="VXM44" s="214"/>
      <c r="VXN44" s="214"/>
      <c r="VXO44" s="214"/>
      <c r="VXP44" s="214"/>
      <c r="VXQ44" s="214"/>
      <c r="VXR44" s="214"/>
      <c r="VXS44" s="214"/>
      <c r="VXT44" s="214"/>
      <c r="VXU44" s="214"/>
      <c r="VXV44" s="214"/>
      <c r="VXW44" s="214"/>
      <c r="VXX44" s="214"/>
      <c r="VXY44" s="214"/>
      <c r="VXZ44" s="214"/>
      <c r="VYA44" s="214"/>
      <c r="VYB44" s="214"/>
      <c r="VYC44" s="214"/>
      <c r="VYD44" s="214"/>
      <c r="VYE44" s="214"/>
      <c r="VYF44" s="214"/>
      <c r="VYG44" s="214"/>
      <c r="VYH44" s="214"/>
      <c r="VYI44" s="214"/>
      <c r="VYJ44" s="214"/>
      <c r="VYK44" s="214"/>
      <c r="VYL44" s="214"/>
      <c r="VYM44" s="214"/>
      <c r="VYN44" s="214"/>
      <c r="VYO44" s="214"/>
      <c r="VYP44" s="214"/>
      <c r="VYQ44" s="214"/>
      <c r="VYR44" s="214"/>
      <c r="VYS44" s="214"/>
      <c r="VYT44" s="214"/>
      <c r="VYU44" s="214"/>
      <c r="VYV44" s="214"/>
      <c r="VYW44" s="214"/>
      <c r="VYX44" s="214"/>
      <c r="VYY44" s="214"/>
      <c r="VYZ44" s="214"/>
      <c r="VZA44" s="214"/>
      <c r="VZB44" s="214"/>
      <c r="VZC44" s="214"/>
      <c r="VZD44" s="214"/>
      <c r="VZE44" s="214"/>
      <c r="VZF44" s="214"/>
      <c r="VZG44" s="214"/>
      <c r="VZH44" s="214"/>
      <c r="VZI44" s="214"/>
      <c r="VZJ44" s="214"/>
      <c r="VZK44" s="214"/>
      <c r="VZL44" s="214"/>
      <c r="VZM44" s="214"/>
      <c r="VZN44" s="214"/>
      <c r="VZO44" s="214"/>
      <c r="VZP44" s="214"/>
      <c r="VZQ44" s="214"/>
      <c r="VZR44" s="214"/>
      <c r="VZS44" s="214"/>
      <c r="VZT44" s="214"/>
      <c r="VZU44" s="214"/>
      <c r="VZV44" s="214"/>
      <c r="VZW44" s="214"/>
      <c r="VZX44" s="214"/>
      <c r="VZY44" s="214"/>
      <c r="VZZ44" s="214"/>
      <c r="WAA44" s="214"/>
      <c r="WAB44" s="214"/>
      <c r="WAC44" s="214"/>
      <c r="WAD44" s="214"/>
      <c r="WAE44" s="214"/>
      <c r="WAF44" s="214"/>
      <c r="WAG44" s="214"/>
      <c r="WAH44" s="214"/>
      <c r="WAI44" s="214"/>
      <c r="WAJ44" s="214"/>
      <c r="WAK44" s="214"/>
      <c r="WAL44" s="214"/>
      <c r="WAM44" s="214"/>
      <c r="WAN44" s="214"/>
      <c r="WAO44" s="214"/>
      <c r="WAP44" s="214"/>
      <c r="WAQ44" s="214"/>
      <c r="WAR44" s="214"/>
      <c r="WAS44" s="214"/>
      <c r="WAT44" s="214"/>
      <c r="WAU44" s="214"/>
      <c r="WAV44" s="214"/>
      <c r="WAW44" s="214"/>
      <c r="WAX44" s="214"/>
      <c r="WAY44" s="214"/>
      <c r="WAZ44" s="214"/>
      <c r="WBA44" s="214"/>
      <c r="WBB44" s="214"/>
      <c r="WBC44" s="214"/>
      <c r="WBD44" s="214"/>
      <c r="WBE44" s="214"/>
      <c r="WBF44" s="214"/>
      <c r="WBG44" s="214"/>
      <c r="WBH44" s="214"/>
      <c r="WBI44" s="214"/>
      <c r="WBJ44" s="214"/>
      <c r="WBK44" s="214"/>
      <c r="WBL44" s="214"/>
      <c r="WBM44" s="214"/>
      <c r="WBN44" s="214"/>
      <c r="WBO44" s="214"/>
      <c r="WBP44" s="214"/>
      <c r="WBQ44" s="214"/>
      <c r="WBR44" s="214"/>
      <c r="WBS44" s="214"/>
      <c r="WBT44" s="214"/>
      <c r="WBU44" s="214"/>
      <c r="WBV44" s="214"/>
      <c r="WBW44" s="214"/>
      <c r="WBX44" s="214"/>
      <c r="WBY44" s="214"/>
      <c r="WBZ44" s="214"/>
      <c r="WCA44" s="214"/>
      <c r="WCB44" s="214"/>
      <c r="WCC44" s="214"/>
      <c r="WCD44" s="214"/>
      <c r="WCE44" s="214"/>
      <c r="WCF44" s="214"/>
      <c r="WCG44" s="214"/>
      <c r="WCH44" s="214"/>
      <c r="WCI44" s="214"/>
      <c r="WCJ44" s="214"/>
      <c r="WCK44" s="214"/>
      <c r="WCL44" s="214"/>
      <c r="WCM44" s="214"/>
      <c r="WCN44" s="214"/>
      <c r="WCO44" s="214"/>
      <c r="WCP44" s="214"/>
      <c r="WCQ44" s="214"/>
      <c r="WCR44" s="214"/>
      <c r="WCS44" s="214"/>
      <c r="WCT44" s="214"/>
      <c r="WCU44" s="214"/>
      <c r="WCV44" s="214"/>
      <c r="WCW44" s="214"/>
      <c r="WCX44" s="214"/>
      <c r="WCY44" s="214"/>
      <c r="WCZ44" s="214"/>
      <c r="WDA44" s="214"/>
      <c r="WDB44" s="214"/>
      <c r="WDC44" s="214"/>
      <c r="WDD44" s="214"/>
      <c r="WDE44" s="214"/>
      <c r="WDF44" s="214"/>
      <c r="WDG44" s="214"/>
      <c r="WDH44" s="214"/>
      <c r="WDI44" s="214"/>
      <c r="WDJ44" s="214"/>
      <c r="WDK44" s="214"/>
      <c r="WDL44" s="214"/>
      <c r="WDM44" s="214"/>
      <c r="WDN44" s="214"/>
      <c r="WDO44" s="214"/>
      <c r="WDP44" s="214"/>
      <c r="WDQ44" s="214"/>
      <c r="WDR44" s="214"/>
      <c r="WDS44" s="214"/>
      <c r="WDT44" s="214"/>
      <c r="WDU44" s="214"/>
      <c r="WDV44" s="214"/>
      <c r="WDW44" s="214"/>
      <c r="WDX44" s="214"/>
      <c r="WDY44" s="214"/>
      <c r="WDZ44" s="214"/>
      <c r="WEA44" s="214"/>
      <c r="WEB44" s="214"/>
      <c r="WEC44" s="214"/>
      <c r="WED44" s="214"/>
      <c r="WEE44" s="214"/>
      <c r="WEF44" s="214"/>
      <c r="WEG44" s="214"/>
      <c r="WEH44" s="214"/>
      <c r="WEI44" s="214"/>
      <c r="WEJ44" s="214"/>
      <c r="WEK44" s="214"/>
      <c r="WEL44" s="214"/>
      <c r="WEM44" s="214"/>
      <c r="WEN44" s="214"/>
      <c r="WEO44" s="214"/>
      <c r="WEP44" s="214"/>
      <c r="WEQ44" s="214"/>
      <c r="WER44" s="214"/>
      <c r="WES44" s="214"/>
      <c r="WET44" s="214"/>
      <c r="WEU44" s="214"/>
      <c r="WEV44" s="214"/>
      <c r="WEW44" s="214"/>
      <c r="WEX44" s="214"/>
      <c r="WEY44" s="214"/>
      <c r="WEZ44" s="214"/>
      <c r="WFA44" s="214"/>
      <c r="WFB44" s="214"/>
      <c r="WFC44" s="214"/>
      <c r="WFD44" s="214"/>
      <c r="WFE44" s="214"/>
      <c r="WFF44" s="214"/>
      <c r="WFG44" s="214"/>
      <c r="WFH44" s="214"/>
      <c r="WFI44" s="214"/>
      <c r="WFJ44" s="214"/>
      <c r="WFK44" s="214"/>
      <c r="WFL44" s="214"/>
      <c r="WFM44" s="214"/>
      <c r="WFN44" s="214"/>
      <c r="WFO44" s="214"/>
      <c r="WFP44" s="214"/>
      <c r="WFQ44" s="214"/>
      <c r="WFR44" s="214"/>
      <c r="WFS44" s="214"/>
      <c r="WFT44" s="214"/>
      <c r="WFU44" s="214"/>
      <c r="WFV44" s="214"/>
      <c r="WFW44" s="214"/>
      <c r="WFX44" s="214"/>
      <c r="WFY44" s="214"/>
      <c r="WFZ44" s="214"/>
      <c r="WGA44" s="214"/>
      <c r="WGB44" s="214"/>
      <c r="WGC44" s="214"/>
      <c r="WGD44" s="214"/>
      <c r="WGE44" s="214"/>
      <c r="WGF44" s="214"/>
      <c r="WGG44" s="214"/>
      <c r="WGH44" s="214"/>
      <c r="WGI44" s="214"/>
      <c r="WGJ44" s="214"/>
      <c r="WGK44" s="214"/>
      <c r="WGL44" s="214"/>
      <c r="WGM44" s="214"/>
      <c r="WGN44" s="214"/>
      <c r="WGO44" s="214"/>
      <c r="WGP44" s="214"/>
      <c r="WGQ44" s="214"/>
      <c r="WGR44" s="214"/>
      <c r="WGS44" s="214"/>
      <c r="WGT44" s="214"/>
      <c r="WGU44" s="214"/>
      <c r="WGV44" s="214"/>
      <c r="WGW44" s="214"/>
      <c r="WGX44" s="214"/>
      <c r="WGY44" s="214"/>
      <c r="WGZ44" s="214"/>
      <c r="WHA44" s="214"/>
      <c r="WHB44" s="214"/>
      <c r="WHC44" s="214"/>
      <c r="WHD44" s="214"/>
      <c r="WHE44" s="214"/>
      <c r="WHF44" s="214"/>
      <c r="WHG44" s="214"/>
      <c r="WHH44" s="214"/>
      <c r="WHI44" s="214"/>
      <c r="WHJ44" s="214"/>
      <c r="WHK44" s="214"/>
      <c r="WHL44" s="214"/>
      <c r="WHM44" s="214"/>
      <c r="WHN44" s="214"/>
      <c r="WHO44" s="214"/>
      <c r="WHP44" s="214"/>
      <c r="WHQ44" s="214"/>
      <c r="WHR44" s="214"/>
      <c r="WHS44" s="214"/>
      <c r="WHT44" s="214"/>
      <c r="WHU44" s="214"/>
      <c r="WHV44" s="214"/>
      <c r="WHW44" s="214"/>
      <c r="WHX44" s="214"/>
      <c r="WHY44" s="214"/>
      <c r="WHZ44" s="214"/>
      <c r="WIA44" s="214"/>
      <c r="WIB44" s="214"/>
      <c r="WIC44" s="214"/>
      <c r="WID44" s="214"/>
      <c r="WIE44" s="214"/>
      <c r="WIF44" s="214"/>
      <c r="WIG44" s="214"/>
      <c r="WIH44" s="214"/>
      <c r="WII44" s="214"/>
      <c r="WIJ44" s="214"/>
      <c r="WIK44" s="214"/>
      <c r="WIL44" s="214"/>
      <c r="WIM44" s="214"/>
      <c r="WIN44" s="214"/>
      <c r="WIO44" s="214"/>
      <c r="WIP44" s="214"/>
      <c r="WIQ44" s="214"/>
      <c r="WIR44" s="214"/>
      <c r="WIS44" s="214"/>
      <c r="WIT44" s="214"/>
      <c r="WIU44" s="214"/>
      <c r="WIV44" s="214"/>
      <c r="WIW44" s="214"/>
      <c r="WIX44" s="214"/>
      <c r="WIY44" s="214"/>
      <c r="WIZ44" s="214"/>
      <c r="WJA44" s="214"/>
      <c r="WJB44" s="214"/>
      <c r="WJC44" s="214"/>
      <c r="WJD44" s="214"/>
      <c r="WJE44" s="214"/>
      <c r="WJF44" s="214"/>
      <c r="WJG44" s="214"/>
      <c r="WJH44" s="214"/>
      <c r="WJI44" s="214"/>
      <c r="WJJ44" s="214"/>
      <c r="WJK44" s="214"/>
      <c r="WJL44" s="214"/>
      <c r="WJM44" s="214"/>
      <c r="WJN44" s="214"/>
      <c r="WJO44" s="214"/>
      <c r="WJP44" s="214"/>
      <c r="WJQ44" s="214"/>
      <c r="WJR44" s="214"/>
      <c r="WJS44" s="214"/>
      <c r="WJT44" s="214"/>
      <c r="WJU44" s="214"/>
      <c r="WJV44" s="214"/>
      <c r="WJW44" s="214"/>
      <c r="WJX44" s="214"/>
      <c r="WJY44" s="214"/>
      <c r="WJZ44" s="214"/>
      <c r="WKA44" s="214"/>
      <c r="WKB44" s="214"/>
      <c r="WKC44" s="214"/>
      <c r="WKD44" s="214"/>
      <c r="WKE44" s="214"/>
      <c r="WKF44" s="214"/>
      <c r="WKG44" s="214"/>
      <c r="WKH44" s="214"/>
      <c r="WKI44" s="214"/>
      <c r="WKJ44" s="214"/>
      <c r="WKK44" s="214"/>
      <c r="WKL44" s="214"/>
      <c r="WKM44" s="214"/>
      <c r="WKN44" s="214"/>
      <c r="WKO44" s="214"/>
      <c r="WKP44" s="214"/>
      <c r="WKQ44" s="214"/>
      <c r="WKR44" s="214"/>
      <c r="WKS44" s="214"/>
      <c r="WKT44" s="214"/>
      <c r="WKU44" s="214"/>
      <c r="WKV44" s="214"/>
      <c r="WKW44" s="214"/>
      <c r="WKX44" s="214"/>
      <c r="WKY44" s="214"/>
      <c r="WKZ44" s="214"/>
      <c r="WLA44" s="214"/>
      <c r="WLB44" s="214"/>
      <c r="WLC44" s="214"/>
      <c r="WLD44" s="214"/>
      <c r="WLE44" s="214"/>
      <c r="WLF44" s="214"/>
      <c r="WLG44" s="214"/>
      <c r="WLH44" s="214"/>
      <c r="WLI44" s="214"/>
      <c r="WLJ44" s="214"/>
      <c r="WLK44" s="214"/>
      <c r="WLL44" s="214"/>
      <c r="WLM44" s="214"/>
      <c r="WLN44" s="214"/>
      <c r="WLO44" s="214"/>
      <c r="WLP44" s="214"/>
      <c r="WLQ44" s="214"/>
      <c r="WLR44" s="214"/>
      <c r="WLS44" s="214"/>
      <c r="WLT44" s="214"/>
      <c r="WLU44" s="214"/>
      <c r="WLV44" s="214"/>
      <c r="WLW44" s="214"/>
      <c r="WLX44" s="214"/>
      <c r="WLY44" s="214"/>
      <c r="WLZ44" s="214"/>
      <c r="WMA44" s="214"/>
      <c r="WMB44" s="214"/>
      <c r="WMC44" s="214"/>
      <c r="WMD44" s="214"/>
      <c r="WME44" s="214"/>
      <c r="WMF44" s="214"/>
      <c r="WMG44" s="214"/>
      <c r="WMH44" s="214"/>
      <c r="WMI44" s="214"/>
      <c r="WMJ44" s="214"/>
      <c r="WMK44" s="214"/>
      <c r="WML44" s="214"/>
      <c r="WMM44" s="214"/>
      <c r="WMN44" s="214"/>
      <c r="WMO44" s="214"/>
      <c r="WMP44" s="214"/>
      <c r="WMQ44" s="214"/>
      <c r="WMR44" s="214"/>
      <c r="WMS44" s="214"/>
      <c r="WMT44" s="214"/>
      <c r="WMU44" s="214"/>
      <c r="WMV44" s="214"/>
      <c r="WMW44" s="214"/>
      <c r="WMX44" s="214"/>
      <c r="WMY44" s="214"/>
      <c r="WMZ44" s="214"/>
      <c r="WNA44" s="214"/>
      <c r="WNB44" s="214"/>
      <c r="WNC44" s="214"/>
      <c r="WND44" s="214"/>
      <c r="WNE44" s="214"/>
      <c r="WNF44" s="214"/>
      <c r="WNG44" s="214"/>
      <c r="WNH44" s="214"/>
      <c r="WNI44" s="214"/>
      <c r="WNJ44" s="214"/>
      <c r="WNK44" s="214"/>
      <c r="WNL44" s="214"/>
      <c r="WNM44" s="214"/>
      <c r="WNN44" s="214"/>
      <c r="WNO44" s="214"/>
      <c r="WNP44" s="214"/>
      <c r="WNQ44" s="214"/>
      <c r="WNR44" s="214"/>
      <c r="WNS44" s="214"/>
      <c r="WNT44" s="214"/>
      <c r="WNU44" s="214"/>
      <c r="WNV44" s="214"/>
      <c r="WNW44" s="214"/>
      <c r="WNX44" s="214"/>
      <c r="WNY44" s="214"/>
      <c r="WNZ44" s="214"/>
      <c r="WOA44" s="214"/>
      <c r="WOB44" s="214"/>
      <c r="WOC44" s="214"/>
      <c r="WOD44" s="214"/>
      <c r="WOE44" s="214"/>
      <c r="WOF44" s="214"/>
      <c r="WOG44" s="214"/>
      <c r="WOH44" s="214"/>
      <c r="WOI44" s="214"/>
      <c r="WOJ44" s="214"/>
      <c r="WOK44" s="214"/>
      <c r="WOL44" s="214"/>
      <c r="WOM44" s="214"/>
      <c r="WON44" s="214"/>
      <c r="WOO44" s="214"/>
      <c r="WOP44" s="214"/>
      <c r="WOQ44" s="214"/>
      <c r="WOR44" s="214"/>
      <c r="WOS44" s="214"/>
      <c r="WOT44" s="214"/>
      <c r="WOU44" s="214"/>
      <c r="WOV44" s="214"/>
      <c r="WOW44" s="214"/>
      <c r="WOX44" s="214"/>
      <c r="WOY44" s="214"/>
      <c r="WOZ44" s="214"/>
      <c r="WPA44" s="214"/>
      <c r="WPB44" s="214"/>
      <c r="WPC44" s="214"/>
      <c r="WPD44" s="214"/>
      <c r="WPE44" s="214"/>
      <c r="WPF44" s="214"/>
      <c r="WPG44" s="214"/>
      <c r="WPH44" s="214"/>
      <c r="WPI44" s="214"/>
      <c r="WPJ44" s="214"/>
      <c r="WPK44" s="214"/>
      <c r="WPL44" s="214"/>
      <c r="WPM44" s="214"/>
      <c r="WPN44" s="214"/>
      <c r="WPO44" s="214"/>
      <c r="WPP44" s="214"/>
      <c r="WPQ44" s="214"/>
      <c r="WPR44" s="214"/>
      <c r="WPS44" s="214"/>
      <c r="WPT44" s="214"/>
      <c r="WPU44" s="214"/>
      <c r="WPV44" s="214"/>
      <c r="WPW44" s="214"/>
      <c r="WPX44" s="214"/>
      <c r="WPY44" s="214"/>
      <c r="WPZ44" s="214"/>
      <c r="WQA44" s="214"/>
      <c r="WQB44" s="214"/>
      <c r="WQC44" s="214"/>
      <c r="WQD44" s="214"/>
      <c r="WQE44" s="214"/>
      <c r="WQF44" s="214"/>
      <c r="WQG44" s="214"/>
      <c r="WQH44" s="214"/>
      <c r="WQI44" s="214"/>
      <c r="WQJ44" s="214"/>
      <c r="WQK44" s="214"/>
      <c r="WQL44" s="214"/>
      <c r="WQM44" s="214"/>
      <c r="WQN44" s="214"/>
      <c r="WQO44" s="214"/>
      <c r="WQP44" s="214"/>
      <c r="WQQ44" s="214"/>
      <c r="WQR44" s="214"/>
      <c r="WQS44" s="214"/>
      <c r="WQT44" s="214"/>
      <c r="WQU44" s="214"/>
      <c r="WQV44" s="214"/>
      <c r="WQW44" s="214"/>
      <c r="WQX44" s="214"/>
      <c r="WQY44" s="214"/>
      <c r="WQZ44" s="214"/>
      <c r="WRA44" s="214"/>
      <c r="WRB44" s="214"/>
      <c r="WRC44" s="214"/>
      <c r="WRD44" s="214"/>
      <c r="WRE44" s="214"/>
      <c r="WRF44" s="214"/>
      <c r="WRG44" s="214"/>
      <c r="WRH44" s="214"/>
      <c r="WRI44" s="214"/>
      <c r="WRJ44" s="214"/>
      <c r="WRK44" s="214"/>
      <c r="WRL44" s="214"/>
      <c r="WRM44" s="214"/>
      <c r="WRN44" s="214"/>
      <c r="WRO44" s="214"/>
      <c r="WRP44" s="214"/>
      <c r="WRQ44" s="214"/>
      <c r="WRR44" s="214"/>
      <c r="WRS44" s="214"/>
      <c r="WRT44" s="214"/>
      <c r="WRU44" s="214"/>
      <c r="WRV44" s="214"/>
      <c r="WRW44" s="214"/>
      <c r="WRX44" s="214"/>
      <c r="WRY44" s="214"/>
      <c r="WRZ44" s="214"/>
      <c r="WSA44" s="214"/>
      <c r="WSB44" s="214"/>
      <c r="WSC44" s="214"/>
      <c r="WSD44" s="214"/>
      <c r="WSE44" s="214"/>
      <c r="WSF44" s="214"/>
      <c r="WSG44" s="214"/>
      <c r="WSH44" s="214"/>
      <c r="WSI44" s="214"/>
      <c r="WSJ44" s="214"/>
      <c r="WSK44" s="214"/>
      <c r="WSL44" s="214"/>
      <c r="WSM44" s="214"/>
      <c r="WSN44" s="214"/>
      <c r="WSO44" s="214"/>
      <c r="WSP44" s="214"/>
      <c r="WSQ44" s="214"/>
      <c r="WSR44" s="214"/>
      <c r="WSS44" s="214"/>
      <c r="WST44" s="214"/>
      <c r="WSU44" s="214"/>
      <c r="WSV44" s="214"/>
      <c r="WSW44" s="214"/>
      <c r="WSX44" s="214"/>
      <c r="WSY44" s="214"/>
      <c r="WSZ44" s="214"/>
      <c r="WTA44" s="214"/>
      <c r="WTB44" s="214"/>
      <c r="WTC44" s="214"/>
      <c r="WTD44" s="214"/>
      <c r="WTE44" s="214"/>
      <c r="WTF44" s="214"/>
      <c r="WTG44" s="214"/>
      <c r="WTH44" s="214"/>
      <c r="WTI44" s="214"/>
      <c r="WTJ44" s="214"/>
      <c r="WTK44" s="214"/>
      <c r="WTL44" s="214"/>
      <c r="WTM44" s="214"/>
      <c r="WTN44" s="214"/>
      <c r="WTO44" s="214"/>
      <c r="WTP44" s="214"/>
      <c r="WTQ44" s="214"/>
      <c r="WTR44" s="214"/>
      <c r="WTS44" s="214"/>
      <c r="WTT44" s="214"/>
      <c r="WTU44" s="214"/>
      <c r="WTV44" s="214"/>
      <c r="WTW44" s="214"/>
      <c r="WTX44" s="214"/>
      <c r="WTY44" s="214"/>
      <c r="WTZ44" s="214"/>
      <c r="WUA44" s="214"/>
      <c r="WUB44" s="214"/>
      <c r="WUC44" s="214"/>
      <c r="WUD44" s="214"/>
      <c r="WUE44" s="214"/>
      <c r="WUF44" s="214"/>
      <c r="WUG44" s="214"/>
      <c r="WUH44" s="214"/>
      <c r="WUI44" s="214"/>
      <c r="WUJ44" s="214"/>
      <c r="WUK44" s="214"/>
      <c r="WUL44" s="214"/>
      <c r="WUM44" s="214"/>
      <c r="WUN44" s="214"/>
      <c r="WUO44" s="214"/>
      <c r="WUP44" s="214"/>
      <c r="WUQ44" s="214"/>
      <c r="WUR44" s="214"/>
      <c r="WUS44" s="214"/>
      <c r="WUT44" s="214"/>
      <c r="WUU44" s="214"/>
      <c r="WUV44" s="214"/>
      <c r="WUW44" s="214"/>
      <c r="WUX44" s="214"/>
      <c r="WUY44" s="214"/>
      <c r="WUZ44" s="214"/>
      <c r="WVA44" s="214"/>
      <c r="WVB44" s="214"/>
      <c r="WVC44" s="214"/>
      <c r="WVD44" s="214"/>
      <c r="WVE44" s="214"/>
      <c r="WVF44" s="214"/>
      <c r="WVG44" s="214"/>
      <c r="WVH44" s="214"/>
      <c r="WVI44" s="214"/>
      <c r="WVJ44" s="214"/>
      <c r="WVK44" s="214"/>
      <c r="WVL44" s="214"/>
      <c r="WVM44" s="214"/>
      <c r="WVN44" s="214"/>
      <c r="WVO44" s="214"/>
      <c r="WVP44" s="214"/>
      <c r="WVQ44" s="214"/>
      <c r="WVR44" s="214"/>
      <c r="WVS44" s="214"/>
      <c r="WVT44" s="214"/>
      <c r="WVU44" s="214"/>
      <c r="WVV44" s="214"/>
      <c r="WVW44" s="214"/>
      <c r="WVX44" s="214"/>
      <c r="WVY44" s="214"/>
      <c r="WVZ44" s="214"/>
      <c r="WWA44" s="214"/>
      <c r="WWB44" s="214"/>
      <c r="WWC44" s="214"/>
      <c r="WWD44" s="214"/>
      <c r="WWE44" s="214"/>
      <c r="WWF44" s="214"/>
      <c r="WWG44" s="214"/>
      <c r="WWH44" s="214"/>
      <c r="WWI44" s="214"/>
      <c r="WWJ44" s="214"/>
      <c r="WWK44" s="214"/>
      <c r="WWL44" s="214"/>
      <c r="WWM44" s="214"/>
      <c r="WWN44" s="214"/>
      <c r="WWO44" s="214"/>
      <c r="WWP44" s="214"/>
      <c r="WWQ44" s="214"/>
      <c r="WWR44" s="214"/>
      <c r="WWS44" s="214"/>
      <c r="WWT44" s="214"/>
      <c r="WWU44" s="214"/>
      <c r="WWV44" s="214"/>
      <c r="WWW44" s="214"/>
      <c r="WWX44" s="214"/>
      <c r="WWY44" s="214"/>
      <c r="WWZ44" s="214"/>
      <c r="WXA44" s="214"/>
      <c r="WXB44" s="214"/>
      <c r="WXC44" s="214"/>
      <c r="WXD44" s="214"/>
      <c r="WXE44" s="214"/>
      <c r="WXF44" s="214"/>
      <c r="WXG44" s="214"/>
      <c r="WXH44" s="214"/>
      <c r="WXI44" s="214"/>
      <c r="WXJ44" s="214"/>
      <c r="WXK44" s="214"/>
      <c r="WXL44" s="214"/>
      <c r="WXM44" s="214"/>
      <c r="WXN44" s="214"/>
      <c r="WXO44" s="214"/>
      <c r="WXP44" s="214"/>
      <c r="WXQ44" s="214"/>
      <c r="WXR44" s="214"/>
      <c r="WXS44" s="214"/>
      <c r="WXT44" s="214"/>
      <c r="WXU44" s="214"/>
      <c r="WXV44" s="214"/>
      <c r="WXW44" s="214"/>
      <c r="WXX44" s="214"/>
      <c r="WXY44" s="214"/>
      <c r="WXZ44" s="214"/>
      <c r="WYA44" s="214"/>
      <c r="WYB44" s="214"/>
      <c r="WYC44" s="214"/>
      <c r="WYD44" s="214"/>
      <c r="WYE44" s="214"/>
      <c r="WYF44" s="214"/>
      <c r="WYG44" s="214"/>
      <c r="WYH44" s="214"/>
      <c r="WYI44" s="214"/>
      <c r="WYJ44" s="214"/>
      <c r="WYK44" s="214"/>
      <c r="WYL44" s="214"/>
      <c r="WYM44" s="214"/>
      <c r="WYN44" s="214"/>
      <c r="WYO44" s="214"/>
      <c r="WYP44" s="214"/>
      <c r="WYQ44" s="214"/>
      <c r="WYR44" s="214"/>
      <c r="WYS44" s="214"/>
      <c r="WYT44" s="214"/>
      <c r="WYU44" s="214"/>
      <c r="WYV44" s="214"/>
      <c r="WYW44" s="214"/>
      <c r="WYX44" s="214"/>
      <c r="WYY44" s="214"/>
      <c r="WYZ44" s="214"/>
      <c r="WZA44" s="214"/>
      <c r="WZB44" s="214"/>
      <c r="WZC44" s="214"/>
      <c r="WZD44" s="214"/>
      <c r="WZE44" s="214"/>
      <c r="WZF44" s="214"/>
      <c r="WZG44" s="214"/>
      <c r="WZH44" s="214"/>
      <c r="WZI44" s="214"/>
      <c r="WZJ44" s="214"/>
      <c r="WZK44" s="214"/>
      <c r="WZL44" s="214"/>
      <c r="WZM44" s="214"/>
      <c r="WZN44" s="214"/>
      <c r="WZO44" s="214"/>
      <c r="WZP44" s="214"/>
      <c r="WZQ44" s="214"/>
      <c r="WZR44" s="214"/>
      <c r="WZS44" s="214"/>
      <c r="WZT44" s="214"/>
      <c r="WZU44" s="214"/>
      <c r="WZV44" s="214"/>
      <c r="WZW44" s="214"/>
      <c r="WZX44" s="214"/>
      <c r="WZY44" s="214"/>
      <c r="WZZ44" s="214"/>
      <c r="XAA44" s="214"/>
      <c r="XAB44" s="214"/>
      <c r="XAC44" s="214"/>
      <c r="XAD44" s="214"/>
      <c r="XAE44" s="214"/>
      <c r="XAF44" s="214"/>
      <c r="XAG44" s="214"/>
      <c r="XAH44" s="214"/>
      <c r="XAI44" s="214"/>
      <c r="XAJ44" s="214"/>
      <c r="XAK44" s="214"/>
      <c r="XAL44" s="214"/>
      <c r="XAM44" s="214"/>
      <c r="XAN44" s="214"/>
      <c r="XAO44" s="214"/>
      <c r="XAP44" s="214"/>
      <c r="XAQ44" s="214"/>
      <c r="XAR44" s="214"/>
      <c r="XAS44" s="214"/>
      <c r="XAT44" s="214"/>
      <c r="XAU44" s="214"/>
      <c r="XAV44" s="214"/>
      <c r="XAW44" s="214"/>
      <c r="XAX44" s="214"/>
      <c r="XAY44" s="214"/>
      <c r="XAZ44" s="214"/>
      <c r="XBA44" s="214"/>
      <c r="XBB44" s="214"/>
      <c r="XBC44" s="214"/>
      <c r="XBD44" s="214"/>
      <c r="XBE44" s="214"/>
      <c r="XBF44" s="214"/>
      <c r="XBG44" s="214"/>
      <c r="XBH44" s="214"/>
      <c r="XBI44" s="214"/>
      <c r="XBJ44" s="214"/>
      <c r="XBK44" s="214"/>
      <c r="XBL44" s="214"/>
      <c r="XBM44" s="214"/>
      <c r="XBN44" s="214"/>
      <c r="XBO44" s="214"/>
      <c r="XBP44" s="214"/>
      <c r="XBQ44" s="214"/>
      <c r="XBR44" s="214"/>
      <c r="XBS44" s="214"/>
      <c r="XBT44" s="214"/>
      <c r="XBU44" s="214"/>
      <c r="XBV44" s="214"/>
      <c r="XBW44" s="214"/>
      <c r="XBX44" s="214"/>
      <c r="XBY44" s="214"/>
      <c r="XBZ44" s="214"/>
      <c r="XCA44" s="214"/>
      <c r="XCB44" s="214"/>
      <c r="XCC44" s="214"/>
      <c r="XCD44" s="214"/>
      <c r="XCE44" s="214"/>
      <c r="XCF44" s="214"/>
      <c r="XCG44" s="214"/>
      <c r="XCH44" s="214"/>
      <c r="XCI44" s="214"/>
      <c r="XCJ44" s="214"/>
      <c r="XCK44" s="214"/>
      <c r="XCL44" s="214"/>
      <c r="XCM44" s="214"/>
      <c r="XCN44" s="214"/>
      <c r="XCO44" s="214"/>
      <c r="XCP44" s="214"/>
      <c r="XCQ44" s="214"/>
      <c r="XCR44" s="214"/>
      <c r="XCS44" s="214"/>
      <c r="XCT44" s="214"/>
      <c r="XCU44" s="214"/>
      <c r="XCV44" s="214"/>
      <c r="XCW44" s="214"/>
      <c r="XCX44" s="214"/>
      <c r="XCY44" s="214"/>
      <c r="XCZ44" s="214"/>
      <c r="XDA44" s="214"/>
      <c r="XDB44" s="214"/>
      <c r="XDC44" s="214"/>
      <c r="XDD44" s="214"/>
      <c r="XDE44" s="214"/>
      <c r="XDF44" s="214"/>
      <c r="XDG44" s="214"/>
      <c r="XDH44" s="214"/>
      <c r="XDI44" s="214"/>
      <c r="XDJ44" s="214"/>
      <c r="XDK44" s="214"/>
      <c r="XDL44" s="214"/>
      <c r="XDM44" s="214"/>
      <c r="XDN44" s="214"/>
      <c r="XDO44" s="214"/>
      <c r="XDP44" s="214"/>
      <c r="XDQ44" s="214"/>
      <c r="XDR44" s="214"/>
      <c r="XDS44" s="214"/>
      <c r="XDT44" s="214"/>
      <c r="XDU44" s="214"/>
      <c r="XDV44" s="214"/>
      <c r="XDW44" s="214"/>
      <c r="XDX44" s="214"/>
      <c r="XDY44" s="214"/>
      <c r="XDZ44" s="214"/>
      <c r="XEA44" s="214"/>
      <c r="XEB44" s="214"/>
      <c r="XEC44" s="214"/>
      <c r="XED44" s="214"/>
      <c r="XEE44" s="214"/>
      <c r="XEF44" s="214"/>
      <c r="XEG44" s="214"/>
      <c r="XEH44" s="214"/>
      <c r="XEI44" s="214"/>
      <c r="XEJ44" s="214"/>
      <c r="XEK44" s="214"/>
      <c r="XEL44" s="214"/>
      <c r="XEM44" s="214"/>
      <c r="XEN44" s="214"/>
      <c r="XEO44" s="214"/>
      <c r="XEP44" s="214"/>
      <c r="XEQ44" s="214"/>
      <c r="XER44" s="214"/>
      <c r="XES44" s="214"/>
      <c r="XET44" s="214"/>
      <c r="XEU44" s="214"/>
      <c r="XEV44" s="214"/>
      <c r="XEW44" s="214"/>
      <c r="XEX44" s="214"/>
      <c r="XEY44" s="214"/>
      <c r="XEZ44" s="214"/>
      <c r="XFA44" s="214"/>
      <c r="XFB44" s="214"/>
      <c r="XFC44" s="214"/>
      <c r="XFD44" s="214"/>
    </row>
    <row r="45" spans="1:16384" s="217" customFormat="1" ht="27.6" thickBot="1" x14ac:dyDescent="0.35">
      <c r="A45" s="220" t="s">
        <v>55</v>
      </c>
      <c r="B45" s="221" t="s">
        <v>146</v>
      </c>
      <c r="C45" s="219" t="s">
        <v>525</v>
      </c>
      <c r="D45" s="55">
        <v>600000</v>
      </c>
      <c r="E45" s="54">
        <f t="shared" si="1"/>
        <v>600000</v>
      </c>
      <c r="F45" s="55">
        <f t="shared" si="0"/>
        <v>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>
        <v>57090</v>
      </c>
      <c r="T45" s="23"/>
      <c r="U45" s="23">
        <v>67000</v>
      </c>
      <c r="V45" s="215"/>
      <c r="W45" s="215"/>
      <c r="X45" s="55">
        <v>475910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16384" ht="27.6" thickBot="1" x14ac:dyDescent="0.35">
      <c r="A46" s="220" t="s">
        <v>478</v>
      </c>
      <c r="B46" s="222" t="s">
        <v>500</v>
      </c>
      <c r="C46" s="219" t="s">
        <v>523</v>
      </c>
      <c r="D46" s="55">
        <v>250000</v>
      </c>
      <c r="E46" s="54">
        <f t="shared" si="1"/>
        <v>250000</v>
      </c>
      <c r="F46" s="55">
        <f t="shared" si="0"/>
        <v>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15"/>
      <c r="W46" s="215">
        <v>22751</v>
      </c>
      <c r="X46" s="55">
        <v>227249</v>
      </c>
    </row>
    <row r="47" spans="1:16384" ht="15" thickBot="1" x14ac:dyDescent="0.35">
      <c r="A47" s="53"/>
      <c r="B47" s="121"/>
      <c r="C47" s="121"/>
      <c r="D47" s="122"/>
      <c r="E47" s="122"/>
      <c r="F47" s="218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15"/>
      <c r="W47" s="215"/>
    </row>
    <row r="48" spans="1:16384" ht="15" thickBot="1" x14ac:dyDescent="0.35">
      <c r="A48" s="53"/>
      <c r="B48" s="121"/>
      <c r="C48" s="121"/>
      <c r="D48" s="122"/>
      <c r="E48" s="122"/>
      <c r="F48" s="149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15"/>
    </row>
    <row r="49" spans="1:16384" ht="15" thickBot="1" x14ac:dyDescent="0.35">
      <c r="A49" s="53"/>
      <c r="B49" s="123"/>
      <c r="C49" s="123"/>
      <c r="D49" s="95">
        <f t="shared" ref="D49:U49" si="2">SUM(D13:D47)</f>
        <v>7950700</v>
      </c>
      <c r="E49" s="95">
        <f t="shared" si="2"/>
        <v>7950700</v>
      </c>
      <c r="F49" s="150">
        <f t="shared" si="2"/>
        <v>0</v>
      </c>
      <c r="G49" s="147">
        <f t="shared" si="2"/>
        <v>0</v>
      </c>
      <c r="H49" s="124">
        <f t="shared" si="2"/>
        <v>0</v>
      </c>
      <c r="I49" s="124">
        <f t="shared" si="2"/>
        <v>0</v>
      </c>
      <c r="J49" s="124">
        <f t="shared" si="2"/>
        <v>0</v>
      </c>
      <c r="K49" s="124">
        <f t="shared" si="2"/>
        <v>0</v>
      </c>
      <c r="L49" s="124">
        <f t="shared" si="2"/>
        <v>0</v>
      </c>
      <c r="M49" s="124">
        <f t="shared" si="2"/>
        <v>0</v>
      </c>
      <c r="N49" s="124">
        <f t="shared" si="2"/>
        <v>0</v>
      </c>
      <c r="O49" s="124">
        <f t="shared" si="2"/>
        <v>0</v>
      </c>
      <c r="P49" s="124">
        <f t="shared" si="2"/>
        <v>0</v>
      </c>
      <c r="Q49" s="124">
        <f t="shared" si="2"/>
        <v>7287</v>
      </c>
      <c r="R49" s="124">
        <f t="shared" si="2"/>
        <v>18924</v>
      </c>
      <c r="S49" s="124">
        <f t="shared" si="2"/>
        <v>185557</v>
      </c>
      <c r="T49" s="124">
        <f t="shared" si="2"/>
        <v>175830</v>
      </c>
      <c r="U49" s="124">
        <f t="shared" si="2"/>
        <v>418509</v>
      </c>
      <c r="V49" s="124">
        <f>SUM(V13:V47)</f>
        <v>293587</v>
      </c>
      <c r="W49" s="124">
        <f>SUM(W13:W47)</f>
        <v>630698</v>
      </c>
      <c r="X49" s="124">
        <f t="shared" ref="X49:AI49" si="3">SUM(X13:X47)</f>
        <v>6220308</v>
      </c>
      <c r="Y49" s="124">
        <f t="shared" si="3"/>
        <v>0</v>
      </c>
      <c r="Z49" s="124">
        <f t="shared" si="3"/>
        <v>0</v>
      </c>
      <c r="AA49" s="124">
        <f t="shared" si="3"/>
        <v>0</v>
      </c>
      <c r="AB49" s="124">
        <f t="shared" si="3"/>
        <v>0</v>
      </c>
      <c r="AC49" s="124">
        <f t="shared" si="3"/>
        <v>0</v>
      </c>
      <c r="AD49" s="124">
        <f t="shared" si="3"/>
        <v>0</v>
      </c>
      <c r="AE49" s="124">
        <f t="shared" si="3"/>
        <v>0</v>
      </c>
      <c r="AF49" s="124">
        <f t="shared" si="3"/>
        <v>0</v>
      </c>
      <c r="AG49" s="124">
        <f t="shared" si="3"/>
        <v>0</v>
      </c>
      <c r="AH49" s="124">
        <f t="shared" si="3"/>
        <v>0</v>
      </c>
      <c r="AI49" s="124">
        <f t="shared" si="3"/>
        <v>0</v>
      </c>
      <c r="AJ49" s="124">
        <f t="shared" ref="AJ49:BD49" si="4">SUM(AJ13:AJ47)</f>
        <v>0</v>
      </c>
      <c r="AK49" s="124">
        <f t="shared" si="4"/>
        <v>0</v>
      </c>
      <c r="AL49" s="124">
        <f t="shared" si="4"/>
        <v>0</v>
      </c>
      <c r="AM49" s="124">
        <f t="shared" si="4"/>
        <v>0</v>
      </c>
      <c r="AN49" s="124">
        <f t="shared" si="4"/>
        <v>0</v>
      </c>
      <c r="AO49" s="124">
        <f t="shared" si="4"/>
        <v>0</v>
      </c>
      <c r="AP49" s="124">
        <f t="shared" si="4"/>
        <v>0</v>
      </c>
      <c r="AQ49" s="124">
        <f t="shared" si="4"/>
        <v>0</v>
      </c>
      <c r="AR49" s="124">
        <f t="shared" si="4"/>
        <v>0</v>
      </c>
      <c r="AS49" s="124">
        <f t="shared" si="4"/>
        <v>0</v>
      </c>
      <c r="AT49" s="124">
        <f t="shared" si="4"/>
        <v>0</v>
      </c>
      <c r="AU49" s="124">
        <f t="shared" si="4"/>
        <v>0</v>
      </c>
      <c r="AV49" s="124">
        <f t="shared" si="4"/>
        <v>0</v>
      </c>
      <c r="AW49" s="124">
        <f t="shared" si="4"/>
        <v>0</v>
      </c>
      <c r="AX49" s="124">
        <f t="shared" si="4"/>
        <v>0</v>
      </c>
      <c r="AY49" s="124">
        <f t="shared" si="4"/>
        <v>0</v>
      </c>
      <c r="AZ49" s="124">
        <f t="shared" si="4"/>
        <v>0</v>
      </c>
      <c r="BA49" s="124">
        <f t="shared" si="4"/>
        <v>0</v>
      </c>
      <c r="BB49" s="124">
        <f t="shared" si="4"/>
        <v>0</v>
      </c>
      <c r="BC49" s="124">
        <f t="shared" si="4"/>
        <v>0</v>
      </c>
      <c r="BD49" s="124">
        <f t="shared" si="4"/>
        <v>0</v>
      </c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/>
      <c r="JK49" s="72"/>
      <c r="JL49" s="72"/>
      <c r="JM49" s="72"/>
      <c r="JN49" s="72"/>
      <c r="JO49" s="72"/>
      <c r="JP49" s="72"/>
      <c r="JQ49" s="72"/>
      <c r="JR49" s="72"/>
      <c r="JS49" s="72"/>
      <c r="JT49" s="72"/>
      <c r="JU49" s="72"/>
      <c r="JV49" s="72"/>
      <c r="JW49" s="72"/>
      <c r="JX49" s="72"/>
      <c r="JY49" s="72"/>
      <c r="JZ49" s="72"/>
      <c r="KA49" s="72"/>
      <c r="KB49" s="72"/>
      <c r="KC49" s="72"/>
      <c r="KD49" s="72"/>
      <c r="KE49" s="72"/>
      <c r="KF49" s="72"/>
      <c r="KG49" s="72"/>
      <c r="KH49" s="72"/>
      <c r="KI49" s="72"/>
      <c r="KJ49" s="72"/>
      <c r="KK49" s="72"/>
      <c r="KL49" s="72"/>
      <c r="KM49" s="72"/>
      <c r="KN49" s="72"/>
      <c r="KO49" s="72"/>
      <c r="KP49" s="72"/>
      <c r="KQ49" s="72"/>
      <c r="KR49" s="72"/>
      <c r="KS49" s="72"/>
      <c r="KT49" s="72"/>
      <c r="KU49" s="72"/>
      <c r="KV49" s="72"/>
      <c r="KW49" s="72"/>
      <c r="KX49" s="72"/>
      <c r="KY49" s="72"/>
      <c r="KZ49" s="72"/>
      <c r="LA49" s="72"/>
      <c r="LB49" s="72"/>
      <c r="LC49" s="72"/>
      <c r="LD49" s="72"/>
      <c r="LE49" s="72"/>
      <c r="LF49" s="72"/>
      <c r="LG49" s="72"/>
      <c r="LH49" s="72"/>
      <c r="LI49" s="72"/>
      <c r="LJ49" s="72"/>
      <c r="LK49" s="72"/>
      <c r="LL49" s="72"/>
      <c r="LM49" s="72"/>
      <c r="LN49" s="72"/>
      <c r="LO49" s="72"/>
      <c r="LP49" s="72"/>
      <c r="LQ49" s="72"/>
      <c r="LR49" s="72"/>
      <c r="LS49" s="72"/>
      <c r="LT49" s="72"/>
      <c r="LU49" s="72"/>
      <c r="LV49" s="72"/>
      <c r="LW49" s="72"/>
      <c r="LX49" s="72"/>
      <c r="LY49" s="72"/>
      <c r="LZ49" s="72"/>
      <c r="MA49" s="72"/>
      <c r="MB49" s="72"/>
      <c r="MC49" s="72"/>
      <c r="MD49" s="72"/>
      <c r="ME49" s="72"/>
      <c r="MF49" s="72"/>
      <c r="MG49" s="72"/>
      <c r="MH49" s="72"/>
      <c r="MI49" s="72"/>
      <c r="MJ49" s="72"/>
      <c r="MK49" s="72"/>
      <c r="ML49" s="72"/>
      <c r="MM49" s="72"/>
      <c r="MN49" s="72"/>
      <c r="MO49" s="72"/>
      <c r="MP49" s="72"/>
      <c r="MQ49" s="72"/>
      <c r="MR49" s="72"/>
      <c r="MS49" s="72"/>
      <c r="MT49" s="72"/>
      <c r="MU49" s="72"/>
      <c r="MV49" s="72"/>
      <c r="MW49" s="72"/>
      <c r="MX49" s="72"/>
      <c r="MY49" s="72"/>
      <c r="MZ49" s="72"/>
      <c r="NA49" s="72"/>
      <c r="NB49" s="72"/>
      <c r="NC49" s="72"/>
      <c r="ND49" s="72"/>
      <c r="NE49" s="72"/>
      <c r="NF49" s="72"/>
      <c r="NG49" s="72"/>
      <c r="NH49" s="72"/>
      <c r="NI49" s="72"/>
      <c r="NJ49" s="72"/>
      <c r="NK49" s="72"/>
      <c r="NL49" s="72"/>
      <c r="NM49" s="72"/>
      <c r="NN49" s="72"/>
      <c r="NO49" s="72"/>
      <c r="NP49" s="72"/>
      <c r="NQ49" s="72"/>
      <c r="NR49" s="72"/>
      <c r="NS49" s="72"/>
      <c r="NT49" s="72"/>
      <c r="NU49" s="72"/>
      <c r="NV49" s="72"/>
      <c r="NW49" s="72"/>
      <c r="NX49" s="72"/>
      <c r="NY49" s="72"/>
      <c r="NZ49" s="72"/>
      <c r="OA49" s="72"/>
      <c r="OB49" s="72"/>
      <c r="OC49" s="72"/>
      <c r="OD49" s="72"/>
      <c r="OE49" s="72"/>
      <c r="OF49" s="72"/>
      <c r="OG49" s="72"/>
      <c r="OH49" s="72"/>
      <c r="OI49" s="72"/>
      <c r="OJ49" s="72"/>
      <c r="OK49" s="72"/>
      <c r="OL49" s="72"/>
      <c r="OM49" s="72"/>
      <c r="ON49" s="72"/>
      <c r="OO49" s="72"/>
      <c r="OP49" s="72"/>
      <c r="OQ49" s="72"/>
      <c r="OR49" s="72"/>
      <c r="OS49" s="72"/>
      <c r="OT49" s="72"/>
      <c r="OU49" s="72"/>
      <c r="OV49" s="72"/>
      <c r="OW49" s="72"/>
      <c r="OX49" s="72"/>
      <c r="OY49" s="72"/>
      <c r="OZ49" s="72"/>
      <c r="PA49" s="72"/>
      <c r="PB49" s="72"/>
      <c r="PC49" s="72"/>
      <c r="PD49" s="72"/>
      <c r="PE49" s="72"/>
      <c r="PF49" s="72"/>
      <c r="PG49" s="72"/>
      <c r="PH49" s="72"/>
      <c r="PI49" s="72"/>
      <c r="PJ49" s="72"/>
      <c r="PK49" s="72"/>
      <c r="PL49" s="72"/>
      <c r="PM49" s="72"/>
      <c r="PN49" s="72"/>
      <c r="PO49" s="72"/>
      <c r="PP49" s="72"/>
      <c r="PQ49" s="72"/>
      <c r="PR49" s="72"/>
      <c r="PS49" s="72"/>
      <c r="PT49" s="72"/>
      <c r="PU49" s="72"/>
      <c r="PV49" s="72"/>
      <c r="PW49" s="72"/>
      <c r="PX49" s="72"/>
      <c r="PY49" s="72"/>
      <c r="PZ49" s="72"/>
      <c r="QA49" s="72"/>
      <c r="QB49" s="72"/>
      <c r="QC49" s="72"/>
      <c r="QD49" s="72"/>
      <c r="QE49" s="72"/>
      <c r="QF49" s="72"/>
      <c r="QG49" s="72"/>
      <c r="QH49" s="72"/>
      <c r="QI49" s="72"/>
      <c r="QJ49" s="72"/>
      <c r="QK49" s="72"/>
      <c r="QL49" s="72"/>
      <c r="QM49" s="72"/>
      <c r="QN49" s="72"/>
      <c r="QO49" s="72"/>
      <c r="QP49" s="72"/>
      <c r="QQ49" s="72"/>
      <c r="QR49" s="72"/>
      <c r="QS49" s="72"/>
      <c r="QT49" s="72"/>
      <c r="QU49" s="72"/>
      <c r="QV49" s="72"/>
      <c r="QW49" s="72"/>
      <c r="QX49" s="72"/>
      <c r="QY49" s="72"/>
      <c r="QZ49" s="72"/>
      <c r="RA49" s="72"/>
      <c r="RB49" s="72"/>
      <c r="RC49" s="72"/>
      <c r="RD49" s="72"/>
      <c r="RE49" s="72"/>
      <c r="RF49" s="72"/>
      <c r="RG49" s="72"/>
      <c r="RH49" s="72"/>
      <c r="RI49" s="72"/>
      <c r="RJ49" s="72"/>
      <c r="RK49" s="72"/>
      <c r="RL49" s="72"/>
      <c r="RM49" s="72"/>
      <c r="RN49" s="72"/>
      <c r="RO49" s="72"/>
      <c r="RP49" s="72"/>
      <c r="RQ49" s="72"/>
      <c r="RR49" s="72"/>
      <c r="RS49" s="72"/>
      <c r="RT49" s="72"/>
      <c r="RU49" s="72"/>
      <c r="RV49" s="72"/>
      <c r="RW49" s="72"/>
      <c r="RX49" s="72"/>
      <c r="RY49" s="72"/>
      <c r="RZ49" s="72"/>
      <c r="SA49" s="72"/>
      <c r="SB49" s="72"/>
      <c r="SC49" s="72"/>
      <c r="SD49" s="72"/>
      <c r="SE49" s="72"/>
      <c r="SF49" s="72"/>
      <c r="SG49" s="72"/>
      <c r="SH49" s="72"/>
      <c r="SI49" s="72"/>
      <c r="SJ49" s="72"/>
      <c r="SK49" s="72"/>
      <c r="SL49" s="72"/>
      <c r="SM49" s="72"/>
      <c r="SN49" s="72"/>
      <c r="SO49" s="72"/>
      <c r="SP49" s="72"/>
      <c r="SQ49" s="72"/>
      <c r="SR49" s="72"/>
      <c r="SS49" s="72"/>
      <c r="ST49" s="72"/>
      <c r="SU49" s="72"/>
      <c r="SV49" s="72"/>
      <c r="SW49" s="72"/>
      <c r="SX49" s="72"/>
      <c r="SY49" s="72"/>
      <c r="SZ49" s="72"/>
      <c r="TA49" s="72"/>
      <c r="TB49" s="72"/>
      <c r="TC49" s="72"/>
      <c r="TD49" s="72"/>
      <c r="TE49" s="72"/>
      <c r="TF49" s="72"/>
      <c r="TG49" s="72"/>
      <c r="TH49" s="72"/>
      <c r="TI49" s="72"/>
      <c r="TJ49" s="72"/>
      <c r="TK49" s="72"/>
      <c r="TL49" s="72"/>
      <c r="TM49" s="72"/>
      <c r="TN49" s="72"/>
      <c r="TO49" s="72"/>
      <c r="TP49" s="72"/>
      <c r="TQ49" s="72"/>
      <c r="TR49" s="72"/>
      <c r="TS49" s="72"/>
      <c r="TT49" s="72"/>
      <c r="TU49" s="72"/>
      <c r="TV49" s="72"/>
      <c r="TW49" s="72"/>
      <c r="TX49" s="72"/>
      <c r="TY49" s="72"/>
      <c r="TZ49" s="72"/>
      <c r="UA49" s="72"/>
      <c r="UB49" s="72"/>
      <c r="UC49" s="72"/>
      <c r="UD49" s="72"/>
      <c r="UE49" s="72"/>
      <c r="UF49" s="72"/>
      <c r="UG49" s="72"/>
      <c r="UH49" s="72"/>
      <c r="UI49" s="72"/>
      <c r="UJ49" s="72"/>
      <c r="UK49" s="72"/>
      <c r="UL49" s="72"/>
      <c r="UM49" s="72"/>
      <c r="UN49" s="72"/>
      <c r="UO49" s="72"/>
      <c r="UP49" s="72"/>
      <c r="UQ49" s="72"/>
      <c r="UR49" s="72"/>
      <c r="US49" s="72"/>
      <c r="UT49" s="72"/>
      <c r="UU49" s="72"/>
      <c r="UV49" s="72"/>
      <c r="UW49" s="72"/>
      <c r="UX49" s="72"/>
      <c r="UY49" s="72"/>
      <c r="UZ49" s="72"/>
      <c r="VA49" s="72"/>
      <c r="VB49" s="72"/>
      <c r="VC49" s="72"/>
      <c r="VD49" s="72"/>
      <c r="VE49" s="72"/>
      <c r="VF49" s="72"/>
      <c r="VG49" s="72"/>
      <c r="VH49" s="72"/>
      <c r="VI49" s="72"/>
      <c r="VJ49" s="72"/>
      <c r="VK49" s="72"/>
      <c r="VL49" s="72"/>
      <c r="VM49" s="72"/>
      <c r="VN49" s="72"/>
      <c r="VO49" s="72"/>
      <c r="VP49" s="72"/>
      <c r="VQ49" s="72"/>
      <c r="VR49" s="72"/>
      <c r="VS49" s="72"/>
      <c r="VT49" s="72"/>
      <c r="VU49" s="72"/>
      <c r="VV49" s="72"/>
      <c r="VW49" s="72"/>
      <c r="VX49" s="72"/>
      <c r="VY49" s="72"/>
      <c r="VZ49" s="72"/>
      <c r="WA49" s="72"/>
      <c r="WB49" s="72"/>
      <c r="WC49" s="72"/>
      <c r="WD49" s="72"/>
      <c r="WE49" s="72"/>
      <c r="WF49" s="72"/>
      <c r="WG49" s="72"/>
      <c r="WH49" s="72"/>
      <c r="WI49" s="72"/>
      <c r="WJ49" s="72"/>
      <c r="WK49" s="72"/>
      <c r="WL49" s="72"/>
      <c r="WM49" s="72"/>
      <c r="WN49" s="72"/>
      <c r="WO49" s="72"/>
      <c r="WP49" s="72"/>
      <c r="WQ49" s="72"/>
      <c r="WR49" s="72"/>
      <c r="WS49" s="72"/>
      <c r="WT49" s="72"/>
      <c r="WU49" s="72"/>
      <c r="WV49" s="72"/>
      <c r="WW49" s="72"/>
      <c r="WX49" s="72"/>
      <c r="WY49" s="72"/>
      <c r="WZ49" s="72"/>
      <c r="XA49" s="72"/>
      <c r="XB49" s="72"/>
      <c r="XC49" s="72"/>
      <c r="XD49" s="72"/>
      <c r="XE49" s="72"/>
      <c r="XF49" s="72"/>
      <c r="XG49" s="72"/>
      <c r="XH49" s="72"/>
      <c r="XI49" s="72"/>
      <c r="XJ49" s="72"/>
      <c r="XK49" s="72"/>
      <c r="XL49" s="72"/>
      <c r="XM49" s="72"/>
      <c r="XN49" s="72"/>
      <c r="XO49" s="72"/>
      <c r="XP49" s="72"/>
      <c r="XQ49" s="72"/>
      <c r="XR49" s="72"/>
      <c r="XS49" s="72"/>
      <c r="XT49" s="72"/>
      <c r="XU49" s="72"/>
      <c r="XV49" s="72"/>
      <c r="XW49" s="72"/>
      <c r="XX49" s="72"/>
      <c r="XY49" s="72"/>
      <c r="XZ49" s="72"/>
      <c r="YA49" s="72"/>
      <c r="YB49" s="72"/>
      <c r="YC49" s="72"/>
      <c r="YD49" s="72"/>
      <c r="YE49" s="72"/>
      <c r="YF49" s="72"/>
      <c r="YG49" s="72"/>
      <c r="YH49" s="72"/>
      <c r="YI49" s="72"/>
      <c r="YJ49" s="72"/>
      <c r="YK49" s="72"/>
      <c r="YL49" s="72"/>
      <c r="YM49" s="72"/>
      <c r="YN49" s="72"/>
      <c r="YO49" s="72"/>
      <c r="YP49" s="72"/>
      <c r="YQ49" s="72"/>
      <c r="YR49" s="72"/>
      <c r="YS49" s="72"/>
      <c r="YT49" s="72"/>
      <c r="YU49" s="72"/>
      <c r="YV49" s="72"/>
      <c r="YW49" s="72"/>
      <c r="YX49" s="72"/>
      <c r="YY49" s="72"/>
      <c r="YZ49" s="72"/>
      <c r="ZA49" s="72"/>
      <c r="ZB49" s="72"/>
      <c r="ZC49" s="72"/>
      <c r="ZD49" s="72"/>
      <c r="ZE49" s="72"/>
      <c r="ZF49" s="72"/>
      <c r="ZG49" s="72"/>
      <c r="ZH49" s="72"/>
      <c r="ZI49" s="72"/>
      <c r="ZJ49" s="72"/>
      <c r="ZK49" s="72"/>
      <c r="ZL49" s="72"/>
      <c r="ZM49" s="72"/>
      <c r="ZN49" s="72"/>
      <c r="ZO49" s="72"/>
      <c r="ZP49" s="72"/>
      <c r="ZQ49" s="72"/>
      <c r="ZR49" s="72"/>
      <c r="ZS49" s="72"/>
      <c r="ZT49" s="72"/>
      <c r="ZU49" s="72"/>
      <c r="ZV49" s="72"/>
      <c r="ZW49" s="72"/>
      <c r="ZX49" s="72"/>
      <c r="ZY49" s="72"/>
      <c r="ZZ49" s="72"/>
      <c r="AAA49" s="72"/>
      <c r="AAB49" s="72"/>
      <c r="AAC49" s="72"/>
      <c r="AAD49" s="72"/>
      <c r="AAE49" s="72"/>
      <c r="AAF49" s="72"/>
      <c r="AAG49" s="72"/>
      <c r="AAH49" s="72"/>
      <c r="AAI49" s="72"/>
      <c r="AAJ49" s="72"/>
      <c r="AAK49" s="72"/>
      <c r="AAL49" s="72"/>
      <c r="AAM49" s="72"/>
      <c r="AAN49" s="72"/>
      <c r="AAO49" s="72"/>
      <c r="AAP49" s="72"/>
      <c r="AAQ49" s="72"/>
      <c r="AAR49" s="72"/>
      <c r="AAS49" s="72"/>
      <c r="AAT49" s="72"/>
      <c r="AAU49" s="72"/>
      <c r="AAV49" s="72"/>
      <c r="AAW49" s="72"/>
      <c r="AAX49" s="72"/>
      <c r="AAY49" s="72"/>
      <c r="AAZ49" s="72"/>
      <c r="ABA49" s="72"/>
      <c r="ABB49" s="72"/>
      <c r="ABC49" s="72"/>
      <c r="ABD49" s="72"/>
      <c r="ABE49" s="72"/>
      <c r="ABF49" s="72"/>
      <c r="ABG49" s="72"/>
      <c r="ABH49" s="72"/>
      <c r="ABI49" s="72"/>
      <c r="ABJ49" s="72"/>
      <c r="ABK49" s="72"/>
      <c r="ABL49" s="72"/>
      <c r="ABM49" s="72"/>
      <c r="ABN49" s="72"/>
      <c r="ABO49" s="72"/>
      <c r="ABP49" s="72"/>
      <c r="ABQ49" s="72"/>
      <c r="ABR49" s="72"/>
      <c r="ABS49" s="72"/>
      <c r="ABT49" s="72"/>
      <c r="ABU49" s="72"/>
      <c r="ABV49" s="72"/>
      <c r="ABW49" s="72"/>
      <c r="ABX49" s="72"/>
      <c r="ABY49" s="72"/>
      <c r="ABZ49" s="72"/>
      <c r="ACA49" s="72"/>
      <c r="ACB49" s="72"/>
      <c r="ACC49" s="72"/>
      <c r="ACD49" s="72"/>
      <c r="ACE49" s="72"/>
      <c r="ACF49" s="72"/>
      <c r="ACG49" s="72"/>
      <c r="ACH49" s="72"/>
      <c r="ACI49" s="72"/>
      <c r="ACJ49" s="72"/>
      <c r="ACK49" s="72"/>
      <c r="ACL49" s="72"/>
      <c r="ACM49" s="72"/>
      <c r="ACN49" s="72"/>
      <c r="ACO49" s="72"/>
      <c r="ACP49" s="72"/>
      <c r="ACQ49" s="72"/>
      <c r="ACR49" s="72"/>
      <c r="ACS49" s="72"/>
      <c r="ACT49" s="72"/>
      <c r="ACU49" s="72"/>
      <c r="ACV49" s="72"/>
      <c r="ACW49" s="72"/>
      <c r="ACX49" s="72"/>
      <c r="ACY49" s="72"/>
      <c r="ACZ49" s="72"/>
      <c r="ADA49" s="72"/>
      <c r="ADB49" s="72"/>
      <c r="ADC49" s="72"/>
      <c r="ADD49" s="72"/>
      <c r="ADE49" s="72"/>
      <c r="ADF49" s="72"/>
      <c r="ADG49" s="72"/>
      <c r="ADH49" s="72"/>
      <c r="ADI49" s="72"/>
      <c r="ADJ49" s="72"/>
      <c r="ADK49" s="72"/>
      <c r="ADL49" s="72"/>
      <c r="ADM49" s="72"/>
      <c r="ADN49" s="72"/>
      <c r="ADO49" s="72"/>
      <c r="ADP49" s="72"/>
      <c r="ADQ49" s="72"/>
      <c r="ADR49" s="72"/>
      <c r="ADS49" s="72"/>
      <c r="ADT49" s="72"/>
      <c r="ADU49" s="72"/>
      <c r="ADV49" s="72"/>
      <c r="ADW49" s="72"/>
      <c r="ADX49" s="72"/>
      <c r="ADY49" s="72"/>
      <c r="ADZ49" s="72"/>
      <c r="AEA49" s="72"/>
      <c r="AEB49" s="72"/>
      <c r="AEC49" s="72"/>
      <c r="AED49" s="72"/>
      <c r="AEE49" s="72"/>
      <c r="AEF49" s="72"/>
      <c r="AEG49" s="72"/>
      <c r="AEH49" s="72"/>
      <c r="AEI49" s="72"/>
      <c r="AEJ49" s="72"/>
      <c r="AEK49" s="72"/>
      <c r="AEL49" s="72"/>
      <c r="AEM49" s="72"/>
      <c r="AEN49" s="72"/>
      <c r="AEO49" s="72"/>
      <c r="AEP49" s="72"/>
      <c r="AEQ49" s="72"/>
      <c r="AER49" s="72"/>
      <c r="AES49" s="72"/>
      <c r="AET49" s="72"/>
      <c r="AEU49" s="72"/>
      <c r="AEV49" s="72"/>
      <c r="AEW49" s="72"/>
      <c r="AEX49" s="72"/>
      <c r="AEY49" s="72"/>
      <c r="AEZ49" s="72"/>
      <c r="AFA49" s="72"/>
      <c r="AFB49" s="72"/>
      <c r="AFC49" s="72"/>
      <c r="AFD49" s="72"/>
      <c r="AFE49" s="72"/>
      <c r="AFF49" s="72"/>
      <c r="AFG49" s="72"/>
      <c r="AFH49" s="72"/>
      <c r="AFI49" s="72"/>
      <c r="AFJ49" s="72"/>
      <c r="AFK49" s="72"/>
      <c r="AFL49" s="72"/>
      <c r="AFM49" s="72"/>
      <c r="AFN49" s="72"/>
      <c r="AFO49" s="72"/>
      <c r="AFP49" s="72"/>
      <c r="AFQ49" s="72"/>
      <c r="AFR49" s="72"/>
      <c r="AFS49" s="72"/>
      <c r="AFT49" s="72"/>
      <c r="AFU49" s="72"/>
      <c r="AFV49" s="72"/>
      <c r="AFW49" s="72"/>
      <c r="AFX49" s="72"/>
      <c r="AFY49" s="72"/>
      <c r="AFZ49" s="72"/>
      <c r="AGA49" s="72"/>
      <c r="AGB49" s="72"/>
      <c r="AGC49" s="72"/>
      <c r="AGD49" s="72"/>
      <c r="AGE49" s="72"/>
      <c r="AGF49" s="72"/>
      <c r="AGG49" s="72"/>
      <c r="AGH49" s="72"/>
      <c r="AGI49" s="72"/>
      <c r="AGJ49" s="72"/>
      <c r="AGK49" s="72"/>
      <c r="AGL49" s="72"/>
      <c r="AGM49" s="72"/>
      <c r="AGN49" s="72"/>
      <c r="AGO49" s="72"/>
      <c r="AGP49" s="72"/>
      <c r="AGQ49" s="72"/>
      <c r="AGR49" s="72"/>
      <c r="AGS49" s="72"/>
      <c r="AGT49" s="72"/>
      <c r="AGU49" s="72"/>
      <c r="AGV49" s="72"/>
      <c r="AGW49" s="72"/>
      <c r="AGX49" s="72"/>
      <c r="AGY49" s="72"/>
      <c r="AGZ49" s="72"/>
      <c r="AHA49" s="72"/>
      <c r="AHB49" s="72"/>
      <c r="AHC49" s="72"/>
      <c r="AHD49" s="72"/>
      <c r="AHE49" s="72"/>
      <c r="AHF49" s="72"/>
      <c r="AHG49" s="72"/>
      <c r="AHH49" s="72"/>
      <c r="AHI49" s="72"/>
      <c r="AHJ49" s="72"/>
      <c r="AHK49" s="72"/>
      <c r="AHL49" s="72"/>
      <c r="AHM49" s="72"/>
      <c r="AHN49" s="72"/>
      <c r="AHO49" s="72"/>
      <c r="AHP49" s="72"/>
      <c r="AHQ49" s="72"/>
      <c r="AHR49" s="72"/>
      <c r="AHS49" s="72"/>
      <c r="AHT49" s="72"/>
      <c r="AHU49" s="72"/>
      <c r="AHV49" s="72"/>
      <c r="AHW49" s="72"/>
      <c r="AHX49" s="72"/>
      <c r="AHY49" s="72"/>
      <c r="AHZ49" s="72"/>
      <c r="AIA49" s="72"/>
      <c r="AIB49" s="72"/>
      <c r="AIC49" s="72"/>
      <c r="AID49" s="72"/>
      <c r="AIE49" s="72"/>
      <c r="AIF49" s="72"/>
      <c r="AIG49" s="72"/>
      <c r="AIH49" s="72"/>
      <c r="AII49" s="72"/>
      <c r="AIJ49" s="72"/>
      <c r="AIK49" s="72"/>
      <c r="AIL49" s="72"/>
      <c r="AIM49" s="72"/>
      <c r="AIN49" s="72"/>
      <c r="AIO49" s="72"/>
      <c r="AIP49" s="72"/>
      <c r="AIQ49" s="72"/>
      <c r="AIR49" s="72"/>
      <c r="AIS49" s="72"/>
      <c r="AIT49" s="72"/>
      <c r="AIU49" s="72"/>
      <c r="AIV49" s="72"/>
      <c r="AIW49" s="72"/>
      <c r="AIX49" s="72"/>
      <c r="AIY49" s="72"/>
      <c r="AIZ49" s="72"/>
      <c r="AJA49" s="72"/>
      <c r="AJB49" s="72"/>
      <c r="AJC49" s="72"/>
      <c r="AJD49" s="72"/>
      <c r="AJE49" s="72"/>
      <c r="AJF49" s="72"/>
      <c r="AJG49" s="72"/>
      <c r="AJH49" s="72"/>
      <c r="AJI49" s="72"/>
      <c r="AJJ49" s="72"/>
      <c r="AJK49" s="72"/>
      <c r="AJL49" s="72"/>
      <c r="AJM49" s="72"/>
      <c r="AJN49" s="72"/>
      <c r="AJO49" s="72"/>
      <c r="AJP49" s="72"/>
      <c r="AJQ49" s="72"/>
      <c r="AJR49" s="72"/>
      <c r="AJS49" s="72"/>
      <c r="AJT49" s="72"/>
      <c r="AJU49" s="72"/>
      <c r="AJV49" s="72"/>
      <c r="AJW49" s="72"/>
      <c r="AJX49" s="72"/>
      <c r="AJY49" s="72"/>
      <c r="AJZ49" s="72"/>
      <c r="AKA49" s="72"/>
      <c r="AKB49" s="72"/>
      <c r="AKC49" s="72"/>
      <c r="AKD49" s="72"/>
      <c r="AKE49" s="72"/>
      <c r="AKF49" s="72"/>
      <c r="AKG49" s="72"/>
      <c r="AKH49" s="72"/>
      <c r="AKI49" s="72"/>
      <c r="AKJ49" s="72"/>
      <c r="AKK49" s="72"/>
      <c r="AKL49" s="72"/>
      <c r="AKM49" s="72"/>
      <c r="AKN49" s="72"/>
      <c r="AKO49" s="72"/>
      <c r="AKP49" s="72"/>
      <c r="AKQ49" s="72"/>
      <c r="AKR49" s="72"/>
      <c r="AKS49" s="72"/>
      <c r="AKT49" s="72"/>
      <c r="AKU49" s="72"/>
      <c r="AKV49" s="72"/>
      <c r="AKW49" s="72"/>
      <c r="AKX49" s="72"/>
      <c r="AKY49" s="72"/>
      <c r="AKZ49" s="72"/>
      <c r="ALA49" s="72"/>
      <c r="ALB49" s="72"/>
      <c r="ALC49" s="72"/>
      <c r="ALD49" s="72"/>
      <c r="ALE49" s="72"/>
      <c r="ALF49" s="72"/>
      <c r="ALG49" s="72"/>
      <c r="ALH49" s="72"/>
      <c r="ALI49" s="72"/>
      <c r="ALJ49" s="72"/>
      <c r="ALK49" s="72"/>
      <c r="ALL49" s="72"/>
      <c r="ALM49" s="72"/>
      <c r="ALN49" s="72"/>
      <c r="ALO49" s="72"/>
      <c r="ALP49" s="72"/>
      <c r="ALQ49" s="72"/>
      <c r="ALR49" s="72"/>
      <c r="ALS49" s="72"/>
      <c r="ALT49" s="72"/>
      <c r="ALU49" s="72"/>
      <c r="ALV49" s="72"/>
      <c r="ALW49" s="72"/>
      <c r="ALX49" s="72"/>
      <c r="ALY49" s="72"/>
      <c r="ALZ49" s="72"/>
      <c r="AMA49" s="72"/>
      <c r="AMB49" s="72"/>
      <c r="AMC49" s="72"/>
      <c r="AMD49" s="72"/>
      <c r="AME49" s="72"/>
      <c r="AMF49" s="72"/>
      <c r="AMG49" s="72"/>
      <c r="AMH49" s="72"/>
      <c r="AMI49" s="72"/>
      <c r="AMJ49" s="72"/>
      <c r="AMK49" s="72"/>
      <c r="AML49" s="72"/>
      <c r="AMM49" s="72"/>
      <c r="AMN49" s="72"/>
      <c r="AMO49" s="72"/>
      <c r="AMP49" s="72"/>
      <c r="AMQ49" s="72"/>
      <c r="AMR49" s="72"/>
      <c r="AMS49" s="72"/>
      <c r="AMT49" s="72"/>
      <c r="AMU49" s="72"/>
      <c r="AMV49" s="72"/>
      <c r="AMW49" s="72"/>
      <c r="AMX49" s="72"/>
      <c r="AMY49" s="72"/>
      <c r="AMZ49" s="72"/>
      <c r="ANA49" s="72"/>
      <c r="ANB49" s="72"/>
      <c r="ANC49" s="72"/>
      <c r="AND49" s="72"/>
      <c r="ANE49" s="72"/>
      <c r="ANF49" s="72"/>
      <c r="ANG49" s="72"/>
      <c r="ANH49" s="72"/>
      <c r="ANI49" s="72"/>
      <c r="ANJ49" s="72"/>
      <c r="ANK49" s="72"/>
      <c r="ANL49" s="72"/>
      <c r="ANM49" s="72"/>
      <c r="ANN49" s="72"/>
      <c r="ANO49" s="72"/>
      <c r="ANP49" s="72"/>
      <c r="ANQ49" s="72"/>
      <c r="ANR49" s="72"/>
      <c r="ANS49" s="72"/>
      <c r="ANT49" s="72"/>
      <c r="ANU49" s="72"/>
      <c r="ANV49" s="72"/>
      <c r="ANW49" s="72"/>
      <c r="ANX49" s="72"/>
      <c r="ANY49" s="72"/>
      <c r="ANZ49" s="72"/>
      <c r="AOA49" s="72"/>
      <c r="AOB49" s="72"/>
      <c r="AOC49" s="72"/>
      <c r="AOD49" s="72"/>
      <c r="AOE49" s="72"/>
      <c r="AOF49" s="72"/>
      <c r="AOG49" s="72"/>
      <c r="AOH49" s="72"/>
      <c r="AOI49" s="72"/>
      <c r="AOJ49" s="72"/>
      <c r="AOK49" s="72"/>
      <c r="AOL49" s="72"/>
      <c r="AOM49" s="72"/>
      <c r="AON49" s="72"/>
      <c r="AOO49" s="72"/>
      <c r="AOP49" s="72"/>
      <c r="AOQ49" s="72"/>
      <c r="AOR49" s="72"/>
      <c r="AOS49" s="72"/>
      <c r="AOT49" s="72"/>
      <c r="AOU49" s="72"/>
      <c r="AOV49" s="72"/>
      <c r="AOW49" s="72"/>
      <c r="AOX49" s="72"/>
      <c r="AOY49" s="72"/>
      <c r="AOZ49" s="72"/>
      <c r="APA49" s="72"/>
      <c r="APB49" s="72"/>
      <c r="APC49" s="72"/>
      <c r="APD49" s="72"/>
      <c r="APE49" s="72"/>
      <c r="APF49" s="72"/>
      <c r="APG49" s="72"/>
      <c r="APH49" s="72"/>
      <c r="API49" s="72"/>
      <c r="APJ49" s="72"/>
      <c r="APK49" s="72"/>
      <c r="APL49" s="72"/>
      <c r="APM49" s="72"/>
      <c r="APN49" s="72"/>
      <c r="APO49" s="72"/>
      <c r="APP49" s="72"/>
      <c r="APQ49" s="72"/>
      <c r="APR49" s="72"/>
      <c r="APS49" s="72"/>
      <c r="APT49" s="72"/>
      <c r="APU49" s="72"/>
      <c r="APV49" s="72"/>
      <c r="APW49" s="72"/>
      <c r="APX49" s="72"/>
      <c r="APY49" s="72"/>
      <c r="APZ49" s="72"/>
      <c r="AQA49" s="72"/>
      <c r="AQB49" s="72"/>
      <c r="AQC49" s="72"/>
      <c r="AQD49" s="72"/>
      <c r="AQE49" s="72"/>
      <c r="AQF49" s="72"/>
      <c r="AQG49" s="72"/>
      <c r="AQH49" s="72"/>
      <c r="AQI49" s="72"/>
      <c r="AQJ49" s="72"/>
      <c r="AQK49" s="72"/>
      <c r="AQL49" s="72"/>
      <c r="AQM49" s="72"/>
      <c r="AQN49" s="72"/>
      <c r="AQO49" s="72"/>
      <c r="AQP49" s="72"/>
      <c r="AQQ49" s="72"/>
      <c r="AQR49" s="72"/>
      <c r="AQS49" s="72"/>
      <c r="AQT49" s="72"/>
      <c r="AQU49" s="72"/>
      <c r="AQV49" s="72"/>
      <c r="AQW49" s="72"/>
      <c r="AQX49" s="72"/>
      <c r="AQY49" s="72"/>
      <c r="AQZ49" s="72"/>
      <c r="ARA49" s="72"/>
      <c r="ARB49" s="72"/>
      <c r="ARC49" s="72"/>
      <c r="ARD49" s="72"/>
      <c r="ARE49" s="72"/>
      <c r="ARF49" s="72"/>
      <c r="ARG49" s="72"/>
      <c r="ARH49" s="72"/>
      <c r="ARI49" s="72"/>
      <c r="ARJ49" s="72"/>
      <c r="ARK49" s="72"/>
      <c r="ARL49" s="72"/>
      <c r="ARM49" s="72"/>
      <c r="ARN49" s="72"/>
      <c r="ARO49" s="72"/>
      <c r="ARP49" s="72"/>
      <c r="ARQ49" s="72"/>
      <c r="ARR49" s="72"/>
      <c r="ARS49" s="72"/>
      <c r="ART49" s="72"/>
      <c r="ARU49" s="72"/>
      <c r="ARV49" s="72"/>
      <c r="ARW49" s="72"/>
      <c r="ARX49" s="72"/>
      <c r="ARY49" s="72"/>
      <c r="ARZ49" s="72"/>
      <c r="ASA49" s="72"/>
      <c r="ASB49" s="72"/>
      <c r="ASC49" s="72"/>
      <c r="ASD49" s="72"/>
      <c r="ASE49" s="72"/>
      <c r="ASF49" s="72"/>
      <c r="ASG49" s="72"/>
      <c r="ASH49" s="72"/>
      <c r="ASI49" s="72"/>
      <c r="ASJ49" s="72"/>
      <c r="ASK49" s="72"/>
      <c r="ASL49" s="72"/>
      <c r="ASM49" s="72"/>
      <c r="ASN49" s="72"/>
      <c r="ASO49" s="72"/>
      <c r="ASP49" s="72"/>
      <c r="ASQ49" s="72"/>
      <c r="ASR49" s="72"/>
      <c r="ASS49" s="72"/>
      <c r="AST49" s="72"/>
      <c r="ASU49" s="72"/>
      <c r="ASV49" s="72"/>
      <c r="ASW49" s="72"/>
      <c r="ASX49" s="72"/>
      <c r="ASY49" s="72"/>
      <c r="ASZ49" s="72"/>
      <c r="ATA49" s="72"/>
      <c r="ATB49" s="72"/>
      <c r="ATC49" s="72"/>
      <c r="ATD49" s="72"/>
      <c r="ATE49" s="72"/>
      <c r="ATF49" s="72"/>
      <c r="ATG49" s="72"/>
      <c r="ATH49" s="72"/>
      <c r="ATI49" s="72"/>
      <c r="ATJ49" s="72"/>
      <c r="ATK49" s="72"/>
      <c r="ATL49" s="72"/>
      <c r="ATM49" s="72"/>
      <c r="ATN49" s="72"/>
      <c r="ATO49" s="72"/>
      <c r="ATP49" s="72"/>
      <c r="ATQ49" s="72"/>
      <c r="ATR49" s="72"/>
      <c r="ATS49" s="72"/>
      <c r="ATT49" s="72"/>
      <c r="ATU49" s="72"/>
      <c r="ATV49" s="72"/>
      <c r="ATW49" s="72"/>
      <c r="ATX49" s="72"/>
      <c r="ATY49" s="72"/>
      <c r="ATZ49" s="72"/>
      <c r="AUA49" s="72"/>
      <c r="AUB49" s="72"/>
      <c r="AUC49" s="72"/>
      <c r="AUD49" s="72"/>
      <c r="AUE49" s="72"/>
      <c r="AUF49" s="72"/>
      <c r="AUG49" s="72"/>
      <c r="AUH49" s="72"/>
      <c r="AUI49" s="72"/>
      <c r="AUJ49" s="72"/>
      <c r="AUK49" s="72"/>
      <c r="AUL49" s="72"/>
      <c r="AUM49" s="72"/>
      <c r="AUN49" s="72"/>
      <c r="AUO49" s="72"/>
      <c r="AUP49" s="72"/>
      <c r="AUQ49" s="72"/>
      <c r="AUR49" s="72"/>
      <c r="AUS49" s="72"/>
      <c r="AUT49" s="72"/>
      <c r="AUU49" s="72"/>
      <c r="AUV49" s="72"/>
      <c r="AUW49" s="72"/>
      <c r="AUX49" s="72"/>
      <c r="AUY49" s="72"/>
      <c r="AUZ49" s="72"/>
      <c r="AVA49" s="72"/>
      <c r="AVB49" s="72"/>
      <c r="AVC49" s="72"/>
      <c r="AVD49" s="72"/>
      <c r="AVE49" s="72"/>
      <c r="AVF49" s="72"/>
      <c r="AVG49" s="72"/>
      <c r="AVH49" s="72"/>
      <c r="AVI49" s="72"/>
      <c r="AVJ49" s="72"/>
      <c r="AVK49" s="72"/>
      <c r="AVL49" s="72"/>
      <c r="AVM49" s="72"/>
      <c r="AVN49" s="72"/>
      <c r="AVO49" s="72"/>
      <c r="AVP49" s="72"/>
      <c r="AVQ49" s="72"/>
      <c r="AVR49" s="72"/>
      <c r="AVS49" s="72"/>
      <c r="AVT49" s="72"/>
      <c r="AVU49" s="72"/>
      <c r="AVV49" s="72"/>
      <c r="AVW49" s="72"/>
      <c r="AVX49" s="72"/>
      <c r="AVY49" s="72"/>
      <c r="AVZ49" s="72"/>
      <c r="AWA49" s="72"/>
      <c r="AWB49" s="72"/>
      <c r="AWC49" s="72"/>
      <c r="AWD49" s="72"/>
      <c r="AWE49" s="72"/>
      <c r="AWF49" s="72"/>
      <c r="AWG49" s="72"/>
      <c r="AWH49" s="72"/>
      <c r="AWI49" s="72"/>
      <c r="AWJ49" s="72"/>
      <c r="AWK49" s="72"/>
      <c r="AWL49" s="72"/>
      <c r="AWM49" s="72"/>
      <c r="AWN49" s="72"/>
      <c r="AWO49" s="72"/>
      <c r="AWP49" s="72"/>
      <c r="AWQ49" s="72"/>
      <c r="AWR49" s="72"/>
      <c r="AWS49" s="72"/>
      <c r="AWT49" s="72"/>
      <c r="AWU49" s="72"/>
      <c r="AWV49" s="72"/>
      <c r="AWW49" s="72"/>
      <c r="AWX49" s="72"/>
      <c r="AWY49" s="72"/>
      <c r="AWZ49" s="72"/>
      <c r="AXA49" s="72"/>
      <c r="AXB49" s="72"/>
      <c r="AXC49" s="72"/>
      <c r="AXD49" s="72"/>
      <c r="AXE49" s="72"/>
      <c r="AXF49" s="72"/>
      <c r="AXG49" s="72"/>
      <c r="AXH49" s="72"/>
      <c r="AXI49" s="72"/>
      <c r="AXJ49" s="72"/>
      <c r="AXK49" s="72"/>
      <c r="AXL49" s="72"/>
      <c r="AXM49" s="72"/>
      <c r="AXN49" s="72"/>
      <c r="AXO49" s="72"/>
      <c r="AXP49" s="72"/>
      <c r="AXQ49" s="72"/>
      <c r="AXR49" s="72"/>
      <c r="AXS49" s="72"/>
      <c r="AXT49" s="72"/>
      <c r="AXU49" s="72"/>
      <c r="AXV49" s="72"/>
      <c r="AXW49" s="72"/>
      <c r="AXX49" s="72"/>
      <c r="AXY49" s="72"/>
      <c r="AXZ49" s="72"/>
      <c r="AYA49" s="72"/>
      <c r="AYB49" s="72"/>
      <c r="AYC49" s="72"/>
      <c r="AYD49" s="72"/>
      <c r="AYE49" s="72"/>
      <c r="AYF49" s="72"/>
      <c r="AYG49" s="72"/>
      <c r="AYH49" s="72"/>
      <c r="AYI49" s="72"/>
      <c r="AYJ49" s="72"/>
      <c r="AYK49" s="72"/>
      <c r="AYL49" s="72"/>
      <c r="AYM49" s="72"/>
      <c r="AYN49" s="72"/>
      <c r="AYO49" s="72"/>
      <c r="AYP49" s="72"/>
      <c r="AYQ49" s="72"/>
      <c r="AYR49" s="72"/>
      <c r="AYS49" s="72"/>
      <c r="AYT49" s="72"/>
      <c r="AYU49" s="72"/>
      <c r="AYV49" s="72"/>
      <c r="AYW49" s="72"/>
      <c r="AYX49" s="72"/>
      <c r="AYY49" s="72"/>
      <c r="AYZ49" s="72"/>
      <c r="AZA49" s="72"/>
      <c r="AZB49" s="72"/>
      <c r="AZC49" s="72"/>
      <c r="AZD49" s="72"/>
      <c r="AZE49" s="72"/>
      <c r="AZF49" s="72"/>
      <c r="AZG49" s="72"/>
      <c r="AZH49" s="72"/>
      <c r="AZI49" s="72"/>
      <c r="AZJ49" s="72"/>
      <c r="AZK49" s="72"/>
      <c r="AZL49" s="72"/>
      <c r="AZM49" s="72"/>
      <c r="AZN49" s="72"/>
      <c r="AZO49" s="72"/>
      <c r="AZP49" s="72"/>
      <c r="AZQ49" s="72"/>
      <c r="AZR49" s="72"/>
      <c r="AZS49" s="72"/>
      <c r="AZT49" s="72"/>
      <c r="AZU49" s="72"/>
      <c r="AZV49" s="72"/>
      <c r="AZW49" s="72"/>
      <c r="AZX49" s="72"/>
      <c r="AZY49" s="72"/>
      <c r="AZZ49" s="72"/>
      <c r="BAA49" s="72"/>
      <c r="BAB49" s="72"/>
      <c r="BAC49" s="72"/>
      <c r="BAD49" s="72"/>
      <c r="BAE49" s="72"/>
      <c r="BAF49" s="72"/>
      <c r="BAG49" s="72"/>
      <c r="BAH49" s="72"/>
      <c r="BAI49" s="72"/>
      <c r="BAJ49" s="72"/>
      <c r="BAK49" s="72"/>
      <c r="BAL49" s="72"/>
      <c r="BAM49" s="72"/>
      <c r="BAN49" s="72"/>
      <c r="BAO49" s="72"/>
      <c r="BAP49" s="72"/>
      <c r="BAQ49" s="72"/>
      <c r="BAR49" s="72"/>
      <c r="BAS49" s="72"/>
      <c r="BAT49" s="72"/>
      <c r="BAU49" s="72"/>
      <c r="BAV49" s="72"/>
      <c r="BAW49" s="72"/>
      <c r="BAX49" s="72"/>
      <c r="BAY49" s="72"/>
      <c r="BAZ49" s="72"/>
      <c r="BBA49" s="72"/>
      <c r="BBB49" s="72"/>
      <c r="BBC49" s="72"/>
      <c r="BBD49" s="72"/>
      <c r="BBE49" s="72"/>
      <c r="BBF49" s="72"/>
      <c r="BBG49" s="72"/>
      <c r="BBH49" s="72"/>
      <c r="BBI49" s="72"/>
      <c r="BBJ49" s="72"/>
      <c r="BBK49" s="72"/>
      <c r="BBL49" s="72"/>
      <c r="BBM49" s="72"/>
      <c r="BBN49" s="72"/>
      <c r="BBO49" s="72"/>
      <c r="BBP49" s="72"/>
      <c r="BBQ49" s="72"/>
      <c r="BBR49" s="72"/>
      <c r="BBS49" s="72"/>
      <c r="BBT49" s="72"/>
      <c r="BBU49" s="72"/>
      <c r="BBV49" s="72"/>
      <c r="BBW49" s="72"/>
      <c r="BBX49" s="72"/>
      <c r="BBY49" s="72"/>
      <c r="BBZ49" s="72"/>
      <c r="BCA49" s="72"/>
      <c r="BCB49" s="72"/>
      <c r="BCC49" s="72"/>
      <c r="BCD49" s="72"/>
      <c r="BCE49" s="72"/>
      <c r="BCF49" s="72"/>
      <c r="BCG49" s="72"/>
      <c r="BCH49" s="72"/>
      <c r="BCI49" s="72"/>
      <c r="BCJ49" s="72"/>
      <c r="BCK49" s="72"/>
      <c r="BCL49" s="72"/>
      <c r="BCM49" s="72"/>
      <c r="BCN49" s="72"/>
      <c r="BCO49" s="72"/>
      <c r="BCP49" s="72"/>
      <c r="BCQ49" s="72"/>
      <c r="BCR49" s="72"/>
      <c r="BCS49" s="72"/>
      <c r="BCT49" s="72"/>
      <c r="BCU49" s="72"/>
      <c r="BCV49" s="72"/>
      <c r="BCW49" s="72"/>
      <c r="BCX49" s="72"/>
      <c r="BCY49" s="72"/>
      <c r="BCZ49" s="72"/>
      <c r="BDA49" s="72"/>
      <c r="BDB49" s="72"/>
      <c r="BDC49" s="72"/>
      <c r="BDD49" s="72"/>
      <c r="BDE49" s="72"/>
      <c r="BDF49" s="72"/>
      <c r="BDG49" s="72"/>
      <c r="BDH49" s="72"/>
      <c r="BDI49" s="72"/>
      <c r="BDJ49" s="72"/>
      <c r="BDK49" s="72"/>
      <c r="BDL49" s="72"/>
      <c r="BDM49" s="72"/>
      <c r="BDN49" s="72"/>
      <c r="BDO49" s="72"/>
      <c r="BDP49" s="72"/>
      <c r="BDQ49" s="72"/>
      <c r="BDR49" s="72"/>
      <c r="BDS49" s="72"/>
      <c r="BDT49" s="72"/>
      <c r="BDU49" s="72"/>
      <c r="BDV49" s="72"/>
      <c r="BDW49" s="72"/>
      <c r="BDX49" s="72"/>
      <c r="BDY49" s="72"/>
      <c r="BDZ49" s="72"/>
      <c r="BEA49" s="72"/>
      <c r="BEB49" s="72"/>
      <c r="BEC49" s="72"/>
      <c r="BED49" s="72"/>
      <c r="BEE49" s="72"/>
      <c r="BEF49" s="72"/>
      <c r="BEG49" s="72"/>
      <c r="BEH49" s="72"/>
      <c r="BEI49" s="72"/>
      <c r="BEJ49" s="72"/>
      <c r="BEK49" s="72"/>
      <c r="BEL49" s="72"/>
      <c r="BEM49" s="72"/>
      <c r="BEN49" s="72"/>
      <c r="BEO49" s="72"/>
      <c r="BEP49" s="72"/>
      <c r="BEQ49" s="72"/>
      <c r="BER49" s="72"/>
      <c r="BES49" s="72"/>
      <c r="BET49" s="72"/>
      <c r="BEU49" s="72"/>
      <c r="BEV49" s="72"/>
      <c r="BEW49" s="72"/>
      <c r="BEX49" s="72"/>
      <c r="BEY49" s="72"/>
      <c r="BEZ49" s="72"/>
      <c r="BFA49" s="72"/>
      <c r="BFB49" s="72"/>
      <c r="BFC49" s="72"/>
      <c r="BFD49" s="72"/>
      <c r="BFE49" s="72"/>
      <c r="BFF49" s="72"/>
      <c r="BFG49" s="72"/>
      <c r="BFH49" s="72"/>
      <c r="BFI49" s="72"/>
      <c r="BFJ49" s="72"/>
      <c r="BFK49" s="72"/>
      <c r="BFL49" s="72"/>
      <c r="BFM49" s="72"/>
      <c r="BFN49" s="72"/>
      <c r="BFO49" s="72"/>
      <c r="BFP49" s="72"/>
      <c r="BFQ49" s="72"/>
      <c r="BFR49" s="72"/>
      <c r="BFS49" s="72"/>
      <c r="BFT49" s="72"/>
      <c r="BFU49" s="72"/>
      <c r="BFV49" s="72"/>
      <c r="BFW49" s="72"/>
      <c r="BFX49" s="72"/>
      <c r="BFY49" s="72"/>
      <c r="BFZ49" s="72"/>
      <c r="BGA49" s="72"/>
      <c r="BGB49" s="72"/>
      <c r="BGC49" s="72"/>
      <c r="BGD49" s="72"/>
      <c r="BGE49" s="72"/>
      <c r="BGF49" s="72"/>
      <c r="BGG49" s="72"/>
      <c r="BGH49" s="72"/>
      <c r="BGI49" s="72"/>
      <c r="BGJ49" s="72"/>
      <c r="BGK49" s="72"/>
      <c r="BGL49" s="72"/>
      <c r="BGM49" s="72"/>
      <c r="BGN49" s="72"/>
      <c r="BGO49" s="72"/>
      <c r="BGP49" s="72"/>
      <c r="BGQ49" s="72"/>
      <c r="BGR49" s="72"/>
      <c r="BGS49" s="72"/>
      <c r="BGT49" s="72"/>
      <c r="BGU49" s="72"/>
      <c r="BGV49" s="72"/>
      <c r="BGW49" s="72"/>
      <c r="BGX49" s="72"/>
      <c r="BGY49" s="72"/>
      <c r="BGZ49" s="72"/>
      <c r="BHA49" s="72"/>
      <c r="BHB49" s="72"/>
      <c r="BHC49" s="72"/>
      <c r="BHD49" s="72"/>
      <c r="BHE49" s="72"/>
      <c r="BHF49" s="72"/>
      <c r="BHG49" s="72"/>
      <c r="BHH49" s="72"/>
      <c r="BHI49" s="72"/>
      <c r="BHJ49" s="72"/>
      <c r="BHK49" s="72"/>
      <c r="BHL49" s="72"/>
      <c r="BHM49" s="72"/>
      <c r="BHN49" s="72"/>
      <c r="BHO49" s="72"/>
      <c r="BHP49" s="72"/>
      <c r="BHQ49" s="72"/>
      <c r="BHR49" s="72"/>
      <c r="BHS49" s="72"/>
      <c r="BHT49" s="72"/>
      <c r="BHU49" s="72"/>
      <c r="BHV49" s="72"/>
      <c r="BHW49" s="72"/>
      <c r="BHX49" s="72"/>
      <c r="BHY49" s="72"/>
      <c r="BHZ49" s="72"/>
      <c r="BIA49" s="72"/>
      <c r="BIB49" s="72"/>
      <c r="BIC49" s="72"/>
      <c r="BID49" s="72"/>
      <c r="BIE49" s="72"/>
      <c r="BIF49" s="72"/>
      <c r="BIG49" s="72"/>
      <c r="BIH49" s="72"/>
      <c r="BII49" s="72"/>
      <c r="BIJ49" s="72"/>
      <c r="BIK49" s="72"/>
      <c r="BIL49" s="72"/>
      <c r="BIM49" s="72"/>
      <c r="BIN49" s="72"/>
      <c r="BIO49" s="72"/>
      <c r="BIP49" s="72"/>
      <c r="BIQ49" s="72"/>
      <c r="BIR49" s="72"/>
      <c r="BIS49" s="72"/>
      <c r="BIT49" s="72"/>
      <c r="BIU49" s="72"/>
      <c r="BIV49" s="72"/>
      <c r="BIW49" s="72"/>
      <c r="BIX49" s="72"/>
      <c r="BIY49" s="72"/>
      <c r="BIZ49" s="72"/>
      <c r="BJA49" s="72"/>
      <c r="BJB49" s="72"/>
      <c r="BJC49" s="72"/>
      <c r="BJD49" s="72"/>
      <c r="BJE49" s="72"/>
      <c r="BJF49" s="72"/>
      <c r="BJG49" s="72"/>
      <c r="BJH49" s="72"/>
      <c r="BJI49" s="72"/>
      <c r="BJJ49" s="72"/>
      <c r="BJK49" s="72"/>
      <c r="BJL49" s="72"/>
      <c r="BJM49" s="72"/>
      <c r="BJN49" s="72"/>
      <c r="BJO49" s="72"/>
      <c r="BJP49" s="72"/>
      <c r="BJQ49" s="72"/>
      <c r="BJR49" s="72"/>
      <c r="BJS49" s="72"/>
      <c r="BJT49" s="72"/>
      <c r="BJU49" s="72"/>
      <c r="BJV49" s="72"/>
      <c r="BJW49" s="72"/>
      <c r="BJX49" s="72"/>
      <c r="BJY49" s="72"/>
      <c r="BJZ49" s="72"/>
      <c r="BKA49" s="72"/>
      <c r="BKB49" s="72"/>
      <c r="BKC49" s="72"/>
      <c r="BKD49" s="72"/>
      <c r="BKE49" s="72"/>
      <c r="BKF49" s="72"/>
      <c r="BKG49" s="72"/>
      <c r="BKH49" s="72"/>
      <c r="BKI49" s="72"/>
      <c r="BKJ49" s="72"/>
      <c r="BKK49" s="72"/>
      <c r="BKL49" s="72"/>
      <c r="BKM49" s="72"/>
      <c r="BKN49" s="72"/>
      <c r="BKO49" s="72"/>
      <c r="BKP49" s="72"/>
      <c r="BKQ49" s="72"/>
      <c r="BKR49" s="72"/>
      <c r="BKS49" s="72"/>
      <c r="BKT49" s="72"/>
      <c r="BKU49" s="72"/>
      <c r="BKV49" s="72"/>
      <c r="BKW49" s="72"/>
      <c r="BKX49" s="72"/>
      <c r="BKY49" s="72"/>
      <c r="BKZ49" s="72"/>
      <c r="BLA49" s="72"/>
      <c r="BLB49" s="72"/>
      <c r="BLC49" s="72"/>
      <c r="BLD49" s="72"/>
      <c r="BLE49" s="72"/>
      <c r="BLF49" s="72"/>
      <c r="BLG49" s="72"/>
      <c r="BLH49" s="72"/>
      <c r="BLI49" s="72"/>
      <c r="BLJ49" s="72"/>
      <c r="BLK49" s="72"/>
      <c r="BLL49" s="72"/>
      <c r="BLM49" s="72"/>
      <c r="BLN49" s="72"/>
      <c r="BLO49" s="72"/>
      <c r="BLP49" s="72"/>
      <c r="BLQ49" s="72"/>
      <c r="BLR49" s="72"/>
      <c r="BLS49" s="72"/>
      <c r="BLT49" s="72"/>
      <c r="BLU49" s="72"/>
      <c r="BLV49" s="72"/>
      <c r="BLW49" s="72"/>
      <c r="BLX49" s="72"/>
      <c r="BLY49" s="72"/>
      <c r="BLZ49" s="72"/>
      <c r="BMA49" s="72"/>
      <c r="BMB49" s="72"/>
      <c r="BMC49" s="72"/>
      <c r="BMD49" s="72"/>
      <c r="BME49" s="72"/>
      <c r="BMF49" s="72"/>
      <c r="BMG49" s="72"/>
      <c r="BMH49" s="72"/>
      <c r="BMI49" s="72"/>
      <c r="BMJ49" s="72"/>
      <c r="BMK49" s="72"/>
      <c r="BML49" s="72"/>
      <c r="BMM49" s="72"/>
      <c r="BMN49" s="72"/>
      <c r="BMO49" s="72"/>
      <c r="BMP49" s="72"/>
      <c r="BMQ49" s="72"/>
      <c r="BMR49" s="72"/>
      <c r="BMS49" s="72"/>
      <c r="BMT49" s="72"/>
      <c r="BMU49" s="72"/>
      <c r="BMV49" s="72"/>
      <c r="BMW49" s="72"/>
      <c r="BMX49" s="72"/>
      <c r="BMY49" s="72"/>
      <c r="BMZ49" s="72"/>
      <c r="BNA49" s="72"/>
      <c r="BNB49" s="72"/>
      <c r="BNC49" s="72"/>
      <c r="BND49" s="72"/>
      <c r="BNE49" s="72"/>
      <c r="BNF49" s="72"/>
      <c r="BNG49" s="72"/>
      <c r="BNH49" s="72"/>
      <c r="BNI49" s="72"/>
      <c r="BNJ49" s="72"/>
      <c r="BNK49" s="72"/>
      <c r="BNL49" s="72"/>
      <c r="BNM49" s="72"/>
      <c r="BNN49" s="72"/>
      <c r="BNO49" s="72"/>
      <c r="BNP49" s="72"/>
      <c r="BNQ49" s="72"/>
      <c r="BNR49" s="72"/>
      <c r="BNS49" s="72"/>
      <c r="BNT49" s="72"/>
      <c r="BNU49" s="72"/>
      <c r="BNV49" s="72"/>
      <c r="BNW49" s="72"/>
      <c r="BNX49" s="72"/>
      <c r="BNY49" s="72"/>
      <c r="BNZ49" s="72"/>
      <c r="BOA49" s="72"/>
      <c r="BOB49" s="72"/>
      <c r="BOC49" s="72"/>
      <c r="BOD49" s="72"/>
      <c r="BOE49" s="72"/>
      <c r="BOF49" s="72"/>
      <c r="BOG49" s="72"/>
      <c r="BOH49" s="72"/>
      <c r="BOI49" s="72"/>
      <c r="BOJ49" s="72"/>
      <c r="BOK49" s="72"/>
      <c r="BOL49" s="72"/>
      <c r="BOM49" s="72"/>
      <c r="BON49" s="72"/>
      <c r="BOO49" s="72"/>
      <c r="BOP49" s="72"/>
      <c r="BOQ49" s="72"/>
      <c r="BOR49" s="72"/>
      <c r="BOS49" s="72"/>
      <c r="BOT49" s="72"/>
      <c r="BOU49" s="72"/>
      <c r="BOV49" s="72"/>
      <c r="BOW49" s="72"/>
      <c r="BOX49" s="72"/>
      <c r="BOY49" s="72"/>
      <c r="BOZ49" s="72"/>
      <c r="BPA49" s="72"/>
      <c r="BPB49" s="72"/>
      <c r="BPC49" s="72"/>
      <c r="BPD49" s="72"/>
      <c r="BPE49" s="72"/>
      <c r="BPF49" s="72"/>
      <c r="BPG49" s="72"/>
      <c r="BPH49" s="72"/>
      <c r="BPI49" s="72"/>
      <c r="BPJ49" s="72"/>
      <c r="BPK49" s="72"/>
      <c r="BPL49" s="72"/>
      <c r="BPM49" s="72"/>
      <c r="BPN49" s="72"/>
      <c r="BPO49" s="72"/>
      <c r="BPP49" s="72"/>
      <c r="BPQ49" s="72"/>
      <c r="BPR49" s="72"/>
      <c r="BPS49" s="72"/>
      <c r="BPT49" s="72"/>
      <c r="BPU49" s="72"/>
      <c r="BPV49" s="72"/>
      <c r="BPW49" s="72"/>
      <c r="BPX49" s="72"/>
      <c r="BPY49" s="72"/>
      <c r="BPZ49" s="72"/>
      <c r="BQA49" s="72"/>
      <c r="BQB49" s="72"/>
      <c r="BQC49" s="72"/>
      <c r="BQD49" s="72"/>
      <c r="BQE49" s="72"/>
      <c r="BQF49" s="72"/>
      <c r="BQG49" s="72"/>
      <c r="BQH49" s="72"/>
      <c r="BQI49" s="72"/>
      <c r="BQJ49" s="72"/>
      <c r="BQK49" s="72"/>
      <c r="BQL49" s="72"/>
      <c r="BQM49" s="72"/>
      <c r="BQN49" s="72"/>
      <c r="BQO49" s="72"/>
      <c r="BQP49" s="72"/>
      <c r="BQQ49" s="72"/>
      <c r="BQR49" s="72"/>
      <c r="BQS49" s="72"/>
      <c r="BQT49" s="72"/>
      <c r="BQU49" s="72"/>
      <c r="BQV49" s="72"/>
      <c r="BQW49" s="72"/>
      <c r="BQX49" s="72"/>
      <c r="BQY49" s="72"/>
      <c r="BQZ49" s="72"/>
      <c r="BRA49" s="72"/>
      <c r="BRB49" s="72"/>
      <c r="BRC49" s="72"/>
      <c r="BRD49" s="72"/>
      <c r="BRE49" s="72"/>
      <c r="BRF49" s="72"/>
      <c r="BRG49" s="72"/>
      <c r="BRH49" s="72"/>
      <c r="BRI49" s="72"/>
      <c r="BRJ49" s="72"/>
      <c r="BRK49" s="72"/>
      <c r="BRL49" s="72"/>
      <c r="BRM49" s="72"/>
      <c r="BRN49" s="72"/>
      <c r="BRO49" s="72"/>
      <c r="BRP49" s="72"/>
      <c r="BRQ49" s="72"/>
      <c r="BRR49" s="72"/>
      <c r="BRS49" s="72"/>
      <c r="BRT49" s="72"/>
      <c r="BRU49" s="72"/>
      <c r="BRV49" s="72"/>
      <c r="BRW49" s="72"/>
      <c r="BRX49" s="72"/>
      <c r="BRY49" s="72"/>
      <c r="BRZ49" s="72"/>
      <c r="BSA49" s="72"/>
      <c r="BSB49" s="72"/>
      <c r="BSC49" s="72"/>
      <c r="BSD49" s="72"/>
      <c r="BSE49" s="72"/>
      <c r="BSF49" s="72"/>
      <c r="BSG49" s="72"/>
      <c r="BSH49" s="72"/>
      <c r="BSI49" s="72"/>
      <c r="BSJ49" s="72"/>
      <c r="BSK49" s="72"/>
      <c r="BSL49" s="72"/>
      <c r="BSM49" s="72"/>
      <c r="BSN49" s="72"/>
      <c r="BSO49" s="72"/>
      <c r="BSP49" s="72"/>
      <c r="BSQ49" s="72"/>
      <c r="BSR49" s="72"/>
      <c r="BSS49" s="72"/>
      <c r="BST49" s="72"/>
      <c r="BSU49" s="72"/>
      <c r="BSV49" s="72"/>
      <c r="BSW49" s="72"/>
      <c r="BSX49" s="72"/>
      <c r="BSY49" s="72"/>
      <c r="BSZ49" s="72"/>
      <c r="BTA49" s="72"/>
      <c r="BTB49" s="72"/>
      <c r="BTC49" s="72"/>
      <c r="BTD49" s="72"/>
      <c r="BTE49" s="72"/>
      <c r="BTF49" s="72"/>
      <c r="BTG49" s="72"/>
      <c r="BTH49" s="72"/>
      <c r="BTI49" s="72"/>
      <c r="BTJ49" s="72"/>
      <c r="BTK49" s="72"/>
      <c r="BTL49" s="72"/>
      <c r="BTM49" s="72"/>
      <c r="BTN49" s="72"/>
      <c r="BTO49" s="72"/>
      <c r="BTP49" s="72"/>
      <c r="BTQ49" s="72"/>
      <c r="BTR49" s="72"/>
      <c r="BTS49" s="72"/>
      <c r="BTT49" s="72"/>
      <c r="BTU49" s="72"/>
      <c r="BTV49" s="72"/>
      <c r="BTW49" s="72"/>
      <c r="BTX49" s="72"/>
      <c r="BTY49" s="72"/>
      <c r="BTZ49" s="72"/>
      <c r="BUA49" s="72"/>
      <c r="BUB49" s="72"/>
      <c r="BUC49" s="72"/>
      <c r="BUD49" s="72"/>
      <c r="BUE49" s="72"/>
      <c r="BUF49" s="72"/>
      <c r="BUG49" s="72"/>
      <c r="BUH49" s="72"/>
      <c r="BUI49" s="72"/>
      <c r="BUJ49" s="72"/>
      <c r="BUK49" s="72"/>
      <c r="BUL49" s="72"/>
      <c r="BUM49" s="72"/>
      <c r="BUN49" s="72"/>
      <c r="BUO49" s="72"/>
      <c r="BUP49" s="72"/>
      <c r="BUQ49" s="72"/>
      <c r="BUR49" s="72"/>
      <c r="BUS49" s="72"/>
      <c r="BUT49" s="72"/>
      <c r="BUU49" s="72"/>
      <c r="BUV49" s="72"/>
      <c r="BUW49" s="72"/>
      <c r="BUX49" s="72"/>
      <c r="BUY49" s="72"/>
      <c r="BUZ49" s="72"/>
      <c r="BVA49" s="72"/>
      <c r="BVB49" s="72"/>
      <c r="BVC49" s="72"/>
      <c r="BVD49" s="72"/>
      <c r="BVE49" s="72"/>
      <c r="BVF49" s="72"/>
      <c r="BVG49" s="72"/>
      <c r="BVH49" s="72"/>
      <c r="BVI49" s="72"/>
      <c r="BVJ49" s="72"/>
      <c r="BVK49" s="72"/>
      <c r="BVL49" s="72"/>
      <c r="BVM49" s="72"/>
      <c r="BVN49" s="72"/>
      <c r="BVO49" s="72"/>
      <c r="BVP49" s="72"/>
      <c r="BVQ49" s="72"/>
      <c r="BVR49" s="72"/>
      <c r="BVS49" s="72"/>
      <c r="BVT49" s="72"/>
      <c r="BVU49" s="72"/>
      <c r="BVV49" s="72"/>
      <c r="BVW49" s="72"/>
      <c r="BVX49" s="72"/>
      <c r="BVY49" s="72"/>
      <c r="BVZ49" s="72"/>
      <c r="BWA49" s="72"/>
      <c r="BWB49" s="72"/>
      <c r="BWC49" s="72"/>
      <c r="BWD49" s="72"/>
      <c r="BWE49" s="72"/>
      <c r="BWF49" s="72"/>
      <c r="BWG49" s="72"/>
      <c r="BWH49" s="72"/>
      <c r="BWI49" s="72"/>
      <c r="BWJ49" s="72"/>
      <c r="BWK49" s="72"/>
      <c r="BWL49" s="72"/>
      <c r="BWM49" s="72"/>
      <c r="BWN49" s="72"/>
      <c r="BWO49" s="72"/>
      <c r="BWP49" s="72"/>
      <c r="BWQ49" s="72"/>
      <c r="BWR49" s="72"/>
      <c r="BWS49" s="72"/>
      <c r="BWT49" s="72"/>
      <c r="BWU49" s="72"/>
      <c r="BWV49" s="72"/>
      <c r="BWW49" s="72"/>
      <c r="BWX49" s="72"/>
      <c r="BWY49" s="72"/>
      <c r="BWZ49" s="72"/>
      <c r="BXA49" s="72"/>
      <c r="BXB49" s="72"/>
      <c r="BXC49" s="72"/>
      <c r="BXD49" s="72"/>
      <c r="BXE49" s="72"/>
      <c r="BXF49" s="72"/>
      <c r="BXG49" s="72"/>
      <c r="BXH49" s="72"/>
      <c r="BXI49" s="72"/>
      <c r="BXJ49" s="72"/>
      <c r="BXK49" s="72"/>
      <c r="BXL49" s="72"/>
      <c r="BXM49" s="72"/>
      <c r="BXN49" s="72"/>
      <c r="BXO49" s="72"/>
      <c r="BXP49" s="72"/>
      <c r="BXQ49" s="72"/>
      <c r="BXR49" s="72"/>
      <c r="BXS49" s="72"/>
      <c r="BXT49" s="72"/>
      <c r="BXU49" s="72"/>
      <c r="BXV49" s="72"/>
      <c r="BXW49" s="72"/>
      <c r="BXX49" s="72"/>
      <c r="BXY49" s="72"/>
      <c r="BXZ49" s="72"/>
      <c r="BYA49" s="72"/>
      <c r="BYB49" s="72"/>
      <c r="BYC49" s="72"/>
      <c r="BYD49" s="72"/>
      <c r="BYE49" s="72"/>
      <c r="BYF49" s="72"/>
      <c r="BYG49" s="72"/>
      <c r="BYH49" s="72"/>
      <c r="BYI49" s="72"/>
      <c r="BYJ49" s="72"/>
      <c r="BYK49" s="72"/>
      <c r="BYL49" s="72"/>
      <c r="BYM49" s="72"/>
      <c r="BYN49" s="72"/>
      <c r="BYO49" s="72"/>
      <c r="BYP49" s="72"/>
      <c r="BYQ49" s="72"/>
      <c r="BYR49" s="72"/>
      <c r="BYS49" s="72"/>
      <c r="BYT49" s="72"/>
      <c r="BYU49" s="72"/>
      <c r="BYV49" s="72"/>
      <c r="BYW49" s="72"/>
      <c r="BYX49" s="72"/>
      <c r="BYY49" s="72"/>
      <c r="BYZ49" s="72"/>
      <c r="BZA49" s="72"/>
      <c r="BZB49" s="72"/>
      <c r="BZC49" s="72"/>
      <c r="BZD49" s="72"/>
      <c r="BZE49" s="72"/>
      <c r="BZF49" s="72"/>
      <c r="BZG49" s="72"/>
      <c r="BZH49" s="72"/>
      <c r="BZI49" s="72"/>
      <c r="BZJ49" s="72"/>
      <c r="BZK49" s="72"/>
      <c r="BZL49" s="72"/>
      <c r="BZM49" s="72"/>
      <c r="BZN49" s="72"/>
      <c r="BZO49" s="72"/>
      <c r="BZP49" s="72"/>
      <c r="BZQ49" s="72"/>
      <c r="BZR49" s="72"/>
      <c r="BZS49" s="72"/>
      <c r="BZT49" s="72"/>
      <c r="BZU49" s="72"/>
      <c r="BZV49" s="72"/>
      <c r="BZW49" s="72"/>
      <c r="BZX49" s="72"/>
      <c r="BZY49" s="72"/>
      <c r="BZZ49" s="72"/>
      <c r="CAA49" s="72"/>
      <c r="CAB49" s="72"/>
      <c r="CAC49" s="72"/>
      <c r="CAD49" s="72"/>
      <c r="CAE49" s="72"/>
      <c r="CAF49" s="72"/>
      <c r="CAG49" s="72"/>
      <c r="CAH49" s="72"/>
      <c r="CAI49" s="72"/>
      <c r="CAJ49" s="72"/>
      <c r="CAK49" s="72"/>
      <c r="CAL49" s="72"/>
      <c r="CAM49" s="72"/>
      <c r="CAN49" s="72"/>
      <c r="CAO49" s="72"/>
      <c r="CAP49" s="72"/>
      <c r="CAQ49" s="72"/>
      <c r="CAR49" s="72"/>
      <c r="CAS49" s="72"/>
      <c r="CAT49" s="72"/>
      <c r="CAU49" s="72"/>
      <c r="CAV49" s="72"/>
      <c r="CAW49" s="72"/>
      <c r="CAX49" s="72"/>
      <c r="CAY49" s="72"/>
      <c r="CAZ49" s="72"/>
      <c r="CBA49" s="72"/>
      <c r="CBB49" s="72"/>
      <c r="CBC49" s="72"/>
      <c r="CBD49" s="72"/>
      <c r="CBE49" s="72"/>
      <c r="CBF49" s="72"/>
      <c r="CBG49" s="72"/>
      <c r="CBH49" s="72"/>
      <c r="CBI49" s="72"/>
      <c r="CBJ49" s="72"/>
      <c r="CBK49" s="72"/>
      <c r="CBL49" s="72"/>
      <c r="CBM49" s="72"/>
      <c r="CBN49" s="72"/>
      <c r="CBO49" s="72"/>
      <c r="CBP49" s="72"/>
      <c r="CBQ49" s="72"/>
      <c r="CBR49" s="72"/>
      <c r="CBS49" s="72"/>
      <c r="CBT49" s="72"/>
      <c r="CBU49" s="72"/>
      <c r="CBV49" s="72"/>
      <c r="CBW49" s="72"/>
      <c r="CBX49" s="72"/>
      <c r="CBY49" s="72"/>
      <c r="CBZ49" s="72"/>
      <c r="CCA49" s="72"/>
      <c r="CCB49" s="72"/>
      <c r="CCC49" s="72"/>
      <c r="CCD49" s="72"/>
      <c r="CCE49" s="72"/>
      <c r="CCF49" s="72"/>
      <c r="CCG49" s="72"/>
      <c r="CCH49" s="72"/>
      <c r="CCI49" s="72"/>
      <c r="CCJ49" s="72"/>
      <c r="CCK49" s="72"/>
      <c r="CCL49" s="72"/>
      <c r="CCM49" s="72"/>
      <c r="CCN49" s="72"/>
      <c r="CCO49" s="72"/>
      <c r="CCP49" s="72"/>
      <c r="CCQ49" s="72"/>
      <c r="CCR49" s="72"/>
      <c r="CCS49" s="72"/>
      <c r="CCT49" s="72"/>
      <c r="CCU49" s="72"/>
      <c r="CCV49" s="72"/>
      <c r="CCW49" s="72"/>
      <c r="CCX49" s="72"/>
      <c r="CCY49" s="72"/>
      <c r="CCZ49" s="72"/>
      <c r="CDA49" s="72"/>
      <c r="CDB49" s="72"/>
      <c r="CDC49" s="72"/>
      <c r="CDD49" s="72"/>
      <c r="CDE49" s="72"/>
      <c r="CDF49" s="72"/>
      <c r="CDG49" s="72"/>
      <c r="CDH49" s="72"/>
      <c r="CDI49" s="72"/>
      <c r="CDJ49" s="72"/>
      <c r="CDK49" s="72"/>
      <c r="CDL49" s="72"/>
      <c r="CDM49" s="72"/>
      <c r="CDN49" s="72"/>
      <c r="CDO49" s="72"/>
      <c r="CDP49" s="72"/>
      <c r="CDQ49" s="72"/>
      <c r="CDR49" s="72"/>
      <c r="CDS49" s="72"/>
      <c r="CDT49" s="72"/>
      <c r="CDU49" s="72"/>
      <c r="CDV49" s="72"/>
      <c r="CDW49" s="72"/>
      <c r="CDX49" s="72"/>
      <c r="CDY49" s="72"/>
      <c r="CDZ49" s="72"/>
      <c r="CEA49" s="72"/>
      <c r="CEB49" s="72"/>
      <c r="CEC49" s="72"/>
      <c r="CED49" s="72"/>
      <c r="CEE49" s="72"/>
      <c r="CEF49" s="72"/>
      <c r="CEG49" s="72"/>
      <c r="CEH49" s="72"/>
      <c r="CEI49" s="72"/>
      <c r="CEJ49" s="72"/>
      <c r="CEK49" s="72"/>
      <c r="CEL49" s="72"/>
      <c r="CEM49" s="72"/>
      <c r="CEN49" s="72"/>
      <c r="CEO49" s="72"/>
      <c r="CEP49" s="72"/>
      <c r="CEQ49" s="72"/>
      <c r="CER49" s="72"/>
      <c r="CES49" s="72"/>
      <c r="CET49" s="72"/>
      <c r="CEU49" s="72"/>
      <c r="CEV49" s="72"/>
      <c r="CEW49" s="72"/>
      <c r="CEX49" s="72"/>
      <c r="CEY49" s="72"/>
      <c r="CEZ49" s="72"/>
      <c r="CFA49" s="72"/>
      <c r="CFB49" s="72"/>
      <c r="CFC49" s="72"/>
      <c r="CFD49" s="72"/>
      <c r="CFE49" s="72"/>
      <c r="CFF49" s="72"/>
      <c r="CFG49" s="72"/>
      <c r="CFH49" s="72"/>
      <c r="CFI49" s="72"/>
      <c r="CFJ49" s="72"/>
      <c r="CFK49" s="72"/>
      <c r="CFL49" s="72"/>
      <c r="CFM49" s="72"/>
      <c r="CFN49" s="72"/>
      <c r="CFO49" s="72"/>
      <c r="CFP49" s="72"/>
      <c r="CFQ49" s="72"/>
      <c r="CFR49" s="72"/>
      <c r="CFS49" s="72"/>
      <c r="CFT49" s="72"/>
      <c r="CFU49" s="72"/>
      <c r="CFV49" s="72"/>
      <c r="CFW49" s="72"/>
      <c r="CFX49" s="72"/>
      <c r="CFY49" s="72"/>
      <c r="CFZ49" s="72"/>
      <c r="CGA49" s="72"/>
      <c r="CGB49" s="72"/>
      <c r="CGC49" s="72"/>
      <c r="CGD49" s="72"/>
      <c r="CGE49" s="72"/>
      <c r="CGF49" s="72"/>
      <c r="CGG49" s="72"/>
      <c r="CGH49" s="72"/>
      <c r="CGI49" s="72"/>
      <c r="CGJ49" s="72"/>
      <c r="CGK49" s="72"/>
      <c r="CGL49" s="72"/>
      <c r="CGM49" s="72"/>
      <c r="CGN49" s="72"/>
      <c r="CGO49" s="72"/>
      <c r="CGP49" s="72"/>
      <c r="CGQ49" s="72"/>
      <c r="CGR49" s="72"/>
      <c r="CGS49" s="72"/>
      <c r="CGT49" s="72"/>
      <c r="CGU49" s="72"/>
      <c r="CGV49" s="72"/>
      <c r="CGW49" s="72"/>
      <c r="CGX49" s="72"/>
      <c r="CGY49" s="72"/>
      <c r="CGZ49" s="72"/>
      <c r="CHA49" s="72"/>
      <c r="CHB49" s="72"/>
      <c r="CHC49" s="72"/>
      <c r="CHD49" s="72"/>
      <c r="CHE49" s="72"/>
      <c r="CHF49" s="72"/>
      <c r="CHG49" s="72"/>
      <c r="CHH49" s="72"/>
      <c r="CHI49" s="72"/>
      <c r="CHJ49" s="72"/>
      <c r="CHK49" s="72"/>
      <c r="CHL49" s="72"/>
      <c r="CHM49" s="72"/>
      <c r="CHN49" s="72"/>
      <c r="CHO49" s="72"/>
      <c r="CHP49" s="72"/>
      <c r="CHQ49" s="72"/>
      <c r="CHR49" s="72"/>
      <c r="CHS49" s="72"/>
      <c r="CHT49" s="72"/>
      <c r="CHU49" s="72"/>
      <c r="CHV49" s="72"/>
      <c r="CHW49" s="72"/>
      <c r="CHX49" s="72"/>
      <c r="CHY49" s="72"/>
      <c r="CHZ49" s="72"/>
      <c r="CIA49" s="72"/>
      <c r="CIB49" s="72"/>
      <c r="CIC49" s="72"/>
      <c r="CID49" s="72"/>
      <c r="CIE49" s="72"/>
      <c r="CIF49" s="72"/>
      <c r="CIG49" s="72"/>
      <c r="CIH49" s="72"/>
      <c r="CII49" s="72"/>
      <c r="CIJ49" s="72"/>
      <c r="CIK49" s="72"/>
      <c r="CIL49" s="72"/>
      <c r="CIM49" s="72"/>
      <c r="CIN49" s="72"/>
      <c r="CIO49" s="72"/>
      <c r="CIP49" s="72"/>
      <c r="CIQ49" s="72"/>
      <c r="CIR49" s="72"/>
      <c r="CIS49" s="72"/>
      <c r="CIT49" s="72"/>
      <c r="CIU49" s="72"/>
      <c r="CIV49" s="72"/>
      <c r="CIW49" s="72"/>
      <c r="CIX49" s="72"/>
      <c r="CIY49" s="72"/>
      <c r="CIZ49" s="72"/>
      <c r="CJA49" s="72"/>
      <c r="CJB49" s="72"/>
      <c r="CJC49" s="72"/>
      <c r="CJD49" s="72"/>
      <c r="CJE49" s="72"/>
      <c r="CJF49" s="72"/>
      <c r="CJG49" s="72"/>
      <c r="CJH49" s="72"/>
      <c r="CJI49" s="72"/>
      <c r="CJJ49" s="72"/>
      <c r="CJK49" s="72"/>
      <c r="CJL49" s="72"/>
      <c r="CJM49" s="72"/>
      <c r="CJN49" s="72"/>
      <c r="CJO49" s="72"/>
      <c r="CJP49" s="72"/>
      <c r="CJQ49" s="72"/>
      <c r="CJR49" s="72"/>
      <c r="CJS49" s="72"/>
      <c r="CJT49" s="72"/>
      <c r="CJU49" s="72"/>
      <c r="CJV49" s="72"/>
      <c r="CJW49" s="72"/>
      <c r="CJX49" s="72"/>
      <c r="CJY49" s="72"/>
      <c r="CJZ49" s="72"/>
      <c r="CKA49" s="72"/>
      <c r="CKB49" s="72"/>
      <c r="CKC49" s="72"/>
      <c r="CKD49" s="72"/>
      <c r="CKE49" s="72"/>
      <c r="CKF49" s="72"/>
      <c r="CKG49" s="72"/>
      <c r="CKH49" s="72"/>
      <c r="CKI49" s="72"/>
      <c r="CKJ49" s="72"/>
      <c r="CKK49" s="72"/>
      <c r="CKL49" s="72"/>
      <c r="CKM49" s="72"/>
      <c r="CKN49" s="72"/>
      <c r="CKO49" s="72"/>
      <c r="CKP49" s="72"/>
      <c r="CKQ49" s="72"/>
      <c r="CKR49" s="72"/>
      <c r="CKS49" s="72"/>
      <c r="CKT49" s="72"/>
      <c r="CKU49" s="72"/>
      <c r="CKV49" s="72"/>
      <c r="CKW49" s="72"/>
      <c r="CKX49" s="72"/>
      <c r="CKY49" s="72"/>
      <c r="CKZ49" s="72"/>
      <c r="CLA49" s="72"/>
      <c r="CLB49" s="72"/>
      <c r="CLC49" s="72"/>
      <c r="CLD49" s="72"/>
      <c r="CLE49" s="72"/>
      <c r="CLF49" s="72"/>
      <c r="CLG49" s="72"/>
      <c r="CLH49" s="72"/>
      <c r="CLI49" s="72"/>
      <c r="CLJ49" s="72"/>
      <c r="CLK49" s="72"/>
      <c r="CLL49" s="72"/>
      <c r="CLM49" s="72"/>
      <c r="CLN49" s="72"/>
      <c r="CLO49" s="72"/>
      <c r="CLP49" s="72"/>
      <c r="CLQ49" s="72"/>
      <c r="CLR49" s="72"/>
      <c r="CLS49" s="72"/>
      <c r="CLT49" s="72"/>
      <c r="CLU49" s="72"/>
      <c r="CLV49" s="72"/>
      <c r="CLW49" s="72"/>
      <c r="CLX49" s="72"/>
      <c r="CLY49" s="72"/>
      <c r="CLZ49" s="72"/>
      <c r="CMA49" s="72"/>
      <c r="CMB49" s="72"/>
      <c r="CMC49" s="72"/>
      <c r="CMD49" s="72"/>
      <c r="CME49" s="72"/>
      <c r="CMF49" s="72"/>
      <c r="CMG49" s="72"/>
      <c r="CMH49" s="72"/>
      <c r="CMI49" s="72"/>
      <c r="CMJ49" s="72"/>
      <c r="CMK49" s="72"/>
      <c r="CML49" s="72"/>
      <c r="CMM49" s="72"/>
      <c r="CMN49" s="72"/>
      <c r="CMO49" s="72"/>
      <c r="CMP49" s="72"/>
      <c r="CMQ49" s="72"/>
      <c r="CMR49" s="72"/>
      <c r="CMS49" s="72"/>
      <c r="CMT49" s="72"/>
      <c r="CMU49" s="72"/>
      <c r="CMV49" s="72"/>
      <c r="CMW49" s="72"/>
      <c r="CMX49" s="72"/>
      <c r="CMY49" s="72"/>
      <c r="CMZ49" s="72"/>
      <c r="CNA49" s="72"/>
      <c r="CNB49" s="72"/>
      <c r="CNC49" s="72"/>
      <c r="CND49" s="72"/>
      <c r="CNE49" s="72"/>
      <c r="CNF49" s="72"/>
      <c r="CNG49" s="72"/>
      <c r="CNH49" s="72"/>
      <c r="CNI49" s="72"/>
      <c r="CNJ49" s="72"/>
      <c r="CNK49" s="72"/>
      <c r="CNL49" s="72"/>
      <c r="CNM49" s="72"/>
      <c r="CNN49" s="72"/>
      <c r="CNO49" s="72"/>
      <c r="CNP49" s="72"/>
      <c r="CNQ49" s="72"/>
      <c r="CNR49" s="72"/>
      <c r="CNS49" s="72"/>
      <c r="CNT49" s="72"/>
      <c r="CNU49" s="72"/>
      <c r="CNV49" s="72"/>
      <c r="CNW49" s="72"/>
      <c r="CNX49" s="72"/>
      <c r="CNY49" s="72"/>
      <c r="CNZ49" s="72"/>
      <c r="COA49" s="72"/>
      <c r="COB49" s="72"/>
      <c r="COC49" s="72"/>
      <c r="COD49" s="72"/>
      <c r="COE49" s="72"/>
      <c r="COF49" s="72"/>
      <c r="COG49" s="72"/>
      <c r="COH49" s="72"/>
      <c r="COI49" s="72"/>
      <c r="COJ49" s="72"/>
      <c r="COK49" s="72"/>
      <c r="COL49" s="72"/>
      <c r="COM49" s="72"/>
      <c r="CON49" s="72"/>
      <c r="COO49" s="72"/>
      <c r="COP49" s="72"/>
      <c r="COQ49" s="72"/>
      <c r="COR49" s="72"/>
      <c r="COS49" s="72"/>
      <c r="COT49" s="72"/>
      <c r="COU49" s="72"/>
      <c r="COV49" s="72"/>
      <c r="COW49" s="72"/>
      <c r="COX49" s="72"/>
      <c r="COY49" s="72"/>
      <c r="COZ49" s="72"/>
      <c r="CPA49" s="72"/>
      <c r="CPB49" s="72"/>
      <c r="CPC49" s="72"/>
      <c r="CPD49" s="72"/>
      <c r="CPE49" s="72"/>
      <c r="CPF49" s="72"/>
      <c r="CPG49" s="72"/>
      <c r="CPH49" s="72"/>
      <c r="CPI49" s="72"/>
      <c r="CPJ49" s="72"/>
      <c r="CPK49" s="72"/>
      <c r="CPL49" s="72"/>
      <c r="CPM49" s="72"/>
      <c r="CPN49" s="72"/>
      <c r="CPO49" s="72"/>
      <c r="CPP49" s="72"/>
      <c r="CPQ49" s="72"/>
      <c r="CPR49" s="72"/>
      <c r="CPS49" s="72"/>
      <c r="CPT49" s="72"/>
      <c r="CPU49" s="72"/>
      <c r="CPV49" s="72"/>
      <c r="CPW49" s="72"/>
      <c r="CPX49" s="72"/>
      <c r="CPY49" s="72"/>
      <c r="CPZ49" s="72"/>
      <c r="CQA49" s="72"/>
      <c r="CQB49" s="72"/>
      <c r="CQC49" s="72"/>
      <c r="CQD49" s="72"/>
      <c r="CQE49" s="72"/>
      <c r="CQF49" s="72"/>
      <c r="CQG49" s="72"/>
      <c r="CQH49" s="72"/>
      <c r="CQI49" s="72"/>
      <c r="CQJ49" s="72"/>
      <c r="CQK49" s="72"/>
      <c r="CQL49" s="72"/>
      <c r="CQM49" s="72"/>
      <c r="CQN49" s="72"/>
      <c r="CQO49" s="72"/>
      <c r="CQP49" s="72"/>
      <c r="CQQ49" s="72"/>
      <c r="CQR49" s="72"/>
      <c r="CQS49" s="72"/>
      <c r="CQT49" s="72"/>
      <c r="CQU49" s="72"/>
      <c r="CQV49" s="72"/>
      <c r="CQW49" s="72"/>
      <c r="CQX49" s="72"/>
      <c r="CQY49" s="72"/>
      <c r="CQZ49" s="72"/>
      <c r="CRA49" s="72"/>
      <c r="CRB49" s="72"/>
      <c r="CRC49" s="72"/>
      <c r="CRD49" s="72"/>
      <c r="CRE49" s="72"/>
      <c r="CRF49" s="72"/>
      <c r="CRG49" s="72"/>
      <c r="CRH49" s="72"/>
      <c r="CRI49" s="72"/>
      <c r="CRJ49" s="72"/>
      <c r="CRK49" s="72"/>
      <c r="CRL49" s="72"/>
      <c r="CRM49" s="72"/>
      <c r="CRN49" s="72"/>
      <c r="CRO49" s="72"/>
      <c r="CRP49" s="72"/>
      <c r="CRQ49" s="72"/>
      <c r="CRR49" s="72"/>
      <c r="CRS49" s="72"/>
      <c r="CRT49" s="72"/>
      <c r="CRU49" s="72"/>
      <c r="CRV49" s="72"/>
      <c r="CRW49" s="72"/>
      <c r="CRX49" s="72"/>
      <c r="CRY49" s="72"/>
      <c r="CRZ49" s="72"/>
      <c r="CSA49" s="72"/>
      <c r="CSB49" s="72"/>
      <c r="CSC49" s="72"/>
      <c r="CSD49" s="72"/>
      <c r="CSE49" s="72"/>
      <c r="CSF49" s="72"/>
      <c r="CSG49" s="72"/>
      <c r="CSH49" s="72"/>
      <c r="CSI49" s="72"/>
      <c r="CSJ49" s="72"/>
      <c r="CSK49" s="72"/>
      <c r="CSL49" s="72"/>
      <c r="CSM49" s="72"/>
      <c r="CSN49" s="72"/>
      <c r="CSO49" s="72"/>
      <c r="CSP49" s="72"/>
      <c r="CSQ49" s="72"/>
      <c r="CSR49" s="72"/>
      <c r="CSS49" s="72"/>
      <c r="CST49" s="72"/>
      <c r="CSU49" s="72"/>
      <c r="CSV49" s="72"/>
      <c r="CSW49" s="72"/>
      <c r="CSX49" s="72"/>
      <c r="CSY49" s="72"/>
      <c r="CSZ49" s="72"/>
      <c r="CTA49" s="72"/>
      <c r="CTB49" s="72"/>
      <c r="CTC49" s="72"/>
      <c r="CTD49" s="72"/>
      <c r="CTE49" s="72"/>
      <c r="CTF49" s="72"/>
      <c r="CTG49" s="72"/>
      <c r="CTH49" s="72"/>
      <c r="CTI49" s="72"/>
      <c r="CTJ49" s="72"/>
      <c r="CTK49" s="72"/>
      <c r="CTL49" s="72"/>
      <c r="CTM49" s="72"/>
      <c r="CTN49" s="72"/>
      <c r="CTO49" s="72"/>
      <c r="CTP49" s="72"/>
      <c r="CTQ49" s="72"/>
      <c r="CTR49" s="72"/>
      <c r="CTS49" s="72"/>
      <c r="CTT49" s="72"/>
      <c r="CTU49" s="72"/>
      <c r="CTV49" s="72"/>
      <c r="CTW49" s="72"/>
      <c r="CTX49" s="72"/>
      <c r="CTY49" s="72"/>
      <c r="CTZ49" s="72"/>
      <c r="CUA49" s="72"/>
      <c r="CUB49" s="72"/>
      <c r="CUC49" s="72"/>
      <c r="CUD49" s="72"/>
      <c r="CUE49" s="72"/>
      <c r="CUF49" s="72"/>
      <c r="CUG49" s="72"/>
      <c r="CUH49" s="72"/>
      <c r="CUI49" s="72"/>
      <c r="CUJ49" s="72"/>
      <c r="CUK49" s="72"/>
      <c r="CUL49" s="72"/>
      <c r="CUM49" s="72"/>
      <c r="CUN49" s="72"/>
      <c r="CUO49" s="72"/>
      <c r="CUP49" s="72"/>
      <c r="CUQ49" s="72"/>
      <c r="CUR49" s="72"/>
      <c r="CUS49" s="72"/>
      <c r="CUT49" s="72"/>
      <c r="CUU49" s="72"/>
      <c r="CUV49" s="72"/>
      <c r="CUW49" s="72"/>
      <c r="CUX49" s="72"/>
      <c r="CUY49" s="72"/>
      <c r="CUZ49" s="72"/>
      <c r="CVA49" s="72"/>
      <c r="CVB49" s="72"/>
      <c r="CVC49" s="72"/>
      <c r="CVD49" s="72"/>
      <c r="CVE49" s="72"/>
      <c r="CVF49" s="72"/>
      <c r="CVG49" s="72"/>
      <c r="CVH49" s="72"/>
      <c r="CVI49" s="72"/>
      <c r="CVJ49" s="72"/>
      <c r="CVK49" s="72"/>
      <c r="CVL49" s="72"/>
      <c r="CVM49" s="72"/>
      <c r="CVN49" s="72"/>
      <c r="CVO49" s="72"/>
      <c r="CVP49" s="72"/>
      <c r="CVQ49" s="72"/>
      <c r="CVR49" s="72"/>
      <c r="CVS49" s="72"/>
      <c r="CVT49" s="72"/>
      <c r="CVU49" s="72"/>
      <c r="CVV49" s="72"/>
      <c r="CVW49" s="72"/>
      <c r="CVX49" s="72"/>
      <c r="CVY49" s="72"/>
      <c r="CVZ49" s="72"/>
      <c r="CWA49" s="72"/>
      <c r="CWB49" s="72"/>
      <c r="CWC49" s="72"/>
      <c r="CWD49" s="72"/>
      <c r="CWE49" s="72"/>
      <c r="CWF49" s="72"/>
      <c r="CWG49" s="72"/>
      <c r="CWH49" s="72"/>
      <c r="CWI49" s="72"/>
      <c r="CWJ49" s="72"/>
      <c r="CWK49" s="72"/>
      <c r="CWL49" s="72"/>
      <c r="CWM49" s="72"/>
      <c r="CWN49" s="72"/>
      <c r="CWO49" s="72"/>
      <c r="CWP49" s="72"/>
      <c r="CWQ49" s="72"/>
      <c r="CWR49" s="72"/>
      <c r="CWS49" s="72"/>
      <c r="CWT49" s="72"/>
      <c r="CWU49" s="72"/>
      <c r="CWV49" s="72"/>
      <c r="CWW49" s="72"/>
      <c r="CWX49" s="72"/>
      <c r="CWY49" s="72"/>
      <c r="CWZ49" s="72"/>
      <c r="CXA49" s="72"/>
      <c r="CXB49" s="72"/>
      <c r="CXC49" s="72"/>
      <c r="CXD49" s="72"/>
      <c r="CXE49" s="72"/>
      <c r="CXF49" s="72"/>
      <c r="CXG49" s="72"/>
      <c r="CXH49" s="72"/>
      <c r="CXI49" s="72"/>
      <c r="CXJ49" s="72"/>
      <c r="CXK49" s="72"/>
      <c r="CXL49" s="72"/>
      <c r="CXM49" s="72"/>
      <c r="CXN49" s="72"/>
      <c r="CXO49" s="72"/>
      <c r="CXP49" s="72"/>
      <c r="CXQ49" s="72"/>
      <c r="CXR49" s="72"/>
      <c r="CXS49" s="72"/>
      <c r="CXT49" s="72"/>
      <c r="CXU49" s="72"/>
      <c r="CXV49" s="72"/>
      <c r="CXW49" s="72"/>
      <c r="CXX49" s="72"/>
      <c r="CXY49" s="72"/>
      <c r="CXZ49" s="72"/>
      <c r="CYA49" s="72"/>
      <c r="CYB49" s="72"/>
      <c r="CYC49" s="72"/>
      <c r="CYD49" s="72"/>
      <c r="CYE49" s="72"/>
      <c r="CYF49" s="72"/>
      <c r="CYG49" s="72"/>
      <c r="CYH49" s="72"/>
      <c r="CYI49" s="72"/>
      <c r="CYJ49" s="72"/>
      <c r="CYK49" s="72"/>
      <c r="CYL49" s="72"/>
      <c r="CYM49" s="72"/>
      <c r="CYN49" s="72"/>
      <c r="CYO49" s="72"/>
      <c r="CYP49" s="72"/>
      <c r="CYQ49" s="72"/>
      <c r="CYR49" s="72"/>
      <c r="CYS49" s="72"/>
      <c r="CYT49" s="72"/>
      <c r="CYU49" s="72"/>
      <c r="CYV49" s="72"/>
      <c r="CYW49" s="72"/>
      <c r="CYX49" s="72"/>
      <c r="CYY49" s="72"/>
      <c r="CYZ49" s="72"/>
      <c r="CZA49" s="72"/>
      <c r="CZB49" s="72"/>
      <c r="CZC49" s="72"/>
      <c r="CZD49" s="72"/>
      <c r="CZE49" s="72"/>
      <c r="CZF49" s="72"/>
      <c r="CZG49" s="72"/>
      <c r="CZH49" s="72"/>
      <c r="CZI49" s="72"/>
      <c r="CZJ49" s="72"/>
      <c r="CZK49" s="72"/>
      <c r="CZL49" s="72"/>
      <c r="CZM49" s="72"/>
      <c r="CZN49" s="72"/>
      <c r="CZO49" s="72"/>
      <c r="CZP49" s="72"/>
      <c r="CZQ49" s="72"/>
      <c r="CZR49" s="72"/>
      <c r="CZS49" s="72"/>
      <c r="CZT49" s="72"/>
      <c r="CZU49" s="72"/>
      <c r="CZV49" s="72"/>
      <c r="CZW49" s="72"/>
      <c r="CZX49" s="72"/>
      <c r="CZY49" s="72"/>
      <c r="CZZ49" s="72"/>
      <c r="DAA49" s="72"/>
      <c r="DAB49" s="72"/>
      <c r="DAC49" s="72"/>
      <c r="DAD49" s="72"/>
      <c r="DAE49" s="72"/>
      <c r="DAF49" s="72"/>
      <c r="DAG49" s="72"/>
      <c r="DAH49" s="72"/>
      <c r="DAI49" s="72"/>
      <c r="DAJ49" s="72"/>
      <c r="DAK49" s="72"/>
      <c r="DAL49" s="72"/>
      <c r="DAM49" s="72"/>
      <c r="DAN49" s="72"/>
      <c r="DAO49" s="72"/>
      <c r="DAP49" s="72"/>
      <c r="DAQ49" s="72"/>
      <c r="DAR49" s="72"/>
      <c r="DAS49" s="72"/>
      <c r="DAT49" s="72"/>
      <c r="DAU49" s="72"/>
      <c r="DAV49" s="72"/>
      <c r="DAW49" s="72"/>
      <c r="DAX49" s="72"/>
      <c r="DAY49" s="72"/>
      <c r="DAZ49" s="72"/>
      <c r="DBA49" s="72"/>
      <c r="DBB49" s="72"/>
      <c r="DBC49" s="72"/>
      <c r="DBD49" s="72"/>
      <c r="DBE49" s="72"/>
      <c r="DBF49" s="72"/>
      <c r="DBG49" s="72"/>
      <c r="DBH49" s="72"/>
      <c r="DBI49" s="72"/>
      <c r="DBJ49" s="72"/>
      <c r="DBK49" s="72"/>
      <c r="DBL49" s="72"/>
      <c r="DBM49" s="72"/>
      <c r="DBN49" s="72"/>
      <c r="DBO49" s="72"/>
      <c r="DBP49" s="72"/>
      <c r="DBQ49" s="72"/>
      <c r="DBR49" s="72"/>
      <c r="DBS49" s="72"/>
      <c r="DBT49" s="72"/>
      <c r="DBU49" s="72"/>
      <c r="DBV49" s="72"/>
      <c r="DBW49" s="72"/>
      <c r="DBX49" s="72"/>
      <c r="DBY49" s="72"/>
      <c r="DBZ49" s="72"/>
      <c r="DCA49" s="72"/>
      <c r="DCB49" s="72"/>
      <c r="DCC49" s="72"/>
      <c r="DCD49" s="72"/>
      <c r="DCE49" s="72"/>
      <c r="DCF49" s="72"/>
      <c r="DCG49" s="72"/>
      <c r="DCH49" s="72"/>
      <c r="DCI49" s="72"/>
      <c r="DCJ49" s="72"/>
      <c r="DCK49" s="72"/>
      <c r="DCL49" s="72"/>
      <c r="DCM49" s="72"/>
      <c r="DCN49" s="72"/>
      <c r="DCO49" s="72"/>
      <c r="DCP49" s="72"/>
      <c r="DCQ49" s="72"/>
      <c r="DCR49" s="72"/>
      <c r="DCS49" s="72"/>
      <c r="DCT49" s="72"/>
      <c r="DCU49" s="72"/>
      <c r="DCV49" s="72"/>
      <c r="DCW49" s="72"/>
      <c r="DCX49" s="72"/>
      <c r="DCY49" s="72"/>
      <c r="DCZ49" s="72"/>
      <c r="DDA49" s="72"/>
      <c r="DDB49" s="72"/>
      <c r="DDC49" s="72"/>
      <c r="DDD49" s="72"/>
      <c r="DDE49" s="72"/>
      <c r="DDF49" s="72"/>
      <c r="DDG49" s="72"/>
      <c r="DDH49" s="72"/>
      <c r="DDI49" s="72"/>
      <c r="DDJ49" s="72"/>
      <c r="DDK49" s="72"/>
      <c r="DDL49" s="72"/>
      <c r="DDM49" s="72"/>
      <c r="DDN49" s="72"/>
      <c r="DDO49" s="72"/>
      <c r="DDP49" s="72"/>
      <c r="DDQ49" s="72"/>
      <c r="DDR49" s="72"/>
      <c r="DDS49" s="72"/>
      <c r="DDT49" s="72"/>
      <c r="DDU49" s="72"/>
      <c r="DDV49" s="72"/>
      <c r="DDW49" s="72"/>
      <c r="DDX49" s="72"/>
      <c r="DDY49" s="72"/>
      <c r="DDZ49" s="72"/>
      <c r="DEA49" s="72"/>
      <c r="DEB49" s="72"/>
      <c r="DEC49" s="72"/>
      <c r="DED49" s="72"/>
      <c r="DEE49" s="72"/>
      <c r="DEF49" s="72"/>
      <c r="DEG49" s="72"/>
      <c r="DEH49" s="72"/>
      <c r="DEI49" s="72"/>
      <c r="DEJ49" s="72"/>
      <c r="DEK49" s="72"/>
      <c r="DEL49" s="72"/>
      <c r="DEM49" s="72"/>
      <c r="DEN49" s="72"/>
      <c r="DEO49" s="72"/>
      <c r="DEP49" s="72"/>
      <c r="DEQ49" s="72"/>
      <c r="DER49" s="72"/>
      <c r="DES49" s="72"/>
      <c r="DET49" s="72"/>
      <c r="DEU49" s="72"/>
      <c r="DEV49" s="72"/>
      <c r="DEW49" s="72"/>
      <c r="DEX49" s="72"/>
      <c r="DEY49" s="72"/>
      <c r="DEZ49" s="72"/>
      <c r="DFA49" s="72"/>
      <c r="DFB49" s="72"/>
      <c r="DFC49" s="72"/>
      <c r="DFD49" s="72"/>
      <c r="DFE49" s="72"/>
      <c r="DFF49" s="72"/>
      <c r="DFG49" s="72"/>
      <c r="DFH49" s="72"/>
      <c r="DFI49" s="72"/>
      <c r="DFJ49" s="72"/>
      <c r="DFK49" s="72"/>
      <c r="DFL49" s="72"/>
      <c r="DFM49" s="72"/>
      <c r="DFN49" s="72"/>
      <c r="DFO49" s="72"/>
      <c r="DFP49" s="72"/>
      <c r="DFQ49" s="72"/>
      <c r="DFR49" s="72"/>
      <c r="DFS49" s="72"/>
      <c r="DFT49" s="72"/>
      <c r="DFU49" s="72"/>
      <c r="DFV49" s="72"/>
      <c r="DFW49" s="72"/>
      <c r="DFX49" s="72"/>
      <c r="DFY49" s="72"/>
      <c r="DFZ49" s="72"/>
      <c r="DGA49" s="72"/>
      <c r="DGB49" s="72"/>
      <c r="DGC49" s="72"/>
      <c r="DGD49" s="72"/>
      <c r="DGE49" s="72"/>
      <c r="DGF49" s="72"/>
      <c r="DGG49" s="72"/>
      <c r="DGH49" s="72"/>
      <c r="DGI49" s="72"/>
      <c r="DGJ49" s="72"/>
      <c r="DGK49" s="72"/>
      <c r="DGL49" s="72"/>
      <c r="DGM49" s="72"/>
      <c r="DGN49" s="72"/>
      <c r="DGO49" s="72"/>
      <c r="DGP49" s="72"/>
      <c r="DGQ49" s="72"/>
      <c r="DGR49" s="72"/>
      <c r="DGS49" s="72"/>
      <c r="DGT49" s="72"/>
      <c r="DGU49" s="72"/>
      <c r="DGV49" s="72"/>
      <c r="DGW49" s="72"/>
      <c r="DGX49" s="72"/>
      <c r="DGY49" s="72"/>
      <c r="DGZ49" s="72"/>
      <c r="DHA49" s="72"/>
      <c r="DHB49" s="72"/>
      <c r="DHC49" s="72"/>
      <c r="DHD49" s="72"/>
      <c r="DHE49" s="72"/>
      <c r="DHF49" s="72"/>
      <c r="DHG49" s="72"/>
      <c r="DHH49" s="72"/>
      <c r="DHI49" s="72"/>
      <c r="DHJ49" s="72"/>
      <c r="DHK49" s="72"/>
      <c r="DHL49" s="72"/>
      <c r="DHM49" s="72"/>
      <c r="DHN49" s="72"/>
      <c r="DHO49" s="72"/>
      <c r="DHP49" s="72"/>
      <c r="DHQ49" s="72"/>
      <c r="DHR49" s="72"/>
      <c r="DHS49" s="72"/>
      <c r="DHT49" s="72"/>
      <c r="DHU49" s="72"/>
      <c r="DHV49" s="72"/>
      <c r="DHW49" s="72"/>
      <c r="DHX49" s="72"/>
      <c r="DHY49" s="72"/>
      <c r="DHZ49" s="72"/>
      <c r="DIA49" s="72"/>
      <c r="DIB49" s="72"/>
      <c r="DIC49" s="72"/>
      <c r="DID49" s="72"/>
      <c r="DIE49" s="72"/>
      <c r="DIF49" s="72"/>
      <c r="DIG49" s="72"/>
      <c r="DIH49" s="72"/>
      <c r="DII49" s="72"/>
      <c r="DIJ49" s="72"/>
      <c r="DIK49" s="72"/>
      <c r="DIL49" s="72"/>
      <c r="DIM49" s="72"/>
      <c r="DIN49" s="72"/>
      <c r="DIO49" s="72"/>
      <c r="DIP49" s="72"/>
      <c r="DIQ49" s="72"/>
      <c r="DIR49" s="72"/>
      <c r="DIS49" s="72"/>
      <c r="DIT49" s="72"/>
      <c r="DIU49" s="72"/>
      <c r="DIV49" s="72"/>
      <c r="DIW49" s="72"/>
      <c r="DIX49" s="72"/>
      <c r="DIY49" s="72"/>
      <c r="DIZ49" s="72"/>
      <c r="DJA49" s="72"/>
      <c r="DJB49" s="72"/>
      <c r="DJC49" s="72"/>
      <c r="DJD49" s="72"/>
      <c r="DJE49" s="72"/>
      <c r="DJF49" s="72"/>
      <c r="DJG49" s="72"/>
      <c r="DJH49" s="72"/>
      <c r="DJI49" s="72"/>
      <c r="DJJ49" s="72"/>
      <c r="DJK49" s="72"/>
      <c r="DJL49" s="72"/>
      <c r="DJM49" s="72"/>
      <c r="DJN49" s="72"/>
      <c r="DJO49" s="72"/>
      <c r="DJP49" s="72"/>
      <c r="DJQ49" s="72"/>
      <c r="DJR49" s="72"/>
      <c r="DJS49" s="72"/>
      <c r="DJT49" s="72"/>
      <c r="DJU49" s="72"/>
      <c r="DJV49" s="72"/>
      <c r="DJW49" s="72"/>
      <c r="DJX49" s="72"/>
      <c r="DJY49" s="72"/>
      <c r="DJZ49" s="72"/>
      <c r="DKA49" s="72"/>
      <c r="DKB49" s="72"/>
      <c r="DKC49" s="72"/>
      <c r="DKD49" s="72"/>
      <c r="DKE49" s="72"/>
      <c r="DKF49" s="72"/>
      <c r="DKG49" s="72"/>
      <c r="DKH49" s="72"/>
      <c r="DKI49" s="72"/>
      <c r="DKJ49" s="72"/>
      <c r="DKK49" s="72"/>
      <c r="DKL49" s="72"/>
      <c r="DKM49" s="72"/>
      <c r="DKN49" s="72"/>
      <c r="DKO49" s="72"/>
      <c r="DKP49" s="72"/>
      <c r="DKQ49" s="72"/>
      <c r="DKR49" s="72"/>
      <c r="DKS49" s="72"/>
      <c r="DKT49" s="72"/>
      <c r="DKU49" s="72"/>
      <c r="DKV49" s="72"/>
      <c r="DKW49" s="72"/>
      <c r="DKX49" s="72"/>
      <c r="DKY49" s="72"/>
      <c r="DKZ49" s="72"/>
      <c r="DLA49" s="72"/>
      <c r="DLB49" s="72"/>
      <c r="DLC49" s="72"/>
      <c r="DLD49" s="72"/>
      <c r="DLE49" s="72"/>
      <c r="DLF49" s="72"/>
      <c r="DLG49" s="72"/>
      <c r="DLH49" s="72"/>
      <c r="DLI49" s="72"/>
      <c r="DLJ49" s="72"/>
      <c r="DLK49" s="72"/>
      <c r="DLL49" s="72"/>
      <c r="DLM49" s="72"/>
      <c r="DLN49" s="72"/>
      <c r="DLO49" s="72"/>
      <c r="DLP49" s="72"/>
      <c r="DLQ49" s="72"/>
      <c r="DLR49" s="72"/>
      <c r="DLS49" s="72"/>
      <c r="DLT49" s="72"/>
      <c r="DLU49" s="72"/>
      <c r="DLV49" s="72"/>
      <c r="DLW49" s="72"/>
      <c r="DLX49" s="72"/>
      <c r="DLY49" s="72"/>
      <c r="DLZ49" s="72"/>
      <c r="DMA49" s="72"/>
      <c r="DMB49" s="72"/>
      <c r="DMC49" s="72"/>
      <c r="DMD49" s="72"/>
      <c r="DME49" s="72"/>
      <c r="DMF49" s="72"/>
      <c r="DMG49" s="72"/>
      <c r="DMH49" s="72"/>
      <c r="DMI49" s="72"/>
      <c r="DMJ49" s="72"/>
      <c r="DMK49" s="72"/>
      <c r="DML49" s="72"/>
      <c r="DMM49" s="72"/>
      <c r="DMN49" s="72"/>
      <c r="DMO49" s="72"/>
      <c r="DMP49" s="72"/>
      <c r="DMQ49" s="72"/>
      <c r="DMR49" s="72"/>
      <c r="DMS49" s="72"/>
      <c r="DMT49" s="72"/>
      <c r="DMU49" s="72"/>
      <c r="DMV49" s="72"/>
      <c r="DMW49" s="72"/>
      <c r="DMX49" s="72"/>
      <c r="DMY49" s="72"/>
      <c r="DMZ49" s="72"/>
      <c r="DNA49" s="72"/>
      <c r="DNB49" s="72"/>
      <c r="DNC49" s="72"/>
      <c r="DND49" s="72"/>
      <c r="DNE49" s="72"/>
      <c r="DNF49" s="72"/>
      <c r="DNG49" s="72"/>
      <c r="DNH49" s="72"/>
      <c r="DNI49" s="72"/>
      <c r="DNJ49" s="72"/>
      <c r="DNK49" s="72"/>
      <c r="DNL49" s="72"/>
      <c r="DNM49" s="72"/>
      <c r="DNN49" s="72"/>
      <c r="DNO49" s="72"/>
      <c r="DNP49" s="72"/>
      <c r="DNQ49" s="72"/>
      <c r="DNR49" s="72"/>
      <c r="DNS49" s="72"/>
      <c r="DNT49" s="72"/>
      <c r="DNU49" s="72"/>
      <c r="DNV49" s="72"/>
      <c r="DNW49" s="72"/>
      <c r="DNX49" s="72"/>
      <c r="DNY49" s="72"/>
      <c r="DNZ49" s="72"/>
      <c r="DOA49" s="72"/>
      <c r="DOB49" s="72"/>
      <c r="DOC49" s="72"/>
      <c r="DOD49" s="72"/>
      <c r="DOE49" s="72"/>
      <c r="DOF49" s="72"/>
      <c r="DOG49" s="72"/>
      <c r="DOH49" s="72"/>
      <c r="DOI49" s="72"/>
      <c r="DOJ49" s="72"/>
      <c r="DOK49" s="72"/>
      <c r="DOL49" s="72"/>
      <c r="DOM49" s="72"/>
      <c r="DON49" s="72"/>
      <c r="DOO49" s="72"/>
      <c r="DOP49" s="72"/>
      <c r="DOQ49" s="72"/>
      <c r="DOR49" s="72"/>
      <c r="DOS49" s="72"/>
      <c r="DOT49" s="72"/>
      <c r="DOU49" s="72"/>
      <c r="DOV49" s="72"/>
      <c r="DOW49" s="72"/>
      <c r="DOX49" s="72"/>
      <c r="DOY49" s="72"/>
      <c r="DOZ49" s="72"/>
      <c r="DPA49" s="72"/>
      <c r="DPB49" s="72"/>
      <c r="DPC49" s="72"/>
      <c r="DPD49" s="72"/>
      <c r="DPE49" s="72"/>
      <c r="DPF49" s="72"/>
      <c r="DPG49" s="72"/>
      <c r="DPH49" s="72"/>
      <c r="DPI49" s="72"/>
      <c r="DPJ49" s="72"/>
      <c r="DPK49" s="72"/>
      <c r="DPL49" s="72"/>
      <c r="DPM49" s="72"/>
      <c r="DPN49" s="72"/>
      <c r="DPO49" s="72"/>
      <c r="DPP49" s="72"/>
      <c r="DPQ49" s="72"/>
      <c r="DPR49" s="72"/>
      <c r="DPS49" s="72"/>
      <c r="DPT49" s="72"/>
      <c r="DPU49" s="72"/>
      <c r="DPV49" s="72"/>
      <c r="DPW49" s="72"/>
      <c r="DPX49" s="72"/>
      <c r="DPY49" s="72"/>
      <c r="DPZ49" s="72"/>
      <c r="DQA49" s="72"/>
      <c r="DQB49" s="72"/>
      <c r="DQC49" s="72"/>
      <c r="DQD49" s="72"/>
      <c r="DQE49" s="72"/>
      <c r="DQF49" s="72"/>
      <c r="DQG49" s="72"/>
      <c r="DQH49" s="72"/>
      <c r="DQI49" s="72"/>
      <c r="DQJ49" s="72"/>
      <c r="DQK49" s="72"/>
      <c r="DQL49" s="72"/>
      <c r="DQM49" s="72"/>
      <c r="DQN49" s="72"/>
      <c r="DQO49" s="72"/>
      <c r="DQP49" s="72"/>
      <c r="DQQ49" s="72"/>
      <c r="DQR49" s="72"/>
      <c r="DQS49" s="72"/>
      <c r="DQT49" s="72"/>
      <c r="DQU49" s="72"/>
      <c r="DQV49" s="72"/>
      <c r="DQW49" s="72"/>
      <c r="DQX49" s="72"/>
      <c r="DQY49" s="72"/>
      <c r="DQZ49" s="72"/>
      <c r="DRA49" s="72"/>
      <c r="DRB49" s="72"/>
      <c r="DRC49" s="72"/>
      <c r="DRD49" s="72"/>
      <c r="DRE49" s="72"/>
      <c r="DRF49" s="72"/>
      <c r="DRG49" s="72"/>
      <c r="DRH49" s="72"/>
      <c r="DRI49" s="72"/>
      <c r="DRJ49" s="72"/>
      <c r="DRK49" s="72"/>
      <c r="DRL49" s="72"/>
      <c r="DRM49" s="72"/>
      <c r="DRN49" s="72"/>
      <c r="DRO49" s="72"/>
      <c r="DRP49" s="72"/>
      <c r="DRQ49" s="72"/>
      <c r="DRR49" s="72"/>
      <c r="DRS49" s="72"/>
      <c r="DRT49" s="72"/>
      <c r="DRU49" s="72"/>
      <c r="DRV49" s="72"/>
      <c r="DRW49" s="72"/>
      <c r="DRX49" s="72"/>
      <c r="DRY49" s="72"/>
      <c r="DRZ49" s="72"/>
      <c r="DSA49" s="72"/>
      <c r="DSB49" s="72"/>
      <c r="DSC49" s="72"/>
      <c r="DSD49" s="72"/>
      <c r="DSE49" s="72"/>
      <c r="DSF49" s="72"/>
      <c r="DSG49" s="72"/>
      <c r="DSH49" s="72"/>
      <c r="DSI49" s="72"/>
      <c r="DSJ49" s="72"/>
      <c r="DSK49" s="72"/>
      <c r="DSL49" s="72"/>
      <c r="DSM49" s="72"/>
      <c r="DSN49" s="72"/>
      <c r="DSO49" s="72"/>
      <c r="DSP49" s="72"/>
      <c r="DSQ49" s="72"/>
      <c r="DSR49" s="72"/>
      <c r="DSS49" s="72"/>
      <c r="DST49" s="72"/>
      <c r="DSU49" s="72"/>
      <c r="DSV49" s="72"/>
      <c r="DSW49" s="72"/>
      <c r="DSX49" s="72"/>
      <c r="DSY49" s="72"/>
      <c r="DSZ49" s="72"/>
      <c r="DTA49" s="72"/>
      <c r="DTB49" s="72"/>
      <c r="DTC49" s="72"/>
      <c r="DTD49" s="72"/>
      <c r="DTE49" s="72"/>
      <c r="DTF49" s="72"/>
      <c r="DTG49" s="72"/>
      <c r="DTH49" s="72"/>
      <c r="DTI49" s="72"/>
      <c r="DTJ49" s="72"/>
      <c r="DTK49" s="72"/>
      <c r="DTL49" s="72"/>
      <c r="DTM49" s="72"/>
      <c r="DTN49" s="72"/>
      <c r="DTO49" s="72"/>
      <c r="DTP49" s="72"/>
      <c r="DTQ49" s="72"/>
      <c r="DTR49" s="72"/>
      <c r="DTS49" s="72"/>
      <c r="DTT49" s="72"/>
      <c r="DTU49" s="72"/>
      <c r="DTV49" s="72"/>
      <c r="DTW49" s="72"/>
      <c r="DTX49" s="72"/>
      <c r="DTY49" s="72"/>
      <c r="DTZ49" s="72"/>
      <c r="DUA49" s="72"/>
      <c r="DUB49" s="72"/>
      <c r="DUC49" s="72"/>
      <c r="DUD49" s="72"/>
      <c r="DUE49" s="72"/>
      <c r="DUF49" s="72"/>
      <c r="DUG49" s="72"/>
      <c r="DUH49" s="72"/>
      <c r="DUI49" s="72"/>
      <c r="DUJ49" s="72"/>
      <c r="DUK49" s="72"/>
      <c r="DUL49" s="72"/>
      <c r="DUM49" s="72"/>
      <c r="DUN49" s="72"/>
      <c r="DUO49" s="72"/>
      <c r="DUP49" s="72"/>
      <c r="DUQ49" s="72"/>
      <c r="DUR49" s="72"/>
      <c r="DUS49" s="72"/>
      <c r="DUT49" s="72"/>
      <c r="DUU49" s="72"/>
      <c r="DUV49" s="72"/>
      <c r="DUW49" s="72"/>
      <c r="DUX49" s="72"/>
      <c r="DUY49" s="72"/>
      <c r="DUZ49" s="72"/>
      <c r="DVA49" s="72"/>
      <c r="DVB49" s="72"/>
      <c r="DVC49" s="72"/>
      <c r="DVD49" s="72"/>
      <c r="DVE49" s="72"/>
      <c r="DVF49" s="72"/>
      <c r="DVG49" s="72"/>
      <c r="DVH49" s="72"/>
      <c r="DVI49" s="72"/>
      <c r="DVJ49" s="72"/>
      <c r="DVK49" s="72"/>
      <c r="DVL49" s="72"/>
      <c r="DVM49" s="72"/>
      <c r="DVN49" s="72"/>
      <c r="DVO49" s="72"/>
      <c r="DVP49" s="72"/>
      <c r="DVQ49" s="72"/>
      <c r="DVR49" s="72"/>
      <c r="DVS49" s="72"/>
      <c r="DVT49" s="72"/>
      <c r="DVU49" s="72"/>
      <c r="DVV49" s="72"/>
      <c r="DVW49" s="72"/>
      <c r="DVX49" s="72"/>
      <c r="DVY49" s="72"/>
      <c r="DVZ49" s="72"/>
      <c r="DWA49" s="72"/>
      <c r="DWB49" s="72"/>
      <c r="DWC49" s="72"/>
      <c r="DWD49" s="72"/>
      <c r="DWE49" s="72"/>
      <c r="DWF49" s="72"/>
      <c r="DWG49" s="72"/>
      <c r="DWH49" s="72"/>
      <c r="DWI49" s="72"/>
      <c r="DWJ49" s="72"/>
      <c r="DWK49" s="72"/>
      <c r="DWL49" s="72"/>
      <c r="DWM49" s="72"/>
      <c r="DWN49" s="72"/>
      <c r="DWO49" s="72"/>
      <c r="DWP49" s="72"/>
      <c r="DWQ49" s="72"/>
      <c r="DWR49" s="72"/>
      <c r="DWS49" s="72"/>
      <c r="DWT49" s="72"/>
      <c r="DWU49" s="72"/>
      <c r="DWV49" s="72"/>
      <c r="DWW49" s="72"/>
      <c r="DWX49" s="72"/>
      <c r="DWY49" s="72"/>
      <c r="DWZ49" s="72"/>
      <c r="DXA49" s="72"/>
      <c r="DXB49" s="72"/>
      <c r="DXC49" s="72"/>
      <c r="DXD49" s="72"/>
      <c r="DXE49" s="72"/>
      <c r="DXF49" s="72"/>
      <c r="DXG49" s="72"/>
      <c r="DXH49" s="72"/>
      <c r="DXI49" s="72"/>
      <c r="DXJ49" s="72"/>
      <c r="DXK49" s="72"/>
      <c r="DXL49" s="72"/>
      <c r="DXM49" s="72"/>
      <c r="DXN49" s="72"/>
      <c r="DXO49" s="72"/>
      <c r="DXP49" s="72"/>
      <c r="DXQ49" s="72"/>
      <c r="DXR49" s="72"/>
      <c r="DXS49" s="72"/>
      <c r="DXT49" s="72"/>
      <c r="DXU49" s="72"/>
      <c r="DXV49" s="72"/>
      <c r="DXW49" s="72"/>
      <c r="DXX49" s="72"/>
      <c r="DXY49" s="72"/>
      <c r="DXZ49" s="72"/>
      <c r="DYA49" s="72"/>
      <c r="DYB49" s="72"/>
      <c r="DYC49" s="72"/>
      <c r="DYD49" s="72"/>
      <c r="DYE49" s="72"/>
      <c r="DYF49" s="72"/>
      <c r="DYG49" s="72"/>
      <c r="DYH49" s="72"/>
      <c r="DYI49" s="72"/>
      <c r="DYJ49" s="72"/>
      <c r="DYK49" s="72"/>
      <c r="DYL49" s="72"/>
      <c r="DYM49" s="72"/>
      <c r="DYN49" s="72"/>
      <c r="DYO49" s="72"/>
      <c r="DYP49" s="72"/>
      <c r="DYQ49" s="72"/>
      <c r="DYR49" s="72"/>
      <c r="DYS49" s="72"/>
      <c r="DYT49" s="72"/>
      <c r="DYU49" s="72"/>
      <c r="DYV49" s="72"/>
      <c r="DYW49" s="72"/>
      <c r="DYX49" s="72"/>
      <c r="DYY49" s="72"/>
      <c r="DYZ49" s="72"/>
      <c r="DZA49" s="72"/>
      <c r="DZB49" s="72"/>
      <c r="DZC49" s="72"/>
      <c r="DZD49" s="72"/>
      <c r="DZE49" s="72"/>
      <c r="DZF49" s="72"/>
      <c r="DZG49" s="72"/>
      <c r="DZH49" s="72"/>
      <c r="DZI49" s="72"/>
      <c r="DZJ49" s="72"/>
      <c r="DZK49" s="72"/>
      <c r="DZL49" s="72"/>
      <c r="DZM49" s="72"/>
      <c r="DZN49" s="72"/>
      <c r="DZO49" s="72"/>
      <c r="DZP49" s="72"/>
      <c r="DZQ49" s="72"/>
      <c r="DZR49" s="72"/>
      <c r="DZS49" s="72"/>
      <c r="DZT49" s="72"/>
      <c r="DZU49" s="72"/>
      <c r="DZV49" s="72"/>
      <c r="DZW49" s="72"/>
      <c r="DZX49" s="72"/>
      <c r="DZY49" s="72"/>
      <c r="DZZ49" s="72"/>
      <c r="EAA49" s="72"/>
      <c r="EAB49" s="72"/>
      <c r="EAC49" s="72"/>
      <c r="EAD49" s="72"/>
      <c r="EAE49" s="72"/>
      <c r="EAF49" s="72"/>
      <c r="EAG49" s="72"/>
      <c r="EAH49" s="72"/>
      <c r="EAI49" s="72"/>
      <c r="EAJ49" s="72"/>
      <c r="EAK49" s="72"/>
      <c r="EAL49" s="72"/>
      <c r="EAM49" s="72"/>
      <c r="EAN49" s="72"/>
      <c r="EAO49" s="72"/>
      <c r="EAP49" s="72"/>
      <c r="EAQ49" s="72"/>
      <c r="EAR49" s="72"/>
      <c r="EAS49" s="72"/>
      <c r="EAT49" s="72"/>
      <c r="EAU49" s="72"/>
      <c r="EAV49" s="72"/>
      <c r="EAW49" s="72"/>
      <c r="EAX49" s="72"/>
      <c r="EAY49" s="72"/>
      <c r="EAZ49" s="72"/>
      <c r="EBA49" s="72"/>
      <c r="EBB49" s="72"/>
      <c r="EBC49" s="72"/>
      <c r="EBD49" s="72"/>
      <c r="EBE49" s="72"/>
      <c r="EBF49" s="72"/>
      <c r="EBG49" s="72"/>
      <c r="EBH49" s="72"/>
      <c r="EBI49" s="72"/>
      <c r="EBJ49" s="72"/>
      <c r="EBK49" s="72"/>
      <c r="EBL49" s="72"/>
      <c r="EBM49" s="72"/>
      <c r="EBN49" s="72"/>
      <c r="EBO49" s="72"/>
      <c r="EBP49" s="72"/>
      <c r="EBQ49" s="72"/>
      <c r="EBR49" s="72"/>
      <c r="EBS49" s="72"/>
      <c r="EBT49" s="72"/>
      <c r="EBU49" s="72"/>
      <c r="EBV49" s="72"/>
      <c r="EBW49" s="72"/>
      <c r="EBX49" s="72"/>
      <c r="EBY49" s="72"/>
      <c r="EBZ49" s="72"/>
      <c r="ECA49" s="72"/>
      <c r="ECB49" s="72"/>
      <c r="ECC49" s="72"/>
      <c r="ECD49" s="72"/>
      <c r="ECE49" s="72"/>
      <c r="ECF49" s="72"/>
      <c r="ECG49" s="72"/>
      <c r="ECH49" s="72"/>
      <c r="ECI49" s="72"/>
      <c r="ECJ49" s="72"/>
      <c r="ECK49" s="72"/>
      <c r="ECL49" s="72"/>
      <c r="ECM49" s="72"/>
      <c r="ECN49" s="72"/>
      <c r="ECO49" s="72"/>
      <c r="ECP49" s="72"/>
      <c r="ECQ49" s="72"/>
      <c r="ECR49" s="72"/>
      <c r="ECS49" s="72"/>
      <c r="ECT49" s="72"/>
      <c r="ECU49" s="72"/>
      <c r="ECV49" s="72"/>
      <c r="ECW49" s="72"/>
      <c r="ECX49" s="72"/>
      <c r="ECY49" s="72"/>
      <c r="ECZ49" s="72"/>
      <c r="EDA49" s="72"/>
      <c r="EDB49" s="72"/>
      <c r="EDC49" s="72"/>
      <c r="EDD49" s="72"/>
      <c r="EDE49" s="72"/>
      <c r="EDF49" s="72"/>
      <c r="EDG49" s="72"/>
      <c r="EDH49" s="72"/>
      <c r="EDI49" s="72"/>
      <c r="EDJ49" s="72"/>
      <c r="EDK49" s="72"/>
      <c r="EDL49" s="72"/>
      <c r="EDM49" s="72"/>
      <c r="EDN49" s="72"/>
      <c r="EDO49" s="72"/>
      <c r="EDP49" s="72"/>
      <c r="EDQ49" s="72"/>
      <c r="EDR49" s="72"/>
      <c r="EDS49" s="72"/>
      <c r="EDT49" s="72"/>
      <c r="EDU49" s="72"/>
      <c r="EDV49" s="72"/>
      <c r="EDW49" s="72"/>
      <c r="EDX49" s="72"/>
      <c r="EDY49" s="72"/>
      <c r="EDZ49" s="72"/>
      <c r="EEA49" s="72"/>
      <c r="EEB49" s="72"/>
      <c r="EEC49" s="72"/>
      <c r="EED49" s="72"/>
      <c r="EEE49" s="72"/>
      <c r="EEF49" s="72"/>
      <c r="EEG49" s="72"/>
      <c r="EEH49" s="72"/>
      <c r="EEI49" s="72"/>
      <c r="EEJ49" s="72"/>
      <c r="EEK49" s="72"/>
      <c r="EEL49" s="72"/>
      <c r="EEM49" s="72"/>
      <c r="EEN49" s="72"/>
      <c r="EEO49" s="72"/>
      <c r="EEP49" s="72"/>
      <c r="EEQ49" s="72"/>
      <c r="EER49" s="72"/>
      <c r="EES49" s="72"/>
      <c r="EET49" s="72"/>
      <c r="EEU49" s="72"/>
      <c r="EEV49" s="72"/>
      <c r="EEW49" s="72"/>
      <c r="EEX49" s="72"/>
      <c r="EEY49" s="72"/>
      <c r="EEZ49" s="72"/>
      <c r="EFA49" s="72"/>
      <c r="EFB49" s="72"/>
      <c r="EFC49" s="72"/>
      <c r="EFD49" s="72"/>
      <c r="EFE49" s="72"/>
      <c r="EFF49" s="72"/>
      <c r="EFG49" s="72"/>
      <c r="EFH49" s="72"/>
      <c r="EFI49" s="72"/>
      <c r="EFJ49" s="72"/>
      <c r="EFK49" s="72"/>
      <c r="EFL49" s="72"/>
      <c r="EFM49" s="72"/>
      <c r="EFN49" s="72"/>
      <c r="EFO49" s="72"/>
      <c r="EFP49" s="72"/>
      <c r="EFQ49" s="72"/>
      <c r="EFR49" s="72"/>
      <c r="EFS49" s="72"/>
      <c r="EFT49" s="72"/>
      <c r="EFU49" s="72"/>
      <c r="EFV49" s="72"/>
      <c r="EFW49" s="72"/>
      <c r="EFX49" s="72"/>
      <c r="EFY49" s="72"/>
      <c r="EFZ49" s="72"/>
      <c r="EGA49" s="72"/>
      <c r="EGB49" s="72"/>
      <c r="EGC49" s="72"/>
      <c r="EGD49" s="72"/>
      <c r="EGE49" s="72"/>
      <c r="EGF49" s="72"/>
      <c r="EGG49" s="72"/>
      <c r="EGH49" s="72"/>
      <c r="EGI49" s="72"/>
      <c r="EGJ49" s="72"/>
      <c r="EGK49" s="72"/>
      <c r="EGL49" s="72"/>
      <c r="EGM49" s="72"/>
      <c r="EGN49" s="72"/>
      <c r="EGO49" s="72"/>
      <c r="EGP49" s="72"/>
      <c r="EGQ49" s="72"/>
      <c r="EGR49" s="72"/>
      <c r="EGS49" s="72"/>
      <c r="EGT49" s="72"/>
      <c r="EGU49" s="72"/>
      <c r="EGV49" s="72"/>
      <c r="EGW49" s="72"/>
      <c r="EGX49" s="72"/>
      <c r="EGY49" s="72"/>
      <c r="EGZ49" s="72"/>
      <c r="EHA49" s="72"/>
      <c r="EHB49" s="72"/>
      <c r="EHC49" s="72"/>
      <c r="EHD49" s="72"/>
      <c r="EHE49" s="72"/>
      <c r="EHF49" s="72"/>
      <c r="EHG49" s="72"/>
      <c r="EHH49" s="72"/>
      <c r="EHI49" s="72"/>
      <c r="EHJ49" s="72"/>
      <c r="EHK49" s="72"/>
      <c r="EHL49" s="72"/>
      <c r="EHM49" s="72"/>
      <c r="EHN49" s="72"/>
      <c r="EHO49" s="72"/>
      <c r="EHP49" s="72"/>
      <c r="EHQ49" s="72"/>
      <c r="EHR49" s="72"/>
      <c r="EHS49" s="72"/>
      <c r="EHT49" s="72"/>
      <c r="EHU49" s="72"/>
      <c r="EHV49" s="72"/>
      <c r="EHW49" s="72"/>
      <c r="EHX49" s="72"/>
      <c r="EHY49" s="72"/>
      <c r="EHZ49" s="72"/>
      <c r="EIA49" s="72"/>
      <c r="EIB49" s="72"/>
      <c r="EIC49" s="72"/>
      <c r="EID49" s="72"/>
      <c r="EIE49" s="72"/>
      <c r="EIF49" s="72"/>
      <c r="EIG49" s="72"/>
      <c r="EIH49" s="72"/>
      <c r="EII49" s="72"/>
      <c r="EIJ49" s="72"/>
      <c r="EIK49" s="72"/>
      <c r="EIL49" s="72"/>
      <c r="EIM49" s="72"/>
      <c r="EIN49" s="72"/>
      <c r="EIO49" s="72"/>
      <c r="EIP49" s="72"/>
      <c r="EIQ49" s="72"/>
      <c r="EIR49" s="72"/>
      <c r="EIS49" s="72"/>
      <c r="EIT49" s="72"/>
      <c r="EIU49" s="72"/>
      <c r="EIV49" s="72"/>
      <c r="EIW49" s="72"/>
      <c r="EIX49" s="72"/>
      <c r="EIY49" s="72"/>
      <c r="EIZ49" s="72"/>
      <c r="EJA49" s="72"/>
      <c r="EJB49" s="72"/>
      <c r="EJC49" s="72"/>
      <c r="EJD49" s="72"/>
      <c r="EJE49" s="72"/>
      <c r="EJF49" s="72"/>
      <c r="EJG49" s="72"/>
      <c r="EJH49" s="72"/>
      <c r="EJI49" s="72"/>
      <c r="EJJ49" s="72"/>
      <c r="EJK49" s="72"/>
      <c r="EJL49" s="72"/>
      <c r="EJM49" s="72"/>
      <c r="EJN49" s="72"/>
      <c r="EJO49" s="72"/>
      <c r="EJP49" s="72"/>
      <c r="EJQ49" s="72"/>
      <c r="EJR49" s="72"/>
      <c r="EJS49" s="72"/>
      <c r="EJT49" s="72"/>
      <c r="EJU49" s="72"/>
      <c r="EJV49" s="72"/>
      <c r="EJW49" s="72"/>
      <c r="EJX49" s="72"/>
      <c r="EJY49" s="72"/>
      <c r="EJZ49" s="72"/>
      <c r="EKA49" s="72"/>
      <c r="EKB49" s="72"/>
      <c r="EKC49" s="72"/>
      <c r="EKD49" s="72"/>
      <c r="EKE49" s="72"/>
      <c r="EKF49" s="72"/>
      <c r="EKG49" s="72"/>
      <c r="EKH49" s="72"/>
      <c r="EKI49" s="72"/>
      <c r="EKJ49" s="72"/>
      <c r="EKK49" s="72"/>
      <c r="EKL49" s="72"/>
      <c r="EKM49" s="72"/>
      <c r="EKN49" s="72"/>
      <c r="EKO49" s="72"/>
      <c r="EKP49" s="72"/>
      <c r="EKQ49" s="72"/>
      <c r="EKR49" s="72"/>
      <c r="EKS49" s="72"/>
      <c r="EKT49" s="72"/>
      <c r="EKU49" s="72"/>
      <c r="EKV49" s="72"/>
      <c r="EKW49" s="72"/>
      <c r="EKX49" s="72"/>
      <c r="EKY49" s="72"/>
      <c r="EKZ49" s="72"/>
      <c r="ELA49" s="72"/>
      <c r="ELB49" s="72"/>
      <c r="ELC49" s="72"/>
      <c r="ELD49" s="72"/>
      <c r="ELE49" s="72"/>
      <c r="ELF49" s="72"/>
      <c r="ELG49" s="72"/>
      <c r="ELH49" s="72"/>
      <c r="ELI49" s="72"/>
      <c r="ELJ49" s="72"/>
      <c r="ELK49" s="72"/>
      <c r="ELL49" s="72"/>
      <c r="ELM49" s="72"/>
      <c r="ELN49" s="72"/>
      <c r="ELO49" s="72"/>
      <c r="ELP49" s="72"/>
      <c r="ELQ49" s="72"/>
      <c r="ELR49" s="72"/>
      <c r="ELS49" s="72"/>
      <c r="ELT49" s="72"/>
      <c r="ELU49" s="72"/>
      <c r="ELV49" s="72"/>
      <c r="ELW49" s="72"/>
      <c r="ELX49" s="72"/>
      <c r="ELY49" s="72"/>
      <c r="ELZ49" s="72"/>
      <c r="EMA49" s="72"/>
      <c r="EMB49" s="72"/>
      <c r="EMC49" s="72"/>
      <c r="EMD49" s="72"/>
      <c r="EME49" s="72"/>
      <c r="EMF49" s="72"/>
      <c r="EMG49" s="72"/>
      <c r="EMH49" s="72"/>
      <c r="EMI49" s="72"/>
      <c r="EMJ49" s="72"/>
      <c r="EMK49" s="72"/>
      <c r="EML49" s="72"/>
      <c r="EMM49" s="72"/>
      <c r="EMN49" s="72"/>
      <c r="EMO49" s="72"/>
      <c r="EMP49" s="72"/>
      <c r="EMQ49" s="72"/>
      <c r="EMR49" s="72"/>
      <c r="EMS49" s="72"/>
      <c r="EMT49" s="72"/>
      <c r="EMU49" s="72"/>
      <c r="EMV49" s="72"/>
      <c r="EMW49" s="72"/>
      <c r="EMX49" s="72"/>
      <c r="EMY49" s="72"/>
      <c r="EMZ49" s="72"/>
      <c r="ENA49" s="72"/>
      <c r="ENB49" s="72"/>
      <c r="ENC49" s="72"/>
      <c r="END49" s="72"/>
      <c r="ENE49" s="72"/>
      <c r="ENF49" s="72"/>
      <c r="ENG49" s="72"/>
      <c r="ENH49" s="72"/>
      <c r="ENI49" s="72"/>
      <c r="ENJ49" s="72"/>
      <c r="ENK49" s="72"/>
      <c r="ENL49" s="72"/>
      <c r="ENM49" s="72"/>
      <c r="ENN49" s="72"/>
      <c r="ENO49" s="72"/>
      <c r="ENP49" s="72"/>
      <c r="ENQ49" s="72"/>
      <c r="ENR49" s="72"/>
      <c r="ENS49" s="72"/>
      <c r="ENT49" s="72"/>
      <c r="ENU49" s="72"/>
      <c r="ENV49" s="72"/>
      <c r="ENW49" s="72"/>
      <c r="ENX49" s="72"/>
      <c r="ENY49" s="72"/>
      <c r="ENZ49" s="72"/>
      <c r="EOA49" s="72"/>
      <c r="EOB49" s="72"/>
      <c r="EOC49" s="72"/>
      <c r="EOD49" s="72"/>
      <c r="EOE49" s="72"/>
      <c r="EOF49" s="72"/>
      <c r="EOG49" s="72"/>
      <c r="EOH49" s="72"/>
      <c r="EOI49" s="72"/>
      <c r="EOJ49" s="72"/>
      <c r="EOK49" s="72"/>
      <c r="EOL49" s="72"/>
      <c r="EOM49" s="72"/>
      <c r="EON49" s="72"/>
      <c r="EOO49" s="72"/>
      <c r="EOP49" s="72"/>
      <c r="EOQ49" s="72"/>
      <c r="EOR49" s="72"/>
      <c r="EOS49" s="72"/>
      <c r="EOT49" s="72"/>
      <c r="EOU49" s="72"/>
      <c r="EOV49" s="72"/>
      <c r="EOW49" s="72"/>
      <c r="EOX49" s="72"/>
      <c r="EOY49" s="72"/>
      <c r="EOZ49" s="72"/>
      <c r="EPA49" s="72"/>
      <c r="EPB49" s="72"/>
      <c r="EPC49" s="72"/>
      <c r="EPD49" s="72"/>
      <c r="EPE49" s="72"/>
      <c r="EPF49" s="72"/>
      <c r="EPG49" s="72"/>
      <c r="EPH49" s="72"/>
      <c r="EPI49" s="72"/>
      <c r="EPJ49" s="72"/>
      <c r="EPK49" s="72"/>
      <c r="EPL49" s="72"/>
      <c r="EPM49" s="72"/>
      <c r="EPN49" s="72"/>
      <c r="EPO49" s="72"/>
      <c r="EPP49" s="72"/>
      <c r="EPQ49" s="72"/>
      <c r="EPR49" s="72"/>
      <c r="EPS49" s="72"/>
      <c r="EPT49" s="72"/>
      <c r="EPU49" s="72"/>
      <c r="EPV49" s="72"/>
      <c r="EPW49" s="72"/>
      <c r="EPX49" s="72"/>
      <c r="EPY49" s="72"/>
      <c r="EPZ49" s="72"/>
      <c r="EQA49" s="72"/>
      <c r="EQB49" s="72"/>
      <c r="EQC49" s="72"/>
      <c r="EQD49" s="72"/>
      <c r="EQE49" s="72"/>
      <c r="EQF49" s="72"/>
      <c r="EQG49" s="72"/>
      <c r="EQH49" s="72"/>
      <c r="EQI49" s="72"/>
      <c r="EQJ49" s="72"/>
      <c r="EQK49" s="72"/>
      <c r="EQL49" s="72"/>
      <c r="EQM49" s="72"/>
      <c r="EQN49" s="72"/>
      <c r="EQO49" s="72"/>
      <c r="EQP49" s="72"/>
      <c r="EQQ49" s="72"/>
      <c r="EQR49" s="72"/>
      <c r="EQS49" s="72"/>
      <c r="EQT49" s="72"/>
      <c r="EQU49" s="72"/>
      <c r="EQV49" s="72"/>
      <c r="EQW49" s="72"/>
      <c r="EQX49" s="72"/>
      <c r="EQY49" s="72"/>
      <c r="EQZ49" s="72"/>
      <c r="ERA49" s="72"/>
      <c r="ERB49" s="72"/>
      <c r="ERC49" s="72"/>
      <c r="ERD49" s="72"/>
      <c r="ERE49" s="72"/>
      <c r="ERF49" s="72"/>
      <c r="ERG49" s="72"/>
      <c r="ERH49" s="72"/>
      <c r="ERI49" s="72"/>
      <c r="ERJ49" s="72"/>
      <c r="ERK49" s="72"/>
      <c r="ERL49" s="72"/>
      <c r="ERM49" s="72"/>
      <c r="ERN49" s="72"/>
      <c r="ERO49" s="72"/>
      <c r="ERP49" s="72"/>
      <c r="ERQ49" s="72"/>
      <c r="ERR49" s="72"/>
      <c r="ERS49" s="72"/>
      <c r="ERT49" s="72"/>
      <c r="ERU49" s="72"/>
      <c r="ERV49" s="72"/>
      <c r="ERW49" s="72"/>
      <c r="ERX49" s="72"/>
      <c r="ERY49" s="72"/>
      <c r="ERZ49" s="72"/>
      <c r="ESA49" s="72"/>
      <c r="ESB49" s="72"/>
      <c r="ESC49" s="72"/>
      <c r="ESD49" s="72"/>
      <c r="ESE49" s="72"/>
      <c r="ESF49" s="72"/>
      <c r="ESG49" s="72"/>
      <c r="ESH49" s="72"/>
      <c r="ESI49" s="72"/>
      <c r="ESJ49" s="72"/>
      <c r="ESK49" s="72"/>
      <c r="ESL49" s="72"/>
      <c r="ESM49" s="72"/>
      <c r="ESN49" s="72"/>
      <c r="ESO49" s="72"/>
      <c r="ESP49" s="72"/>
      <c r="ESQ49" s="72"/>
      <c r="ESR49" s="72"/>
      <c r="ESS49" s="72"/>
      <c r="EST49" s="72"/>
      <c r="ESU49" s="72"/>
      <c r="ESV49" s="72"/>
      <c r="ESW49" s="72"/>
      <c r="ESX49" s="72"/>
      <c r="ESY49" s="72"/>
      <c r="ESZ49" s="72"/>
      <c r="ETA49" s="72"/>
      <c r="ETB49" s="72"/>
      <c r="ETC49" s="72"/>
      <c r="ETD49" s="72"/>
      <c r="ETE49" s="72"/>
      <c r="ETF49" s="72"/>
      <c r="ETG49" s="72"/>
      <c r="ETH49" s="72"/>
      <c r="ETI49" s="72"/>
      <c r="ETJ49" s="72"/>
      <c r="ETK49" s="72"/>
      <c r="ETL49" s="72"/>
      <c r="ETM49" s="72"/>
      <c r="ETN49" s="72"/>
      <c r="ETO49" s="72"/>
      <c r="ETP49" s="72"/>
      <c r="ETQ49" s="72"/>
      <c r="ETR49" s="72"/>
      <c r="ETS49" s="72"/>
      <c r="ETT49" s="72"/>
      <c r="ETU49" s="72"/>
      <c r="ETV49" s="72"/>
      <c r="ETW49" s="72"/>
      <c r="ETX49" s="72"/>
      <c r="ETY49" s="72"/>
      <c r="ETZ49" s="72"/>
      <c r="EUA49" s="72"/>
      <c r="EUB49" s="72"/>
      <c r="EUC49" s="72"/>
      <c r="EUD49" s="72"/>
      <c r="EUE49" s="72"/>
      <c r="EUF49" s="72"/>
      <c r="EUG49" s="72"/>
      <c r="EUH49" s="72"/>
      <c r="EUI49" s="72"/>
      <c r="EUJ49" s="72"/>
      <c r="EUK49" s="72"/>
      <c r="EUL49" s="72"/>
      <c r="EUM49" s="72"/>
      <c r="EUN49" s="72"/>
      <c r="EUO49" s="72"/>
      <c r="EUP49" s="72"/>
      <c r="EUQ49" s="72"/>
      <c r="EUR49" s="72"/>
      <c r="EUS49" s="72"/>
      <c r="EUT49" s="72"/>
      <c r="EUU49" s="72"/>
      <c r="EUV49" s="72"/>
      <c r="EUW49" s="72"/>
      <c r="EUX49" s="72"/>
      <c r="EUY49" s="72"/>
      <c r="EUZ49" s="72"/>
      <c r="EVA49" s="72"/>
      <c r="EVB49" s="72"/>
      <c r="EVC49" s="72"/>
      <c r="EVD49" s="72"/>
      <c r="EVE49" s="72"/>
      <c r="EVF49" s="72"/>
      <c r="EVG49" s="72"/>
      <c r="EVH49" s="72"/>
      <c r="EVI49" s="72"/>
      <c r="EVJ49" s="72"/>
      <c r="EVK49" s="72"/>
      <c r="EVL49" s="72"/>
      <c r="EVM49" s="72"/>
      <c r="EVN49" s="72"/>
      <c r="EVO49" s="72"/>
      <c r="EVP49" s="72"/>
      <c r="EVQ49" s="72"/>
      <c r="EVR49" s="72"/>
      <c r="EVS49" s="72"/>
      <c r="EVT49" s="72"/>
      <c r="EVU49" s="72"/>
      <c r="EVV49" s="72"/>
      <c r="EVW49" s="72"/>
      <c r="EVX49" s="72"/>
      <c r="EVY49" s="72"/>
      <c r="EVZ49" s="72"/>
      <c r="EWA49" s="72"/>
      <c r="EWB49" s="72"/>
      <c r="EWC49" s="72"/>
      <c r="EWD49" s="72"/>
      <c r="EWE49" s="72"/>
      <c r="EWF49" s="72"/>
      <c r="EWG49" s="72"/>
      <c r="EWH49" s="72"/>
      <c r="EWI49" s="72"/>
      <c r="EWJ49" s="72"/>
      <c r="EWK49" s="72"/>
      <c r="EWL49" s="72"/>
      <c r="EWM49" s="72"/>
      <c r="EWN49" s="72"/>
      <c r="EWO49" s="72"/>
      <c r="EWP49" s="72"/>
      <c r="EWQ49" s="72"/>
      <c r="EWR49" s="72"/>
      <c r="EWS49" s="72"/>
      <c r="EWT49" s="72"/>
      <c r="EWU49" s="72"/>
      <c r="EWV49" s="72"/>
      <c r="EWW49" s="72"/>
      <c r="EWX49" s="72"/>
      <c r="EWY49" s="72"/>
      <c r="EWZ49" s="72"/>
      <c r="EXA49" s="72"/>
      <c r="EXB49" s="72"/>
      <c r="EXC49" s="72"/>
      <c r="EXD49" s="72"/>
      <c r="EXE49" s="72"/>
      <c r="EXF49" s="72"/>
      <c r="EXG49" s="72"/>
      <c r="EXH49" s="72"/>
      <c r="EXI49" s="72"/>
      <c r="EXJ49" s="72"/>
      <c r="EXK49" s="72"/>
      <c r="EXL49" s="72"/>
      <c r="EXM49" s="72"/>
      <c r="EXN49" s="72"/>
      <c r="EXO49" s="72"/>
      <c r="EXP49" s="72"/>
      <c r="EXQ49" s="72"/>
      <c r="EXR49" s="72"/>
      <c r="EXS49" s="72"/>
      <c r="EXT49" s="72"/>
      <c r="EXU49" s="72"/>
      <c r="EXV49" s="72"/>
      <c r="EXW49" s="72"/>
      <c r="EXX49" s="72"/>
      <c r="EXY49" s="72"/>
      <c r="EXZ49" s="72"/>
      <c r="EYA49" s="72"/>
      <c r="EYB49" s="72"/>
      <c r="EYC49" s="72"/>
      <c r="EYD49" s="72"/>
      <c r="EYE49" s="72"/>
      <c r="EYF49" s="72"/>
      <c r="EYG49" s="72"/>
      <c r="EYH49" s="72"/>
      <c r="EYI49" s="72"/>
      <c r="EYJ49" s="72"/>
      <c r="EYK49" s="72"/>
      <c r="EYL49" s="72"/>
      <c r="EYM49" s="72"/>
      <c r="EYN49" s="72"/>
      <c r="EYO49" s="72"/>
      <c r="EYP49" s="72"/>
      <c r="EYQ49" s="72"/>
      <c r="EYR49" s="72"/>
      <c r="EYS49" s="72"/>
      <c r="EYT49" s="72"/>
      <c r="EYU49" s="72"/>
      <c r="EYV49" s="72"/>
      <c r="EYW49" s="72"/>
      <c r="EYX49" s="72"/>
      <c r="EYY49" s="72"/>
      <c r="EYZ49" s="72"/>
      <c r="EZA49" s="72"/>
      <c r="EZB49" s="72"/>
      <c r="EZC49" s="72"/>
      <c r="EZD49" s="72"/>
      <c r="EZE49" s="72"/>
      <c r="EZF49" s="72"/>
      <c r="EZG49" s="72"/>
      <c r="EZH49" s="72"/>
      <c r="EZI49" s="72"/>
      <c r="EZJ49" s="72"/>
      <c r="EZK49" s="72"/>
      <c r="EZL49" s="72"/>
      <c r="EZM49" s="72"/>
      <c r="EZN49" s="72"/>
      <c r="EZO49" s="72"/>
      <c r="EZP49" s="72"/>
      <c r="EZQ49" s="72"/>
      <c r="EZR49" s="72"/>
      <c r="EZS49" s="72"/>
      <c r="EZT49" s="72"/>
      <c r="EZU49" s="72"/>
      <c r="EZV49" s="72"/>
      <c r="EZW49" s="72"/>
      <c r="EZX49" s="72"/>
      <c r="EZY49" s="72"/>
      <c r="EZZ49" s="72"/>
      <c r="FAA49" s="72"/>
      <c r="FAB49" s="72"/>
      <c r="FAC49" s="72"/>
      <c r="FAD49" s="72"/>
      <c r="FAE49" s="72"/>
      <c r="FAF49" s="72"/>
      <c r="FAG49" s="72"/>
      <c r="FAH49" s="72"/>
      <c r="FAI49" s="72"/>
      <c r="FAJ49" s="72"/>
      <c r="FAK49" s="72"/>
      <c r="FAL49" s="72"/>
      <c r="FAM49" s="72"/>
      <c r="FAN49" s="72"/>
      <c r="FAO49" s="72"/>
      <c r="FAP49" s="72"/>
      <c r="FAQ49" s="72"/>
      <c r="FAR49" s="72"/>
      <c r="FAS49" s="72"/>
      <c r="FAT49" s="72"/>
      <c r="FAU49" s="72"/>
      <c r="FAV49" s="72"/>
      <c r="FAW49" s="72"/>
      <c r="FAX49" s="72"/>
      <c r="FAY49" s="72"/>
      <c r="FAZ49" s="72"/>
      <c r="FBA49" s="72"/>
      <c r="FBB49" s="72"/>
      <c r="FBC49" s="72"/>
      <c r="FBD49" s="72"/>
      <c r="FBE49" s="72"/>
      <c r="FBF49" s="72"/>
      <c r="FBG49" s="72"/>
      <c r="FBH49" s="72"/>
      <c r="FBI49" s="72"/>
      <c r="FBJ49" s="72"/>
      <c r="FBK49" s="72"/>
      <c r="FBL49" s="72"/>
      <c r="FBM49" s="72"/>
      <c r="FBN49" s="72"/>
      <c r="FBO49" s="72"/>
      <c r="FBP49" s="72"/>
      <c r="FBQ49" s="72"/>
      <c r="FBR49" s="72"/>
      <c r="FBS49" s="72"/>
      <c r="FBT49" s="72"/>
      <c r="FBU49" s="72"/>
      <c r="FBV49" s="72"/>
      <c r="FBW49" s="72"/>
      <c r="FBX49" s="72"/>
      <c r="FBY49" s="72"/>
      <c r="FBZ49" s="72"/>
      <c r="FCA49" s="72"/>
      <c r="FCB49" s="72"/>
      <c r="FCC49" s="72"/>
      <c r="FCD49" s="72"/>
      <c r="FCE49" s="72"/>
      <c r="FCF49" s="72"/>
      <c r="FCG49" s="72"/>
      <c r="FCH49" s="72"/>
      <c r="FCI49" s="72"/>
      <c r="FCJ49" s="72"/>
      <c r="FCK49" s="72"/>
      <c r="FCL49" s="72"/>
      <c r="FCM49" s="72"/>
      <c r="FCN49" s="72"/>
      <c r="FCO49" s="72"/>
      <c r="FCP49" s="72"/>
      <c r="FCQ49" s="72"/>
      <c r="FCR49" s="72"/>
      <c r="FCS49" s="72"/>
      <c r="FCT49" s="72"/>
      <c r="FCU49" s="72"/>
      <c r="FCV49" s="72"/>
      <c r="FCW49" s="72"/>
      <c r="FCX49" s="72"/>
      <c r="FCY49" s="72"/>
      <c r="FCZ49" s="72"/>
      <c r="FDA49" s="72"/>
      <c r="FDB49" s="72"/>
      <c r="FDC49" s="72"/>
      <c r="FDD49" s="72"/>
      <c r="FDE49" s="72"/>
      <c r="FDF49" s="72"/>
      <c r="FDG49" s="72"/>
      <c r="FDH49" s="72"/>
      <c r="FDI49" s="72"/>
      <c r="FDJ49" s="72"/>
      <c r="FDK49" s="72"/>
      <c r="FDL49" s="72"/>
      <c r="FDM49" s="72"/>
      <c r="FDN49" s="72"/>
      <c r="FDO49" s="72"/>
      <c r="FDP49" s="72"/>
      <c r="FDQ49" s="72"/>
      <c r="FDR49" s="72"/>
      <c r="FDS49" s="72"/>
      <c r="FDT49" s="72"/>
      <c r="FDU49" s="72"/>
      <c r="FDV49" s="72"/>
      <c r="FDW49" s="72"/>
      <c r="FDX49" s="72"/>
      <c r="FDY49" s="72"/>
      <c r="FDZ49" s="72"/>
      <c r="FEA49" s="72"/>
      <c r="FEB49" s="72"/>
      <c r="FEC49" s="72"/>
      <c r="FED49" s="72"/>
      <c r="FEE49" s="72"/>
      <c r="FEF49" s="72"/>
      <c r="FEG49" s="72"/>
      <c r="FEH49" s="72"/>
      <c r="FEI49" s="72"/>
      <c r="FEJ49" s="72"/>
      <c r="FEK49" s="72"/>
      <c r="FEL49" s="72"/>
      <c r="FEM49" s="72"/>
      <c r="FEN49" s="72"/>
      <c r="FEO49" s="72"/>
      <c r="FEP49" s="72"/>
      <c r="FEQ49" s="72"/>
      <c r="FER49" s="72"/>
      <c r="FES49" s="72"/>
      <c r="FET49" s="72"/>
      <c r="FEU49" s="72"/>
      <c r="FEV49" s="72"/>
      <c r="FEW49" s="72"/>
      <c r="FEX49" s="72"/>
      <c r="FEY49" s="72"/>
      <c r="FEZ49" s="72"/>
      <c r="FFA49" s="72"/>
      <c r="FFB49" s="72"/>
      <c r="FFC49" s="72"/>
      <c r="FFD49" s="72"/>
      <c r="FFE49" s="72"/>
      <c r="FFF49" s="72"/>
      <c r="FFG49" s="72"/>
      <c r="FFH49" s="72"/>
      <c r="FFI49" s="72"/>
      <c r="FFJ49" s="72"/>
      <c r="FFK49" s="72"/>
      <c r="FFL49" s="72"/>
      <c r="FFM49" s="72"/>
      <c r="FFN49" s="72"/>
      <c r="FFO49" s="72"/>
      <c r="FFP49" s="72"/>
      <c r="FFQ49" s="72"/>
      <c r="FFR49" s="72"/>
      <c r="FFS49" s="72"/>
      <c r="FFT49" s="72"/>
      <c r="FFU49" s="72"/>
      <c r="FFV49" s="72"/>
      <c r="FFW49" s="72"/>
      <c r="FFX49" s="72"/>
      <c r="FFY49" s="72"/>
      <c r="FFZ49" s="72"/>
      <c r="FGA49" s="72"/>
      <c r="FGB49" s="72"/>
      <c r="FGC49" s="72"/>
      <c r="FGD49" s="72"/>
      <c r="FGE49" s="72"/>
      <c r="FGF49" s="72"/>
      <c r="FGG49" s="72"/>
      <c r="FGH49" s="72"/>
      <c r="FGI49" s="72"/>
      <c r="FGJ49" s="72"/>
      <c r="FGK49" s="72"/>
      <c r="FGL49" s="72"/>
      <c r="FGM49" s="72"/>
      <c r="FGN49" s="72"/>
      <c r="FGO49" s="72"/>
      <c r="FGP49" s="72"/>
      <c r="FGQ49" s="72"/>
      <c r="FGR49" s="72"/>
      <c r="FGS49" s="72"/>
      <c r="FGT49" s="72"/>
      <c r="FGU49" s="72"/>
      <c r="FGV49" s="72"/>
      <c r="FGW49" s="72"/>
      <c r="FGX49" s="72"/>
      <c r="FGY49" s="72"/>
      <c r="FGZ49" s="72"/>
      <c r="FHA49" s="72"/>
      <c r="FHB49" s="72"/>
      <c r="FHC49" s="72"/>
      <c r="FHD49" s="72"/>
      <c r="FHE49" s="72"/>
      <c r="FHF49" s="72"/>
      <c r="FHG49" s="72"/>
      <c r="FHH49" s="72"/>
      <c r="FHI49" s="72"/>
      <c r="FHJ49" s="72"/>
      <c r="FHK49" s="72"/>
      <c r="FHL49" s="72"/>
      <c r="FHM49" s="72"/>
      <c r="FHN49" s="72"/>
      <c r="FHO49" s="72"/>
      <c r="FHP49" s="72"/>
      <c r="FHQ49" s="72"/>
      <c r="FHR49" s="72"/>
      <c r="FHS49" s="72"/>
      <c r="FHT49" s="72"/>
      <c r="FHU49" s="72"/>
      <c r="FHV49" s="72"/>
      <c r="FHW49" s="72"/>
      <c r="FHX49" s="72"/>
      <c r="FHY49" s="72"/>
      <c r="FHZ49" s="72"/>
      <c r="FIA49" s="72"/>
      <c r="FIB49" s="72"/>
      <c r="FIC49" s="72"/>
      <c r="FID49" s="72"/>
      <c r="FIE49" s="72"/>
      <c r="FIF49" s="72"/>
      <c r="FIG49" s="72"/>
      <c r="FIH49" s="72"/>
      <c r="FII49" s="72"/>
      <c r="FIJ49" s="72"/>
      <c r="FIK49" s="72"/>
      <c r="FIL49" s="72"/>
      <c r="FIM49" s="72"/>
      <c r="FIN49" s="72"/>
      <c r="FIO49" s="72"/>
      <c r="FIP49" s="72"/>
      <c r="FIQ49" s="72"/>
      <c r="FIR49" s="72"/>
      <c r="FIS49" s="72"/>
      <c r="FIT49" s="72"/>
      <c r="FIU49" s="72"/>
      <c r="FIV49" s="72"/>
      <c r="FIW49" s="72"/>
      <c r="FIX49" s="72"/>
      <c r="FIY49" s="72"/>
      <c r="FIZ49" s="72"/>
      <c r="FJA49" s="72"/>
      <c r="FJB49" s="72"/>
      <c r="FJC49" s="72"/>
      <c r="FJD49" s="72"/>
      <c r="FJE49" s="72"/>
      <c r="FJF49" s="72"/>
      <c r="FJG49" s="72"/>
      <c r="FJH49" s="72"/>
      <c r="FJI49" s="72"/>
      <c r="FJJ49" s="72"/>
      <c r="FJK49" s="72"/>
      <c r="FJL49" s="72"/>
      <c r="FJM49" s="72"/>
      <c r="FJN49" s="72"/>
      <c r="FJO49" s="72"/>
      <c r="FJP49" s="72"/>
      <c r="FJQ49" s="72"/>
      <c r="FJR49" s="72"/>
      <c r="FJS49" s="72"/>
      <c r="FJT49" s="72"/>
      <c r="FJU49" s="72"/>
      <c r="FJV49" s="72"/>
      <c r="FJW49" s="72"/>
      <c r="FJX49" s="72"/>
      <c r="FJY49" s="72"/>
      <c r="FJZ49" s="72"/>
      <c r="FKA49" s="72"/>
      <c r="FKB49" s="72"/>
      <c r="FKC49" s="72"/>
      <c r="FKD49" s="72"/>
      <c r="FKE49" s="72"/>
      <c r="FKF49" s="72"/>
      <c r="FKG49" s="72"/>
      <c r="FKH49" s="72"/>
      <c r="FKI49" s="72"/>
      <c r="FKJ49" s="72"/>
      <c r="FKK49" s="72"/>
      <c r="FKL49" s="72"/>
      <c r="FKM49" s="72"/>
      <c r="FKN49" s="72"/>
      <c r="FKO49" s="72"/>
      <c r="FKP49" s="72"/>
      <c r="FKQ49" s="72"/>
      <c r="FKR49" s="72"/>
      <c r="FKS49" s="72"/>
      <c r="FKT49" s="72"/>
      <c r="FKU49" s="72"/>
      <c r="FKV49" s="72"/>
      <c r="FKW49" s="72"/>
      <c r="FKX49" s="72"/>
      <c r="FKY49" s="72"/>
      <c r="FKZ49" s="72"/>
      <c r="FLA49" s="72"/>
      <c r="FLB49" s="72"/>
      <c r="FLC49" s="72"/>
      <c r="FLD49" s="72"/>
      <c r="FLE49" s="72"/>
      <c r="FLF49" s="72"/>
      <c r="FLG49" s="72"/>
      <c r="FLH49" s="72"/>
      <c r="FLI49" s="72"/>
      <c r="FLJ49" s="72"/>
      <c r="FLK49" s="72"/>
      <c r="FLL49" s="72"/>
      <c r="FLM49" s="72"/>
      <c r="FLN49" s="72"/>
      <c r="FLO49" s="72"/>
      <c r="FLP49" s="72"/>
      <c r="FLQ49" s="72"/>
      <c r="FLR49" s="72"/>
      <c r="FLS49" s="72"/>
      <c r="FLT49" s="72"/>
      <c r="FLU49" s="72"/>
      <c r="FLV49" s="72"/>
      <c r="FLW49" s="72"/>
      <c r="FLX49" s="72"/>
      <c r="FLY49" s="72"/>
      <c r="FLZ49" s="72"/>
      <c r="FMA49" s="72"/>
      <c r="FMB49" s="72"/>
      <c r="FMC49" s="72"/>
      <c r="FMD49" s="72"/>
      <c r="FME49" s="72"/>
      <c r="FMF49" s="72"/>
      <c r="FMG49" s="72"/>
      <c r="FMH49" s="72"/>
      <c r="FMI49" s="72"/>
      <c r="FMJ49" s="72"/>
      <c r="FMK49" s="72"/>
      <c r="FML49" s="72"/>
      <c r="FMM49" s="72"/>
      <c r="FMN49" s="72"/>
      <c r="FMO49" s="72"/>
      <c r="FMP49" s="72"/>
      <c r="FMQ49" s="72"/>
      <c r="FMR49" s="72"/>
      <c r="FMS49" s="72"/>
      <c r="FMT49" s="72"/>
      <c r="FMU49" s="72"/>
      <c r="FMV49" s="72"/>
      <c r="FMW49" s="72"/>
      <c r="FMX49" s="72"/>
      <c r="FMY49" s="72"/>
      <c r="FMZ49" s="72"/>
      <c r="FNA49" s="72"/>
      <c r="FNB49" s="72"/>
      <c r="FNC49" s="72"/>
      <c r="FND49" s="72"/>
      <c r="FNE49" s="72"/>
      <c r="FNF49" s="72"/>
      <c r="FNG49" s="72"/>
      <c r="FNH49" s="72"/>
      <c r="FNI49" s="72"/>
      <c r="FNJ49" s="72"/>
      <c r="FNK49" s="72"/>
      <c r="FNL49" s="72"/>
      <c r="FNM49" s="72"/>
      <c r="FNN49" s="72"/>
      <c r="FNO49" s="72"/>
      <c r="FNP49" s="72"/>
      <c r="FNQ49" s="72"/>
      <c r="FNR49" s="72"/>
      <c r="FNS49" s="72"/>
      <c r="FNT49" s="72"/>
      <c r="FNU49" s="72"/>
      <c r="FNV49" s="72"/>
      <c r="FNW49" s="72"/>
      <c r="FNX49" s="72"/>
      <c r="FNY49" s="72"/>
      <c r="FNZ49" s="72"/>
      <c r="FOA49" s="72"/>
      <c r="FOB49" s="72"/>
      <c r="FOC49" s="72"/>
      <c r="FOD49" s="72"/>
      <c r="FOE49" s="72"/>
      <c r="FOF49" s="72"/>
      <c r="FOG49" s="72"/>
      <c r="FOH49" s="72"/>
      <c r="FOI49" s="72"/>
      <c r="FOJ49" s="72"/>
      <c r="FOK49" s="72"/>
      <c r="FOL49" s="72"/>
      <c r="FOM49" s="72"/>
      <c r="FON49" s="72"/>
      <c r="FOO49" s="72"/>
      <c r="FOP49" s="72"/>
      <c r="FOQ49" s="72"/>
      <c r="FOR49" s="72"/>
      <c r="FOS49" s="72"/>
      <c r="FOT49" s="72"/>
      <c r="FOU49" s="72"/>
      <c r="FOV49" s="72"/>
      <c r="FOW49" s="72"/>
      <c r="FOX49" s="72"/>
      <c r="FOY49" s="72"/>
      <c r="FOZ49" s="72"/>
      <c r="FPA49" s="72"/>
      <c r="FPB49" s="72"/>
      <c r="FPC49" s="72"/>
      <c r="FPD49" s="72"/>
      <c r="FPE49" s="72"/>
      <c r="FPF49" s="72"/>
      <c r="FPG49" s="72"/>
      <c r="FPH49" s="72"/>
      <c r="FPI49" s="72"/>
      <c r="FPJ49" s="72"/>
      <c r="FPK49" s="72"/>
      <c r="FPL49" s="72"/>
      <c r="FPM49" s="72"/>
      <c r="FPN49" s="72"/>
      <c r="FPO49" s="72"/>
      <c r="FPP49" s="72"/>
      <c r="FPQ49" s="72"/>
      <c r="FPR49" s="72"/>
      <c r="FPS49" s="72"/>
      <c r="FPT49" s="72"/>
      <c r="FPU49" s="72"/>
      <c r="FPV49" s="72"/>
      <c r="FPW49" s="72"/>
      <c r="FPX49" s="72"/>
      <c r="FPY49" s="72"/>
      <c r="FPZ49" s="72"/>
      <c r="FQA49" s="72"/>
      <c r="FQB49" s="72"/>
      <c r="FQC49" s="72"/>
      <c r="FQD49" s="72"/>
      <c r="FQE49" s="72"/>
      <c r="FQF49" s="72"/>
      <c r="FQG49" s="72"/>
      <c r="FQH49" s="72"/>
      <c r="FQI49" s="72"/>
      <c r="FQJ49" s="72"/>
      <c r="FQK49" s="72"/>
      <c r="FQL49" s="72"/>
      <c r="FQM49" s="72"/>
      <c r="FQN49" s="72"/>
      <c r="FQO49" s="72"/>
      <c r="FQP49" s="72"/>
      <c r="FQQ49" s="72"/>
      <c r="FQR49" s="72"/>
      <c r="FQS49" s="72"/>
      <c r="FQT49" s="72"/>
      <c r="FQU49" s="72"/>
      <c r="FQV49" s="72"/>
      <c r="FQW49" s="72"/>
      <c r="FQX49" s="72"/>
      <c r="FQY49" s="72"/>
      <c r="FQZ49" s="72"/>
      <c r="FRA49" s="72"/>
      <c r="FRB49" s="72"/>
      <c r="FRC49" s="72"/>
      <c r="FRD49" s="72"/>
      <c r="FRE49" s="72"/>
      <c r="FRF49" s="72"/>
      <c r="FRG49" s="72"/>
      <c r="FRH49" s="72"/>
      <c r="FRI49" s="72"/>
      <c r="FRJ49" s="72"/>
      <c r="FRK49" s="72"/>
      <c r="FRL49" s="72"/>
      <c r="FRM49" s="72"/>
      <c r="FRN49" s="72"/>
      <c r="FRO49" s="72"/>
      <c r="FRP49" s="72"/>
      <c r="FRQ49" s="72"/>
      <c r="FRR49" s="72"/>
      <c r="FRS49" s="72"/>
      <c r="FRT49" s="72"/>
      <c r="FRU49" s="72"/>
      <c r="FRV49" s="72"/>
      <c r="FRW49" s="72"/>
      <c r="FRX49" s="72"/>
      <c r="FRY49" s="72"/>
      <c r="FRZ49" s="72"/>
      <c r="FSA49" s="72"/>
      <c r="FSB49" s="72"/>
      <c r="FSC49" s="72"/>
      <c r="FSD49" s="72"/>
      <c r="FSE49" s="72"/>
      <c r="FSF49" s="72"/>
      <c r="FSG49" s="72"/>
      <c r="FSH49" s="72"/>
      <c r="FSI49" s="72"/>
      <c r="FSJ49" s="72"/>
      <c r="FSK49" s="72"/>
      <c r="FSL49" s="72"/>
      <c r="FSM49" s="72"/>
      <c r="FSN49" s="72"/>
      <c r="FSO49" s="72"/>
      <c r="FSP49" s="72"/>
      <c r="FSQ49" s="72"/>
      <c r="FSR49" s="72"/>
      <c r="FSS49" s="72"/>
      <c r="FST49" s="72"/>
      <c r="FSU49" s="72"/>
      <c r="FSV49" s="72"/>
      <c r="FSW49" s="72"/>
      <c r="FSX49" s="72"/>
      <c r="FSY49" s="72"/>
      <c r="FSZ49" s="72"/>
      <c r="FTA49" s="72"/>
      <c r="FTB49" s="72"/>
      <c r="FTC49" s="72"/>
      <c r="FTD49" s="72"/>
      <c r="FTE49" s="72"/>
      <c r="FTF49" s="72"/>
      <c r="FTG49" s="72"/>
      <c r="FTH49" s="72"/>
      <c r="FTI49" s="72"/>
      <c r="FTJ49" s="72"/>
      <c r="FTK49" s="72"/>
      <c r="FTL49" s="72"/>
      <c r="FTM49" s="72"/>
      <c r="FTN49" s="72"/>
      <c r="FTO49" s="72"/>
      <c r="FTP49" s="72"/>
      <c r="FTQ49" s="72"/>
      <c r="FTR49" s="72"/>
      <c r="FTS49" s="72"/>
      <c r="FTT49" s="72"/>
      <c r="FTU49" s="72"/>
      <c r="FTV49" s="72"/>
      <c r="FTW49" s="72"/>
      <c r="FTX49" s="72"/>
      <c r="FTY49" s="72"/>
      <c r="FTZ49" s="72"/>
      <c r="FUA49" s="72"/>
      <c r="FUB49" s="72"/>
      <c r="FUC49" s="72"/>
      <c r="FUD49" s="72"/>
      <c r="FUE49" s="72"/>
      <c r="FUF49" s="72"/>
      <c r="FUG49" s="72"/>
      <c r="FUH49" s="72"/>
      <c r="FUI49" s="72"/>
      <c r="FUJ49" s="72"/>
      <c r="FUK49" s="72"/>
      <c r="FUL49" s="72"/>
      <c r="FUM49" s="72"/>
      <c r="FUN49" s="72"/>
      <c r="FUO49" s="72"/>
      <c r="FUP49" s="72"/>
      <c r="FUQ49" s="72"/>
      <c r="FUR49" s="72"/>
      <c r="FUS49" s="72"/>
      <c r="FUT49" s="72"/>
      <c r="FUU49" s="72"/>
      <c r="FUV49" s="72"/>
      <c r="FUW49" s="72"/>
      <c r="FUX49" s="72"/>
      <c r="FUY49" s="72"/>
      <c r="FUZ49" s="72"/>
      <c r="FVA49" s="72"/>
      <c r="FVB49" s="72"/>
      <c r="FVC49" s="72"/>
      <c r="FVD49" s="72"/>
      <c r="FVE49" s="72"/>
      <c r="FVF49" s="72"/>
      <c r="FVG49" s="72"/>
      <c r="FVH49" s="72"/>
      <c r="FVI49" s="72"/>
      <c r="FVJ49" s="72"/>
      <c r="FVK49" s="72"/>
      <c r="FVL49" s="72"/>
      <c r="FVM49" s="72"/>
      <c r="FVN49" s="72"/>
      <c r="FVO49" s="72"/>
      <c r="FVP49" s="72"/>
      <c r="FVQ49" s="72"/>
      <c r="FVR49" s="72"/>
      <c r="FVS49" s="72"/>
      <c r="FVT49" s="72"/>
      <c r="FVU49" s="72"/>
      <c r="FVV49" s="72"/>
      <c r="FVW49" s="72"/>
      <c r="FVX49" s="72"/>
      <c r="FVY49" s="72"/>
      <c r="FVZ49" s="72"/>
      <c r="FWA49" s="72"/>
      <c r="FWB49" s="72"/>
      <c r="FWC49" s="72"/>
      <c r="FWD49" s="72"/>
      <c r="FWE49" s="72"/>
      <c r="FWF49" s="72"/>
      <c r="FWG49" s="72"/>
      <c r="FWH49" s="72"/>
      <c r="FWI49" s="72"/>
      <c r="FWJ49" s="72"/>
      <c r="FWK49" s="72"/>
      <c r="FWL49" s="72"/>
      <c r="FWM49" s="72"/>
      <c r="FWN49" s="72"/>
      <c r="FWO49" s="72"/>
      <c r="FWP49" s="72"/>
      <c r="FWQ49" s="72"/>
      <c r="FWR49" s="72"/>
      <c r="FWS49" s="72"/>
      <c r="FWT49" s="72"/>
      <c r="FWU49" s="72"/>
      <c r="FWV49" s="72"/>
      <c r="FWW49" s="72"/>
      <c r="FWX49" s="72"/>
      <c r="FWY49" s="72"/>
      <c r="FWZ49" s="72"/>
      <c r="FXA49" s="72"/>
      <c r="FXB49" s="72"/>
      <c r="FXC49" s="72"/>
      <c r="FXD49" s="72"/>
      <c r="FXE49" s="72"/>
      <c r="FXF49" s="72"/>
      <c r="FXG49" s="72"/>
      <c r="FXH49" s="72"/>
      <c r="FXI49" s="72"/>
      <c r="FXJ49" s="72"/>
      <c r="FXK49" s="72"/>
      <c r="FXL49" s="72"/>
      <c r="FXM49" s="72"/>
      <c r="FXN49" s="72"/>
      <c r="FXO49" s="72"/>
      <c r="FXP49" s="72"/>
      <c r="FXQ49" s="72"/>
      <c r="FXR49" s="72"/>
      <c r="FXS49" s="72"/>
      <c r="FXT49" s="72"/>
      <c r="FXU49" s="72"/>
      <c r="FXV49" s="72"/>
      <c r="FXW49" s="72"/>
      <c r="FXX49" s="72"/>
      <c r="FXY49" s="72"/>
      <c r="FXZ49" s="72"/>
      <c r="FYA49" s="72"/>
      <c r="FYB49" s="72"/>
      <c r="FYC49" s="72"/>
      <c r="FYD49" s="72"/>
      <c r="FYE49" s="72"/>
      <c r="FYF49" s="72"/>
      <c r="FYG49" s="72"/>
      <c r="FYH49" s="72"/>
      <c r="FYI49" s="72"/>
      <c r="FYJ49" s="72"/>
      <c r="FYK49" s="72"/>
      <c r="FYL49" s="72"/>
      <c r="FYM49" s="72"/>
      <c r="FYN49" s="72"/>
      <c r="FYO49" s="72"/>
      <c r="FYP49" s="72"/>
      <c r="FYQ49" s="72"/>
      <c r="FYR49" s="72"/>
      <c r="FYS49" s="72"/>
      <c r="FYT49" s="72"/>
      <c r="FYU49" s="72"/>
      <c r="FYV49" s="72"/>
      <c r="FYW49" s="72"/>
      <c r="FYX49" s="72"/>
      <c r="FYY49" s="72"/>
      <c r="FYZ49" s="72"/>
      <c r="FZA49" s="72"/>
      <c r="FZB49" s="72"/>
      <c r="FZC49" s="72"/>
      <c r="FZD49" s="72"/>
      <c r="FZE49" s="72"/>
      <c r="FZF49" s="72"/>
      <c r="FZG49" s="72"/>
      <c r="FZH49" s="72"/>
      <c r="FZI49" s="72"/>
      <c r="FZJ49" s="72"/>
      <c r="FZK49" s="72"/>
      <c r="FZL49" s="72"/>
      <c r="FZM49" s="72"/>
      <c r="FZN49" s="72"/>
      <c r="FZO49" s="72"/>
      <c r="FZP49" s="72"/>
      <c r="FZQ49" s="72"/>
      <c r="FZR49" s="72"/>
      <c r="FZS49" s="72"/>
      <c r="FZT49" s="72"/>
      <c r="FZU49" s="72"/>
      <c r="FZV49" s="72"/>
      <c r="FZW49" s="72"/>
      <c r="FZX49" s="72"/>
      <c r="FZY49" s="72"/>
      <c r="FZZ49" s="72"/>
      <c r="GAA49" s="72"/>
      <c r="GAB49" s="72"/>
      <c r="GAC49" s="72"/>
      <c r="GAD49" s="72"/>
      <c r="GAE49" s="72"/>
      <c r="GAF49" s="72"/>
      <c r="GAG49" s="72"/>
      <c r="GAH49" s="72"/>
      <c r="GAI49" s="72"/>
      <c r="GAJ49" s="72"/>
      <c r="GAK49" s="72"/>
      <c r="GAL49" s="72"/>
      <c r="GAM49" s="72"/>
      <c r="GAN49" s="72"/>
      <c r="GAO49" s="72"/>
      <c r="GAP49" s="72"/>
      <c r="GAQ49" s="72"/>
      <c r="GAR49" s="72"/>
      <c r="GAS49" s="72"/>
      <c r="GAT49" s="72"/>
      <c r="GAU49" s="72"/>
      <c r="GAV49" s="72"/>
      <c r="GAW49" s="72"/>
      <c r="GAX49" s="72"/>
      <c r="GAY49" s="72"/>
      <c r="GAZ49" s="72"/>
      <c r="GBA49" s="72"/>
      <c r="GBB49" s="72"/>
      <c r="GBC49" s="72"/>
      <c r="GBD49" s="72"/>
      <c r="GBE49" s="72"/>
      <c r="GBF49" s="72"/>
      <c r="GBG49" s="72"/>
      <c r="GBH49" s="72"/>
      <c r="GBI49" s="72"/>
      <c r="GBJ49" s="72"/>
      <c r="GBK49" s="72"/>
      <c r="GBL49" s="72"/>
      <c r="GBM49" s="72"/>
      <c r="GBN49" s="72"/>
      <c r="GBO49" s="72"/>
      <c r="GBP49" s="72"/>
      <c r="GBQ49" s="72"/>
      <c r="GBR49" s="72"/>
      <c r="GBS49" s="72"/>
      <c r="GBT49" s="72"/>
      <c r="GBU49" s="72"/>
      <c r="GBV49" s="72"/>
      <c r="GBW49" s="72"/>
      <c r="GBX49" s="72"/>
      <c r="GBY49" s="72"/>
      <c r="GBZ49" s="72"/>
      <c r="GCA49" s="72"/>
      <c r="GCB49" s="72"/>
      <c r="GCC49" s="72"/>
      <c r="GCD49" s="72"/>
      <c r="GCE49" s="72"/>
      <c r="GCF49" s="72"/>
      <c r="GCG49" s="72"/>
      <c r="GCH49" s="72"/>
      <c r="GCI49" s="72"/>
      <c r="GCJ49" s="72"/>
      <c r="GCK49" s="72"/>
      <c r="GCL49" s="72"/>
      <c r="GCM49" s="72"/>
      <c r="GCN49" s="72"/>
      <c r="GCO49" s="72"/>
      <c r="GCP49" s="72"/>
      <c r="GCQ49" s="72"/>
      <c r="GCR49" s="72"/>
      <c r="GCS49" s="72"/>
      <c r="GCT49" s="72"/>
      <c r="GCU49" s="72"/>
      <c r="GCV49" s="72"/>
      <c r="GCW49" s="72"/>
      <c r="GCX49" s="72"/>
      <c r="GCY49" s="72"/>
      <c r="GCZ49" s="72"/>
      <c r="GDA49" s="72"/>
      <c r="GDB49" s="72"/>
      <c r="GDC49" s="72"/>
      <c r="GDD49" s="72"/>
      <c r="GDE49" s="72"/>
      <c r="GDF49" s="72"/>
      <c r="GDG49" s="72"/>
      <c r="GDH49" s="72"/>
      <c r="GDI49" s="72"/>
      <c r="GDJ49" s="72"/>
      <c r="GDK49" s="72"/>
      <c r="GDL49" s="72"/>
      <c r="GDM49" s="72"/>
      <c r="GDN49" s="72"/>
      <c r="GDO49" s="72"/>
      <c r="GDP49" s="72"/>
      <c r="GDQ49" s="72"/>
      <c r="GDR49" s="72"/>
      <c r="GDS49" s="72"/>
      <c r="GDT49" s="72"/>
      <c r="GDU49" s="72"/>
      <c r="GDV49" s="72"/>
      <c r="GDW49" s="72"/>
      <c r="GDX49" s="72"/>
      <c r="GDY49" s="72"/>
      <c r="GDZ49" s="72"/>
      <c r="GEA49" s="72"/>
      <c r="GEB49" s="72"/>
      <c r="GEC49" s="72"/>
      <c r="GED49" s="72"/>
      <c r="GEE49" s="72"/>
      <c r="GEF49" s="72"/>
      <c r="GEG49" s="72"/>
      <c r="GEH49" s="72"/>
      <c r="GEI49" s="72"/>
      <c r="GEJ49" s="72"/>
      <c r="GEK49" s="72"/>
      <c r="GEL49" s="72"/>
      <c r="GEM49" s="72"/>
      <c r="GEN49" s="72"/>
      <c r="GEO49" s="72"/>
      <c r="GEP49" s="72"/>
      <c r="GEQ49" s="72"/>
      <c r="GER49" s="72"/>
      <c r="GES49" s="72"/>
      <c r="GET49" s="72"/>
      <c r="GEU49" s="72"/>
      <c r="GEV49" s="72"/>
      <c r="GEW49" s="72"/>
      <c r="GEX49" s="72"/>
      <c r="GEY49" s="72"/>
      <c r="GEZ49" s="72"/>
      <c r="GFA49" s="72"/>
      <c r="GFB49" s="72"/>
      <c r="GFC49" s="72"/>
      <c r="GFD49" s="72"/>
      <c r="GFE49" s="72"/>
      <c r="GFF49" s="72"/>
      <c r="GFG49" s="72"/>
      <c r="GFH49" s="72"/>
      <c r="GFI49" s="72"/>
      <c r="GFJ49" s="72"/>
      <c r="GFK49" s="72"/>
      <c r="GFL49" s="72"/>
      <c r="GFM49" s="72"/>
      <c r="GFN49" s="72"/>
      <c r="GFO49" s="72"/>
      <c r="GFP49" s="72"/>
      <c r="GFQ49" s="72"/>
      <c r="GFR49" s="72"/>
      <c r="GFS49" s="72"/>
      <c r="GFT49" s="72"/>
      <c r="GFU49" s="72"/>
      <c r="GFV49" s="72"/>
      <c r="GFW49" s="72"/>
      <c r="GFX49" s="72"/>
      <c r="GFY49" s="72"/>
      <c r="GFZ49" s="72"/>
      <c r="GGA49" s="72"/>
      <c r="GGB49" s="72"/>
      <c r="GGC49" s="72"/>
      <c r="GGD49" s="72"/>
      <c r="GGE49" s="72"/>
      <c r="GGF49" s="72"/>
      <c r="GGG49" s="72"/>
      <c r="GGH49" s="72"/>
      <c r="GGI49" s="72"/>
      <c r="GGJ49" s="72"/>
      <c r="GGK49" s="72"/>
      <c r="GGL49" s="72"/>
      <c r="GGM49" s="72"/>
      <c r="GGN49" s="72"/>
      <c r="GGO49" s="72"/>
      <c r="GGP49" s="72"/>
      <c r="GGQ49" s="72"/>
      <c r="GGR49" s="72"/>
      <c r="GGS49" s="72"/>
      <c r="GGT49" s="72"/>
      <c r="GGU49" s="72"/>
      <c r="GGV49" s="72"/>
      <c r="GGW49" s="72"/>
      <c r="GGX49" s="72"/>
      <c r="GGY49" s="72"/>
      <c r="GGZ49" s="72"/>
      <c r="GHA49" s="72"/>
      <c r="GHB49" s="72"/>
      <c r="GHC49" s="72"/>
      <c r="GHD49" s="72"/>
      <c r="GHE49" s="72"/>
      <c r="GHF49" s="72"/>
      <c r="GHG49" s="72"/>
      <c r="GHH49" s="72"/>
      <c r="GHI49" s="72"/>
      <c r="GHJ49" s="72"/>
      <c r="GHK49" s="72"/>
      <c r="GHL49" s="72"/>
      <c r="GHM49" s="72"/>
      <c r="GHN49" s="72"/>
      <c r="GHO49" s="72"/>
      <c r="GHP49" s="72"/>
      <c r="GHQ49" s="72"/>
      <c r="GHR49" s="72"/>
      <c r="GHS49" s="72"/>
      <c r="GHT49" s="72"/>
      <c r="GHU49" s="72"/>
      <c r="GHV49" s="72"/>
      <c r="GHW49" s="72"/>
      <c r="GHX49" s="72"/>
      <c r="GHY49" s="72"/>
      <c r="GHZ49" s="72"/>
      <c r="GIA49" s="72"/>
      <c r="GIB49" s="72"/>
      <c r="GIC49" s="72"/>
      <c r="GID49" s="72"/>
      <c r="GIE49" s="72"/>
      <c r="GIF49" s="72"/>
      <c r="GIG49" s="72"/>
      <c r="GIH49" s="72"/>
      <c r="GII49" s="72"/>
      <c r="GIJ49" s="72"/>
      <c r="GIK49" s="72"/>
      <c r="GIL49" s="72"/>
      <c r="GIM49" s="72"/>
      <c r="GIN49" s="72"/>
      <c r="GIO49" s="72"/>
      <c r="GIP49" s="72"/>
      <c r="GIQ49" s="72"/>
      <c r="GIR49" s="72"/>
      <c r="GIS49" s="72"/>
      <c r="GIT49" s="72"/>
      <c r="GIU49" s="72"/>
      <c r="GIV49" s="72"/>
      <c r="GIW49" s="72"/>
      <c r="GIX49" s="72"/>
      <c r="GIY49" s="72"/>
      <c r="GIZ49" s="72"/>
      <c r="GJA49" s="72"/>
      <c r="GJB49" s="72"/>
      <c r="GJC49" s="72"/>
      <c r="GJD49" s="72"/>
      <c r="GJE49" s="72"/>
      <c r="GJF49" s="72"/>
      <c r="GJG49" s="72"/>
      <c r="GJH49" s="72"/>
      <c r="GJI49" s="72"/>
      <c r="GJJ49" s="72"/>
      <c r="GJK49" s="72"/>
      <c r="GJL49" s="72"/>
      <c r="GJM49" s="72"/>
      <c r="GJN49" s="72"/>
      <c r="GJO49" s="72"/>
      <c r="GJP49" s="72"/>
      <c r="GJQ49" s="72"/>
      <c r="GJR49" s="72"/>
      <c r="GJS49" s="72"/>
      <c r="GJT49" s="72"/>
      <c r="GJU49" s="72"/>
      <c r="GJV49" s="72"/>
      <c r="GJW49" s="72"/>
      <c r="GJX49" s="72"/>
      <c r="GJY49" s="72"/>
      <c r="GJZ49" s="72"/>
      <c r="GKA49" s="72"/>
      <c r="GKB49" s="72"/>
      <c r="GKC49" s="72"/>
      <c r="GKD49" s="72"/>
      <c r="GKE49" s="72"/>
      <c r="GKF49" s="72"/>
      <c r="GKG49" s="72"/>
      <c r="GKH49" s="72"/>
      <c r="GKI49" s="72"/>
      <c r="GKJ49" s="72"/>
      <c r="GKK49" s="72"/>
      <c r="GKL49" s="72"/>
      <c r="GKM49" s="72"/>
      <c r="GKN49" s="72"/>
      <c r="GKO49" s="72"/>
      <c r="GKP49" s="72"/>
      <c r="GKQ49" s="72"/>
      <c r="GKR49" s="72"/>
      <c r="GKS49" s="72"/>
      <c r="GKT49" s="72"/>
      <c r="GKU49" s="72"/>
      <c r="GKV49" s="72"/>
      <c r="GKW49" s="72"/>
      <c r="GKX49" s="72"/>
      <c r="GKY49" s="72"/>
      <c r="GKZ49" s="72"/>
      <c r="GLA49" s="72"/>
      <c r="GLB49" s="72"/>
      <c r="GLC49" s="72"/>
      <c r="GLD49" s="72"/>
      <c r="GLE49" s="72"/>
      <c r="GLF49" s="72"/>
      <c r="GLG49" s="72"/>
      <c r="GLH49" s="72"/>
      <c r="GLI49" s="72"/>
      <c r="GLJ49" s="72"/>
      <c r="GLK49" s="72"/>
      <c r="GLL49" s="72"/>
      <c r="GLM49" s="72"/>
      <c r="GLN49" s="72"/>
      <c r="GLO49" s="72"/>
      <c r="GLP49" s="72"/>
      <c r="GLQ49" s="72"/>
      <c r="GLR49" s="72"/>
      <c r="GLS49" s="72"/>
      <c r="GLT49" s="72"/>
      <c r="GLU49" s="72"/>
      <c r="GLV49" s="72"/>
      <c r="GLW49" s="72"/>
      <c r="GLX49" s="72"/>
      <c r="GLY49" s="72"/>
      <c r="GLZ49" s="72"/>
      <c r="GMA49" s="72"/>
      <c r="GMB49" s="72"/>
      <c r="GMC49" s="72"/>
      <c r="GMD49" s="72"/>
      <c r="GME49" s="72"/>
      <c r="GMF49" s="72"/>
      <c r="GMG49" s="72"/>
      <c r="GMH49" s="72"/>
      <c r="GMI49" s="72"/>
      <c r="GMJ49" s="72"/>
      <c r="GMK49" s="72"/>
      <c r="GML49" s="72"/>
      <c r="GMM49" s="72"/>
      <c r="GMN49" s="72"/>
      <c r="GMO49" s="72"/>
      <c r="GMP49" s="72"/>
      <c r="GMQ49" s="72"/>
      <c r="GMR49" s="72"/>
      <c r="GMS49" s="72"/>
      <c r="GMT49" s="72"/>
      <c r="GMU49" s="72"/>
      <c r="GMV49" s="72"/>
      <c r="GMW49" s="72"/>
      <c r="GMX49" s="72"/>
      <c r="GMY49" s="72"/>
      <c r="GMZ49" s="72"/>
      <c r="GNA49" s="72"/>
      <c r="GNB49" s="72"/>
      <c r="GNC49" s="72"/>
      <c r="GND49" s="72"/>
      <c r="GNE49" s="72"/>
      <c r="GNF49" s="72"/>
      <c r="GNG49" s="72"/>
      <c r="GNH49" s="72"/>
      <c r="GNI49" s="72"/>
      <c r="GNJ49" s="72"/>
      <c r="GNK49" s="72"/>
      <c r="GNL49" s="72"/>
      <c r="GNM49" s="72"/>
      <c r="GNN49" s="72"/>
      <c r="GNO49" s="72"/>
      <c r="GNP49" s="72"/>
      <c r="GNQ49" s="72"/>
      <c r="GNR49" s="72"/>
      <c r="GNS49" s="72"/>
      <c r="GNT49" s="72"/>
      <c r="GNU49" s="72"/>
      <c r="GNV49" s="72"/>
      <c r="GNW49" s="72"/>
      <c r="GNX49" s="72"/>
      <c r="GNY49" s="72"/>
      <c r="GNZ49" s="72"/>
      <c r="GOA49" s="72"/>
      <c r="GOB49" s="72"/>
      <c r="GOC49" s="72"/>
      <c r="GOD49" s="72"/>
      <c r="GOE49" s="72"/>
      <c r="GOF49" s="72"/>
      <c r="GOG49" s="72"/>
      <c r="GOH49" s="72"/>
      <c r="GOI49" s="72"/>
      <c r="GOJ49" s="72"/>
      <c r="GOK49" s="72"/>
      <c r="GOL49" s="72"/>
      <c r="GOM49" s="72"/>
      <c r="GON49" s="72"/>
      <c r="GOO49" s="72"/>
      <c r="GOP49" s="72"/>
      <c r="GOQ49" s="72"/>
      <c r="GOR49" s="72"/>
      <c r="GOS49" s="72"/>
      <c r="GOT49" s="72"/>
      <c r="GOU49" s="72"/>
      <c r="GOV49" s="72"/>
      <c r="GOW49" s="72"/>
      <c r="GOX49" s="72"/>
      <c r="GOY49" s="72"/>
      <c r="GOZ49" s="72"/>
      <c r="GPA49" s="72"/>
      <c r="GPB49" s="72"/>
      <c r="GPC49" s="72"/>
      <c r="GPD49" s="72"/>
      <c r="GPE49" s="72"/>
      <c r="GPF49" s="72"/>
      <c r="GPG49" s="72"/>
      <c r="GPH49" s="72"/>
      <c r="GPI49" s="72"/>
      <c r="GPJ49" s="72"/>
      <c r="GPK49" s="72"/>
      <c r="GPL49" s="72"/>
      <c r="GPM49" s="72"/>
      <c r="GPN49" s="72"/>
      <c r="GPO49" s="72"/>
      <c r="GPP49" s="72"/>
      <c r="GPQ49" s="72"/>
      <c r="GPR49" s="72"/>
      <c r="GPS49" s="72"/>
      <c r="GPT49" s="72"/>
      <c r="GPU49" s="72"/>
      <c r="GPV49" s="72"/>
      <c r="GPW49" s="72"/>
      <c r="GPX49" s="72"/>
      <c r="GPY49" s="72"/>
      <c r="GPZ49" s="72"/>
      <c r="GQA49" s="72"/>
      <c r="GQB49" s="72"/>
      <c r="GQC49" s="72"/>
      <c r="GQD49" s="72"/>
      <c r="GQE49" s="72"/>
      <c r="GQF49" s="72"/>
      <c r="GQG49" s="72"/>
      <c r="GQH49" s="72"/>
      <c r="GQI49" s="72"/>
      <c r="GQJ49" s="72"/>
      <c r="GQK49" s="72"/>
      <c r="GQL49" s="72"/>
      <c r="GQM49" s="72"/>
      <c r="GQN49" s="72"/>
      <c r="GQO49" s="72"/>
      <c r="GQP49" s="72"/>
      <c r="GQQ49" s="72"/>
      <c r="GQR49" s="72"/>
      <c r="GQS49" s="72"/>
      <c r="GQT49" s="72"/>
      <c r="GQU49" s="72"/>
      <c r="GQV49" s="72"/>
      <c r="GQW49" s="72"/>
      <c r="GQX49" s="72"/>
      <c r="GQY49" s="72"/>
      <c r="GQZ49" s="72"/>
      <c r="GRA49" s="72"/>
      <c r="GRB49" s="72"/>
      <c r="GRC49" s="72"/>
      <c r="GRD49" s="72"/>
      <c r="GRE49" s="72"/>
      <c r="GRF49" s="72"/>
      <c r="GRG49" s="72"/>
      <c r="GRH49" s="72"/>
      <c r="GRI49" s="72"/>
      <c r="GRJ49" s="72"/>
      <c r="GRK49" s="72"/>
      <c r="GRL49" s="72"/>
      <c r="GRM49" s="72"/>
      <c r="GRN49" s="72"/>
      <c r="GRO49" s="72"/>
      <c r="GRP49" s="72"/>
      <c r="GRQ49" s="72"/>
      <c r="GRR49" s="72"/>
      <c r="GRS49" s="72"/>
      <c r="GRT49" s="72"/>
      <c r="GRU49" s="72"/>
      <c r="GRV49" s="72"/>
      <c r="GRW49" s="72"/>
      <c r="GRX49" s="72"/>
      <c r="GRY49" s="72"/>
      <c r="GRZ49" s="72"/>
      <c r="GSA49" s="72"/>
      <c r="GSB49" s="72"/>
      <c r="GSC49" s="72"/>
      <c r="GSD49" s="72"/>
      <c r="GSE49" s="72"/>
      <c r="GSF49" s="72"/>
      <c r="GSG49" s="72"/>
      <c r="GSH49" s="72"/>
      <c r="GSI49" s="72"/>
      <c r="GSJ49" s="72"/>
      <c r="GSK49" s="72"/>
      <c r="GSL49" s="72"/>
      <c r="GSM49" s="72"/>
      <c r="GSN49" s="72"/>
      <c r="GSO49" s="72"/>
      <c r="GSP49" s="72"/>
      <c r="GSQ49" s="72"/>
      <c r="GSR49" s="72"/>
      <c r="GSS49" s="72"/>
      <c r="GST49" s="72"/>
      <c r="GSU49" s="72"/>
      <c r="GSV49" s="72"/>
      <c r="GSW49" s="72"/>
      <c r="GSX49" s="72"/>
      <c r="GSY49" s="72"/>
      <c r="GSZ49" s="72"/>
      <c r="GTA49" s="72"/>
      <c r="GTB49" s="72"/>
      <c r="GTC49" s="72"/>
      <c r="GTD49" s="72"/>
      <c r="GTE49" s="72"/>
      <c r="GTF49" s="72"/>
      <c r="GTG49" s="72"/>
      <c r="GTH49" s="72"/>
      <c r="GTI49" s="72"/>
      <c r="GTJ49" s="72"/>
      <c r="GTK49" s="72"/>
      <c r="GTL49" s="72"/>
      <c r="GTM49" s="72"/>
      <c r="GTN49" s="72"/>
      <c r="GTO49" s="72"/>
      <c r="GTP49" s="72"/>
      <c r="GTQ49" s="72"/>
      <c r="GTR49" s="72"/>
      <c r="GTS49" s="72"/>
      <c r="GTT49" s="72"/>
      <c r="GTU49" s="72"/>
      <c r="GTV49" s="72"/>
      <c r="GTW49" s="72"/>
      <c r="GTX49" s="72"/>
      <c r="GTY49" s="72"/>
      <c r="GTZ49" s="72"/>
      <c r="GUA49" s="72"/>
      <c r="GUB49" s="72"/>
      <c r="GUC49" s="72"/>
      <c r="GUD49" s="72"/>
      <c r="GUE49" s="72"/>
      <c r="GUF49" s="72"/>
      <c r="GUG49" s="72"/>
      <c r="GUH49" s="72"/>
      <c r="GUI49" s="72"/>
      <c r="GUJ49" s="72"/>
      <c r="GUK49" s="72"/>
      <c r="GUL49" s="72"/>
      <c r="GUM49" s="72"/>
      <c r="GUN49" s="72"/>
      <c r="GUO49" s="72"/>
      <c r="GUP49" s="72"/>
      <c r="GUQ49" s="72"/>
      <c r="GUR49" s="72"/>
      <c r="GUS49" s="72"/>
      <c r="GUT49" s="72"/>
      <c r="GUU49" s="72"/>
      <c r="GUV49" s="72"/>
      <c r="GUW49" s="72"/>
      <c r="GUX49" s="72"/>
      <c r="GUY49" s="72"/>
      <c r="GUZ49" s="72"/>
      <c r="GVA49" s="72"/>
      <c r="GVB49" s="72"/>
      <c r="GVC49" s="72"/>
      <c r="GVD49" s="72"/>
      <c r="GVE49" s="72"/>
      <c r="GVF49" s="72"/>
      <c r="GVG49" s="72"/>
      <c r="GVH49" s="72"/>
      <c r="GVI49" s="72"/>
      <c r="GVJ49" s="72"/>
      <c r="GVK49" s="72"/>
      <c r="GVL49" s="72"/>
      <c r="GVM49" s="72"/>
      <c r="GVN49" s="72"/>
      <c r="GVO49" s="72"/>
      <c r="GVP49" s="72"/>
      <c r="GVQ49" s="72"/>
      <c r="GVR49" s="72"/>
      <c r="GVS49" s="72"/>
      <c r="GVT49" s="72"/>
      <c r="GVU49" s="72"/>
      <c r="GVV49" s="72"/>
      <c r="GVW49" s="72"/>
      <c r="GVX49" s="72"/>
      <c r="GVY49" s="72"/>
      <c r="GVZ49" s="72"/>
      <c r="GWA49" s="72"/>
      <c r="GWB49" s="72"/>
      <c r="GWC49" s="72"/>
      <c r="GWD49" s="72"/>
      <c r="GWE49" s="72"/>
      <c r="GWF49" s="72"/>
      <c r="GWG49" s="72"/>
      <c r="GWH49" s="72"/>
      <c r="GWI49" s="72"/>
      <c r="GWJ49" s="72"/>
      <c r="GWK49" s="72"/>
      <c r="GWL49" s="72"/>
      <c r="GWM49" s="72"/>
      <c r="GWN49" s="72"/>
      <c r="GWO49" s="72"/>
      <c r="GWP49" s="72"/>
      <c r="GWQ49" s="72"/>
      <c r="GWR49" s="72"/>
      <c r="GWS49" s="72"/>
      <c r="GWT49" s="72"/>
      <c r="GWU49" s="72"/>
      <c r="GWV49" s="72"/>
      <c r="GWW49" s="72"/>
      <c r="GWX49" s="72"/>
      <c r="GWY49" s="72"/>
      <c r="GWZ49" s="72"/>
      <c r="GXA49" s="72"/>
      <c r="GXB49" s="72"/>
      <c r="GXC49" s="72"/>
      <c r="GXD49" s="72"/>
      <c r="GXE49" s="72"/>
      <c r="GXF49" s="72"/>
      <c r="GXG49" s="72"/>
      <c r="GXH49" s="72"/>
      <c r="GXI49" s="72"/>
      <c r="GXJ49" s="72"/>
      <c r="GXK49" s="72"/>
      <c r="GXL49" s="72"/>
      <c r="GXM49" s="72"/>
      <c r="GXN49" s="72"/>
      <c r="GXO49" s="72"/>
      <c r="GXP49" s="72"/>
      <c r="GXQ49" s="72"/>
      <c r="GXR49" s="72"/>
      <c r="GXS49" s="72"/>
      <c r="GXT49" s="72"/>
      <c r="GXU49" s="72"/>
      <c r="GXV49" s="72"/>
      <c r="GXW49" s="72"/>
      <c r="GXX49" s="72"/>
      <c r="GXY49" s="72"/>
      <c r="GXZ49" s="72"/>
      <c r="GYA49" s="72"/>
      <c r="GYB49" s="72"/>
      <c r="GYC49" s="72"/>
      <c r="GYD49" s="72"/>
      <c r="GYE49" s="72"/>
      <c r="GYF49" s="72"/>
      <c r="GYG49" s="72"/>
      <c r="GYH49" s="72"/>
      <c r="GYI49" s="72"/>
      <c r="GYJ49" s="72"/>
      <c r="GYK49" s="72"/>
      <c r="GYL49" s="72"/>
      <c r="GYM49" s="72"/>
      <c r="GYN49" s="72"/>
      <c r="GYO49" s="72"/>
      <c r="GYP49" s="72"/>
      <c r="GYQ49" s="72"/>
      <c r="GYR49" s="72"/>
      <c r="GYS49" s="72"/>
      <c r="GYT49" s="72"/>
      <c r="GYU49" s="72"/>
      <c r="GYV49" s="72"/>
      <c r="GYW49" s="72"/>
      <c r="GYX49" s="72"/>
      <c r="GYY49" s="72"/>
      <c r="GYZ49" s="72"/>
      <c r="GZA49" s="72"/>
      <c r="GZB49" s="72"/>
      <c r="GZC49" s="72"/>
      <c r="GZD49" s="72"/>
      <c r="GZE49" s="72"/>
      <c r="GZF49" s="72"/>
      <c r="GZG49" s="72"/>
      <c r="GZH49" s="72"/>
      <c r="GZI49" s="72"/>
      <c r="GZJ49" s="72"/>
      <c r="GZK49" s="72"/>
      <c r="GZL49" s="72"/>
      <c r="GZM49" s="72"/>
      <c r="GZN49" s="72"/>
      <c r="GZO49" s="72"/>
      <c r="GZP49" s="72"/>
      <c r="GZQ49" s="72"/>
      <c r="GZR49" s="72"/>
      <c r="GZS49" s="72"/>
      <c r="GZT49" s="72"/>
      <c r="GZU49" s="72"/>
      <c r="GZV49" s="72"/>
      <c r="GZW49" s="72"/>
      <c r="GZX49" s="72"/>
      <c r="GZY49" s="72"/>
      <c r="GZZ49" s="72"/>
      <c r="HAA49" s="72"/>
      <c r="HAB49" s="72"/>
      <c r="HAC49" s="72"/>
      <c r="HAD49" s="72"/>
      <c r="HAE49" s="72"/>
      <c r="HAF49" s="72"/>
      <c r="HAG49" s="72"/>
      <c r="HAH49" s="72"/>
      <c r="HAI49" s="72"/>
      <c r="HAJ49" s="72"/>
      <c r="HAK49" s="72"/>
      <c r="HAL49" s="72"/>
      <c r="HAM49" s="72"/>
      <c r="HAN49" s="72"/>
      <c r="HAO49" s="72"/>
      <c r="HAP49" s="72"/>
      <c r="HAQ49" s="72"/>
      <c r="HAR49" s="72"/>
      <c r="HAS49" s="72"/>
      <c r="HAT49" s="72"/>
      <c r="HAU49" s="72"/>
      <c r="HAV49" s="72"/>
      <c r="HAW49" s="72"/>
      <c r="HAX49" s="72"/>
      <c r="HAY49" s="72"/>
      <c r="HAZ49" s="72"/>
      <c r="HBA49" s="72"/>
      <c r="HBB49" s="72"/>
      <c r="HBC49" s="72"/>
      <c r="HBD49" s="72"/>
      <c r="HBE49" s="72"/>
      <c r="HBF49" s="72"/>
      <c r="HBG49" s="72"/>
      <c r="HBH49" s="72"/>
      <c r="HBI49" s="72"/>
      <c r="HBJ49" s="72"/>
      <c r="HBK49" s="72"/>
      <c r="HBL49" s="72"/>
      <c r="HBM49" s="72"/>
      <c r="HBN49" s="72"/>
      <c r="HBO49" s="72"/>
      <c r="HBP49" s="72"/>
      <c r="HBQ49" s="72"/>
      <c r="HBR49" s="72"/>
      <c r="HBS49" s="72"/>
      <c r="HBT49" s="72"/>
      <c r="HBU49" s="72"/>
      <c r="HBV49" s="72"/>
      <c r="HBW49" s="72"/>
      <c r="HBX49" s="72"/>
      <c r="HBY49" s="72"/>
      <c r="HBZ49" s="72"/>
      <c r="HCA49" s="72"/>
      <c r="HCB49" s="72"/>
      <c r="HCC49" s="72"/>
      <c r="HCD49" s="72"/>
      <c r="HCE49" s="72"/>
      <c r="HCF49" s="72"/>
      <c r="HCG49" s="72"/>
      <c r="HCH49" s="72"/>
      <c r="HCI49" s="72"/>
      <c r="HCJ49" s="72"/>
      <c r="HCK49" s="72"/>
      <c r="HCL49" s="72"/>
      <c r="HCM49" s="72"/>
      <c r="HCN49" s="72"/>
      <c r="HCO49" s="72"/>
      <c r="HCP49" s="72"/>
      <c r="HCQ49" s="72"/>
      <c r="HCR49" s="72"/>
      <c r="HCS49" s="72"/>
      <c r="HCT49" s="72"/>
      <c r="HCU49" s="72"/>
      <c r="HCV49" s="72"/>
      <c r="HCW49" s="72"/>
      <c r="HCX49" s="72"/>
      <c r="HCY49" s="72"/>
      <c r="HCZ49" s="72"/>
      <c r="HDA49" s="72"/>
      <c r="HDB49" s="72"/>
      <c r="HDC49" s="72"/>
      <c r="HDD49" s="72"/>
      <c r="HDE49" s="72"/>
      <c r="HDF49" s="72"/>
      <c r="HDG49" s="72"/>
      <c r="HDH49" s="72"/>
      <c r="HDI49" s="72"/>
      <c r="HDJ49" s="72"/>
      <c r="HDK49" s="72"/>
      <c r="HDL49" s="72"/>
      <c r="HDM49" s="72"/>
      <c r="HDN49" s="72"/>
      <c r="HDO49" s="72"/>
      <c r="HDP49" s="72"/>
      <c r="HDQ49" s="72"/>
      <c r="HDR49" s="72"/>
      <c r="HDS49" s="72"/>
      <c r="HDT49" s="72"/>
      <c r="HDU49" s="72"/>
      <c r="HDV49" s="72"/>
      <c r="HDW49" s="72"/>
      <c r="HDX49" s="72"/>
      <c r="HDY49" s="72"/>
      <c r="HDZ49" s="72"/>
      <c r="HEA49" s="72"/>
      <c r="HEB49" s="72"/>
      <c r="HEC49" s="72"/>
      <c r="HED49" s="72"/>
      <c r="HEE49" s="72"/>
      <c r="HEF49" s="72"/>
      <c r="HEG49" s="72"/>
      <c r="HEH49" s="72"/>
      <c r="HEI49" s="72"/>
      <c r="HEJ49" s="72"/>
      <c r="HEK49" s="72"/>
      <c r="HEL49" s="72"/>
      <c r="HEM49" s="72"/>
      <c r="HEN49" s="72"/>
      <c r="HEO49" s="72"/>
      <c r="HEP49" s="72"/>
      <c r="HEQ49" s="72"/>
      <c r="HER49" s="72"/>
      <c r="HES49" s="72"/>
      <c r="HET49" s="72"/>
      <c r="HEU49" s="72"/>
      <c r="HEV49" s="72"/>
      <c r="HEW49" s="72"/>
      <c r="HEX49" s="72"/>
      <c r="HEY49" s="72"/>
      <c r="HEZ49" s="72"/>
      <c r="HFA49" s="72"/>
      <c r="HFB49" s="72"/>
      <c r="HFC49" s="72"/>
      <c r="HFD49" s="72"/>
      <c r="HFE49" s="72"/>
      <c r="HFF49" s="72"/>
      <c r="HFG49" s="72"/>
      <c r="HFH49" s="72"/>
      <c r="HFI49" s="72"/>
      <c r="HFJ49" s="72"/>
      <c r="HFK49" s="72"/>
      <c r="HFL49" s="72"/>
      <c r="HFM49" s="72"/>
      <c r="HFN49" s="72"/>
      <c r="HFO49" s="72"/>
      <c r="HFP49" s="72"/>
      <c r="HFQ49" s="72"/>
      <c r="HFR49" s="72"/>
      <c r="HFS49" s="72"/>
      <c r="HFT49" s="72"/>
      <c r="HFU49" s="72"/>
      <c r="HFV49" s="72"/>
      <c r="HFW49" s="72"/>
      <c r="HFX49" s="72"/>
      <c r="HFY49" s="72"/>
      <c r="HFZ49" s="72"/>
      <c r="HGA49" s="72"/>
      <c r="HGB49" s="72"/>
      <c r="HGC49" s="72"/>
      <c r="HGD49" s="72"/>
      <c r="HGE49" s="72"/>
      <c r="HGF49" s="72"/>
      <c r="HGG49" s="72"/>
      <c r="HGH49" s="72"/>
      <c r="HGI49" s="72"/>
      <c r="HGJ49" s="72"/>
      <c r="HGK49" s="72"/>
      <c r="HGL49" s="72"/>
      <c r="HGM49" s="72"/>
      <c r="HGN49" s="72"/>
      <c r="HGO49" s="72"/>
      <c r="HGP49" s="72"/>
      <c r="HGQ49" s="72"/>
      <c r="HGR49" s="72"/>
      <c r="HGS49" s="72"/>
      <c r="HGT49" s="72"/>
      <c r="HGU49" s="72"/>
      <c r="HGV49" s="72"/>
      <c r="HGW49" s="72"/>
      <c r="HGX49" s="72"/>
      <c r="HGY49" s="72"/>
      <c r="HGZ49" s="72"/>
      <c r="HHA49" s="72"/>
      <c r="HHB49" s="72"/>
      <c r="HHC49" s="72"/>
      <c r="HHD49" s="72"/>
      <c r="HHE49" s="72"/>
      <c r="HHF49" s="72"/>
      <c r="HHG49" s="72"/>
      <c r="HHH49" s="72"/>
      <c r="HHI49" s="72"/>
      <c r="HHJ49" s="72"/>
      <c r="HHK49" s="72"/>
      <c r="HHL49" s="72"/>
      <c r="HHM49" s="72"/>
      <c r="HHN49" s="72"/>
      <c r="HHO49" s="72"/>
      <c r="HHP49" s="72"/>
      <c r="HHQ49" s="72"/>
      <c r="HHR49" s="72"/>
      <c r="HHS49" s="72"/>
      <c r="HHT49" s="72"/>
      <c r="HHU49" s="72"/>
      <c r="HHV49" s="72"/>
      <c r="HHW49" s="72"/>
      <c r="HHX49" s="72"/>
      <c r="HHY49" s="72"/>
      <c r="HHZ49" s="72"/>
      <c r="HIA49" s="72"/>
      <c r="HIB49" s="72"/>
      <c r="HIC49" s="72"/>
      <c r="HID49" s="72"/>
      <c r="HIE49" s="72"/>
      <c r="HIF49" s="72"/>
      <c r="HIG49" s="72"/>
      <c r="HIH49" s="72"/>
      <c r="HII49" s="72"/>
      <c r="HIJ49" s="72"/>
      <c r="HIK49" s="72"/>
      <c r="HIL49" s="72"/>
      <c r="HIM49" s="72"/>
      <c r="HIN49" s="72"/>
      <c r="HIO49" s="72"/>
      <c r="HIP49" s="72"/>
      <c r="HIQ49" s="72"/>
      <c r="HIR49" s="72"/>
      <c r="HIS49" s="72"/>
      <c r="HIT49" s="72"/>
      <c r="HIU49" s="72"/>
      <c r="HIV49" s="72"/>
      <c r="HIW49" s="72"/>
      <c r="HIX49" s="72"/>
      <c r="HIY49" s="72"/>
      <c r="HIZ49" s="72"/>
      <c r="HJA49" s="72"/>
      <c r="HJB49" s="72"/>
      <c r="HJC49" s="72"/>
      <c r="HJD49" s="72"/>
      <c r="HJE49" s="72"/>
      <c r="HJF49" s="72"/>
      <c r="HJG49" s="72"/>
      <c r="HJH49" s="72"/>
      <c r="HJI49" s="72"/>
      <c r="HJJ49" s="72"/>
      <c r="HJK49" s="72"/>
      <c r="HJL49" s="72"/>
      <c r="HJM49" s="72"/>
      <c r="HJN49" s="72"/>
      <c r="HJO49" s="72"/>
      <c r="HJP49" s="72"/>
      <c r="HJQ49" s="72"/>
      <c r="HJR49" s="72"/>
      <c r="HJS49" s="72"/>
      <c r="HJT49" s="72"/>
      <c r="HJU49" s="72"/>
      <c r="HJV49" s="72"/>
      <c r="HJW49" s="72"/>
      <c r="HJX49" s="72"/>
      <c r="HJY49" s="72"/>
      <c r="HJZ49" s="72"/>
      <c r="HKA49" s="72"/>
      <c r="HKB49" s="72"/>
      <c r="HKC49" s="72"/>
      <c r="HKD49" s="72"/>
      <c r="HKE49" s="72"/>
      <c r="HKF49" s="72"/>
      <c r="HKG49" s="72"/>
      <c r="HKH49" s="72"/>
      <c r="HKI49" s="72"/>
      <c r="HKJ49" s="72"/>
      <c r="HKK49" s="72"/>
      <c r="HKL49" s="72"/>
      <c r="HKM49" s="72"/>
      <c r="HKN49" s="72"/>
      <c r="HKO49" s="72"/>
      <c r="HKP49" s="72"/>
      <c r="HKQ49" s="72"/>
      <c r="HKR49" s="72"/>
      <c r="HKS49" s="72"/>
      <c r="HKT49" s="72"/>
      <c r="HKU49" s="72"/>
      <c r="HKV49" s="72"/>
      <c r="HKW49" s="72"/>
      <c r="HKX49" s="72"/>
      <c r="HKY49" s="72"/>
      <c r="HKZ49" s="72"/>
      <c r="HLA49" s="72"/>
      <c r="HLB49" s="72"/>
      <c r="HLC49" s="72"/>
      <c r="HLD49" s="72"/>
      <c r="HLE49" s="72"/>
      <c r="HLF49" s="72"/>
      <c r="HLG49" s="72"/>
      <c r="HLH49" s="72"/>
      <c r="HLI49" s="72"/>
      <c r="HLJ49" s="72"/>
      <c r="HLK49" s="72"/>
      <c r="HLL49" s="72"/>
      <c r="HLM49" s="72"/>
      <c r="HLN49" s="72"/>
      <c r="HLO49" s="72"/>
      <c r="HLP49" s="72"/>
      <c r="HLQ49" s="72"/>
      <c r="HLR49" s="72"/>
      <c r="HLS49" s="72"/>
      <c r="HLT49" s="72"/>
      <c r="HLU49" s="72"/>
      <c r="HLV49" s="72"/>
      <c r="HLW49" s="72"/>
      <c r="HLX49" s="72"/>
      <c r="HLY49" s="72"/>
      <c r="HLZ49" s="72"/>
      <c r="HMA49" s="72"/>
      <c r="HMB49" s="72"/>
      <c r="HMC49" s="72"/>
      <c r="HMD49" s="72"/>
      <c r="HME49" s="72"/>
      <c r="HMF49" s="72"/>
      <c r="HMG49" s="72"/>
      <c r="HMH49" s="72"/>
      <c r="HMI49" s="72"/>
      <c r="HMJ49" s="72"/>
      <c r="HMK49" s="72"/>
      <c r="HML49" s="72"/>
      <c r="HMM49" s="72"/>
      <c r="HMN49" s="72"/>
      <c r="HMO49" s="72"/>
      <c r="HMP49" s="72"/>
      <c r="HMQ49" s="72"/>
      <c r="HMR49" s="72"/>
      <c r="HMS49" s="72"/>
      <c r="HMT49" s="72"/>
      <c r="HMU49" s="72"/>
      <c r="HMV49" s="72"/>
      <c r="HMW49" s="72"/>
      <c r="HMX49" s="72"/>
      <c r="HMY49" s="72"/>
      <c r="HMZ49" s="72"/>
      <c r="HNA49" s="72"/>
      <c r="HNB49" s="72"/>
      <c r="HNC49" s="72"/>
      <c r="HND49" s="72"/>
      <c r="HNE49" s="72"/>
      <c r="HNF49" s="72"/>
      <c r="HNG49" s="72"/>
      <c r="HNH49" s="72"/>
      <c r="HNI49" s="72"/>
      <c r="HNJ49" s="72"/>
      <c r="HNK49" s="72"/>
      <c r="HNL49" s="72"/>
      <c r="HNM49" s="72"/>
      <c r="HNN49" s="72"/>
      <c r="HNO49" s="72"/>
      <c r="HNP49" s="72"/>
      <c r="HNQ49" s="72"/>
      <c r="HNR49" s="72"/>
      <c r="HNS49" s="72"/>
      <c r="HNT49" s="72"/>
      <c r="HNU49" s="72"/>
      <c r="HNV49" s="72"/>
      <c r="HNW49" s="72"/>
      <c r="HNX49" s="72"/>
      <c r="HNY49" s="72"/>
      <c r="HNZ49" s="72"/>
      <c r="HOA49" s="72"/>
      <c r="HOB49" s="72"/>
      <c r="HOC49" s="72"/>
      <c r="HOD49" s="72"/>
      <c r="HOE49" s="72"/>
      <c r="HOF49" s="72"/>
      <c r="HOG49" s="72"/>
      <c r="HOH49" s="72"/>
      <c r="HOI49" s="72"/>
      <c r="HOJ49" s="72"/>
      <c r="HOK49" s="72"/>
      <c r="HOL49" s="72"/>
      <c r="HOM49" s="72"/>
      <c r="HON49" s="72"/>
      <c r="HOO49" s="72"/>
      <c r="HOP49" s="72"/>
      <c r="HOQ49" s="72"/>
      <c r="HOR49" s="72"/>
      <c r="HOS49" s="72"/>
      <c r="HOT49" s="72"/>
      <c r="HOU49" s="72"/>
      <c r="HOV49" s="72"/>
      <c r="HOW49" s="72"/>
      <c r="HOX49" s="72"/>
      <c r="HOY49" s="72"/>
      <c r="HOZ49" s="72"/>
      <c r="HPA49" s="72"/>
      <c r="HPB49" s="72"/>
      <c r="HPC49" s="72"/>
      <c r="HPD49" s="72"/>
      <c r="HPE49" s="72"/>
      <c r="HPF49" s="72"/>
      <c r="HPG49" s="72"/>
      <c r="HPH49" s="72"/>
      <c r="HPI49" s="72"/>
      <c r="HPJ49" s="72"/>
      <c r="HPK49" s="72"/>
      <c r="HPL49" s="72"/>
      <c r="HPM49" s="72"/>
      <c r="HPN49" s="72"/>
      <c r="HPO49" s="72"/>
      <c r="HPP49" s="72"/>
      <c r="HPQ49" s="72"/>
      <c r="HPR49" s="72"/>
      <c r="HPS49" s="72"/>
      <c r="HPT49" s="72"/>
      <c r="HPU49" s="72"/>
      <c r="HPV49" s="72"/>
      <c r="HPW49" s="72"/>
      <c r="HPX49" s="72"/>
      <c r="HPY49" s="72"/>
      <c r="HPZ49" s="72"/>
      <c r="HQA49" s="72"/>
      <c r="HQB49" s="72"/>
      <c r="HQC49" s="72"/>
      <c r="HQD49" s="72"/>
      <c r="HQE49" s="72"/>
      <c r="HQF49" s="72"/>
      <c r="HQG49" s="72"/>
      <c r="HQH49" s="72"/>
      <c r="HQI49" s="72"/>
      <c r="HQJ49" s="72"/>
      <c r="HQK49" s="72"/>
      <c r="HQL49" s="72"/>
      <c r="HQM49" s="72"/>
      <c r="HQN49" s="72"/>
      <c r="HQO49" s="72"/>
      <c r="HQP49" s="72"/>
      <c r="HQQ49" s="72"/>
      <c r="HQR49" s="72"/>
      <c r="HQS49" s="72"/>
      <c r="HQT49" s="72"/>
      <c r="HQU49" s="72"/>
      <c r="HQV49" s="72"/>
      <c r="HQW49" s="72"/>
      <c r="HQX49" s="72"/>
      <c r="HQY49" s="72"/>
      <c r="HQZ49" s="72"/>
      <c r="HRA49" s="72"/>
      <c r="HRB49" s="72"/>
      <c r="HRC49" s="72"/>
      <c r="HRD49" s="72"/>
      <c r="HRE49" s="72"/>
      <c r="HRF49" s="72"/>
      <c r="HRG49" s="72"/>
      <c r="HRH49" s="72"/>
      <c r="HRI49" s="72"/>
      <c r="HRJ49" s="72"/>
      <c r="HRK49" s="72"/>
      <c r="HRL49" s="72"/>
      <c r="HRM49" s="72"/>
      <c r="HRN49" s="72"/>
      <c r="HRO49" s="72"/>
      <c r="HRP49" s="72"/>
      <c r="HRQ49" s="72"/>
      <c r="HRR49" s="72"/>
      <c r="HRS49" s="72"/>
      <c r="HRT49" s="72"/>
      <c r="HRU49" s="72"/>
      <c r="HRV49" s="72"/>
      <c r="HRW49" s="72"/>
      <c r="HRX49" s="72"/>
      <c r="HRY49" s="72"/>
      <c r="HRZ49" s="72"/>
      <c r="HSA49" s="72"/>
      <c r="HSB49" s="72"/>
      <c r="HSC49" s="72"/>
      <c r="HSD49" s="72"/>
      <c r="HSE49" s="72"/>
      <c r="HSF49" s="72"/>
      <c r="HSG49" s="72"/>
      <c r="HSH49" s="72"/>
      <c r="HSI49" s="72"/>
      <c r="HSJ49" s="72"/>
      <c r="HSK49" s="72"/>
      <c r="HSL49" s="72"/>
      <c r="HSM49" s="72"/>
      <c r="HSN49" s="72"/>
      <c r="HSO49" s="72"/>
      <c r="HSP49" s="72"/>
      <c r="HSQ49" s="72"/>
      <c r="HSR49" s="72"/>
      <c r="HSS49" s="72"/>
      <c r="HST49" s="72"/>
      <c r="HSU49" s="72"/>
      <c r="HSV49" s="72"/>
      <c r="HSW49" s="72"/>
      <c r="HSX49" s="72"/>
      <c r="HSY49" s="72"/>
      <c r="HSZ49" s="72"/>
      <c r="HTA49" s="72"/>
      <c r="HTB49" s="72"/>
      <c r="HTC49" s="72"/>
      <c r="HTD49" s="72"/>
      <c r="HTE49" s="72"/>
      <c r="HTF49" s="72"/>
      <c r="HTG49" s="72"/>
      <c r="HTH49" s="72"/>
      <c r="HTI49" s="72"/>
      <c r="HTJ49" s="72"/>
      <c r="HTK49" s="72"/>
      <c r="HTL49" s="72"/>
      <c r="HTM49" s="72"/>
      <c r="HTN49" s="72"/>
      <c r="HTO49" s="72"/>
      <c r="HTP49" s="72"/>
      <c r="HTQ49" s="72"/>
      <c r="HTR49" s="72"/>
      <c r="HTS49" s="72"/>
      <c r="HTT49" s="72"/>
      <c r="HTU49" s="72"/>
      <c r="HTV49" s="72"/>
      <c r="HTW49" s="72"/>
      <c r="HTX49" s="72"/>
      <c r="HTY49" s="72"/>
      <c r="HTZ49" s="72"/>
      <c r="HUA49" s="72"/>
      <c r="HUB49" s="72"/>
      <c r="HUC49" s="72"/>
      <c r="HUD49" s="72"/>
      <c r="HUE49" s="72"/>
      <c r="HUF49" s="72"/>
      <c r="HUG49" s="72"/>
      <c r="HUH49" s="72"/>
      <c r="HUI49" s="72"/>
      <c r="HUJ49" s="72"/>
      <c r="HUK49" s="72"/>
      <c r="HUL49" s="72"/>
      <c r="HUM49" s="72"/>
      <c r="HUN49" s="72"/>
      <c r="HUO49" s="72"/>
      <c r="HUP49" s="72"/>
      <c r="HUQ49" s="72"/>
      <c r="HUR49" s="72"/>
      <c r="HUS49" s="72"/>
      <c r="HUT49" s="72"/>
      <c r="HUU49" s="72"/>
      <c r="HUV49" s="72"/>
      <c r="HUW49" s="72"/>
      <c r="HUX49" s="72"/>
      <c r="HUY49" s="72"/>
      <c r="HUZ49" s="72"/>
      <c r="HVA49" s="72"/>
      <c r="HVB49" s="72"/>
      <c r="HVC49" s="72"/>
      <c r="HVD49" s="72"/>
      <c r="HVE49" s="72"/>
      <c r="HVF49" s="72"/>
      <c r="HVG49" s="72"/>
      <c r="HVH49" s="72"/>
      <c r="HVI49" s="72"/>
      <c r="HVJ49" s="72"/>
      <c r="HVK49" s="72"/>
      <c r="HVL49" s="72"/>
      <c r="HVM49" s="72"/>
      <c r="HVN49" s="72"/>
      <c r="HVO49" s="72"/>
      <c r="HVP49" s="72"/>
      <c r="HVQ49" s="72"/>
      <c r="HVR49" s="72"/>
      <c r="HVS49" s="72"/>
      <c r="HVT49" s="72"/>
      <c r="HVU49" s="72"/>
      <c r="HVV49" s="72"/>
      <c r="HVW49" s="72"/>
      <c r="HVX49" s="72"/>
      <c r="HVY49" s="72"/>
      <c r="HVZ49" s="72"/>
      <c r="HWA49" s="72"/>
      <c r="HWB49" s="72"/>
      <c r="HWC49" s="72"/>
      <c r="HWD49" s="72"/>
      <c r="HWE49" s="72"/>
      <c r="HWF49" s="72"/>
      <c r="HWG49" s="72"/>
      <c r="HWH49" s="72"/>
      <c r="HWI49" s="72"/>
      <c r="HWJ49" s="72"/>
      <c r="HWK49" s="72"/>
      <c r="HWL49" s="72"/>
      <c r="HWM49" s="72"/>
      <c r="HWN49" s="72"/>
      <c r="HWO49" s="72"/>
      <c r="HWP49" s="72"/>
      <c r="HWQ49" s="72"/>
      <c r="HWR49" s="72"/>
      <c r="HWS49" s="72"/>
      <c r="HWT49" s="72"/>
      <c r="HWU49" s="72"/>
      <c r="HWV49" s="72"/>
      <c r="HWW49" s="72"/>
      <c r="HWX49" s="72"/>
      <c r="HWY49" s="72"/>
      <c r="HWZ49" s="72"/>
      <c r="HXA49" s="72"/>
      <c r="HXB49" s="72"/>
      <c r="HXC49" s="72"/>
      <c r="HXD49" s="72"/>
      <c r="HXE49" s="72"/>
      <c r="HXF49" s="72"/>
      <c r="HXG49" s="72"/>
      <c r="HXH49" s="72"/>
      <c r="HXI49" s="72"/>
      <c r="HXJ49" s="72"/>
      <c r="HXK49" s="72"/>
      <c r="HXL49" s="72"/>
      <c r="HXM49" s="72"/>
      <c r="HXN49" s="72"/>
      <c r="HXO49" s="72"/>
      <c r="HXP49" s="72"/>
      <c r="HXQ49" s="72"/>
      <c r="HXR49" s="72"/>
      <c r="HXS49" s="72"/>
      <c r="HXT49" s="72"/>
      <c r="HXU49" s="72"/>
      <c r="HXV49" s="72"/>
      <c r="HXW49" s="72"/>
      <c r="HXX49" s="72"/>
      <c r="HXY49" s="72"/>
      <c r="HXZ49" s="72"/>
      <c r="HYA49" s="72"/>
      <c r="HYB49" s="72"/>
      <c r="HYC49" s="72"/>
      <c r="HYD49" s="72"/>
      <c r="HYE49" s="72"/>
      <c r="HYF49" s="72"/>
      <c r="HYG49" s="72"/>
      <c r="HYH49" s="72"/>
      <c r="HYI49" s="72"/>
      <c r="HYJ49" s="72"/>
      <c r="HYK49" s="72"/>
      <c r="HYL49" s="72"/>
      <c r="HYM49" s="72"/>
      <c r="HYN49" s="72"/>
      <c r="HYO49" s="72"/>
      <c r="HYP49" s="72"/>
      <c r="HYQ49" s="72"/>
      <c r="HYR49" s="72"/>
      <c r="HYS49" s="72"/>
      <c r="HYT49" s="72"/>
      <c r="HYU49" s="72"/>
      <c r="HYV49" s="72"/>
      <c r="HYW49" s="72"/>
      <c r="HYX49" s="72"/>
      <c r="HYY49" s="72"/>
      <c r="HYZ49" s="72"/>
      <c r="HZA49" s="72"/>
      <c r="HZB49" s="72"/>
      <c r="HZC49" s="72"/>
      <c r="HZD49" s="72"/>
      <c r="HZE49" s="72"/>
      <c r="HZF49" s="72"/>
      <c r="HZG49" s="72"/>
      <c r="HZH49" s="72"/>
      <c r="HZI49" s="72"/>
      <c r="HZJ49" s="72"/>
      <c r="HZK49" s="72"/>
      <c r="HZL49" s="72"/>
      <c r="HZM49" s="72"/>
      <c r="HZN49" s="72"/>
      <c r="HZO49" s="72"/>
      <c r="HZP49" s="72"/>
      <c r="HZQ49" s="72"/>
      <c r="HZR49" s="72"/>
      <c r="HZS49" s="72"/>
      <c r="HZT49" s="72"/>
      <c r="HZU49" s="72"/>
      <c r="HZV49" s="72"/>
      <c r="HZW49" s="72"/>
      <c r="HZX49" s="72"/>
      <c r="HZY49" s="72"/>
      <c r="HZZ49" s="72"/>
      <c r="IAA49" s="72"/>
      <c r="IAB49" s="72"/>
      <c r="IAC49" s="72"/>
      <c r="IAD49" s="72"/>
      <c r="IAE49" s="72"/>
      <c r="IAF49" s="72"/>
      <c r="IAG49" s="72"/>
      <c r="IAH49" s="72"/>
      <c r="IAI49" s="72"/>
      <c r="IAJ49" s="72"/>
      <c r="IAK49" s="72"/>
      <c r="IAL49" s="72"/>
      <c r="IAM49" s="72"/>
      <c r="IAN49" s="72"/>
      <c r="IAO49" s="72"/>
      <c r="IAP49" s="72"/>
      <c r="IAQ49" s="72"/>
      <c r="IAR49" s="72"/>
      <c r="IAS49" s="72"/>
      <c r="IAT49" s="72"/>
      <c r="IAU49" s="72"/>
      <c r="IAV49" s="72"/>
      <c r="IAW49" s="72"/>
      <c r="IAX49" s="72"/>
      <c r="IAY49" s="72"/>
      <c r="IAZ49" s="72"/>
      <c r="IBA49" s="72"/>
      <c r="IBB49" s="72"/>
      <c r="IBC49" s="72"/>
      <c r="IBD49" s="72"/>
      <c r="IBE49" s="72"/>
      <c r="IBF49" s="72"/>
      <c r="IBG49" s="72"/>
      <c r="IBH49" s="72"/>
      <c r="IBI49" s="72"/>
      <c r="IBJ49" s="72"/>
      <c r="IBK49" s="72"/>
      <c r="IBL49" s="72"/>
      <c r="IBM49" s="72"/>
      <c r="IBN49" s="72"/>
      <c r="IBO49" s="72"/>
      <c r="IBP49" s="72"/>
      <c r="IBQ49" s="72"/>
      <c r="IBR49" s="72"/>
      <c r="IBS49" s="72"/>
      <c r="IBT49" s="72"/>
      <c r="IBU49" s="72"/>
      <c r="IBV49" s="72"/>
      <c r="IBW49" s="72"/>
      <c r="IBX49" s="72"/>
      <c r="IBY49" s="72"/>
      <c r="IBZ49" s="72"/>
      <c r="ICA49" s="72"/>
      <c r="ICB49" s="72"/>
      <c r="ICC49" s="72"/>
      <c r="ICD49" s="72"/>
      <c r="ICE49" s="72"/>
      <c r="ICF49" s="72"/>
      <c r="ICG49" s="72"/>
      <c r="ICH49" s="72"/>
      <c r="ICI49" s="72"/>
      <c r="ICJ49" s="72"/>
      <c r="ICK49" s="72"/>
      <c r="ICL49" s="72"/>
      <c r="ICM49" s="72"/>
      <c r="ICN49" s="72"/>
      <c r="ICO49" s="72"/>
      <c r="ICP49" s="72"/>
      <c r="ICQ49" s="72"/>
      <c r="ICR49" s="72"/>
      <c r="ICS49" s="72"/>
      <c r="ICT49" s="72"/>
      <c r="ICU49" s="72"/>
      <c r="ICV49" s="72"/>
      <c r="ICW49" s="72"/>
      <c r="ICX49" s="72"/>
      <c r="ICY49" s="72"/>
      <c r="ICZ49" s="72"/>
      <c r="IDA49" s="72"/>
      <c r="IDB49" s="72"/>
      <c r="IDC49" s="72"/>
      <c r="IDD49" s="72"/>
      <c r="IDE49" s="72"/>
      <c r="IDF49" s="72"/>
      <c r="IDG49" s="72"/>
      <c r="IDH49" s="72"/>
      <c r="IDI49" s="72"/>
      <c r="IDJ49" s="72"/>
      <c r="IDK49" s="72"/>
      <c r="IDL49" s="72"/>
      <c r="IDM49" s="72"/>
      <c r="IDN49" s="72"/>
      <c r="IDO49" s="72"/>
      <c r="IDP49" s="72"/>
      <c r="IDQ49" s="72"/>
      <c r="IDR49" s="72"/>
      <c r="IDS49" s="72"/>
      <c r="IDT49" s="72"/>
      <c r="IDU49" s="72"/>
      <c r="IDV49" s="72"/>
      <c r="IDW49" s="72"/>
      <c r="IDX49" s="72"/>
      <c r="IDY49" s="72"/>
      <c r="IDZ49" s="72"/>
      <c r="IEA49" s="72"/>
      <c r="IEB49" s="72"/>
      <c r="IEC49" s="72"/>
      <c r="IED49" s="72"/>
      <c r="IEE49" s="72"/>
      <c r="IEF49" s="72"/>
      <c r="IEG49" s="72"/>
      <c r="IEH49" s="72"/>
      <c r="IEI49" s="72"/>
      <c r="IEJ49" s="72"/>
      <c r="IEK49" s="72"/>
      <c r="IEL49" s="72"/>
      <c r="IEM49" s="72"/>
      <c r="IEN49" s="72"/>
      <c r="IEO49" s="72"/>
      <c r="IEP49" s="72"/>
      <c r="IEQ49" s="72"/>
      <c r="IER49" s="72"/>
      <c r="IES49" s="72"/>
      <c r="IET49" s="72"/>
      <c r="IEU49" s="72"/>
      <c r="IEV49" s="72"/>
      <c r="IEW49" s="72"/>
      <c r="IEX49" s="72"/>
      <c r="IEY49" s="72"/>
      <c r="IEZ49" s="72"/>
      <c r="IFA49" s="72"/>
      <c r="IFB49" s="72"/>
      <c r="IFC49" s="72"/>
      <c r="IFD49" s="72"/>
      <c r="IFE49" s="72"/>
      <c r="IFF49" s="72"/>
      <c r="IFG49" s="72"/>
      <c r="IFH49" s="72"/>
      <c r="IFI49" s="72"/>
      <c r="IFJ49" s="72"/>
      <c r="IFK49" s="72"/>
      <c r="IFL49" s="72"/>
      <c r="IFM49" s="72"/>
      <c r="IFN49" s="72"/>
      <c r="IFO49" s="72"/>
      <c r="IFP49" s="72"/>
      <c r="IFQ49" s="72"/>
      <c r="IFR49" s="72"/>
      <c r="IFS49" s="72"/>
      <c r="IFT49" s="72"/>
      <c r="IFU49" s="72"/>
      <c r="IFV49" s="72"/>
      <c r="IFW49" s="72"/>
      <c r="IFX49" s="72"/>
      <c r="IFY49" s="72"/>
      <c r="IFZ49" s="72"/>
      <c r="IGA49" s="72"/>
      <c r="IGB49" s="72"/>
      <c r="IGC49" s="72"/>
      <c r="IGD49" s="72"/>
      <c r="IGE49" s="72"/>
      <c r="IGF49" s="72"/>
      <c r="IGG49" s="72"/>
      <c r="IGH49" s="72"/>
      <c r="IGI49" s="72"/>
      <c r="IGJ49" s="72"/>
      <c r="IGK49" s="72"/>
      <c r="IGL49" s="72"/>
      <c r="IGM49" s="72"/>
      <c r="IGN49" s="72"/>
      <c r="IGO49" s="72"/>
      <c r="IGP49" s="72"/>
      <c r="IGQ49" s="72"/>
      <c r="IGR49" s="72"/>
      <c r="IGS49" s="72"/>
      <c r="IGT49" s="72"/>
      <c r="IGU49" s="72"/>
      <c r="IGV49" s="72"/>
      <c r="IGW49" s="72"/>
      <c r="IGX49" s="72"/>
      <c r="IGY49" s="72"/>
      <c r="IGZ49" s="72"/>
      <c r="IHA49" s="72"/>
      <c r="IHB49" s="72"/>
      <c r="IHC49" s="72"/>
      <c r="IHD49" s="72"/>
      <c r="IHE49" s="72"/>
      <c r="IHF49" s="72"/>
      <c r="IHG49" s="72"/>
      <c r="IHH49" s="72"/>
      <c r="IHI49" s="72"/>
      <c r="IHJ49" s="72"/>
      <c r="IHK49" s="72"/>
      <c r="IHL49" s="72"/>
      <c r="IHM49" s="72"/>
      <c r="IHN49" s="72"/>
      <c r="IHO49" s="72"/>
      <c r="IHP49" s="72"/>
      <c r="IHQ49" s="72"/>
      <c r="IHR49" s="72"/>
      <c r="IHS49" s="72"/>
      <c r="IHT49" s="72"/>
      <c r="IHU49" s="72"/>
      <c r="IHV49" s="72"/>
      <c r="IHW49" s="72"/>
      <c r="IHX49" s="72"/>
      <c r="IHY49" s="72"/>
      <c r="IHZ49" s="72"/>
      <c r="IIA49" s="72"/>
      <c r="IIB49" s="72"/>
      <c r="IIC49" s="72"/>
      <c r="IID49" s="72"/>
      <c r="IIE49" s="72"/>
      <c r="IIF49" s="72"/>
      <c r="IIG49" s="72"/>
      <c r="IIH49" s="72"/>
      <c r="III49" s="72"/>
      <c r="IIJ49" s="72"/>
      <c r="IIK49" s="72"/>
      <c r="IIL49" s="72"/>
      <c r="IIM49" s="72"/>
      <c r="IIN49" s="72"/>
      <c r="IIO49" s="72"/>
      <c r="IIP49" s="72"/>
      <c r="IIQ49" s="72"/>
      <c r="IIR49" s="72"/>
      <c r="IIS49" s="72"/>
      <c r="IIT49" s="72"/>
      <c r="IIU49" s="72"/>
      <c r="IIV49" s="72"/>
      <c r="IIW49" s="72"/>
      <c r="IIX49" s="72"/>
      <c r="IIY49" s="72"/>
      <c r="IIZ49" s="72"/>
      <c r="IJA49" s="72"/>
      <c r="IJB49" s="72"/>
      <c r="IJC49" s="72"/>
      <c r="IJD49" s="72"/>
      <c r="IJE49" s="72"/>
      <c r="IJF49" s="72"/>
      <c r="IJG49" s="72"/>
      <c r="IJH49" s="72"/>
      <c r="IJI49" s="72"/>
      <c r="IJJ49" s="72"/>
      <c r="IJK49" s="72"/>
      <c r="IJL49" s="72"/>
      <c r="IJM49" s="72"/>
      <c r="IJN49" s="72"/>
      <c r="IJO49" s="72"/>
      <c r="IJP49" s="72"/>
      <c r="IJQ49" s="72"/>
      <c r="IJR49" s="72"/>
      <c r="IJS49" s="72"/>
      <c r="IJT49" s="72"/>
      <c r="IJU49" s="72"/>
      <c r="IJV49" s="72"/>
      <c r="IJW49" s="72"/>
      <c r="IJX49" s="72"/>
      <c r="IJY49" s="72"/>
      <c r="IJZ49" s="72"/>
      <c r="IKA49" s="72"/>
      <c r="IKB49" s="72"/>
      <c r="IKC49" s="72"/>
      <c r="IKD49" s="72"/>
      <c r="IKE49" s="72"/>
      <c r="IKF49" s="72"/>
      <c r="IKG49" s="72"/>
      <c r="IKH49" s="72"/>
      <c r="IKI49" s="72"/>
      <c r="IKJ49" s="72"/>
      <c r="IKK49" s="72"/>
      <c r="IKL49" s="72"/>
      <c r="IKM49" s="72"/>
      <c r="IKN49" s="72"/>
      <c r="IKO49" s="72"/>
      <c r="IKP49" s="72"/>
      <c r="IKQ49" s="72"/>
      <c r="IKR49" s="72"/>
      <c r="IKS49" s="72"/>
      <c r="IKT49" s="72"/>
      <c r="IKU49" s="72"/>
      <c r="IKV49" s="72"/>
      <c r="IKW49" s="72"/>
      <c r="IKX49" s="72"/>
      <c r="IKY49" s="72"/>
      <c r="IKZ49" s="72"/>
      <c r="ILA49" s="72"/>
      <c r="ILB49" s="72"/>
      <c r="ILC49" s="72"/>
      <c r="ILD49" s="72"/>
      <c r="ILE49" s="72"/>
      <c r="ILF49" s="72"/>
      <c r="ILG49" s="72"/>
      <c r="ILH49" s="72"/>
      <c r="ILI49" s="72"/>
      <c r="ILJ49" s="72"/>
      <c r="ILK49" s="72"/>
      <c r="ILL49" s="72"/>
      <c r="ILM49" s="72"/>
      <c r="ILN49" s="72"/>
      <c r="ILO49" s="72"/>
      <c r="ILP49" s="72"/>
      <c r="ILQ49" s="72"/>
      <c r="ILR49" s="72"/>
      <c r="ILS49" s="72"/>
      <c r="ILT49" s="72"/>
      <c r="ILU49" s="72"/>
      <c r="ILV49" s="72"/>
      <c r="ILW49" s="72"/>
      <c r="ILX49" s="72"/>
      <c r="ILY49" s="72"/>
      <c r="ILZ49" s="72"/>
      <c r="IMA49" s="72"/>
      <c r="IMB49" s="72"/>
      <c r="IMC49" s="72"/>
      <c r="IMD49" s="72"/>
      <c r="IME49" s="72"/>
      <c r="IMF49" s="72"/>
      <c r="IMG49" s="72"/>
      <c r="IMH49" s="72"/>
      <c r="IMI49" s="72"/>
      <c r="IMJ49" s="72"/>
      <c r="IMK49" s="72"/>
      <c r="IML49" s="72"/>
      <c r="IMM49" s="72"/>
      <c r="IMN49" s="72"/>
      <c r="IMO49" s="72"/>
      <c r="IMP49" s="72"/>
      <c r="IMQ49" s="72"/>
      <c r="IMR49" s="72"/>
      <c r="IMS49" s="72"/>
      <c r="IMT49" s="72"/>
      <c r="IMU49" s="72"/>
      <c r="IMV49" s="72"/>
      <c r="IMW49" s="72"/>
      <c r="IMX49" s="72"/>
      <c r="IMY49" s="72"/>
      <c r="IMZ49" s="72"/>
      <c r="INA49" s="72"/>
      <c r="INB49" s="72"/>
      <c r="INC49" s="72"/>
      <c r="IND49" s="72"/>
      <c r="INE49" s="72"/>
      <c r="INF49" s="72"/>
      <c r="ING49" s="72"/>
      <c r="INH49" s="72"/>
      <c r="INI49" s="72"/>
      <c r="INJ49" s="72"/>
      <c r="INK49" s="72"/>
      <c r="INL49" s="72"/>
      <c r="INM49" s="72"/>
      <c r="INN49" s="72"/>
      <c r="INO49" s="72"/>
      <c r="INP49" s="72"/>
      <c r="INQ49" s="72"/>
      <c r="INR49" s="72"/>
      <c r="INS49" s="72"/>
      <c r="INT49" s="72"/>
      <c r="INU49" s="72"/>
      <c r="INV49" s="72"/>
      <c r="INW49" s="72"/>
      <c r="INX49" s="72"/>
      <c r="INY49" s="72"/>
      <c r="INZ49" s="72"/>
      <c r="IOA49" s="72"/>
      <c r="IOB49" s="72"/>
      <c r="IOC49" s="72"/>
      <c r="IOD49" s="72"/>
      <c r="IOE49" s="72"/>
      <c r="IOF49" s="72"/>
      <c r="IOG49" s="72"/>
      <c r="IOH49" s="72"/>
      <c r="IOI49" s="72"/>
      <c r="IOJ49" s="72"/>
      <c r="IOK49" s="72"/>
      <c r="IOL49" s="72"/>
      <c r="IOM49" s="72"/>
      <c r="ION49" s="72"/>
      <c r="IOO49" s="72"/>
      <c r="IOP49" s="72"/>
      <c r="IOQ49" s="72"/>
      <c r="IOR49" s="72"/>
      <c r="IOS49" s="72"/>
      <c r="IOT49" s="72"/>
      <c r="IOU49" s="72"/>
      <c r="IOV49" s="72"/>
      <c r="IOW49" s="72"/>
      <c r="IOX49" s="72"/>
      <c r="IOY49" s="72"/>
      <c r="IOZ49" s="72"/>
      <c r="IPA49" s="72"/>
      <c r="IPB49" s="72"/>
      <c r="IPC49" s="72"/>
      <c r="IPD49" s="72"/>
      <c r="IPE49" s="72"/>
      <c r="IPF49" s="72"/>
      <c r="IPG49" s="72"/>
      <c r="IPH49" s="72"/>
      <c r="IPI49" s="72"/>
      <c r="IPJ49" s="72"/>
      <c r="IPK49" s="72"/>
      <c r="IPL49" s="72"/>
      <c r="IPM49" s="72"/>
      <c r="IPN49" s="72"/>
      <c r="IPO49" s="72"/>
      <c r="IPP49" s="72"/>
      <c r="IPQ49" s="72"/>
      <c r="IPR49" s="72"/>
      <c r="IPS49" s="72"/>
      <c r="IPT49" s="72"/>
      <c r="IPU49" s="72"/>
      <c r="IPV49" s="72"/>
      <c r="IPW49" s="72"/>
      <c r="IPX49" s="72"/>
      <c r="IPY49" s="72"/>
      <c r="IPZ49" s="72"/>
      <c r="IQA49" s="72"/>
      <c r="IQB49" s="72"/>
      <c r="IQC49" s="72"/>
      <c r="IQD49" s="72"/>
      <c r="IQE49" s="72"/>
      <c r="IQF49" s="72"/>
      <c r="IQG49" s="72"/>
      <c r="IQH49" s="72"/>
      <c r="IQI49" s="72"/>
      <c r="IQJ49" s="72"/>
      <c r="IQK49" s="72"/>
      <c r="IQL49" s="72"/>
      <c r="IQM49" s="72"/>
      <c r="IQN49" s="72"/>
      <c r="IQO49" s="72"/>
      <c r="IQP49" s="72"/>
      <c r="IQQ49" s="72"/>
      <c r="IQR49" s="72"/>
      <c r="IQS49" s="72"/>
      <c r="IQT49" s="72"/>
      <c r="IQU49" s="72"/>
      <c r="IQV49" s="72"/>
      <c r="IQW49" s="72"/>
      <c r="IQX49" s="72"/>
      <c r="IQY49" s="72"/>
      <c r="IQZ49" s="72"/>
      <c r="IRA49" s="72"/>
      <c r="IRB49" s="72"/>
      <c r="IRC49" s="72"/>
      <c r="IRD49" s="72"/>
      <c r="IRE49" s="72"/>
      <c r="IRF49" s="72"/>
      <c r="IRG49" s="72"/>
      <c r="IRH49" s="72"/>
      <c r="IRI49" s="72"/>
      <c r="IRJ49" s="72"/>
      <c r="IRK49" s="72"/>
      <c r="IRL49" s="72"/>
      <c r="IRM49" s="72"/>
      <c r="IRN49" s="72"/>
      <c r="IRO49" s="72"/>
      <c r="IRP49" s="72"/>
      <c r="IRQ49" s="72"/>
      <c r="IRR49" s="72"/>
      <c r="IRS49" s="72"/>
      <c r="IRT49" s="72"/>
      <c r="IRU49" s="72"/>
      <c r="IRV49" s="72"/>
      <c r="IRW49" s="72"/>
      <c r="IRX49" s="72"/>
      <c r="IRY49" s="72"/>
      <c r="IRZ49" s="72"/>
      <c r="ISA49" s="72"/>
      <c r="ISB49" s="72"/>
      <c r="ISC49" s="72"/>
      <c r="ISD49" s="72"/>
      <c r="ISE49" s="72"/>
      <c r="ISF49" s="72"/>
      <c r="ISG49" s="72"/>
      <c r="ISH49" s="72"/>
      <c r="ISI49" s="72"/>
      <c r="ISJ49" s="72"/>
      <c r="ISK49" s="72"/>
      <c r="ISL49" s="72"/>
      <c r="ISM49" s="72"/>
      <c r="ISN49" s="72"/>
      <c r="ISO49" s="72"/>
      <c r="ISP49" s="72"/>
      <c r="ISQ49" s="72"/>
      <c r="ISR49" s="72"/>
      <c r="ISS49" s="72"/>
      <c r="IST49" s="72"/>
      <c r="ISU49" s="72"/>
      <c r="ISV49" s="72"/>
      <c r="ISW49" s="72"/>
      <c r="ISX49" s="72"/>
      <c r="ISY49" s="72"/>
      <c r="ISZ49" s="72"/>
      <c r="ITA49" s="72"/>
      <c r="ITB49" s="72"/>
      <c r="ITC49" s="72"/>
      <c r="ITD49" s="72"/>
      <c r="ITE49" s="72"/>
      <c r="ITF49" s="72"/>
      <c r="ITG49" s="72"/>
      <c r="ITH49" s="72"/>
      <c r="ITI49" s="72"/>
      <c r="ITJ49" s="72"/>
      <c r="ITK49" s="72"/>
      <c r="ITL49" s="72"/>
      <c r="ITM49" s="72"/>
      <c r="ITN49" s="72"/>
      <c r="ITO49" s="72"/>
      <c r="ITP49" s="72"/>
      <c r="ITQ49" s="72"/>
      <c r="ITR49" s="72"/>
      <c r="ITS49" s="72"/>
      <c r="ITT49" s="72"/>
      <c r="ITU49" s="72"/>
      <c r="ITV49" s="72"/>
      <c r="ITW49" s="72"/>
      <c r="ITX49" s="72"/>
      <c r="ITY49" s="72"/>
      <c r="ITZ49" s="72"/>
      <c r="IUA49" s="72"/>
      <c r="IUB49" s="72"/>
      <c r="IUC49" s="72"/>
      <c r="IUD49" s="72"/>
      <c r="IUE49" s="72"/>
      <c r="IUF49" s="72"/>
      <c r="IUG49" s="72"/>
      <c r="IUH49" s="72"/>
      <c r="IUI49" s="72"/>
      <c r="IUJ49" s="72"/>
      <c r="IUK49" s="72"/>
      <c r="IUL49" s="72"/>
      <c r="IUM49" s="72"/>
      <c r="IUN49" s="72"/>
      <c r="IUO49" s="72"/>
      <c r="IUP49" s="72"/>
      <c r="IUQ49" s="72"/>
      <c r="IUR49" s="72"/>
      <c r="IUS49" s="72"/>
      <c r="IUT49" s="72"/>
      <c r="IUU49" s="72"/>
      <c r="IUV49" s="72"/>
      <c r="IUW49" s="72"/>
      <c r="IUX49" s="72"/>
      <c r="IUY49" s="72"/>
      <c r="IUZ49" s="72"/>
      <c r="IVA49" s="72"/>
      <c r="IVB49" s="72"/>
      <c r="IVC49" s="72"/>
      <c r="IVD49" s="72"/>
      <c r="IVE49" s="72"/>
      <c r="IVF49" s="72"/>
      <c r="IVG49" s="72"/>
      <c r="IVH49" s="72"/>
      <c r="IVI49" s="72"/>
      <c r="IVJ49" s="72"/>
      <c r="IVK49" s="72"/>
      <c r="IVL49" s="72"/>
      <c r="IVM49" s="72"/>
      <c r="IVN49" s="72"/>
      <c r="IVO49" s="72"/>
      <c r="IVP49" s="72"/>
      <c r="IVQ49" s="72"/>
      <c r="IVR49" s="72"/>
      <c r="IVS49" s="72"/>
      <c r="IVT49" s="72"/>
      <c r="IVU49" s="72"/>
      <c r="IVV49" s="72"/>
      <c r="IVW49" s="72"/>
      <c r="IVX49" s="72"/>
      <c r="IVY49" s="72"/>
      <c r="IVZ49" s="72"/>
      <c r="IWA49" s="72"/>
      <c r="IWB49" s="72"/>
      <c r="IWC49" s="72"/>
      <c r="IWD49" s="72"/>
      <c r="IWE49" s="72"/>
      <c r="IWF49" s="72"/>
      <c r="IWG49" s="72"/>
      <c r="IWH49" s="72"/>
      <c r="IWI49" s="72"/>
      <c r="IWJ49" s="72"/>
      <c r="IWK49" s="72"/>
      <c r="IWL49" s="72"/>
      <c r="IWM49" s="72"/>
      <c r="IWN49" s="72"/>
      <c r="IWO49" s="72"/>
      <c r="IWP49" s="72"/>
      <c r="IWQ49" s="72"/>
      <c r="IWR49" s="72"/>
      <c r="IWS49" s="72"/>
      <c r="IWT49" s="72"/>
      <c r="IWU49" s="72"/>
      <c r="IWV49" s="72"/>
      <c r="IWW49" s="72"/>
      <c r="IWX49" s="72"/>
      <c r="IWY49" s="72"/>
      <c r="IWZ49" s="72"/>
      <c r="IXA49" s="72"/>
      <c r="IXB49" s="72"/>
      <c r="IXC49" s="72"/>
      <c r="IXD49" s="72"/>
      <c r="IXE49" s="72"/>
      <c r="IXF49" s="72"/>
      <c r="IXG49" s="72"/>
      <c r="IXH49" s="72"/>
      <c r="IXI49" s="72"/>
      <c r="IXJ49" s="72"/>
      <c r="IXK49" s="72"/>
      <c r="IXL49" s="72"/>
      <c r="IXM49" s="72"/>
      <c r="IXN49" s="72"/>
      <c r="IXO49" s="72"/>
      <c r="IXP49" s="72"/>
      <c r="IXQ49" s="72"/>
      <c r="IXR49" s="72"/>
      <c r="IXS49" s="72"/>
      <c r="IXT49" s="72"/>
      <c r="IXU49" s="72"/>
      <c r="IXV49" s="72"/>
      <c r="IXW49" s="72"/>
      <c r="IXX49" s="72"/>
      <c r="IXY49" s="72"/>
      <c r="IXZ49" s="72"/>
      <c r="IYA49" s="72"/>
      <c r="IYB49" s="72"/>
      <c r="IYC49" s="72"/>
      <c r="IYD49" s="72"/>
      <c r="IYE49" s="72"/>
      <c r="IYF49" s="72"/>
      <c r="IYG49" s="72"/>
      <c r="IYH49" s="72"/>
      <c r="IYI49" s="72"/>
      <c r="IYJ49" s="72"/>
      <c r="IYK49" s="72"/>
      <c r="IYL49" s="72"/>
      <c r="IYM49" s="72"/>
      <c r="IYN49" s="72"/>
      <c r="IYO49" s="72"/>
      <c r="IYP49" s="72"/>
      <c r="IYQ49" s="72"/>
      <c r="IYR49" s="72"/>
      <c r="IYS49" s="72"/>
      <c r="IYT49" s="72"/>
      <c r="IYU49" s="72"/>
      <c r="IYV49" s="72"/>
      <c r="IYW49" s="72"/>
      <c r="IYX49" s="72"/>
      <c r="IYY49" s="72"/>
      <c r="IYZ49" s="72"/>
      <c r="IZA49" s="72"/>
      <c r="IZB49" s="72"/>
      <c r="IZC49" s="72"/>
      <c r="IZD49" s="72"/>
      <c r="IZE49" s="72"/>
      <c r="IZF49" s="72"/>
      <c r="IZG49" s="72"/>
      <c r="IZH49" s="72"/>
      <c r="IZI49" s="72"/>
      <c r="IZJ49" s="72"/>
      <c r="IZK49" s="72"/>
      <c r="IZL49" s="72"/>
      <c r="IZM49" s="72"/>
      <c r="IZN49" s="72"/>
      <c r="IZO49" s="72"/>
      <c r="IZP49" s="72"/>
      <c r="IZQ49" s="72"/>
      <c r="IZR49" s="72"/>
      <c r="IZS49" s="72"/>
      <c r="IZT49" s="72"/>
      <c r="IZU49" s="72"/>
      <c r="IZV49" s="72"/>
      <c r="IZW49" s="72"/>
      <c r="IZX49" s="72"/>
      <c r="IZY49" s="72"/>
      <c r="IZZ49" s="72"/>
      <c r="JAA49" s="72"/>
      <c r="JAB49" s="72"/>
      <c r="JAC49" s="72"/>
      <c r="JAD49" s="72"/>
      <c r="JAE49" s="72"/>
      <c r="JAF49" s="72"/>
      <c r="JAG49" s="72"/>
      <c r="JAH49" s="72"/>
      <c r="JAI49" s="72"/>
      <c r="JAJ49" s="72"/>
      <c r="JAK49" s="72"/>
      <c r="JAL49" s="72"/>
      <c r="JAM49" s="72"/>
      <c r="JAN49" s="72"/>
      <c r="JAO49" s="72"/>
      <c r="JAP49" s="72"/>
      <c r="JAQ49" s="72"/>
      <c r="JAR49" s="72"/>
      <c r="JAS49" s="72"/>
      <c r="JAT49" s="72"/>
      <c r="JAU49" s="72"/>
      <c r="JAV49" s="72"/>
      <c r="JAW49" s="72"/>
      <c r="JAX49" s="72"/>
      <c r="JAY49" s="72"/>
      <c r="JAZ49" s="72"/>
      <c r="JBA49" s="72"/>
      <c r="JBB49" s="72"/>
      <c r="JBC49" s="72"/>
      <c r="JBD49" s="72"/>
      <c r="JBE49" s="72"/>
      <c r="JBF49" s="72"/>
      <c r="JBG49" s="72"/>
      <c r="JBH49" s="72"/>
      <c r="JBI49" s="72"/>
      <c r="JBJ49" s="72"/>
      <c r="JBK49" s="72"/>
      <c r="JBL49" s="72"/>
      <c r="JBM49" s="72"/>
      <c r="JBN49" s="72"/>
      <c r="JBO49" s="72"/>
      <c r="JBP49" s="72"/>
      <c r="JBQ49" s="72"/>
      <c r="JBR49" s="72"/>
      <c r="JBS49" s="72"/>
      <c r="JBT49" s="72"/>
      <c r="JBU49" s="72"/>
      <c r="JBV49" s="72"/>
      <c r="JBW49" s="72"/>
      <c r="JBX49" s="72"/>
      <c r="JBY49" s="72"/>
      <c r="JBZ49" s="72"/>
      <c r="JCA49" s="72"/>
      <c r="JCB49" s="72"/>
      <c r="JCC49" s="72"/>
      <c r="JCD49" s="72"/>
      <c r="JCE49" s="72"/>
      <c r="JCF49" s="72"/>
      <c r="JCG49" s="72"/>
      <c r="JCH49" s="72"/>
      <c r="JCI49" s="72"/>
      <c r="JCJ49" s="72"/>
      <c r="JCK49" s="72"/>
      <c r="JCL49" s="72"/>
      <c r="JCM49" s="72"/>
      <c r="JCN49" s="72"/>
      <c r="JCO49" s="72"/>
      <c r="JCP49" s="72"/>
      <c r="JCQ49" s="72"/>
      <c r="JCR49" s="72"/>
      <c r="JCS49" s="72"/>
      <c r="JCT49" s="72"/>
      <c r="JCU49" s="72"/>
      <c r="JCV49" s="72"/>
      <c r="JCW49" s="72"/>
      <c r="JCX49" s="72"/>
      <c r="JCY49" s="72"/>
      <c r="JCZ49" s="72"/>
      <c r="JDA49" s="72"/>
      <c r="JDB49" s="72"/>
      <c r="JDC49" s="72"/>
      <c r="JDD49" s="72"/>
      <c r="JDE49" s="72"/>
      <c r="JDF49" s="72"/>
      <c r="JDG49" s="72"/>
      <c r="JDH49" s="72"/>
      <c r="JDI49" s="72"/>
      <c r="JDJ49" s="72"/>
      <c r="JDK49" s="72"/>
      <c r="JDL49" s="72"/>
      <c r="JDM49" s="72"/>
      <c r="JDN49" s="72"/>
      <c r="JDO49" s="72"/>
      <c r="JDP49" s="72"/>
      <c r="JDQ49" s="72"/>
      <c r="JDR49" s="72"/>
      <c r="JDS49" s="72"/>
      <c r="JDT49" s="72"/>
      <c r="JDU49" s="72"/>
      <c r="JDV49" s="72"/>
      <c r="JDW49" s="72"/>
      <c r="JDX49" s="72"/>
      <c r="JDY49" s="72"/>
      <c r="JDZ49" s="72"/>
      <c r="JEA49" s="72"/>
      <c r="JEB49" s="72"/>
      <c r="JEC49" s="72"/>
      <c r="JED49" s="72"/>
      <c r="JEE49" s="72"/>
      <c r="JEF49" s="72"/>
      <c r="JEG49" s="72"/>
      <c r="JEH49" s="72"/>
      <c r="JEI49" s="72"/>
      <c r="JEJ49" s="72"/>
      <c r="JEK49" s="72"/>
      <c r="JEL49" s="72"/>
      <c r="JEM49" s="72"/>
      <c r="JEN49" s="72"/>
      <c r="JEO49" s="72"/>
      <c r="JEP49" s="72"/>
      <c r="JEQ49" s="72"/>
      <c r="JER49" s="72"/>
      <c r="JES49" s="72"/>
      <c r="JET49" s="72"/>
      <c r="JEU49" s="72"/>
      <c r="JEV49" s="72"/>
      <c r="JEW49" s="72"/>
      <c r="JEX49" s="72"/>
      <c r="JEY49" s="72"/>
      <c r="JEZ49" s="72"/>
      <c r="JFA49" s="72"/>
      <c r="JFB49" s="72"/>
      <c r="JFC49" s="72"/>
      <c r="JFD49" s="72"/>
      <c r="JFE49" s="72"/>
      <c r="JFF49" s="72"/>
      <c r="JFG49" s="72"/>
      <c r="JFH49" s="72"/>
      <c r="JFI49" s="72"/>
      <c r="JFJ49" s="72"/>
      <c r="JFK49" s="72"/>
      <c r="JFL49" s="72"/>
      <c r="JFM49" s="72"/>
      <c r="JFN49" s="72"/>
      <c r="JFO49" s="72"/>
      <c r="JFP49" s="72"/>
      <c r="JFQ49" s="72"/>
      <c r="JFR49" s="72"/>
      <c r="JFS49" s="72"/>
      <c r="JFT49" s="72"/>
      <c r="JFU49" s="72"/>
      <c r="JFV49" s="72"/>
      <c r="JFW49" s="72"/>
      <c r="JFX49" s="72"/>
      <c r="JFY49" s="72"/>
      <c r="JFZ49" s="72"/>
      <c r="JGA49" s="72"/>
      <c r="JGB49" s="72"/>
      <c r="JGC49" s="72"/>
      <c r="JGD49" s="72"/>
      <c r="JGE49" s="72"/>
      <c r="JGF49" s="72"/>
      <c r="JGG49" s="72"/>
      <c r="JGH49" s="72"/>
      <c r="JGI49" s="72"/>
      <c r="JGJ49" s="72"/>
      <c r="JGK49" s="72"/>
      <c r="JGL49" s="72"/>
      <c r="JGM49" s="72"/>
      <c r="JGN49" s="72"/>
      <c r="JGO49" s="72"/>
      <c r="JGP49" s="72"/>
      <c r="JGQ49" s="72"/>
      <c r="JGR49" s="72"/>
      <c r="JGS49" s="72"/>
      <c r="JGT49" s="72"/>
      <c r="JGU49" s="72"/>
      <c r="JGV49" s="72"/>
      <c r="JGW49" s="72"/>
      <c r="JGX49" s="72"/>
      <c r="JGY49" s="72"/>
      <c r="JGZ49" s="72"/>
      <c r="JHA49" s="72"/>
      <c r="JHB49" s="72"/>
      <c r="JHC49" s="72"/>
      <c r="JHD49" s="72"/>
      <c r="JHE49" s="72"/>
      <c r="JHF49" s="72"/>
      <c r="JHG49" s="72"/>
      <c r="JHH49" s="72"/>
      <c r="JHI49" s="72"/>
      <c r="JHJ49" s="72"/>
      <c r="JHK49" s="72"/>
      <c r="JHL49" s="72"/>
      <c r="JHM49" s="72"/>
      <c r="JHN49" s="72"/>
      <c r="JHO49" s="72"/>
      <c r="JHP49" s="72"/>
      <c r="JHQ49" s="72"/>
      <c r="JHR49" s="72"/>
      <c r="JHS49" s="72"/>
      <c r="JHT49" s="72"/>
      <c r="JHU49" s="72"/>
      <c r="JHV49" s="72"/>
      <c r="JHW49" s="72"/>
      <c r="JHX49" s="72"/>
      <c r="JHY49" s="72"/>
      <c r="JHZ49" s="72"/>
      <c r="JIA49" s="72"/>
      <c r="JIB49" s="72"/>
      <c r="JIC49" s="72"/>
      <c r="JID49" s="72"/>
      <c r="JIE49" s="72"/>
      <c r="JIF49" s="72"/>
      <c r="JIG49" s="72"/>
      <c r="JIH49" s="72"/>
      <c r="JII49" s="72"/>
      <c r="JIJ49" s="72"/>
      <c r="JIK49" s="72"/>
      <c r="JIL49" s="72"/>
      <c r="JIM49" s="72"/>
      <c r="JIN49" s="72"/>
      <c r="JIO49" s="72"/>
      <c r="JIP49" s="72"/>
      <c r="JIQ49" s="72"/>
      <c r="JIR49" s="72"/>
      <c r="JIS49" s="72"/>
      <c r="JIT49" s="72"/>
      <c r="JIU49" s="72"/>
      <c r="JIV49" s="72"/>
      <c r="JIW49" s="72"/>
      <c r="JIX49" s="72"/>
      <c r="JIY49" s="72"/>
      <c r="JIZ49" s="72"/>
      <c r="JJA49" s="72"/>
      <c r="JJB49" s="72"/>
      <c r="JJC49" s="72"/>
      <c r="JJD49" s="72"/>
      <c r="JJE49" s="72"/>
      <c r="JJF49" s="72"/>
      <c r="JJG49" s="72"/>
      <c r="JJH49" s="72"/>
      <c r="JJI49" s="72"/>
      <c r="JJJ49" s="72"/>
      <c r="JJK49" s="72"/>
      <c r="JJL49" s="72"/>
      <c r="JJM49" s="72"/>
      <c r="JJN49" s="72"/>
      <c r="JJO49" s="72"/>
      <c r="JJP49" s="72"/>
      <c r="JJQ49" s="72"/>
      <c r="JJR49" s="72"/>
      <c r="JJS49" s="72"/>
      <c r="JJT49" s="72"/>
      <c r="JJU49" s="72"/>
      <c r="JJV49" s="72"/>
      <c r="JJW49" s="72"/>
      <c r="JJX49" s="72"/>
      <c r="JJY49" s="72"/>
      <c r="JJZ49" s="72"/>
      <c r="JKA49" s="72"/>
      <c r="JKB49" s="72"/>
      <c r="JKC49" s="72"/>
      <c r="JKD49" s="72"/>
      <c r="JKE49" s="72"/>
      <c r="JKF49" s="72"/>
      <c r="JKG49" s="72"/>
      <c r="JKH49" s="72"/>
      <c r="JKI49" s="72"/>
      <c r="JKJ49" s="72"/>
      <c r="JKK49" s="72"/>
      <c r="JKL49" s="72"/>
      <c r="JKM49" s="72"/>
      <c r="JKN49" s="72"/>
      <c r="JKO49" s="72"/>
      <c r="JKP49" s="72"/>
      <c r="JKQ49" s="72"/>
      <c r="JKR49" s="72"/>
      <c r="JKS49" s="72"/>
      <c r="JKT49" s="72"/>
      <c r="JKU49" s="72"/>
      <c r="JKV49" s="72"/>
      <c r="JKW49" s="72"/>
      <c r="JKX49" s="72"/>
      <c r="JKY49" s="72"/>
      <c r="JKZ49" s="72"/>
      <c r="JLA49" s="72"/>
      <c r="JLB49" s="72"/>
      <c r="JLC49" s="72"/>
      <c r="JLD49" s="72"/>
      <c r="JLE49" s="72"/>
      <c r="JLF49" s="72"/>
      <c r="JLG49" s="72"/>
      <c r="JLH49" s="72"/>
      <c r="JLI49" s="72"/>
      <c r="JLJ49" s="72"/>
      <c r="JLK49" s="72"/>
      <c r="JLL49" s="72"/>
      <c r="JLM49" s="72"/>
      <c r="JLN49" s="72"/>
      <c r="JLO49" s="72"/>
      <c r="JLP49" s="72"/>
      <c r="JLQ49" s="72"/>
      <c r="JLR49" s="72"/>
      <c r="JLS49" s="72"/>
      <c r="JLT49" s="72"/>
      <c r="JLU49" s="72"/>
      <c r="JLV49" s="72"/>
      <c r="JLW49" s="72"/>
      <c r="JLX49" s="72"/>
      <c r="JLY49" s="72"/>
      <c r="JLZ49" s="72"/>
      <c r="JMA49" s="72"/>
      <c r="JMB49" s="72"/>
      <c r="JMC49" s="72"/>
      <c r="JMD49" s="72"/>
      <c r="JME49" s="72"/>
      <c r="JMF49" s="72"/>
      <c r="JMG49" s="72"/>
      <c r="JMH49" s="72"/>
      <c r="JMI49" s="72"/>
      <c r="JMJ49" s="72"/>
      <c r="JMK49" s="72"/>
      <c r="JML49" s="72"/>
      <c r="JMM49" s="72"/>
      <c r="JMN49" s="72"/>
      <c r="JMO49" s="72"/>
      <c r="JMP49" s="72"/>
      <c r="JMQ49" s="72"/>
      <c r="JMR49" s="72"/>
      <c r="JMS49" s="72"/>
      <c r="JMT49" s="72"/>
      <c r="JMU49" s="72"/>
      <c r="JMV49" s="72"/>
      <c r="JMW49" s="72"/>
      <c r="JMX49" s="72"/>
      <c r="JMY49" s="72"/>
      <c r="JMZ49" s="72"/>
      <c r="JNA49" s="72"/>
      <c r="JNB49" s="72"/>
      <c r="JNC49" s="72"/>
      <c r="JND49" s="72"/>
      <c r="JNE49" s="72"/>
      <c r="JNF49" s="72"/>
      <c r="JNG49" s="72"/>
      <c r="JNH49" s="72"/>
      <c r="JNI49" s="72"/>
      <c r="JNJ49" s="72"/>
      <c r="JNK49" s="72"/>
      <c r="JNL49" s="72"/>
      <c r="JNM49" s="72"/>
      <c r="JNN49" s="72"/>
      <c r="JNO49" s="72"/>
      <c r="JNP49" s="72"/>
      <c r="JNQ49" s="72"/>
      <c r="JNR49" s="72"/>
      <c r="JNS49" s="72"/>
      <c r="JNT49" s="72"/>
      <c r="JNU49" s="72"/>
      <c r="JNV49" s="72"/>
      <c r="JNW49" s="72"/>
      <c r="JNX49" s="72"/>
      <c r="JNY49" s="72"/>
      <c r="JNZ49" s="72"/>
      <c r="JOA49" s="72"/>
      <c r="JOB49" s="72"/>
      <c r="JOC49" s="72"/>
      <c r="JOD49" s="72"/>
      <c r="JOE49" s="72"/>
      <c r="JOF49" s="72"/>
      <c r="JOG49" s="72"/>
      <c r="JOH49" s="72"/>
      <c r="JOI49" s="72"/>
      <c r="JOJ49" s="72"/>
      <c r="JOK49" s="72"/>
      <c r="JOL49" s="72"/>
      <c r="JOM49" s="72"/>
      <c r="JON49" s="72"/>
      <c r="JOO49" s="72"/>
      <c r="JOP49" s="72"/>
      <c r="JOQ49" s="72"/>
      <c r="JOR49" s="72"/>
      <c r="JOS49" s="72"/>
      <c r="JOT49" s="72"/>
      <c r="JOU49" s="72"/>
      <c r="JOV49" s="72"/>
      <c r="JOW49" s="72"/>
      <c r="JOX49" s="72"/>
      <c r="JOY49" s="72"/>
      <c r="JOZ49" s="72"/>
      <c r="JPA49" s="72"/>
      <c r="JPB49" s="72"/>
      <c r="JPC49" s="72"/>
      <c r="JPD49" s="72"/>
      <c r="JPE49" s="72"/>
      <c r="JPF49" s="72"/>
      <c r="JPG49" s="72"/>
      <c r="JPH49" s="72"/>
      <c r="JPI49" s="72"/>
      <c r="JPJ49" s="72"/>
      <c r="JPK49" s="72"/>
      <c r="JPL49" s="72"/>
      <c r="JPM49" s="72"/>
      <c r="JPN49" s="72"/>
      <c r="JPO49" s="72"/>
      <c r="JPP49" s="72"/>
      <c r="JPQ49" s="72"/>
      <c r="JPR49" s="72"/>
      <c r="JPS49" s="72"/>
      <c r="JPT49" s="72"/>
      <c r="JPU49" s="72"/>
      <c r="JPV49" s="72"/>
      <c r="JPW49" s="72"/>
      <c r="JPX49" s="72"/>
      <c r="JPY49" s="72"/>
      <c r="JPZ49" s="72"/>
      <c r="JQA49" s="72"/>
      <c r="JQB49" s="72"/>
      <c r="JQC49" s="72"/>
      <c r="JQD49" s="72"/>
      <c r="JQE49" s="72"/>
      <c r="JQF49" s="72"/>
      <c r="JQG49" s="72"/>
      <c r="JQH49" s="72"/>
      <c r="JQI49" s="72"/>
      <c r="JQJ49" s="72"/>
      <c r="JQK49" s="72"/>
      <c r="JQL49" s="72"/>
      <c r="JQM49" s="72"/>
      <c r="JQN49" s="72"/>
      <c r="JQO49" s="72"/>
      <c r="JQP49" s="72"/>
      <c r="JQQ49" s="72"/>
      <c r="JQR49" s="72"/>
      <c r="JQS49" s="72"/>
      <c r="JQT49" s="72"/>
      <c r="JQU49" s="72"/>
      <c r="JQV49" s="72"/>
      <c r="JQW49" s="72"/>
      <c r="JQX49" s="72"/>
      <c r="JQY49" s="72"/>
      <c r="JQZ49" s="72"/>
      <c r="JRA49" s="72"/>
      <c r="JRB49" s="72"/>
      <c r="JRC49" s="72"/>
      <c r="JRD49" s="72"/>
      <c r="JRE49" s="72"/>
      <c r="JRF49" s="72"/>
      <c r="JRG49" s="72"/>
      <c r="JRH49" s="72"/>
      <c r="JRI49" s="72"/>
      <c r="JRJ49" s="72"/>
      <c r="JRK49" s="72"/>
      <c r="JRL49" s="72"/>
      <c r="JRM49" s="72"/>
      <c r="JRN49" s="72"/>
      <c r="JRO49" s="72"/>
      <c r="JRP49" s="72"/>
      <c r="JRQ49" s="72"/>
      <c r="JRR49" s="72"/>
      <c r="JRS49" s="72"/>
      <c r="JRT49" s="72"/>
      <c r="JRU49" s="72"/>
      <c r="JRV49" s="72"/>
      <c r="JRW49" s="72"/>
      <c r="JRX49" s="72"/>
      <c r="JRY49" s="72"/>
      <c r="JRZ49" s="72"/>
      <c r="JSA49" s="72"/>
      <c r="JSB49" s="72"/>
      <c r="JSC49" s="72"/>
      <c r="JSD49" s="72"/>
      <c r="JSE49" s="72"/>
      <c r="JSF49" s="72"/>
      <c r="JSG49" s="72"/>
      <c r="JSH49" s="72"/>
      <c r="JSI49" s="72"/>
      <c r="JSJ49" s="72"/>
      <c r="JSK49" s="72"/>
      <c r="JSL49" s="72"/>
      <c r="JSM49" s="72"/>
      <c r="JSN49" s="72"/>
      <c r="JSO49" s="72"/>
      <c r="JSP49" s="72"/>
      <c r="JSQ49" s="72"/>
      <c r="JSR49" s="72"/>
      <c r="JSS49" s="72"/>
      <c r="JST49" s="72"/>
      <c r="JSU49" s="72"/>
      <c r="JSV49" s="72"/>
      <c r="JSW49" s="72"/>
      <c r="JSX49" s="72"/>
      <c r="JSY49" s="72"/>
      <c r="JSZ49" s="72"/>
      <c r="JTA49" s="72"/>
      <c r="JTB49" s="72"/>
      <c r="JTC49" s="72"/>
      <c r="JTD49" s="72"/>
      <c r="JTE49" s="72"/>
      <c r="JTF49" s="72"/>
      <c r="JTG49" s="72"/>
      <c r="JTH49" s="72"/>
      <c r="JTI49" s="72"/>
      <c r="JTJ49" s="72"/>
      <c r="JTK49" s="72"/>
      <c r="JTL49" s="72"/>
      <c r="JTM49" s="72"/>
      <c r="JTN49" s="72"/>
      <c r="JTO49" s="72"/>
      <c r="JTP49" s="72"/>
      <c r="JTQ49" s="72"/>
      <c r="JTR49" s="72"/>
      <c r="JTS49" s="72"/>
      <c r="JTT49" s="72"/>
      <c r="JTU49" s="72"/>
      <c r="JTV49" s="72"/>
      <c r="JTW49" s="72"/>
      <c r="JTX49" s="72"/>
      <c r="JTY49" s="72"/>
      <c r="JTZ49" s="72"/>
      <c r="JUA49" s="72"/>
      <c r="JUB49" s="72"/>
      <c r="JUC49" s="72"/>
      <c r="JUD49" s="72"/>
      <c r="JUE49" s="72"/>
      <c r="JUF49" s="72"/>
      <c r="JUG49" s="72"/>
      <c r="JUH49" s="72"/>
      <c r="JUI49" s="72"/>
      <c r="JUJ49" s="72"/>
      <c r="JUK49" s="72"/>
      <c r="JUL49" s="72"/>
      <c r="JUM49" s="72"/>
      <c r="JUN49" s="72"/>
      <c r="JUO49" s="72"/>
      <c r="JUP49" s="72"/>
      <c r="JUQ49" s="72"/>
      <c r="JUR49" s="72"/>
      <c r="JUS49" s="72"/>
      <c r="JUT49" s="72"/>
      <c r="JUU49" s="72"/>
      <c r="JUV49" s="72"/>
      <c r="JUW49" s="72"/>
      <c r="JUX49" s="72"/>
      <c r="JUY49" s="72"/>
      <c r="JUZ49" s="72"/>
      <c r="JVA49" s="72"/>
      <c r="JVB49" s="72"/>
      <c r="JVC49" s="72"/>
      <c r="JVD49" s="72"/>
      <c r="JVE49" s="72"/>
      <c r="JVF49" s="72"/>
      <c r="JVG49" s="72"/>
      <c r="JVH49" s="72"/>
      <c r="JVI49" s="72"/>
      <c r="JVJ49" s="72"/>
      <c r="JVK49" s="72"/>
      <c r="JVL49" s="72"/>
      <c r="JVM49" s="72"/>
      <c r="JVN49" s="72"/>
      <c r="JVO49" s="72"/>
      <c r="JVP49" s="72"/>
      <c r="JVQ49" s="72"/>
      <c r="JVR49" s="72"/>
      <c r="JVS49" s="72"/>
      <c r="JVT49" s="72"/>
      <c r="JVU49" s="72"/>
      <c r="JVV49" s="72"/>
      <c r="JVW49" s="72"/>
      <c r="JVX49" s="72"/>
      <c r="JVY49" s="72"/>
      <c r="JVZ49" s="72"/>
      <c r="JWA49" s="72"/>
      <c r="JWB49" s="72"/>
      <c r="JWC49" s="72"/>
      <c r="JWD49" s="72"/>
      <c r="JWE49" s="72"/>
      <c r="JWF49" s="72"/>
      <c r="JWG49" s="72"/>
      <c r="JWH49" s="72"/>
      <c r="JWI49" s="72"/>
      <c r="JWJ49" s="72"/>
      <c r="JWK49" s="72"/>
      <c r="JWL49" s="72"/>
      <c r="JWM49" s="72"/>
      <c r="JWN49" s="72"/>
      <c r="JWO49" s="72"/>
      <c r="JWP49" s="72"/>
      <c r="JWQ49" s="72"/>
      <c r="JWR49" s="72"/>
      <c r="JWS49" s="72"/>
      <c r="JWT49" s="72"/>
      <c r="JWU49" s="72"/>
      <c r="JWV49" s="72"/>
      <c r="JWW49" s="72"/>
      <c r="JWX49" s="72"/>
      <c r="JWY49" s="72"/>
      <c r="JWZ49" s="72"/>
      <c r="JXA49" s="72"/>
      <c r="JXB49" s="72"/>
      <c r="JXC49" s="72"/>
      <c r="JXD49" s="72"/>
      <c r="JXE49" s="72"/>
      <c r="JXF49" s="72"/>
      <c r="JXG49" s="72"/>
      <c r="JXH49" s="72"/>
      <c r="JXI49" s="72"/>
      <c r="JXJ49" s="72"/>
      <c r="JXK49" s="72"/>
      <c r="JXL49" s="72"/>
      <c r="JXM49" s="72"/>
      <c r="JXN49" s="72"/>
      <c r="JXO49" s="72"/>
      <c r="JXP49" s="72"/>
      <c r="JXQ49" s="72"/>
      <c r="JXR49" s="72"/>
      <c r="JXS49" s="72"/>
      <c r="JXT49" s="72"/>
      <c r="JXU49" s="72"/>
      <c r="JXV49" s="72"/>
      <c r="JXW49" s="72"/>
      <c r="JXX49" s="72"/>
      <c r="JXY49" s="72"/>
      <c r="JXZ49" s="72"/>
      <c r="JYA49" s="72"/>
      <c r="JYB49" s="72"/>
      <c r="JYC49" s="72"/>
      <c r="JYD49" s="72"/>
      <c r="JYE49" s="72"/>
      <c r="JYF49" s="72"/>
      <c r="JYG49" s="72"/>
      <c r="JYH49" s="72"/>
      <c r="JYI49" s="72"/>
      <c r="JYJ49" s="72"/>
      <c r="JYK49" s="72"/>
      <c r="JYL49" s="72"/>
      <c r="JYM49" s="72"/>
      <c r="JYN49" s="72"/>
      <c r="JYO49" s="72"/>
      <c r="JYP49" s="72"/>
      <c r="JYQ49" s="72"/>
      <c r="JYR49" s="72"/>
      <c r="JYS49" s="72"/>
      <c r="JYT49" s="72"/>
      <c r="JYU49" s="72"/>
      <c r="JYV49" s="72"/>
      <c r="JYW49" s="72"/>
      <c r="JYX49" s="72"/>
      <c r="JYY49" s="72"/>
      <c r="JYZ49" s="72"/>
      <c r="JZA49" s="72"/>
      <c r="JZB49" s="72"/>
      <c r="JZC49" s="72"/>
      <c r="JZD49" s="72"/>
      <c r="JZE49" s="72"/>
      <c r="JZF49" s="72"/>
      <c r="JZG49" s="72"/>
      <c r="JZH49" s="72"/>
      <c r="JZI49" s="72"/>
      <c r="JZJ49" s="72"/>
      <c r="JZK49" s="72"/>
      <c r="JZL49" s="72"/>
      <c r="JZM49" s="72"/>
      <c r="JZN49" s="72"/>
      <c r="JZO49" s="72"/>
      <c r="JZP49" s="72"/>
      <c r="JZQ49" s="72"/>
      <c r="JZR49" s="72"/>
      <c r="JZS49" s="72"/>
      <c r="JZT49" s="72"/>
      <c r="JZU49" s="72"/>
      <c r="JZV49" s="72"/>
      <c r="JZW49" s="72"/>
      <c r="JZX49" s="72"/>
      <c r="JZY49" s="72"/>
      <c r="JZZ49" s="72"/>
      <c r="KAA49" s="72"/>
      <c r="KAB49" s="72"/>
      <c r="KAC49" s="72"/>
      <c r="KAD49" s="72"/>
      <c r="KAE49" s="72"/>
      <c r="KAF49" s="72"/>
      <c r="KAG49" s="72"/>
      <c r="KAH49" s="72"/>
      <c r="KAI49" s="72"/>
      <c r="KAJ49" s="72"/>
      <c r="KAK49" s="72"/>
      <c r="KAL49" s="72"/>
      <c r="KAM49" s="72"/>
      <c r="KAN49" s="72"/>
      <c r="KAO49" s="72"/>
      <c r="KAP49" s="72"/>
      <c r="KAQ49" s="72"/>
      <c r="KAR49" s="72"/>
      <c r="KAS49" s="72"/>
      <c r="KAT49" s="72"/>
      <c r="KAU49" s="72"/>
      <c r="KAV49" s="72"/>
      <c r="KAW49" s="72"/>
      <c r="KAX49" s="72"/>
      <c r="KAY49" s="72"/>
      <c r="KAZ49" s="72"/>
      <c r="KBA49" s="72"/>
      <c r="KBB49" s="72"/>
      <c r="KBC49" s="72"/>
      <c r="KBD49" s="72"/>
      <c r="KBE49" s="72"/>
      <c r="KBF49" s="72"/>
      <c r="KBG49" s="72"/>
      <c r="KBH49" s="72"/>
      <c r="KBI49" s="72"/>
      <c r="KBJ49" s="72"/>
      <c r="KBK49" s="72"/>
      <c r="KBL49" s="72"/>
      <c r="KBM49" s="72"/>
      <c r="KBN49" s="72"/>
      <c r="KBO49" s="72"/>
      <c r="KBP49" s="72"/>
      <c r="KBQ49" s="72"/>
      <c r="KBR49" s="72"/>
      <c r="KBS49" s="72"/>
      <c r="KBT49" s="72"/>
      <c r="KBU49" s="72"/>
      <c r="KBV49" s="72"/>
      <c r="KBW49" s="72"/>
      <c r="KBX49" s="72"/>
      <c r="KBY49" s="72"/>
      <c r="KBZ49" s="72"/>
      <c r="KCA49" s="72"/>
      <c r="KCB49" s="72"/>
      <c r="KCC49" s="72"/>
      <c r="KCD49" s="72"/>
      <c r="KCE49" s="72"/>
      <c r="KCF49" s="72"/>
      <c r="KCG49" s="72"/>
      <c r="KCH49" s="72"/>
      <c r="KCI49" s="72"/>
      <c r="KCJ49" s="72"/>
      <c r="KCK49" s="72"/>
      <c r="KCL49" s="72"/>
      <c r="KCM49" s="72"/>
      <c r="KCN49" s="72"/>
      <c r="KCO49" s="72"/>
      <c r="KCP49" s="72"/>
      <c r="KCQ49" s="72"/>
      <c r="KCR49" s="72"/>
      <c r="KCS49" s="72"/>
      <c r="KCT49" s="72"/>
      <c r="KCU49" s="72"/>
      <c r="KCV49" s="72"/>
      <c r="KCW49" s="72"/>
      <c r="KCX49" s="72"/>
      <c r="KCY49" s="72"/>
      <c r="KCZ49" s="72"/>
      <c r="KDA49" s="72"/>
      <c r="KDB49" s="72"/>
      <c r="KDC49" s="72"/>
      <c r="KDD49" s="72"/>
      <c r="KDE49" s="72"/>
      <c r="KDF49" s="72"/>
      <c r="KDG49" s="72"/>
      <c r="KDH49" s="72"/>
      <c r="KDI49" s="72"/>
      <c r="KDJ49" s="72"/>
      <c r="KDK49" s="72"/>
      <c r="KDL49" s="72"/>
      <c r="KDM49" s="72"/>
      <c r="KDN49" s="72"/>
      <c r="KDO49" s="72"/>
      <c r="KDP49" s="72"/>
      <c r="KDQ49" s="72"/>
      <c r="KDR49" s="72"/>
      <c r="KDS49" s="72"/>
      <c r="KDT49" s="72"/>
      <c r="KDU49" s="72"/>
      <c r="KDV49" s="72"/>
      <c r="KDW49" s="72"/>
      <c r="KDX49" s="72"/>
      <c r="KDY49" s="72"/>
      <c r="KDZ49" s="72"/>
      <c r="KEA49" s="72"/>
      <c r="KEB49" s="72"/>
      <c r="KEC49" s="72"/>
      <c r="KED49" s="72"/>
      <c r="KEE49" s="72"/>
      <c r="KEF49" s="72"/>
      <c r="KEG49" s="72"/>
      <c r="KEH49" s="72"/>
      <c r="KEI49" s="72"/>
      <c r="KEJ49" s="72"/>
      <c r="KEK49" s="72"/>
      <c r="KEL49" s="72"/>
      <c r="KEM49" s="72"/>
      <c r="KEN49" s="72"/>
      <c r="KEO49" s="72"/>
      <c r="KEP49" s="72"/>
      <c r="KEQ49" s="72"/>
      <c r="KER49" s="72"/>
      <c r="KES49" s="72"/>
      <c r="KET49" s="72"/>
      <c r="KEU49" s="72"/>
      <c r="KEV49" s="72"/>
      <c r="KEW49" s="72"/>
      <c r="KEX49" s="72"/>
      <c r="KEY49" s="72"/>
      <c r="KEZ49" s="72"/>
      <c r="KFA49" s="72"/>
      <c r="KFB49" s="72"/>
      <c r="KFC49" s="72"/>
      <c r="KFD49" s="72"/>
      <c r="KFE49" s="72"/>
      <c r="KFF49" s="72"/>
      <c r="KFG49" s="72"/>
      <c r="KFH49" s="72"/>
      <c r="KFI49" s="72"/>
      <c r="KFJ49" s="72"/>
      <c r="KFK49" s="72"/>
      <c r="KFL49" s="72"/>
      <c r="KFM49" s="72"/>
      <c r="KFN49" s="72"/>
      <c r="KFO49" s="72"/>
      <c r="KFP49" s="72"/>
      <c r="KFQ49" s="72"/>
      <c r="KFR49" s="72"/>
      <c r="KFS49" s="72"/>
      <c r="KFT49" s="72"/>
      <c r="KFU49" s="72"/>
      <c r="KFV49" s="72"/>
      <c r="KFW49" s="72"/>
      <c r="KFX49" s="72"/>
      <c r="KFY49" s="72"/>
      <c r="KFZ49" s="72"/>
      <c r="KGA49" s="72"/>
      <c r="KGB49" s="72"/>
      <c r="KGC49" s="72"/>
      <c r="KGD49" s="72"/>
      <c r="KGE49" s="72"/>
      <c r="KGF49" s="72"/>
      <c r="KGG49" s="72"/>
      <c r="KGH49" s="72"/>
      <c r="KGI49" s="72"/>
      <c r="KGJ49" s="72"/>
      <c r="KGK49" s="72"/>
      <c r="KGL49" s="72"/>
      <c r="KGM49" s="72"/>
      <c r="KGN49" s="72"/>
      <c r="KGO49" s="72"/>
      <c r="KGP49" s="72"/>
      <c r="KGQ49" s="72"/>
      <c r="KGR49" s="72"/>
      <c r="KGS49" s="72"/>
      <c r="KGT49" s="72"/>
      <c r="KGU49" s="72"/>
      <c r="KGV49" s="72"/>
      <c r="KGW49" s="72"/>
      <c r="KGX49" s="72"/>
      <c r="KGY49" s="72"/>
      <c r="KGZ49" s="72"/>
      <c r="KHA49" s="72"/>
      <c r="KHB49" s="72"/>
      <c r="KHC49" s="72"/>
      <c r="KHD49" s="72"/>
      <c r="KHE49" s="72"/>
      <c r="KHF49" s="72"/>
      <c r="KHG49" s="72"/>
      <c r="KHH49" s="72"/>
      <c r="KHI49" s="72"/>
      <c r="KHJ49" s="72"/>
      <c r="KHK49" s="72"/>
      <c r="KHL49" s="72"/>
      <c r="KHM49" s="72"/>
      <c r="KHN49" s="72"/>
      <c r="KHO49" s="72"/>
      <c r="KHP49" s="72"/>
      <c r="KHQ49" s="72"/>
      <c r="KHR49" s="72"/>
      <c r="KHS49" s="72"/>
      <c r="KHT49" s="72"/>
      <c r="KHU49" s="72"/>
      <c r="KHV49" s="72"/>
      <c r="KHW49" s="72"/>
      <c r="KHX49" s="72"/>
      <c r="KHY49" s="72"/>
      <c r="KHZ49" s="72"/>
      <c r="KIA49" s="72"/>
      <c r="KIB49" s="72"/>
      <c r="KIC49" s="72"/>
      <c r="KID49" s="72"/>
      <c r="KIE49" s="72"/>
      <c r="KIF49" s="72"/>
      <c r="KIG49" s="72"/>
      <c r="KIH49" s="72"/>
      <c r="KII49" s="72"/>
      <c r="KIJ49" s="72"/>
      <c r="KIK49" s="72"/>
      <c r="KIL49" s="72"/>
      <c r="KIM49" s="72"/>
      <c r="KIN49" s="72"/>
      <c r="KIO49" s="72"/>
      <c r="KIP49" s="72"/>
      <c r="KIQ49" s="72"/>
      <c r="KIR49" s="72"/>
      <c r="KIS49" s="72"/>
      <c r="KIT49" s="72"/>
      <c r="KIU49" s="72"/>
      <c r="KIV49" s="72"/>
      <c r="KIW49" s="72"/>
      <c r="KIX49" s="72"/>
      <c r="KIY49" s="72"/>
      <c r="KIZ49" s="72"/>
      <c r="KJA49" s="72"/>
      <c r="KJB49" s="72"/>
      <c r="KJC49" s="72"/>
      <c r="KJD49" s="72"/>
      <c r="KJE49" s="72"/>
      <c r="KJF49" s="72"/>
      <c r="KJG49" s="72"/>
      <c r="KJH49" s="72"/>
      <c r="KJI49" s="72"/>
      <c r="KJJ49" s="72"/>
      <c r="KJK49" s="72"/>
      <c r="KJL49" s="72"/>
      <c r="KJM49" s="72"/>
      <c r="KJN49" s="72"/>
      <c r="KJO49" s="72"/>
      <c r="KJP49" s="72"/>
      <c r="KJQ49" s="72"/>
      <c r="KJR49" s="72"/>
      <c r="KJS49" s="72"/>
      <c r="KJT49" s="72"/>
      <c r="KJU49" s="72"/>
      <c r="KJV49" s="72"/>
      <c r="KJW49" s="72"/>
      <c r="KJX49" s="72"/>
      <c r="KJY49" s="72"/>
      <c r="KJZ49" s="72"/>
      <c r="KKA49" s="72"/>
      <c r="KKB49" s="72"/>
      <c r="KKC49" s="72"/>
      <c r="KKD49" s="72"/>
      <c r="KKE49" s="72"/>
      <c r="KKF49" s="72"/>
      <c r="KKG49" s="72"/>
      <c r="KKH49" s="72"/>
      <c r="KKI49" s="72"/>
      <c r="KKJ49" s="72"/>
      <c r="KKK49" s="72"/>
      <c r="KKL49" s="72"/>
      <c r="KKM49" s="72"/>
      <c r="KKN49" s="72"/>
      <c r="KKO49" s="72"/>
      <c r="KKP49" s="72"/>
      <c r="KKQ49" s="72"/>
      <c r="KKR49" s="72"/>
      <c r="KKS49" s="72"/>
      <c r="KKT49" s="72"/>
      <c r="KKU49" s="72"/>
      <c r="KKV49" s="72"/>
      <c r="KKW49" s="72"/>
      <c r="KKX49" s="72"/>
      <c r="KKY49" s="72"/>
      <c r="KKZ49" s="72"/>
      <c r="KLA49" s="72"/>
      <c r="KLB49" s="72"/>
      <c r="KLC49" s="72"/>
      <c r="KLD49" s="72"/>
      <c r="KLE49" s="72"/>
      <c r="KLF49" s="72"/>
      <c r="KLG49" s="72"/>
      <c r="KLH49" s="72"/>
      <c r="KLI49" s="72"/>
      <c r="KLJ49" s="72"/>
      <c r="KLK49" s="72"/>
      <c r="KLL49" s="72"/>
      <c r="KLM49" s="72"/>
      <c r="KLN49" s="72"/>
      <c r="KLO49" s="72"/>
      <c r="KLP49" s="72"/>
      <c r="KLQ49" s="72"/>
      <c r="KLR49" s="72"/>
      <c r="KLS49" s="72"/>
      <c r="KLT49" s="72"/>
      <c r="KLU49" s="72"/>
      <c r="KLV49" s="72"/>
      <c r="KLW49" s="72"/>
      <c r="KLX49" s="72"/>
      <c r="KLY49" s="72"/>
      <c r="KLZ49" s="72"/>
      <c r="KMA49" s="72"/>
      <c r="KMB49" s="72"/>
      <c r="KMC49" s="72"/>
      <c r="KMD49" s="72"/>
      <c r="KME49" s="72"/>
      <c r="KMF49" s="72"/>
      <c r="KMG49" s="72"/>
      <c r="KMH49" s="72"/>
      <c r="KMI49" s="72"/>
      <c r="KMJ49" s="72"/>
      <c r="KMK49" s="72"/>
      <c r="KML49" s="72"/>
      <c r="KMM49" s="72"/>
      <c r="KMN49" s="72"/>
      <c r="KMO49" s="72"/>
      <c r="KMP49" s="72"/>
      <c r="KMQ49" s="72"/>
      <c r="KMR49" s="72"/>
      <c r="KMS49" s="72"/>
      <c r="KMT49" s="72"/>
      <c r="KMU49" s="72"/>
      <c r="KMV49" s="72"/>
      <c r="KMW49" s="72"/>
      <c r="KMX49" s="72"/>
      <c r="KMY49" s="72"/>
      <c r="KMZ49" s="72"/>
      <c r="KNA49" s="72"/>
      <c r="KNB49" s="72"/>
      <c r="KNC49" s="72"/>
      <c r="KND49" s="72"/>
      <c r="KNE49" s="72"/>
      <c r="KNF49" s="72"/>
      <c r="KNG49" s="72"/>
      <c r="KNH49" s="72"/>
      <c r="KNI49" s="72"/>
      <c r="KNJ49" s="72"/>
      <c r="KNK49" s="72"/>
      <c r="KNL49" s="72"/>
      <c r="KNM49" s="72"/>
      <c r="KNN49" s="72"/>
      <c r="KNO49" s="72"/>
      <c r="KNP49" s="72"/>
      <c r="KNQ49" s="72"/>
      <c r="KNR49" s="72"/>
      <c r="KNS49" s="72"/>
      <c r="KNT49" s="72"/>
      <c r="KNU49" s="72"/>
      <c r="KNV49" s="72"/>
      <c r="KNW49" s="72"/>
      <c r="KNX49" s="72"/>
      <c r="KNY49" s="72"/>
      <c r="KNZ49" s="72"/>
      <c r="KOA49" s="72"/>
      <c r="KOB49" s="72"/>
      <c r="KOC49" s="72"/>
      <c r="KOD49" s="72"/>
      <c r="KOE49" s="72"/>
      <c r="KOF49" s="72"/>
      <c r="KOG49" s="72"/>
      <c r="KOH49" s="72"/>
      <c r="KOI49" s="72"/>
      <c r="KOJ49" s="72"/>
      <c r="KOK49" s="72"/>
      <c r="KOL49" s="72"/>
      <c r="KOM49" s="72"/>
      <c r="KON49" s="72"/>
      <c r="KOO49" s="72"/>
      <c r="KOP49" s="72"/>
      <c r="KOQ49" s="72"/>
      <c r="KOR49" s="72"/>
      <c r="KOS49" s="72"/>
      <c r="KOT49" s="72"/>
      <c r="KOU49" s="72"/>
      <c r="KOV49" s="72"/>
      <c r="KOW49" s="72"/>
      <c r="KOX49" s="72"/>
      <c r="KOY49" s="72"/>
      <c r="KOZ49" s="72"/>
      <c r="KPA49" s="72"/>
      <c r="KPB49" s="72"/>
      <c r="KPC49" s="72"/>
      <c r="KPD49" s="72"/>
      <c r="KPE49" s="72"/>
      <c r="KPF49" s="72"/>
      <c r="KPG49" s="72"/>
      <c r="KPH49" s="72"/>
      <c r="KPI49" s="72"/>
      <c r="KPJ49" s="72"/>
      <c r="KPK49" s="72"/>
      <c r="KPL49" s="72"/>
      <c r="KPM49" s="72"/>
      <c r="KPN49" s="72"/>
      <c r="KPO49" s="72"/>
      <c r="KPP49" s="72"/>
      <c r="KPQ49" s="72"/>
      <c r="KPR49" s="72"/>
      <c r="KPS49" s="72"/>
      <c r="KPT49" s="72"/>
      <c r="KPU49" s="72"/>
      <c r="KPV49" s="72"/>
      <c r="KPW49" s="72"/>
      <c r="KPX49" s="72"/>
      <c r="KPY49" s="72"/>
      <c r="KPZ49" s="72"/>
      <c r="KQA49" s="72"/>
      <c r="KQB49" s="72"/>
      <c r="KQC49" s="72"/>
      <c r="KQD49" s="72"/>
      <c r="KQE49" s="72"/>
      <c r="KQF49" s="72"/>
      <c r="KQG49" s="72"/>
      <c r="KQH49" s="72"/>
      <c r="KQI49" s="72"/>
      <c r="KQJ49" s="72"/>
      <c r="KQK49" s="72"/>
      <c r="KQL49" s="72"/>
      <c r="KQM49" s="72"/>
      <c r="KQN49" s="72"/>
      <c r="KQO49" s="72"/>
      <c r="KQP49" s="72"/>
      <c r="KQQ49" s="72"/>
      <c r="KQR49" s="72"/>
      <c r="KQS49" s="72"/>
      <c r="KQT49" s="72"/>
      <c r="KQU49" s="72"/>
      <c r="KQV49" s="72"/>
      <c r="KQW49" s="72"/>
      <c r="KQX49" s="72"/>
      <c r="KQY49" s="72"/>
      <c r="KQZ49" s="72"/>
      <c r="KRA49" s="72"/>
      <c r="KRB49" s="72"/>
      <c r="KRC49" s="72"/>
      <c r="KRD49" s="72"/>
      <c r="KRE49" s="72"/>
      <c r="KRF49" s="72"/>
      <c r="KRG49" s="72"/>
      <c r="KRH49" s="72"/>
      <c r="KRI49" s="72"/>
      <c r="KRJ49" s="72"/>
      <c r="KRK49" s="72"/>
      <c r="KRL49" s="72"/>
      <c r="KRM49" s="72"/>
      <c r="KRN49" s="72"/>
      <c r="KRO49" s="72"/>
      <c r="KRP49" s="72"/>
      <c r="KRQ49" s="72"/>
      <c r="KRR49" s="72"/>
      <c r="KRS49" s="72"/>
      <c r="KRT49" s="72"/>
      <c r="KRU49" s="72"/>
      <c r="KRV49" s="72"/>
      <c r="KRW49" s="72"/>
      <c r="KRX49" s="72"/>
      <c r="KRY49" s="72"/>
      <c r="KRZ49" s="72"/>
      <c r="KSA49" s="72"/>
      <c r="KSB49" s="72"/>
      <c r="KSC49" s="72"/>
      <c r="KSD49" s="72"/>
      <c r="KSE49" s="72"/>
      <c r="KSF49" s="72"/>
      <c r="KSG49" s="72"/>
      <c r="KSH49" s="72"/>
      <c r="KSI49" s="72"/>
      <c r="KSJ49" s="72"/>
      <c r="KSK49" s="72"/>
      <c r="KSL49" s="72"/>
      <c r="KSM49" s="72"/>
      <c r="KSN49" s="72"/>
      <c r="KSO49" s="72"/>
      <c r="KSP49" s="72"/>
      <c r="KSQ49" s="72"/>
      <c r="KSR49" s="72"/>
      <c r="KSS49" s="72"/>
      <c r="KST49" s="72"/>
      <c r="KSU49" s="72"/>
      <c r="KSV49" s="72"/>
      <c r="KSW49" s="72"/>
      <c r="KSX49" s="72"/>
      <c r="KSY49" s="72"/>
      <c r="KSZ49" s="72"/>
      <c r="KTA49" s="72"/>
      <c r="KTB49" s="72"/>
      <c r="KTC49" s="72"/>
      <c r="KTD49" s="72"/>
      <c r="KTE49" s="72"/>
      <c r="KTF49" s="72"/>
      <c r="KTG49" s="72"/>
      <c r="KTH49" s="72"/>
      <c r="KTI49" s="72"/>
      <c r="KTJ49" s="72"/>
      <c r="KTK49" s="72"/>
      <c r="KTL49" s="72"/>
      <c r="KTM49" s="72"/>
      <c r="KTN49" s="72"/>
      <c r="KTO49" s="72"/>
      <c r="KTP49" s="72"/>
      <c r="KTQ49" s="72"/>
      <c r="KTR49" s="72"/>
      <c r="KTS49" s="72"/>
      <c r="KTT49" s="72"/>
      <c r="KTU49" s="72"/>
      <c r="KTV49" s="72"/>
      <c r="KTW49" s="72"/>
      <c r="KTX49" s="72"/>
      <c r="KTY49" s="72"/>
      <c r="KTZ49" s="72"/>
      <c r="KUA49" s="72"/>
      <c r="KUB49" s="72"/>
      <c r="KUC49" s="72"/>
      <c r="KUD49" s="72"/>
      <c r="KUE49" s="72"/>
      <c r="KUF49" s="72"/>
      <c r="KUG49" s="72"/>
      <c r="KUH49" s="72"/>
      <c r="KUI49" s="72"/>
      <c r="KUJ49" s="72"/>
      <c r="KUK49" s="72"/>
      <c r="KUL49" s="72"/>
      <c r="KUM49" s="72"/>
      <c r="KUN49" s="72"/>
      <c r="KUO49" s="72"/>
      <c r="KUP49" s="72"/>
      <c r="KUQ49" s="72"/>
      <c r="KUR49" s="72"/>
      <c r="KUS49" s="72"/>
      <c r="KUT49" s="72"/>
      <c r="KUU49" s="72"/>
      <c r="KUV49" s="72"/>
      <c r="KUW49" s="72"/>
      <c r="KUX49" s="72"/>
      <c r="KUY49" s="72"/>
      <c r="KUZ49" s="72"/>
      <c r="KVA49" s="72"/>
      <c r="KVB49" s="72"/>
      <c r="KVC49" s="72"/>
      <c r="KVD49" s="72"/>
      <c r="KVE49" s="72"/>
      <c r="KVF49" s="72"/>
      <c r="KVG49" s="72"/>
      <c r="KVH49" s="72"/>
      <c r="KVI49" s="72"/>
      <c r="KVJ49" s="72"/>
      <c r="KVK49" s="72"/>
      <c r="KVL49" s="72"/>
      <c r="KVM49" s="72"/>
      <c r="KVN49" s="72"/>
      <c r="KVO49" s="72"/>
      <c r="KVP49" s="72"/>
      <c r="KVQ49" s="72"/>
      <c r="KVR49" s="72"/>
      <c r="KVS49" s="72"/>
      <c r="KVT49" s="72"/>
      <c r="KVU49" s="72"/>
      <c r="KVV49" s="72"/>
      <c r="KVW49" s="72"/>
      <c r="KVX49" s="72"/>
      <c r="KVY49" s="72"/>
      <c r="KVZ49" s="72"/>
      <c r="KWA49" s="72"/>
      <c r="KWB49" s="72"/>
      <c r="KWC49" s="72"/>
      <c r="KWD49" s="72"/>
      <c r="KWE49" s="72"/>
      <c r="KWF49" s="72"/>
      <c r="KWG49" s="72"/>
      <c r="KWH49" s="72"/>
      <c r="KWI49" s="72"/>
      <c r="KWJ49" s="72"/>
      <c r="KWK49" s="72"/>
      <c r="KWL49" s="72"/>
      <c r="KWM49" s="72"/>
      <c r="KWN49" s="72"/>
      <c r="KWO49" s="72"/>
      <c r="KWP49" s="72"/>
      <c r="KWQ49" s="72"/>
      <c r="KWR49" s="72"/>
      <c r="KWS49" s="72"/>
      <c r="KWT49" s="72"/>
      <c r="KWU49" s="72"/>
      <c r="KWV49" s="72"/>
      <c r="KWW49" s="72"/>
      <c r="KWX49" s="72"/>
      <c r="KWY49" s="72"/>
      <c r="KWZ49" s="72"/>
      <c r="KXA49" s="72"/>
      <c r="KXB49" s="72"/>
      <c r="KXC49" s="72"/>
      <c r="KXD49" s="72"/>
      <c r="KXE49" s="72"/>
      <c r="KXF49" s="72"/>
      <c r="KXG49" s="72"/>
      <c r="KXH49" s="72"/>
      <c r="KXI49" s="72"/>
      <c r="KXJ49" s="72"/>
      <c r="KXK49" s="72"/>
      <c r="KXL49" s="72"/>
      <c r="KXM49" s="72"/>
      <c r="KXN49" s="72"/>
      <c r="KXO49" s="72"/>
      <c r="KXP49" s="72"/>
      <c r="KXQ49" s="72"/>
      <c r="KXR49" s="72"/>
      <c r="KXS49" s="72"/>
      <c r="KXT49" s="72"/>
      <c r="KXU49" s="72"/>
      <c r="KXV49" s="72"/>
      <c r="KXW49" s="72"/>
      <c r="KXX49" s="72"/>
      <c r="KXY49" s="72"/>
      <c r="KXZ49" s="72"/>
      <c r="KYA49" s="72"/>
      <c r="KYB49" s="72"/>
      <c r="KYC49" s="72"/>
      <c r="KYD49" s="72"/>
      <c r="KYE49" s="72"/>
      <c r="KYF49" s="72"/>
      <c r="KYG49" s="72"/>
      <c r="KYH49" s="72"/>
      <c r="KYI49" s="72"/>
      <c r="KYJ49" s="72"/>
      <c r="KYK49" s="72"/>
      <c r="KYL49" s="72"/>
      <c r="KYM49" s="72"/>
      <c r="KYN49" s="72"/>
      <c r="KYO49" s="72"/>
      <c r="KYP49" s="72"/>
      <c r="KYQ49" s="72"/>
      <c r="KYR49" s="72"/>
      <c r="KYS49" s="72"/>
      <c r="KYT49" s="72"/>
      <c r="KYU49" s="72"/>
      <c r="KYV49" s="72"/>
      <c r="KYW49" s="72"/>
      <c r="KYX49" s="72"/>
      <c r="KYY49" s="72"/>
      <c r="KYZ49" s="72"/>
      <c r="KZA49" s="72"/>
      <c r="KZB49" s="72"/>
      <c r="KZC49" s="72"/>
      <c r="KZD49" s="72"/>
      <c r="KZE49" s="72"/>
      <c r="KZF49" s="72"/>
      <c r="KZG49" s="72"/>
      <c r="KZH49" s="72"/>
      <c r="KZI49" s="72"/>
      <c r="KZJ49" s="72"/>
      <c r="KZK49" s="72"/>
      <c r="KZL49" s="72"/>
      <c r="KZM49" s="72"/>
      <c r="KZN49" s="72"/>
      <c r="KZO49" s="72"/>
      <c r="KZP49" s="72"/>
      <c r="KZQ49" s="72"/>
      <c r="KZR49" s="72"/>
      <c r="KZS49" s="72"/>
      <c r="KZT49" s="72"/>
      <c r="KZU49" s="72"/>
      <c r="KZV49" s="72"/>
      <c r="KZW49" s="72"/>
      <c r="KZX49" s="72"/>
      <c r="KZY49" s="72"/>
      <c r="KZZ49" s="72"/>
      <c r="LAA49" s="72"/>
      <c r="LAB49" s="72"/>
      <c r="LAC49" s="72"/>
      <c r="LAD49" s="72"/>
      <c r="LAE49" s="72"/>
      <c r="LAF49" s="72"/>
      <c r="LAG49" s="72"/>
      <c r="LAH49" s="72"/>
      <c r="LAI49" s="72"/>
      <c r="LAJ49" s="72"/>
      <c r="LAK49" s="72"/>
      <c r="LAL49" s="72"/>
      <c r="LAM49" s="72"/>
      <c r="LAN49" s="72"/>
      <c r="LAO49" s="72"/>
      <c r="LAP49" s="72"/>
      <c r="LAQ49" s="72"/>
      <c r="LAR49" s="72"/>
      <c r="LAS49" s="72"/>
      <c r="LAT49" s="72"/>
      <c r="LAU49" s="72"/>
      <c r="LAV49" s="72"/>
      <c r="LAW49" s="72"/>
      <c r="LAX49" s="72"/>
      <c r="LAY49" s="72"/>
      <c r="LAZ49" s="72"/>
      <c r="LBA49" s="72"/>
      <c r="LBB49" s="72"/>
      <c r="LBC49" s="72"/>
      <c r="LBD49" s="72"/>
      <c r="LBE49" s="72"/>
      <c r="LBF49" s="72"/>
      <c r="LBG49" s="72"/>
      <c r="LBH49" s="72"/>
      <c r="LBI49" s="72"/>
      <c r="LBJ49" s="72"/>
      <c r="LBK49" s="72"/>
      <c r="LBL49" s="72"/>
      <c r="LBM49" s="72"/>
      <c r="LBN49" s="72"/>
      <c r="LBO49" s="72"/>
      <c r="LBP49" s="72"/>
      <c r="LBQ49" s="72"/>
      <c r="LBR49" s="72"/>
      <c r="LBS49" s="72"/>
      <c r="LBT49" s="72"/>
      <c r="LBU49" s="72"/>
      <c r="LBV49" s="72"/>
      <c r="LBW49" s="72"/>
      <c r="LBX49" s="72"/>
      <c r="LBY49" s="72"/>
      <c r="LBZ49" s="72"/>
      <c r="LCA49" s="72"/>
      <c r="LCB49" s="72"/>
      <c r="LCC49" s="72"/>
      <c r="LCD49" s="72"/>
      <c r="LCE49" s="72"/>
      <c r="LCF49" s="72"/>
      <c r="LCG49" s="72"/>
      <c r="LCH49" s="72"/>
      <c r="LCI49" s="72"/>
      <c r="LCJ49" s="72"/>
      <c r="LCK49" s="72"/>
      <c r="LCL49" s="72"/>
      <c r="LCM49" s="72"/>
      <c r="LCN49" s="72"/>
      <c r="LCO49" s="72"/>
      <c r="LCP49" s="72"/>
      <c r="LCQ49" s="72"/>
      <c r="LCR49" s="72"/>
      <c r="LCS49" s="72"/>
      <c r="LCT49" s="72"/>
      <c r="LCU49" s="72"/>
      <c r="LCV49" s="72"/>
      <c r="LCW49" s="72"/>
      <c r="LCX49" s="72"/>
      <c r="LCY49" s="72"/>
      <c r="LCZ49" s="72"/>
      <c r="LDA49" s="72"/>
      <c r="LDB49" s="72"/>
      <c r="LDC49" s="72"/>
      <c r="LDD49" s="72"/>
      <c r="LDE49" s="72"/>
      <c r="LDF49" s="72"/>
      <c r="LDG49" s="72"/>
      <c r="LDH49" s="72"/>
      <c r="LDI49" s="72"/>
      <c r="LDJ49" s="72"/>
      <c r="LDK49" s="72"/>
      <c r="LDL49" s="72"/>
      <c r="LDM49" s="72"/>
      <c r="LDN49" s="72"/>
      <c r="LDO49" s="72"/>
      <c r="LDP49" s="72"/>
      <c r="LDQ49" s="72"/>
      <c r="LDR49" s="72"/>
      <c r="LDS49" s="72"/>
      <c r="LDT49" s="72"/>
      <c r="LDU49" s="72"/>
      <c r="LDV49" s="72"/>
      <c r="LDW49" s="72"/>
      <c r="LDX49" s="72"/>
      <c r="LDY49" s="72"/>
      <c r="LDZ49" s="72"/>
      <c r="LEA49" s="72"/>
      <c r="LEB49" s="72"/>
      <c r="LEC49" s="72"/>
      <c r="LED49" s="72"/>
      <c r="LEE49" s="72"/>
      <c r="LEF49" s="72"/>
      <c r="LEG49" s="72"/>
      <c r="LEH49" s="72"/>
      <c r="LEI49" s="72"/>
      <c r="LEJ49" s="72"/>
      <c r="LEK49" s="72"/>
      <c r="LEL49" s="72"/>
      <c r="LEM49" s="72"/>
      <c r="LEN49" s="72"/>
      <c r="LEO49" s="72"/>
      <c r="LEP49" s="72"/>
      <c r="LEQ49" s="72"/>
      <c r="LER49" s="72"/>
      <c r="LES49" s="72"/>
      <c r="LET49" s="72"/>
      <c r="LEU49" s="72"/>
      <c r="LEV49" s="72"/>
      <c r="LEW49" s="72"/>
      <c r="LEX49" s="72"/>
      <c r="LEY49" s="72"/>
      <c r="LEZ49" s="72"/>
      <c r="LFA49" s="72"/>
      <c r="LFB49" s="72"/>
      <c r="LFC49" s="72"/>
      <c r="LFD49" s="72"/>
      <c r="LFE49" s="72"/>
      <c r="LFF49" s="72"/>
      <c r="LFG49" s="72"/>
      <c r="LFH49" s="72"/>
      <c r="LFI49" s="72"/>
      <c r="LFJ49" s="72"/>
      <c r="LFK49" s="72"/>
      <c r="LFL49" s="72"/>
      <c r="LFM49" s="72"/>
      <c r="LFN49" s="72"/>
      <c r="LFO49" s="72"/>
      <c r="LFP49" s="72"/>
      <c r="LFQ49" s="72"/>
      <c r="LFR49" s="72"/>
      <c r="LFS49" s="72"/>
      <c r="LFT49" s="72"/>
      <c r="LFU49" s="72"/>
      <c r="LFV49" s="72"/>
      <c r="LFW49" s="72"/>
      <c r="LFX49" s="72"/>
      <c r="LFY49" s="72"/>
      <c r="LFZ49" s="72"/>
      <c r="LGA49" s="72"/>
      <c r="LGB49" s="72"/>
      <c r="LGC49" s="72"/>
      <c r="LGD49" s="72"/>
      <c r="LGE49" s="72"/>
      <c r="LGF49" s="72"/>
      <c r="LGG49" s="72"/>
      <c r="LGH49" s="72"/>
      <c r="LGI49" s="72"/>
      <c r="LGJ49" s="72"/>
      <c r="LGK49" s="72"/>
      <c r="LGL49" s="72"/>
      <c r="LGM49" s="72"/>
      <c r="LGN49" s="72"/>
      <c r="LGO49" s="72"/>
      <c r="LGP49" s="72"/>
      <c r="LGQ49" s="72"/>
      <c r="LGR49" s="72"/>
      <c r="LGS49" s="72"/>
      <c r="LGT49" s="72"/>
      <c r="LGU49" s="72"/>
      <c r="LGV49" s="72"/>
      <c r="LGW49" s="72"/>
      <c r="LGX49" s="72"/>
      <c r="LGY49" s="72"/>
      <c r="LGZ49" s="72"/>
      <c r="LHA49" s="72"/>
      <c r="LHB49" s="72"/>
      <c r="LHC49" s="72"/>
      <c r="LHD49" s="72"/>
      <c r="LHE49" s="72"/>
      <c r="LHF49" s="72"/>
      <c r="LHG49" s="72"/>
      <c r="LHH49" s="72"/>
      <c r="LHI49" s="72"/>
      <c r="LHJ49" s="72"/>
      <c r="LHK49" s="72"/>
      <c r="LHL49" s="72"/>
      <c r="LHM49" s="72"/>
      <c r="LHN49" s="72"/>
      <c r="LHO49" s="72"/>
      <c r="LHP49" s="72"/>
      <c r="LHQ49" s="72"/>
      <c r="LHR49" s="72"/>
      <c r="LHS49" s="72"/>
      <c r="LHT49" s="72"/>
      <c r="LHU49" s="72"/>
      <c r="LHV49" s="72"/>
      <c r="LHW49" s="72"/>
      <c r="LHX49" s="72"/>
      <c r="LHY49" s="72"/>
      <c r="LHZ49" s="72"/>
      <c r="LIA49" s="72"/>
      <c r="LIB49" s="72"/>
      <c r="LIC49" s="72"/>
      <c r="LID49" s="72"/>
      <c r="LIE49" s="72"/>
      <c r="LIF49" s="72"/>
      <c r="LIG49" s="72"/>
      <c r="LIH49" s="72"/>
      <c r="LII49" s="72"/>
      <c r="LIJ49" s="72"/>
      <c r="LIK49" s="72"/>
      <c r="LIL49" s="72"/>
      <c r="LIM49" s="72"/>
      <c r="LIN49" s="72"/>
      <c r="LIO49" s="72"/>
      <c r="LIP49" s="72"/>
      <c r="LIQ49" s="72"/>
      <c r="LIR49" s="72"/>
      <c r="LIS49" s="72"/>
      <c r="LIT49" s="72"/>
      <c r="LIU49" s="72"/>
      <c r="LIV49" s="72"/>
      <c r="LIW49" s="72"/>
      <c r="LIX49" s="72"/>
      <c r="LIY49" s="72"/>
      <c r="LIZ49" s="72"/>
      <c r="LJA49" s="72"/>
      <c r="LJB49" s="72"/>
      <c r="LJC49" s="72"/>
      <c r="LJD49" s="72"/>
      <c r="LJE49" s="72"/>
      <c r="LJF49" s="72"/>
      <c r="LJG49" s="72"/>
      <c r="LJH49" s="72"/>
      <c r="LJI49" s="72"/>
      <c r="LJJ49" s="72"/>
      <c r="LJK49" s="72"/>
      <c r="LJL49" s="72"/>
      <c r="LJM49" s="72"/>
      <c r="LJN49" s="72"/>
      <c r="LJO49" s="72"/>
      <c r="LJP49" s="72"/>
      <c r="LJQ49" s="72"/>
      <c r="LJR49" s="72"/>
      <c r="LJS49" s="72"/>
      <c r="LJT49" s="72"/>
      <c r="LJU49" s="72"/>
      <c r="LJV49" s="72"/>
      <c r="LJW49" s="72"/>
      <c r="LJX49" s="72"/>
      <c r="LJY49" s="72"/>
      <c r="LJZ49" s="72"/>
      <c r="LKA49" s="72"/>
      <c r="LKB49" s="72"/>
      <c r="LKC49" s="72"/>
      <c r="LKD49" s="72"/>
      <c r="LKE49" s="72"/>
      <c r="LKF49" s="72"/>
      <c r="LKG49" s="72"/>
      <c r="LKH49" s="72"/>
      <c r="LKI49" s="72"/>
      <c r="LKJ49" s="72"/>
      <c r="LKK49" s="72"/>
      <c r="LKL49" s="72"/>
      <c r="LKM49" s="72"/>
      <c r="LKN49" s="72"/>
      <c r="LKO49" s="72"/>
      <c r="LKP49" s="72"/>
      <c r="LKQ49" s="72"/>
      <c r="LKR49" s="72"/>
      <c r="LKS49" s="72"/>
      <c r="LKT49" s="72"/>
      <c r="LKU49" s="72"/>
      <c r="LKV49" s="72"/>
      <c r="LKW49" s="72"/>
      <c r="LKX49" s="72"/>
      <c r="LKY49" s="72"/>
      <c r="LKZ49" s="72"/>
      <c r="LLA49" s="72"/>
      <c r="LLB49" s="72"/>
      <c r="LLC49" s="72"/>
      <c r="LLD49" s="72"/>
      <c r="LLE49" s="72"/>
      <c r="LLF49" s="72"/>
      <c r="LLG49" s="72"/>
      <c r="LLH49" s="72"/>
      <c r="LLI49" s="72"/>
      <c r="LLJ49" s="72"/>
      <c r="LLK49" s="72"/>
      <c r="LLL49" s="72"/>
      <c r="LLM49" s="72"/>
      <c r="LLN49" s="72"/>
      <c r="LLO49" s="72"/>
      <c r="LLP49" s="72"/>
      <c r="LLQ49" s="72"/>
      <c r="LLR49" s="72"/>
      <c r="LLS49" s="72"/>
      <c r="LLT49" s="72"/>
      <c r="LLU49" s="72"/>
      <c r="LLV49" s="72"/>
      <c r="LLW49" s="72"/>
      <c r="LLX49" s="72"/>
      <c r="LLY49" s="72"/>
      <c r="LLZ49" s="72"/>
      <c r="LMA49" s="72"/>
      <c r="LMB49" s="72"/>
      <c r="LMC49" s="72"/>
      <c r="LMD49" s="72"/>
      <c r="LME49" s="72"/>
      <c r="LMF49" s="72"/>
      <c r="LMG49" s="72"/>
      <c r="LMH49" s="72"/>
      <c r="LMI49" s="72"/>
      <c r="LMJ49" s="72"/>
      <c r="LMK49" s="72"/>
      <c r="LML49" s="72"/>
      <c r="LMM49" s="72"/>
      <c r="LMN49" s="72"/>
      <c r="LMO49" s="72"/>
      <c r="LMP49" s="72"/>
      <c r="LMQ49" s="72"/>
      <c r="LMR49" s="72"/>
      <c r="LMS49" s="72"/>
      <c r="LMT49" s="72"/>
      <c r="LMU49" s="72"/>
      <c r="LMV49" s="72"/>
      <c r="LMW49" s="72"/>
      <c r="LMX49" s="72"/>
      <c r="LMY49" s="72"/>
      <c r="LMZ49" s="72"/>
      <c r="LNA49" s="72"/>
      <c r="LNB49" s="72"/>
      <c r="LNC49" s="72"/>
      <c r="LND49" s="72"/>
      <c r="LNE49" s="72"/>
      <c r="LNF49" s="72"/>
      <c r="LNG49" s="72"/>
      <c r="LNH49" s="72"/>
      <c r="LNI49" s="72"/>
      <c r="LNJ49" s="72"/>
      <c r="LNK49" s="72"/>
      <c r="LNL49" s="72"/>
      <c r="LNM49" s="72"/>
      <c r="LNN49" s="72"/>
      <c r="LNO49" s="72"/>
      <c r="LNP49" s="72"/>
      <c r="LNQ49" s="72"/>
      <c r="LNR49" s="72"/>
      <c r="LNS49" s="72"/>
      <c r="LNT49" s="72"/>
      <c r="LNU49" s="72"/>
      <c r="LNV49" s="72"/>
      <c r="LNW49" s="72"/>
      <c r="LNX49" s="72"/>
      <c r="LNY49" s="72"/>
      <c r="LNZ49" s="72"/>
      <c r="LOA49" s="72"/>
      <c r="LOB49" s="72"/>
      <c r="LOC49" s="72"/>
      <c r="LOD49" s="72"/>
      <c r="LOE49" s="72"/>
      <c r="LOF49" s="72"/>
      <c r="LOG49" s="72"/>
      <c r="LOH49" s="72"/>
      <c r="LOI49" s="72"/>
      <c r="LOJ49" s="72"/>
      <c r="LOK49" s="72"/>
      <c r="LOL49" s="72"/>
      <c r="LOM49" s="72"/>
      <c r="LON49" s="72"/>
      <c r="LOO49" s="72"/>
      <c r="LOP49" s="72"/>
      <c r="LOQ49" s="72"/>
      <c r="LOR49" s="72"/>
      <c r="LOS49" s="72"/>
      <c r="LOT49" s="72"/>
      <c r="LOU49" s="72"/>
      <c r="LOV49" s="72"/>
      <c r="LOW49" s="72"/>
      <c r="LOX49" s="72"/>
      <c r="LOY49" s="72"/>
      <c r="LOZ49" s="72"/>
      <c r="LPA49" s="72"/>
      <c r="LPB49" s="72"/>
      <c r="LPC49" s="72"/>
      <c r="LPD49" s="72"/>
      <c r="LPE49" s="72"/>
      <c r="LPF49" s="72"/>
      <c r="LPG49" s="72"/>
      <c r="LPH49" s="72"/>
      <c r="LPI49" s="72"/>
      <c r="LPJ49" s="72"/>
      <c r="LPK49" s="72"/>
      <c r="LPL49" s="72"/>
      <c r="LPM49" s="72"/>
      <c r="LPN49" s="72"/>
      <c r="LPO49" s="72"/>
      <c r="LPP49" s="72"/>
      <c r="LPQ49" s="72"/>
      <c r="LPR49" s="72"/>
      <c r="LPS49" s="72"/>
      <c r="LPT49" s="72"/>
      <c r="LPU49" s="72"/>
      <c r="LPV49" s="72"/>
      <c r="LPW49" s="72"/>
      <c r="LPX49" s="72"/>
      <c r="LPY49" s="72"/>
      <c r="LPZ49" s="72"/>
      <c r="LQA49" s="72"/>
      <c r="LQB49" s="72"/>
      <c r="LQC49" s="72"/>
      <c r="LQD49" s="72"/>
      <c r="LQE49" s="72"/>
      <c r="LQF49" s="72"/>
      <c r="LQG49" s="72"/>
      <c r="LQH49" s="72"/>
      <c r="LQI49" s="72"/>
      <c r="LQJ49" s="72"/>
      <c r="LQK49" s="72"/>
      <c r="LQL49" s="72"/>
      <c r="LQM49" s="72"/>
      <c r="LQN49" s="72"/>
      <c r="LQO49" s="72"/>
      <c r="LQP49" s="72"/>
      <c r="LQQ49" s="72"/>
      <c r="LQR49" s="72"/>
      <c r="LQS49" s="72"/>
      <c r="LQT49" s="72"/>
      <c r="LQU49" s="72"/>
      <c r="LQV49" s="72"/>
      <c r="LQW49" s="72"/>
      <c r="LQX49" s="72"/>
      <c r="LQY49" s="72"/>
      <c r="LQZ49" s="72"/>
      <c r="LRA49" s="72"/>
      <c r="LRB49" s="72"/>
      <c r="LRC49" s="72"/>
      <c r="LRD49" s="72"/>
      <c r="LRE49" s="72"/>
      <c r="LRF49" s="72"/>
      <c r="LRG49" s="72"/>
      <c r="LRH49" s="72"/>
      <c r="LRI49" s="72"/>
      <c r="LRJ49" s="72"/>
      <c r="LRK49" s="72"/>
      <c r="LRL49" s="72"/>
      <c r="LRM49" s="72"/>
      <c r="LRN49" s="72"/>
      <c r="LRO49" s="72"/>
      <c r="LRP49" s="72"/>
      <c r="LRQ49" s="72"/>
      <c r="LRR49" s="72"/>
      <c r="LRS49" s="72"/>
      <c r="LRT49" s="72"/>
      <c r="LRU49" s="72"/>
      <c r="LRV49" s="72"/>
      <c r="LRW49" s="72"/>
      <c r="LRX49" s="72"/>
      <c r="LRY49" s="72"/>
      <c r="LRZ49" s="72"/>
      <c r="LSA49" s="72"/>
      <c r="LSB49" s="72"/>
      <c r="LSC49" s="72"/>
      <c r="LSD49" s="72"/>
      <c r="LSE49" s="72"/>
      <c r="LSF49" s="72"/>
      <c r="LSG49" s="72"/>
      <c r="LSH49" s="72"/>
      <c r="LSI49" s="72"/>
      <c r="LSJ49" s="72"/>
      <c r="LSK49" s="72"/>
      <c r="LSL49" s="72"/>
      <c r="LSM49" s="72"/>
      <c r="LSN49" s="72"/>
      <c r="LSO49" s="72"/>
      <c r="LSP49" s="72"/>
      <c r="LSQ49" s="72"/>
      <c r="LSR49" s="72"/>
      <c r="LSS49" s="72"/>
      <c r="LST49" s="72"/>
      <c r="LSU49" s="72"/>
      <c r="LSV49" s="72"/>
      <c r="LSW49" s="72"/>
      <c r="LSX49" s="72"/>
      <c r="LSY49" s="72"/>
      <c r="LSZ49" s="72"/>
      <c r="LTA49" s="72"/>
      <c r="LTB49" s="72"/>
      <c r="LTC49" s="72"/>
      <c r="LTD49" s="72"/>
      <c r="LTE49" s="72"/>
      <c r="LTF49" s="72"/>
      <c r="LTG49" s="72"/>
      <c r="LTH49" s="72"/>
      <c r="LTI49" s="72"/>
      <c r="LTJ49" s="72"/>
      <c r="LTK49" s="72"/>
      <c r="LTL49" s="72"/>
      <c r="LTM49" s="72"/>
      <c r="LTN49" s="72"/>
      <c r="LTO49" s="72"/>
      <c r="LTP49" s="72"/>
      <c r="LTQ49" s="72"/>
      <c r="LTR49" s="72"/>
      <c r="LTS49" s="72"/>
      <c r="LTT49" s="72"/>
      <c r="LTU49" s="72"/>
      <c r="LTV49" s="72"/>
      <c r="LTW49" s="72"/>
      <c r="LTX49" s="72"/>
      <c r="LTY49" s="72"/>
      <c r="LTZ49" s="72"/>
      <c r="LUA49" s="72"/>
      <c r="LUB49" s="72"/>
      <c r="LUC49" s="72"/>
      <c r="LUD49" s="72"/>
      <c r="LUE49" s="72"/>
      <c r="LUF49" s="72"/>
      <c r="LUG49" s="72"/>
      <c r="LUH49" s="72"/>
      <c r="LUI49" s="72"/>
      <c r="LUJ49" s="72"/>
      <c r="LUK49" s="72"/>
      <c r="LUL49" s="72"/>
      <c r="LUM49" s="72"/>
      <c r="LUN49" s="72"/>
      <c r="LUO49" s="72"/>
      <c r="LUP49" s="72"/>
      <c r="LUQ49" s="72"/>
      <c r="LUR49" s="72"/>
      <c r="LUS49" s="72"/>
      <c r="LUT49" s="72"/>
      <c r="LUU49" s="72"/>
      <c r="LUV49" s="72"/>
      <c r="LUW49" s="72"/>
      <c r="LUX49" s="72"/>
      <c r="LUY49" s="72"/>
      <c r="LUZ49" s="72"/>
      <c r="LVA49" s="72"/>
      <c r="LVB49" s="72"/>
      <c r="LVC49" s="72"/>
      <c r="LVD49" s="72"/>
      <c r="LVE49" s="72"/>
      <c r="LVF49" s="72"/>
      <c r="LVG49" s="72"/>
      <c r="LVH49" s="72"/>
      <c r="LVI49" s="72"/>
      <c r="LVJ49" s="72"/>
      <c r="LVK49" s="72"/>
      <c r="LVL49" s="72"/>
      <c r="LVM49" s="72"/>
      <c r="LVN49" s="72"/>
      <c r="LVO49" s="72"/>
      <c r="LVP49" s="72"/>
      <c r="LVQ49" s="72"/>
      <c r="LVR49" s="72"/>
      <c r="LVS49" s="72"/>
      <c r="LVT49" s="72"/>
      <c r="LVU49" s="72"/>
      <c r="LVV49" s="72"/>
      <c r="LVW49" s="72"/>
      <c r="LVX49" s="72"/>
      <c r="LVY49" s="72"/>
      <c r="LVZ49" s="72"/>
      <c r="LWA49" s="72"/>
      <c r="LWB49" s="72"/>
      <c r="LWC49" s="72"/>
      <c r="LWD49" s="72"/>
      <c r="LWE49" s="72"/>
      <c r="LWF49" s="72"/>
      <c r="LWG49" s="72"/>
      <c r="LWH49" s="72"/>
      <c r="LWI49" s="72"/>
      <c r="LWJ49" s="72"/>
      <c r="LWK49" s="72"/>
      <c r="LWL49" s="72"/>
      <c r="LWM49" s="72"/>
      <c r="LWN49" s="72"/>
      <c r="LWO49" s="72"/>
      <c r="LWP49" s="72"/>
      <c r="LWQ49" s="72"/>
      <c r="LWR49" s="72"/>
      <c r="LWS49" s="72"/>
      <c r="LWT49" s="72"/>
      <c r="LWU49" s="72"/>
      <c r="LWV49" s="72"/>
      <c r="LWW49" s="72"/>
      <c r="LWX49" s="72"/>
      <c r="LWY49" s="72"/>
      <c r="LWZ49" s="72"/>
      <c r="LXA49" s="72"/>
      <c r="LXB49" s="72"/>
      <c r="LXC49" s="72"/>
      <c r="LXD49" s="72"/>
      <c r="LXE49" s="72"/>
      <c r="LXF49" s="72"/>
      <c r="LXG49" s="72"/>
      <c r="LXH49" s="72"/>
      <c r="LXI49" s="72"/>
      <c r="LXJ49" s="72"/>
      <c r="LXK49" s="72"/>
      <c r="LXL49" s="72"/>
      <c r="LXM49" s="72"/>
      <c r="LXN49" s="72"/>
      <c r="LXO49" s="72"/>
      <c r="LXP49" s="72"/>
      <c r="LXQ49" s="72"/>
      <c r="LXR49" s="72"/>
      <c r="LXS49" s="72"/>
      <c r="LXT49" s="72"/>
      <c r="LXU49" s="72"/>
      <c r="LXV49" s="72"/>
      <c r="LXW49" s="72"/>
      <c r="LXX49" s="72"/>
      <c r="LXY49" s="72"/>
      <c r="LXZ49" s="72"/>
      <c r="LYA49" s="72"/>
      <c r="LYB49" s="72"/>
      <c r="LYC49" s="72"/>
      <c r="LYD49" s="72"/>
      <c r="LYE49" s="72"/>
      <c r="LYF49" s="72"/>
      <c r="LYG49" s="72"/>
      <c r="LYH49" s="72"/>
      <c r="LYI49" s="72"/>
      <c r="LYJ49" s="72"/>
      <c r="LYK49" s="72"/>
      <c r="LYL49" s="72"/>
      <c r="LYM49" s="72"/>
      <c r="LYN49" s="72"/>
      <c r="LYO49" s="72"/>
      <c r="LYP49" s="72"/>
      <c r="LYQ49" s="72"/>
      <c r="LYR49" s="72"/>
      <c r="LYS49" s="72"/>
      <c r="LYT49" s="72"/>
      <c r="LYU49" s="72"/>
      <c r="LYV49" s="72"/>
      <c r="LYW49" s="72"/>
      <c r="LYX49" s="72"/>
      <c r="LYY49" s="72"/>
      <c r="LYZ49" s="72"/>
      <c r="LZA49" s="72"/>
      <c r="LZB49" s="72"/>
      <c r="LZC49" s="72"/>
      <c r="LZD49" s="72"/>
      <c r="LZE49" s="72"/>
      <c r="LZF49" s="72"/>
      <c r="LZG49" s="72"/>
      <c r="LZH49" s="72"/>
      <c r="LZI49" s="72"/>
      <c r="LZJ49" s="72"/>
      <c r="LZK49" s="72"/>
      <c r="LZL49" s="72"/>
      <c r="LZM49" s="72"/>
      <c r="LZN49" s="72"/>
      <c r="LZO49" s="72"/>
      <c r="LZP49" s="72"/>
      <c r="LZQ49" s="72"/>
      <c r="LZR49" s="72"/>
      <c r="LZS49" s="72"/>
      <c r="LZT49" s="72"/>
      <c r="LZU49" s="72"/>
      <c r="LZV49" s="72"/>
      <c r="LZW49" s="72"/>
      <c r="LZX49" s="72"/>
      <c r="LZY49" s="72"/>
      <c r="LZZ49" s="72"/>
      <c r="MAA49" s="72"/>
      <c r="MAB49" s="72"/>
      <c r="MAC49" s="72"/>
      <c r="MAD49" s="72"/>
      <c r="MAE49" s="72"/>
      <c r="MAF49" s="72"/>
      <c r="MAG49" s="72"/>
      <c r="MAH49" s="72"/>
      <c r="MAI49" s="72"/>
      <c r="MAJ49" s="72"/>
      <c r="MAK49" s="72"/>
      <c r="MAL49" s="72"/>
      <c r="MAM49" s="72"/>
      <c r="MAN49" s="72"/>
      <c r="MAO49" s="72"/>
      <c r="MAP49" s="72"/>
      <c r="MAQ49" s="72"/>
      <c r="MAR49" s="72"/>
      <c r="MAS49" s="72"/>
      <c r="MAT49" s="72"/>
      <c r="MAU49" s="72"/>
      <c r="MAV49" s="72"/>
      <c r="MAW49" s="72"/>
      <c r="MAX49" s="72"/>
      <c r="MAY49" s="72"/>
      <c r="MAZ49" s="72"/>
      <c r="MBA49" s="72"/>
      <c r="MBB49" s="72"/>
      <c r="MBC49" s="72"/>
      <c r="MBD49" s="72"/>
      <c r="MBE49" s="72"/>
      <c r="MBF49" s="72"/>
      <c r="MBG49" s="72"/>
      <c r="MBH49" s="72"/>
      <c r="MBI49" s="72"/>
      <c r="MBJ49" s="72"/>
      <c r="MBK49" s="72"/>
      <c r="MBL49" s="72"/>
      <c r="MBM49" s="72"/>
      <c r="MBN49" s="72"/>
      <c r="MBO49" s="72"/>
      <c r="MBP49" s="72"/>
      <c r="MBQ49" s="72"/>
      <c r="MBR49" s="72"/>
      <c r="MBS49" s="72"/>
      <c r="MBT49" s="72"/>
      <c r="MBU49" s="72"/>
      <c r="MBV49" s="72"/>
      <c r="MBW49" s="72"/>
      <c r="MBX49" s="72"/>
      <c r="MBY49" s="72"/>
      <c r="MBZ49" s="72"/>
      <c r="MCA49" s="72"/>
      <c r="MCB49" s="72"/>
      <c r="MCC49" s="72"/>
      <c r="MCD49" s="72"/>
      <c r="MCE49" s="72"/>
      <c r="MCF49" s="72"/>
      <c r="MCG49" s="72"/>
      <c r="MCH49" s="72"/>
      <c r="MCI49" s="72"/>
      <c r="MCJ49" s="72"/>
      <c r="MCK49" s="72"/>
      <c r="MCL49" s="72"/>
      <c r="MCM49" s="72"/>
      <c r="MCN49" s="72"/>
      <c r="MCO49" s="72"/>
      <c r="MCP49" s="72"/>
      <c r="MCQ49" s="72"/>
      <c r="MCR49" s="72"/>
      <c r="MCS49" s="72"/>
      <c r="MCT49" s="72"/>
      <c r="MCU49" s="72"/>
      <c r="MCV49" s="72"/>
      <c r="MCW49" s="72"/>
      <c r="MCX49" s="72"/>
      <c r="MCY49" s="72"/>
      <c r="MCZ49" s="72"/>
      <c r="MDA49" s="72"/>
      <c r="MDB49" s="72"/>
      <c r="MDC49" s="72"/>
      <c r="MDD49" s="72"/>
      <c r="MDE49" s="72"/>
      <c r="MDF49" s="72"/>
      <c r="MDG49" s="72"/>
      <c r="MDH49" s="72"/>
      <c r="MDI49" s="72"/>
      <c r="MDJ49" s="72"/>
      <c r="MDK49" s="72"/>
      <c r="MDL49" s="72"/>
      <c r="MDM49" s="72"/>
      <c r="MDN49" s="72"/>
      <c r="MDO49" s="72"/>
      <c r="MDP49" s="72"/>
      <c r="MDQ49" s="72"/>
      <c r="MDR49" s="72"/>
      <c r="MDS49" s="72"/>
      <c r="MDT49" s="72"/>
      <c r="MDU49" s="72"/>
      <c r="MDV49" s="72"/>
      <c r="MDW49" s="72"/>
      <c r="MDX49" s="72"/>
      <c r="MDY49" s="72"/>
      <c r="MDZ49" s="72"/>
      <c r="MEA49" s="72"/>
      <c r="MEB49" s="72"/>
      <c r="MEC49" s="72"/>
      <c r="MED49" s="72"/>
      <c r="MEE49" s="72"/>
      <c r="MEF49" s="72"/>
      <c r="MEG49" s="72"/>
      <c r="MEH49" s="72"/>
      <c r="MEI49" s="72"/>
      <c r="MEJ49" s="72"/>
      <c r="MEK49" s="72"/>
      <c r="MEL49" s="72"/>
      <c r="MEM49" s="72"/>
      <c r="MEN49" s="72"/>
      <c r="MEO49" s="72"/>
      <c r="MEP49" s="72"/>
      <c r="MEQ49" s="72"/>
      <c r="MER49" s="72"/>
      <c r="MES49" s="72"/>
      <c r="MET49" s="72"/>
      <c r="MEU49" s="72"/>
      <c r="MEV49" s="72"/>
      <c r="MEW49" s="72"/>
      <c r="MEX49" s="72"/>
      <c r="MEY49" s="72"/>
      <c r="MEZ49" s="72"/>
      <c r="MFA49" s="72"/>
      <c r="MFB49" s="72"/>
      <c r="MFC49" s="72"/>
      <c r="MFD49" s="72"/>
      <c r="MFE49" s="72"/>
      <c r="MFF49" s="72"/>
      <c r="MFG49" s="72"/>
      <c r="MFH49" s="72"/>
      <c r="MFI49" s="72"/>
      <c r="MFJ49" s="72"/>
      <c r="MFK49" s="72"/>
      <c r="MFL49" s="72"/>
      <c r="MFM49" s="72"/>
      <c r="MFN49" s="72"/>
      <c r="MFO49" s="72"/>
      <c r="MFP49" s="72"/>
      <c r="MFQ49" s="72"/>
      <c r="MFR49" s="72"/>
      <c r="MFS49" s="72"/>
      <c r="MFT49" s="72"/>
      <c r="MFU49" s="72"/>
      <c r="MFV49" s="72"/>
      <c r="MFW49" s="72"/>
      <c r="MFX49" s="72"/>
      <c r="MFY49" s="72"/>
      <c r="MFZ49" s="72"/>
      <c r="MGA49" s="72"/>
      <c r="MGB49" s="72"/>
      <c r="MGC49" s="72"/>
      <c r="MGD49" s="72"/>
      <c r="MGE49" s="72"/>
      <c r="MGF49" s="72"/>
      <c r="MGG49" s="72"/>
      <c r="MGH49" s="72"/>
      <c r="MGI49" s="72"/>
      <c r="MGJ49" s="72"/>
      <c r="MGK49" s="72"/>
      <c r="MGL49" s="72"/>
      <c r="MGM49" s="72"/>
      <c r="MGN49" s="72"/>
      <c r="MGO49" s="72"/>
      <c r="MGP49" s="72"/>
      <c r="MGQ49" s="72"/>
      <c r="MGR49" s="72"/>
      <c r="MGS49" s="72"/>
      <c r="MGT49" s="72"/>
      <c r="MGU49" s="72"/>
      <c r="MGV49" s="72"/>
      <c r="MGW49" s="72"/>
      <c r="MGX49" s="72"/>
      <c r="MGY49" s="72"/>
      <c r="MGZ49" s="72"/>
      <c r="MHA49" s="72"/>
      <c r="MHB49" s="72"/>
      <c r="MHC49" s="72"/>
      <c r="MHD49" s="72"/>
      <c r="MHE49" s="72"/>
      <c r="MHF49" s="72"/>
      <c r="MHG49" s="72"/>
      <c r="MHH49" s="72"/>
      <c r="MHI49" s="72"/>
      <c r="MHJ49" s="72"/>
      <c r="MHK49" s="72"/>
      <c r="MHL49" s="72"/>
      <c r="MHM49" s="72"/>
      <c r="MHN49" s="72"/>
      <c r="MHO49" s="72"/>
      <c r="MHP49" s="72"/>
      <c r="MHQ49" s="72"/>
      <c r="MHR49" s="72"/>
      <c r="MHS49" s="72"/>
      <c r="MHT49" s="72"/>
      <c r="MHU49" s="72"/>
      <c r="MHV49" s="72"/>
      <c r="MHW49" s="72"/>
      <c r="MHX49" s="72"/>
      <c r="MHY49" s="72"/>
      <c r="MHZ49" s="72"/>
      <c r="MIA49" s="72"/>
      <c r="MIB49" s="72"/>
      <c r="MIC49" s="72"/>
      <c r="MID49" s="72"/>
      <c r="MIE49" s="72"/>
      <c r="MIF49" s="72"/>
      <c r="MIG49" s="72"/>
      <c r="MIH49" s="72"/>
      <c r="MII49" s="72"/>
      <c r="MIJ49" s="72"/>
      <c r="MIK49" s="72"/>
      <c r="MIL49" s="72"/>
      <c r="MIM49" s="72"/>
      <c r="MIN49" s="72"/>
      <c r="MIO49" s="72"/>
      <c r="MIP49" s="72"/>
      <c r="MIQ49" s="72"/>
      <c r="MIR49" s="72"/>
      <c r="MIS49" s="72"/>
      <c r="MIT49" s="72"/>
      <c r="MIU49" s="72"/>
      <c r="MIV49" s="72"/>
      <c r="MIW49" s="72"/>
      <c r="MIX49" s="72"/>
      <c r="MIY49" s="72"/>
      <c r="MIZ49" s="72"/>
      <c r="MJA49" s="72"/>
      <c r="MJB49" s="72"/>
      <c r="MJC49" s="72"/>
      <c r="MJD49" s="72"/>
      <c r="MJE49" s="72"/>
      <c r="MJF49" s="72"/>
      <c r="MJG49" s="72"/>
      <c r="MJH49" s="72"/>
      <c r="MJI49" s="72"/>
      <c r="MJJ49" s="72"/>
      <c r="MJK49" s="72"/>
      <c r="MJL49" s="72"/>
      <c r="MJM49" s="72"/>
      <c r="MJN49" s="72"/>
      <c r="MJO49" s="72"/>
      <c r="MJP49" s="72"/>
      <c r="MJQ49" s="72"/>
      <c r="MJR49" s="72"/>
      <c r="MJS49" s="72"/>
      <c r="MJT49" s="72"/>
      <c r="MJU49" s="72"/>
      <c r="MJV49" s="72"/>
      <c r="MJW49" s="72"/>
      <c r="MJX49" s="72"/>
      <c r="MJY49" s="72"/>
      <c r="MJZ49" s="72"/>
      <c r="MKA49" s="72"/>
      <c r="MKB49" s="72"/>
      <c r="MKC49" s="72"/>
      <c r="MKD49" s="72"/>
      <c r="MKE49" s="72"/>
      <c r="MKF49" s="72"/>
      <c r="MKG49" s="72"/>
      <c r="MKH49" s="72"/>
      <c r="MKI49" s="72"/>
      <c r="MKJ49" s="72"/>
      <c r="MKK49" s="72"/>
      <c r="MKL49" s="72"/>
      <c r="MKM49" s="72"/>
      <c r="MKN49" s="72"/>
      <c r="MKO49" s="72"/>
      <c r="MKP49" s="72"/>
      <c r="MKQ49" s="72"/>
      <c r="MKR49" s="72"/>
      <c r="MKS49" s="72"/>
      <c r="MKT49" s="72"/>
      <c r="MKU49" s="72"/>
      <c r="MKV49" s="72"/>
      <c r="MKW49" s="72"/>
      <c r="MKX49" s="72"/>
      <c r="MKY49" s="72"/>
      <c r="MKZ49" s="72"/>
      <c r="MLA49" s="72"/>
      <c r="MLB49" s="72"/>
      <c r="MLC49" s="72"/>
      <c r="MLD49" s="72"/>
      <c r="MLE49" s="72"/>
      <c r="MLF49" s="72"/>
      <c r="MLG49" s="72"/>
      <c r="MLH49" s="72"/>
      <c r="MLI49" s="72"/>
      <c r="MLJ49" s="72"/>
      <c r="MLK49" s="72"/>
      <c r="MLL49" s="72"/>
      <c r="MLM49" s="72"/>
      <c r="MLN49" s="72"/>
      <c r="MLO49" s="72"/>
      <c r="MLP49" s="72"/>
      <c r="MLQ49" s="72"/>
      <c r="MLR49" s="72"/>
      <c r="MLS49" s="72"/>
      <c r="MLT49" s="72"/>
      <c r="MLU49" s="72"/>
      <c r="MLV49" s="72"/>
      <c r="MLW49" s="72"/>
      <c r="MLX49" s="72"/>
      <c r="MLY49" s="72"/>
      <c r="MLZ49" s="72"/>
      <c r="MMA49" s="72"/>
      <c r="MMB49" s="72"/>
      <c r="MMC49" s="72"/>
      <c r="MMD49" s="72"/>
      <c r="MME49" s="72"/>
      <c r="MMF49" s="72"/>
      <c r="MMG49" s="72"/>
      <c r="MMH49" s="72"/>
      <c r="MMI49" s="72"/>
      <c r="MMJ49" s="72"/>
      <c r="MMK49" s="72"/>
      <c r="MML49" s="72"/>
      <c r="MMM49" s="72"/>
      <c r="MMN49" s="72"/>
      <c r="MMO49" s="72"/>
      <c r="MMP49" s="72"/>
      <c r="MMQ49" s="72"/>
      <c r="MMR49" s="72"/>
      <c r="MMS49" s="72"/>
      <c r="MMT49" s="72"/>
      <c r="MMU49" s="72"/>
      <c r="MMV49" s="72"/>
      <c r="MMW49" s="72"/>
      <c r="MMX49" s="72"/>
      <c r="MMY49" s="72"/>
      <c r="MMZ49" s="72"/>
      <c r="MNA49" s="72"/>
      <c r="MNB49" s="72"/>
      <c r="MNC49" s="72"/>
      <c r="MND49" s="72"/>
      <c r="MNE49" s="72"/>
      <c r="MNF49" s="72"/>
      <c r="MNG49" s="72"/>
      <c r="MNH49" s="72"/>
      <c r="MNI49" s="72"/>
      <c r="MNJ49" s="72"/>
      <c r="MNK49" s="72"/>
      <c r="MNL49" s="72"/>
      <c r="MNM49" s="72"/>
      <c r="MNN49" s="72"/>
      <c r="MNO49" s="72"/>
      <c r="MNP49" s="72"/>
      <c r="MNQ49" s="72"/>
      <c r="MNR49" s="72"/>
      <c r="MNS49" s="72"/>
      <c r="MNT49" s="72"/>
      <c r="MNU49" s="72"/>
      <c r="MNV49" s="72"/>
      <c r="MNW49" s="72"/>
      <c r="MNX49" s="72"/>
      <c r="MNY49" s="72"/>
      <c r="MNZ49" s="72"/>
      <c r="MOA49" s="72"/>
      <c r="MOB49" s="72"/>
      <c r="MOC49" s="72"/>
      <c r="MOD49" s="72"/>
      <c r="MOE49" s="72"/>
      <c r="MOF49" s="72"/>
      <c r="MOG49" s="72"/>
      <c r="MOH49" s="72"/>
      <c r="MOI49" s="72"/>
      <c r="MOJ49" s="72"/>
      <c r="MOK49" s="72"/>
      <c r="MOL49" s="72"/>
      <c r="MOM49" s="72"/>
      <c r="MON49" s="72"/>
      <c r="MOO49" s="72"/>
      <c r="MOP49" s="72"/>
      <c r="MOQ49" s="72"/>
      <c r="MOR49" s="72"/>
      <c r="MOS49" s="72"/>
      <c r="MOT49" s="72"/>
      <c r="MOU49" s="72"/>
      <c r="MOV49" s="72"/>
      <c r="MOW49" s="72"/>
      <c r="MOX49" s="72"/>
      <c r="MOY49" s="72"/>
      <c r="MOZ49" s="72"/>
      <c r="MPA49" s="72"/>
      <c r="MPB49" s="72"/>
      <c r="MPC49" s="72"/>
      <c r="MPD49" s="72"/>
      <c r="MPE49" s="72"/>
      <c r="MPF49" s="72"/>
      <c r="MPG49" s="72"/>
      <c r="MPH49" s="72"/>
      <c r="MPI49" s="72"/>
      <c r="MPJ49" s="72"/>
      <c r="MPK49" s="72"/>
      <c r="MPL49" s="72"/>
      <c r="MPM49" s="72"/>
      <c r="MPN49" s="72"/>
      <c r="MPO49" s="72"/>
      <c r="MPP49" s="72"/>
      <c r="MPQ49" s="72"/>
      <c r="MPR49" s="72"/>
      <c r="MPS49" s="72"/>
      <c r="MPT49" s="72"/>
      <c r="MPU49" s="72"/>
      <c r="MPV49" s="72"/>
      <c r="MPW49" s="72"/>
      <c r="MPX49" s="72"/>
      <c r="MPY49" s="72"/>
      <c r="MPZ49" s="72"/>
      <c r="MQA49" s="72"/>
      <c r="MQB49" s="72"/>
      <c r="MQC49" s="72"/>
      <c r="MQD49" s="72"/>
      <c r="MQE49" s="72"/>
      <c r="MQF49" s="72"/>
      <c r="MQG49" s="72"/>
      <c r="MQH49" s="72"/>
      <c r="MQI49" s="72"/>
      <c r="MQJ49" s="72"/>
      <c r="MQK49" s="72"/>
      <c r="MQL49" s="72"/>
      <c r="MQM49" s="72"/>
      <c r="MQN49" s="72"/>
      <c r="MQO49" s="72"/>
      <c r="MQP49" s="72"/>
      <c r="MQQ49" s="72"/>
      <c r="MQR49" s="72"/>
      <c r="MQS49" s="72"/>
      <c r="MQT49" s="72"/>
      <c r="MQU49" s="72"/>
      <c r="MQV49" s="72"/>
      <c r="MQW49" s="72"/>
      <c r="MQX49" s="72"/>
      <c r="MQY49" s="72"/>
      <c r="MQZ49" s="72"/>
      <c r="MRA49" s="72"/>
      <c r="MRB49" s="72"/>
      <c r="MRC49" s="72"/>
      <c r="MRD49" s="72"/>
      <c r="MRE49" s="72"/>
      <c r="MRF49" s="72"/>
      <c r="MRG49" s="72"/>
      <c r="MRH49" s="72"/>
      <c r="MRI49" s="72"/>
      <c r="MRJ49" s="72"/>
      <c r="MRK49" s="72"/>
      <c r="MRL49" s="72"/>
      <c r="MRM49" s="72"/>
      <c r="MRN49" s="72"/>
      <c r="MRO49" s="72"/>
      <c r="MRP49" s="72"/>
      <c r="MRQ49" s="72"/>
      <c r="MRR49" s="72"/>
      <c r="MRS49" s="72"/>
      <c r="MRT49" s="72"/>
      <c r="MRU49" s="72"/>
      <c r="MRV49" s="72"/>
      <c r="MRW49" s="72"/>
      <c r="MRX49" s="72"/>
      <c r="MRY49" s="72"/>
      <c r="MRZ49" s="72"/>
      <c r="MSA49" s="72"/>
      <c r="MSB49" s="72"/>
      <c r="MSC49" s="72"/>
      <c r="MSD49" s="72"/>
      <c r="MSE49" s="72"/>
      <c r="MSF49" s="72"/>
      <c r="MSG49" s="72"/>
      <c r="MSH49" s="72"/>
      <c r="MSI49" s="72"/>
      <c r="MSJ49" s="72"/>
      <c r="MSK49" s="72"/>
      <c r="MSL49" s="72"/>
      <c r="MSM49" s="72"/>
      <c r="MSN49" s="72"/>
      <c r="MSO49" s="72"/>
      <c r="MSP49" s="72"/>
      <c r="MSQ49" s="72"/>
      <c r="MSR49" s="72"/>
      <c r="MSS49" s="72"/>
      <c r="MST49" s="72"/>
      <c r="MSU49" s="72"/>
      <c r="MSV49" s="72"/>
      <c r="MSW49" s="72"/>
      <c r="MSX49" s="72"/>
      <c r="MSY49" s="72"/>
      <c r="MSZ49" s="72"/>
      <c r="MTA49" s="72"/>
      <c r="MTB49" s="72"/>
      <c r="MTC49" s="72"/>
      <c r="MTD49" s="72"/>
      <c r="MTE49" s="72"/>
      <c r="MTF49" s="72"/>
      <c r="MTG49" s="72"/>
      <c r="MTH49" s="72"/>
      <c r="MTI49" s="72"/>
      <c r="MTJ49" s="72"/>
      <c r="MTK49" s="72"/>
      <c r="MTL49" s="72"/>
      <c r="MTM49" s="72"/>
      <c r="MTN49" s="72"/>
      <c r="MTO49" s="72"/>
      <c r="MTP49" s="72"/>
      <c r="MTQ49" s="72"/>
      <c r="MTR49" s="72"/>
      <c r="MTS49" s="72"/>
      <c r="MTT49" s="72"/>
      <c r="MTU49" s="72"/>
      <c r="MTV49" s="72"/>
      <c r="MTW49" s="72"/>
      <c r="MTX49" s="72"/>
      <c r="MTY49" s="72"/>
      <c r="MTZ49" s="72"/>
      <c r="MUA49" s="72"/>
      <c r="MUB49" s="72"/>
      <c r="MUC49" s="72"/>
      <c r="MUD49" s="72"/>
      <c r="MUE49" s="72"/>
      <c r="MUF49" s="72"/>
      <c r="MUG49" s="72"/>
      <c r="MUH49" s="72"/>
      <c r="MUI49" s="72"/>
      <c r="MUJ49" s="72"/>
      <c r="MUK49" s="72"/>
      <c r="MUL49" s="72"/>
      <c r="MUM49" s="72"/>
      <c r="MUN49" s="72"/>
      <c r="MUO49" s="72"/>
      <c r="MUP49" s="72"/>
      <c r="MUQ49" s="72"/>
      <c r="MUR49" s="72"/>
      <c r="MUS49" s="72"/>
      <c r="MUT49" s="72"/>
      <c r="MUU49" s="72"/>
      <c r="MUV49" s="72"/>
      <c r="MUW49" s="72"/>
      <c r="MUX49" s="72"/>
      <c r="MUY49" s="72"/>
      <c r="MUZ49" s="72"/>
      <c r="MVA49" s="72"/>
      <c r="MVB49" s="72"/>
      <c r="MVC49" s="72"/>
      <c r="MVD49" s="72"/>
      <c r="MVE49" s="72"/>
      <c r="MVF49" s="72"/>
      <c r="MVG49" s="72"/>
      <c r="MVH49" s="72"/>
      <c r="MVI49" s="72"/>
      <c r="MVJ49" s="72"/>
      <c r="MVK49" s="72"/>
      <c r="MVL49" s="72"/>
      <c r="MVM49" s="72"/>
      <c r="MVN49" s="72"/>
      <c r="MVO49" s="72"/>
      <c r="MVP49" s="72"/>
      <c r="MVQ49" s="72"/>
      <c r="MVR49" s="72"/>
      <c r="MVS49" s="72"/>
      <c r="MVT49" s="72"/>
      <c r="MVU49" s="72"/>
      <c r="MVV49" s="72"/>
      <c r="MVW49" s="72"/>
      <c r="MVX49" s="72"/>
      <c r="MVY49" s="72"/>
      <c r="MVZ49" s="72"/>
      <c r="MWA49" s="72"/>
      <c r="MWB49" s="72"/>
      <c r="MWC49" s="72"/>
      <c r="MWD49" s="72"/>
      <c r="MWE49" s="72"/>
      <c r="MWF49" s="72"/>
      <c r="MWG49" s="72"/>
      <c r="MWH49" s="72"/>
      <c r="MWI49" s="72"/>
      <c r="MWJ49" s="72"/>
      <c r="MWK49" s="72"/>
      <c r="MWL49" s="72"/>
      <c r="MWM49" s="72"/>
      <c r="MWN49" s="72"/>
      <c r="MWO49" s="72"/>
      <c r="MWP49" s="72"/>
      <c r="MWQ49" s="72"/>
      <c r="MWR49" s="72"/>
      <c r="MWS49" s="72"/>
      <c r="MWT49" s="72"/>
      <c r="MWU49" s="72"/>
      <c r="MWV49" s="72"/>
      <c r="MWW49" s="72"/>
      <c r="MWX49" s="72"/>
      <c r="MWY49" s="72"/>
      <c r="MWZ49" s="72"/>
      <c r="MXA49" s="72"/>
      <c r="MXB49" s="72"/>
      <c r="MXC49" s="72"/>
      <c r="MXD49" s="72"/>
      <c r="MXE49" s="72"/>
      <c r="MXF49" s="72"/>
      <c r="MXG49" s="72"/>
      <c r="MXH49" s="72"/>
      <c r="MXI49" s="72"/>
      <c r="MXJ49" s="72"/>
      <c r="MXK49" s="72"/>
      <c r="MXL49" s="72"/>
      <c r="MXM49" s="72"/>
      <c r="MXN49" s="72"/>
      <c r="MXO49" s="72"/>
      <c r="MXP49" s="72"/>
      <c r="MXQ49" s="72"/>
      <c r="MXR49" s="72"/>
      <c r="MXS49" s="72"/>
      <c r="MXT49" s="72"/>
      <c r="MXU49" s="72"/>
      <c r="MXV49" s="72"/>
      <c r="MXW49" s="72"/>
      <c r="MXX49" s="72"/>
      <c r="MXY49" s="72"/>
      <c r="MXZ49" s="72"/>
      <c r="MYA49" s="72"/>
      <c r="MYB49" s="72"/>
      <c r="MYC49" s="72"/>
      <c r="MYD49" s="72"/>
      <c r="MYE49" s="72"/>
      <c r="MYF49" s="72"/>
      <c r="MYG49" s="72"/>
      <c r="MYH49" s="72"/>
      <c r="MYI49" s="72"/>
      <c r="MYJ49" s="72"/>
      <c r="MYK49" s="72"/>
      <c r="MYL49" s="72"/>
      <c r="MYM49" s="72"/>
      <c r="MYN49" s="72"/>
      <c r="MYO49" s="72"/>
      <c r="MYP49" s="72"/>
      <c r="MYQ49" s="72"/>
      <c r="MYR49" s="72"/>
      <c r="MYS49" s="72"/>
      <c r="MYT49" s="72"/>
      <c r="MYU49" s="72"/>
      <c r="MYV49" s="72"/>
      <c r="MYW49" s="72"/>
      <c r="MYX49" s="72"/>
      <c r="MYY49" s="72"/>
      <c r="MYZ49" s="72"/>
      <c r="MZA49" s="72"/>
      <c r="MZB49" s="72"/>
      <c r="MZC49" s="72"/>
      <c r="MZD49" s="72"/>
      <c r="MZE49" s="72"/>
      <c r="MZF49" s="72"/>
      <c r="MZG49" s="72"/>
      <c r="MZH49" s="72"/>
      <c r="MZI49" s="72"/>
      <c r="MZJ49" s="72"/>
      <c r="MZK49" s="72"/>
      <c r="MZL49" s="72"/>
      <c r="MZM49" s="72"/>
      <c r="MZN49" s="72"/>
      <c r="MZO49" s="72"/>
      <c r="MZP49" s="72"/>
      <c r="MZQ49" s="72"/>
      <c r="MZR49" s="72"/>
      <c r="MZS49" s="72"/>
      <c r="MZT49" s="72"/>
      <c r="MZU49" s="72"/>
      <c r="MZV49" s="72"/>
      <c r="MZW49" s="72"/>
      <c r="MZX49" s="72"/>
      <c r="MZY49" s="72"/>
      <c r="MZZ49" s="72"/>
      <c r="NAA49" s="72"/>
      <c r="NAB49" s="72"/>
      <c r="NAC49" s="72"/>
      <c r="NAD49" s="72"/>
      <c r="NAE49" s="72"/>
      <c r="NAF49" s="72"/>
      <c r="NAG49" s="72"/>
      <c r="NAH49" s="72"/>
      <c r="NAI49" s="72"/>
      <c r="NAJ49" s="72"/>
      <c r="NAK49" s="72"/>
      <c r="NAL49" s="72"/>
      <c r="NAM49" s="72"/>
      <c r="NAN49" s="72"/>
      <c r="NAO49" s="72"/>
      <c r="NAP49" s="72"/>
      <c r="NAQ49" s="72"/>
      <c r="NAR49" s="72"/>
      <c r="NAS49" s="72"/>
      <c r="NAT49" s="72"/>
      <c r="NAU49" s="72"/>
      <c r="NAV49" s="72"/>
      <c r="NAW49" s="72"/>
      <c r="NAX49" s="72"/>
      <c r="NAY49" s="72"/>
      <c r="NAZ49" s="72"/>
      <c r="NBA49" s="72"/>
      <c r="NBB49" s="72"/>
      <c r="NBC49" s="72"/>
      <c r="NBD49" s="72"/>
      <c r="NBE49" s="72"/>
      <c r="NBF49" s="72"/>
      <c r="NBG49" s="72"/>
      <c r="NBH49" s="72"/>
      <c r="NBI49" s="72"/>
      <c r="NBJ49" s="72"/>
      <c r="NBK49" s="72"/>
      <c r="NBL49" s="72"/>
      <c r="NBM49" s="72"/>
      <c r="NBN49" s="72"/>
      <c r="NBO49" s="72"/>
      <c r="NBP49" s="72"/>
      <c r="NBQ49" s="72"/>
      <c r="NBR49" s="72"/>
      <c r="NBS49" s="72"/>
      <c r="NBT49" s="72"/>
      <c r="NBU49" s="72"/>
      <c r="NBV49" s="72"/>
      <c r="NBW49" s="72"/>
      <c r="NBX49" s="72"/>
      <c r="NBY49" s="72"/>
      <c r="NBZ49" s="72"/>
      <c r="NCA49" s="72"/>
      <c r="NCB49" s="72"/>
      <c r="NCC49" s="72"/>
      <c r="NCD49" s="72"/>
      <c r="NCE49" s="72"/>
      <c r="NCF49" s="72"/>
      <c r="NCG49" s="72"/>
      <c r="NCH49" s="72"/>
      <c r="NCI49" s="72"/>
      <c r="NCJ49" s="72"/>
      <c r="NCK49" s="72"/>
      <c r="NCL49" s="72"/>
      <c r="NCM49" s="72"/>
      <c r="NCN49" s="72"/>
      <c r="NCO49" s="72"/>
      <c r="NCP49" s="72"/>
      <c r="NCQ49" s="72"/>
      <c r="NCR49" s="72"/>
      <c r="NCS49" s="72"/>
      <c r="NCT49" s="72"/>
      <c r="NCU49" s="72"/>
      <c r="NCV49" s="72"/>
      <c r="NCW49" s="72"/>
      <c r="NCX49" s="72"/>
      <c r="NCY49" s="72"/>
      <c r="NCZ49" s="72"/>
      <c r="NDA49" s="72"/>
      <c r="NDB49" s="72"/>
      <c r="NDC49" s="72"/>
      <c r="NDD49" s="72"/>
      <c r="NDE49" s="72"/>
      <c r="NDF49" s="72"/>
      <c r="NDG49" s="72"/>
      <c r="NDH49" s="72"/>
      <c r="NDI49" s="72"/>
      <c r="NDJ49" s="72"/>
      <c r="NDK49" s="72"/>
      <c r="NDL49" s="72"/>
      <c r="NDM49" s="72"/>
      <c r="NDN49" s="72"/>
      <c r="NDO49" s="72"/>
      <c r="NDP49" s="72"/>
      <c r="NDQ49" s="72"/>
      <c r="NDR49" s="72"/>
      <c r="NDS49" s="72"/>
      <c r="NDT49" s="72"/>
      <c r="NDU49" s="72"/>
      <c r="NDV49" s="72"/>
      <c r="NDW49" s="72"/>
      <c r="NDX49" s="72"/>
      <c r="NDY49" s="72"/>
      <c r="NDZ49" s="72"/>
      <c r="NEA49" s="72"/>
      <c r="NEB49" s="72"/>
      <c r="NEC49" s="72"/>
      <c r="NED49" s="72"/>
      <c r="NEE49" s="72"/>
      <c r="NEF49" s="72"/>
      <c r="NEG49" s="72"/>
      <c r="NEH49" s="72"/>
      <c r="NEI49" s="72"/>
      <c r="NEJ49" s="72"/>
      <c r="NEK49" s="72"/>
      <c r="NEL49" s="72"/>
      <c r="NEM49" s="72"/>
      <c r="NEN49" s="72"/>
      <c r="NEO49" s="72"/>
      <c r="NEP49" s="72"/>
      <c r="NEQ49" s="72"/>
      <c r="NER49" s="72"/>
      <c r="NES49" s="72"/>
      <c r="NET49" s="72"/>
      <c r="NEU49" s="72"/>
      <c r="NEV49" s="72"/>
      <c r="NEW49" s="72"/>
      <c r="NEX49" s="72"/>
      <c r="NEY49" s="72"/>
      <c r="NEZ49" s="72"/>
      <c r="NFA49" s="72"/>
      <c r="NFB49" s="72"/>
      <c r="NFC49" s="72"/>
      <c r="NFD49" s="72"/>
      <c r="NFE49" s="72"/>
      <c r="NFF49" s="72"/>
      <c r="NFG49" s="72"/>
      <c r="NFH49" s="72"/>
      <c r="NFI49" s="72"/>
      <c r="NFJ49" s="72"/>
      <c r="NFK49" s="72"/>
      <c r="NFL49" s="72"/>
      <c r="NFM49" s="72"/>
      <c r="NFN49" s="72"/>
      <c r="NFO49" s="72"/>
      <c r="NFP49" s="72"/>
      <c r="NFQ49" s="72"/>
      <c r="NFR49" s="72"/>
      <c r="NFS49" s="72"/>
      <c r="NFT49" s="72"/>
      <c r="NFU49" s="72"/>
      <c r="NFV49" s="72"/>
      <c r="NFW49" s="72"/>
      <c r="NFX49" s="72"/>
      <c r="NFY49" s="72"/>
      <c r="NFZ49" s="72"/>
      <c r="NGA49" s="72"/>
      <c r="NGB49" s="72"/>
      <c r="NGC49" s="72"/>
      <c r="NGD49" s="72"/>
      <c r="NGE49" s="72"/>
      <c r="NGF49" s="72"/>
      <c r="NGG49" s="72"/>
      <c r="NGH49" s="72"/>
      <c r="NGI49" s="72"/>
      <c r="NGJ49" s="72"/>
      <c r="NGK49" s="72"/>
      <c r="NGL49" s="72"/>
      <c r="NGM49" s="72"/>
      <c r="NGN49" s="72"/>
      <c r="NGO49" s="72"/>
      <c r="NGP49" s="72"/>
      <c r="NGQ49" s="72"/>
      <c r="NGR49" s="72"/>
      <c r="NGS49" s="72"/>
      <c r="NGT49" s="72"/>
      <c r="NGU49" s="72"/>
      <c r="NGV49" s="72"/>
      <c r="NGW49" s="72"/>
      <c r="NGX49" s="72"/>
      <c r="NGY49" s="72"/>
      <c r="NGZ49" s="72"/>
      <c r="NHA49" s="72"/>
      <c r="NHB49" s="72"/>
      <c r="NHC49" s="72"/>
      <c r="NHD49" s="72"/>
      <c r="NHE49" s="72"/>
      <c r="NHF49" s="72"/>
      <c r="NHG49" s="72"/>
      <c r="NHH49" s="72"/>
      <c r="NHI49" s="72"/>
      <c r="NHJ49" s="72"/>
      <c r="NHK49" s="72"/>
      <c r="NHL49" s="72"/>
      <c r="NHM49" s="72"/>
      <c r="NHN49" s="72"/>
      <c r="NHO49" s="72"/>
      <c r="NHP49" s="72"/>
      <c r="NHQ49" s="72"/>
      <c r="NHR49" s="72"/>
      <c r="NHS49" s="72"/>
      <c r="NHT49" s="72"/>
      <c r="NHU49" s="72"/>
      <c r="NHV49" s="72"/>
      <c r="NHW49" s="72"/>
      <c r="NHX49" s="72"/>
      <c r="NHY49" s="72"/>
      <c r="NHZ49" s="72"/>
      <c r="NIA49" s="72"/>
      <c r="NIB49" s="72"/>
      <c r="NIC49" s="72"/>
      <c r="NID49" s="72"/>
      <c r="NIE49" s="72"/>
      <c r="NIF49" s="72"/>
      <c r="NIG49" s="72"/>
      <c r="NIH49" s="72"/>
      <c r="NII49" s="72"/>
      <c r="NIJ49" s="72"/>
      <c r="NIK49" s="72"/>
      <c r="NIL49" s="72"/>
      <c r="NIM49" s="72"/>
      <c r="NIN49" s="72"/>
      <c r="NIO49" s="72"/>
      <c r="NIP49" s="72"/>
      <c r="NIQ49" s="72"/>
      <c r="NIR49" s="72"/>
      <c r="NIS49" s="72"/>
      <c r="NIT49" s="72"/>
      <c r="NIU49" s="72"/>
      <c r="NIV49" s="72"/>
      <c r="NIW49" s="72"/>
      <c r="NIX49" s="72"/>
      <c r="NIY49" s="72"/>
      <c r="NIZ49" s="72"/>
      <c r="NJA49" s="72"/>
      <c r="NJB49" s="72"/>
      <c r="NJC49" s="72"/>
      <c r="NJD49" s="72"/>
      <c r="NJE49" s="72"/>
      <c r="NJF49" s="72"/>
      <c r="NJG49" s="72"/>
      <c r="NJH49" s="72"/>
      <c r="NJI49" s="72"/>
      <c r="NJJ49" s="72"/>
      <c r="NJK49" s="72"/>
      <c r="NJL49" s="72"/>
      <c r="NJM49" s="72"/>
      <c r="NJN49" s="72"/>
      <c r="NJO49" s="72"/>
      <c r="NJP49" s="72"/>
      <c r="NJQ49" s="72"/>
      <c r="NJR49" s="72"/>
      <c r="NJS49" s="72"/>
      <c r="NJT49" s="72"/>
      <c r="NJU49" s="72"/>
      <c r="NJV49" s="72"/>
      <c r="NJW49" s="72"/>
      <c r="NJX49" s="72"/>
      <c r="NJY49" s="72"/>
      <c r="NJZ49" s="72"/>
      <c r="NKA49" s="72"/>
      <c r="NKB49" s="72"/>
      <c r="NKC49" s="72"/>
      <c r="NKD49" s="72"/>
      <c r="NKE49" s="72"/>
      <c r="NKF49" s="72"/>
      <c r="NKG49" s="72"/>
      <c r="NKH49" s="72"/>
      <c r="NKI49" s="72"/>
      <c r="NKJ49" s="72"/>
      <c r="NKK49" s="72"/>
      <c r="NKL49" s="72"/>
      <c r="NKM49" s="72"/>
      <c r="NKN49" s="72"/>
      <c r="NKO49" s="72"/>
      <c r="NKP49" s="72"/>
      <c r="NKQ49" s="72"/>
      <c r="NKR49" s="72"/>
      <c r="NKS49" s="72"/>
      <c r="NKT49" s="72"/>
      <c r="NKU49" s="72"/>
      <c r="NKV49" s="72"/>
      <c r="NKW49" s="72"/>
      <c r="NKX49" s="72"/>
      <c r="NKY49" s="72"/>
      <c r="NKZ49" s="72"/>
      <c r="NLA49" s="72"/>
      <c r="NLB49" s="72"/>
      <c r="NLC49" s="72"/>
      <c r="NLD49" s="72"/>
      <c r="NLE49" s="72"/>
      <c r="NLF49" s="72"/>
      <c r="NLG49" s="72"/>
      <c r="NLH49" s="72"/>
      <c r="NLI49" s="72"/>
      <c r="NLJ49" s="72"/>
      <c r="NLK49" s="72"/>
      <c r="NLL49" s="72"/>
      <c r="NLM49" s="72"/>
      <c r="NLN49" s="72"/>
      <c r="NLO49" s="72"/>
      <c r="NLP49" s="72"/>
      <c r="NLQ49" s="72"/>
      <c r="NLR49" s="72"/>
      <c r="NLS49" s="72"/>
      <c r="NLT49" s="72"/>
      <c r="NLU49" s="72"/>
      <c r="NLV49" s="72"/>
      <c r="NLW49" s="72"/>
      <c r="NLX49" s="72"/>
      <c r="NLY49" s="72"/>
      <c r="NLZ49" s="72"/>
      <c r="NMA49" s="72"/>
      <c r="NMB49" s="72"/>
      <c r="NMC49" s="72"/>
      <c r="NMD49" s="72"/>
      <c r="NME49" s="72"/>
      <c r="NMF49" s="72"/>
      <c r="NMG49" s="72"/>
      <c r="NMH49" s="72"/>
      <c r="NMI49" s="72"/>
      <c r="NMJ49" s="72"/>
      <c r="NMK49" s="72"/>
      <c r="NML49" s="72"/>
      <c r="NMM49" s="72"/>
      <c r="NMN49" s="72"/>
      <c r="NMO49" s="72"/>
      <c r="NMP49" s="72"/>
      <c r="NMQ49" s="72"/>
      <c r="NMR49" s="72"/>
      <c r="NMS49" s="72"/>
      <c r="NMT49" s="72"/>
      <c r="NMU49" s="72"/>
      <c r="NMV49" s="72"/>
      <c r="NMW49" s="72"/>
      <c r="NMX49" s="72"/>
      <c r="NMY49" s="72"/>
      <c r="NMZ49" s="72"/>
      <c r="NNA49" s="72"/>
      <c r="NNB49" s="72"/>
      <c r="NNC49" s="72"/>
      <c r="NND49" s="72"/>
      <c r="NNE49" s="72"/>
      <c r="NNF49" s="72"/>
      <c r="NNG49" s="72"/>
      <c r="NNH49" s="72"/>
      <c r="NNI49" s="72"/>
      <c r="NNJ49" s="72"/>
      <c r="NNK49" s="72"/>
      <c r="NNL49" s="72"/>
      <c r="NNM49" s="72"/>
      <c r="NNN49" s="72"/>
      <c r="NNO49" s="72"/>
      <c r="NNP49" s="72"/>
      <c r="NNQ49" s="72"/>
      <c r="NNR49" s="72"/>
      <c r="NNS49" s="72"/>
      <c r="NNT49" s="72"/>
      <c r="NNU49" s="72"/>
      <c r="NNV49" s="72"/>
      <c r="NNW49" s="72"/>
      <c r="NNX49" s="72"/>
      <c r="NNY49" s="72"/>
      <c r="NNZ49" s="72"/>
      <c r="NOA49" s="72"/>
      <c r="NOB49" s="72"/>
      <c r="NOC49" s="72"/>
      <c r="NOD49" s="72"/>
      <c r="NOE49" s="72"/>
      <c r="NOF49" s="72"/>
      <c r="NOG49" s="72"/>
      <c r="NOH49" s="72"/>
      <c r="NOI49" s="72"/>
      <c r="NOJ49" s="72"/>
      <c r="NOK49" s="72"/>
      <c r="NOL49" s="72"/>
      <c r="NOM49" s="72"/>
      <c r="NON49" s="72"/>
      <c r="NOO49" s="72"/>
      <c r="NOP49" s="72"/>
      <c r="NOQ49" s="72"/>
      <c r="NOR49" s="72"/>
      <c r="NOS49" s="72"/>
      <c r="NOT49" s="72"/>
      <c r="NOU49" s="72"/>
      <c r="NOV49" s="72"/>
      <c r="NOW49" s="72"/>
      <c r="NOX49" s="72"/>
      <c r="NOY49" s="72"/>
      <c r="NOZ49" s="72"/>
      <c r="NPA49" s="72"/>
      <c r="NPB49" s="72"/>
      <c r="NPC49" s="72"/>
      <c r="NPD49" s="72"/>
      <c r="NPE49" s="72"/>
      <c r="NPF49" s="72"/>
      <c r="NPG49" s="72"/>
      <c r="NPH49" s="72"/>
      <c r="NPI49" s="72"/>
      <c r="NPJ49" s="72"/>
      <c r="NPK49" s="72"/>
      <c r="NPL49" s="72"/>
      <c r="NPM49" s="72"/>
      <c r="NPN49" s="72"/>
      <c r="NPO49" s="72"/>
      <c r="NPP49" s="72"/>
      <c r="NPQ49" s="72"/>
      <c r="NPR49" s="72"/>
      <c r="NPS49" s="72"/>
      <c r="NPT49" s="72"/>
      <c r="NPU49" s="72"/>
      <c r="NPV49" s="72"/>
      <c r="NPW49" s="72"/>
      <c r="NPX49" s="72"/>
      <c r="NPY49" s="72"/>
      <c r="NPZ49" s="72"/>
      <c r="NQA49" s="72"/>
      <c r="NQB49" s="72"/>
      <c r="NQC49" s="72"/>
      <c r="NQD49" s="72"/>
      <c r="NQE49" s="72"/>
      <c r="NQF49" s="72"/>
      <c r="NQG49" s="72"/>
      <c r="NQH49" s="72"/>
      <c r="NQI49" s="72"/>
      <c r="NQJ49" s="72"/>
      <c r="NQK49" s="72"/>
      <c r="NQL49" s="72"/>
      <c r="NQM49" s="72"/>
      <c r="NQN49" s="72"/>
      <c r="NQO49" s="72"/>
      <c r="NQP49" s="72"/>
      <c r="NQQ49" s="72"/>
      <c r="NQR49" s="72"/>
      <c r="NQS49" s="72"/>
      <c r="NQT49" s="72"/>
      <c r="NQU49" s="72"/>
      <c r="NQV49" s="72"/>
      <c r="NQW49" s="72"/>
      <c r="NQX49" s="72"/>
      <c r="NQY49" s="72"/>
      <c r="NQZ49" s="72"/>
      <c r="NRA49" s="72"/>
      <c r="NRB49" s="72"/>
      <c r="NRC49" s="72"/>
      <c r="NRD49" s="72"/>
      <c r="NRE49" s="72"/>
      <c r="NRF49" s="72"/>
      <c r="NRG49" s="72"/>
      <c r="NRH49" s="72"/>
      <c r="NRI49" s="72"/>
      <c r="NRJ49" s="72"/>
      <c r="NRK49" s="72"/>
      <c r="NRL49" s="72"/>
      <c r="NRM49" s="72"/>
      <c r="NRN49" s="72"/>
      <c r="NRO49" s="72"/>
      <c r="NRP49" s="72"/>
      <c r="NRQ49" s="72"/>
      <c r="NRR49" s="72"/>
      <c r="NRS49" s="72"/>
      <c r="NRT49" s="72"/>
      <c r="NRU49" s="72"/>
      <c r="NRV49" s="72"/>
      <c r="NRW49" s="72"/>
      <c r="NRX49" s="72"/>
      <c r="NRY49" s="72"/>
      <c r="NRZ49" s="72"/>
      <c r="NSA49" s="72"/>
      <c r="NSB49" s="72"/>
      <c r="NSC49" s="72"/>
      <c r="NSD49" s="72"/>
      <c r="NSE49" s="72"/>
      <c r="NSF49" s="72"/>
      <c r="NSG49" s="72"/>
      <c r="NSH49" s="72"/>
      <c r="NSI49" s="72"/>
      <c r="NSJ49" s="72"/>
      <c r="NSK49" s="72"/>
      <c r="NSL49" s="72"/>
      <c r="NSM49" s="72"/>
      <c r="NSN49" s="72"/>
      <c r="NSO49" s="72"/>
      <c r="NSP49" s="72"/>
      <c r="NSQ49" s="72"/>
      <c r="NSR49" s="72"/>
      <c r="NSS49" s="72"/>
      <c r="NST49" s="72"/>
      <c r="NSU49" s="72"/>
      <c r="NSV49" s="72"/>
      <c r="NSW49" s="72"/>
      <c r="NSX49" s="72"/>
      <c r="NSY49" s="72"/>
      <c r="NSZ49" s="72"/>
      <c r="NTA49" s="72"/>
      <c r="NTB49" s="72"/>
      <c r="NTC49" s="72"/>
      <c r="NTD49" s="72"/>
      <c r="NTE49" s="72"/>
      <c r="NTF49" s="72"/>
      <c r="NTG49" s="72"/>
      <c r="NTH49" s="72"/>
      <c r="NTI49" s="72"/>
      <c r="NTJ49" s="72"/>
      <c r="NTK49" s="72"/>
      <c r="NTL49" s="72"/>
      <c r="NTM49" s="72"/>
      <c r="NTN49" s="72"/>
      <c r="NTO49" s="72"/>
      <c r="NTP49" s="72"/>
      <c r="NTQ49" s="72"/>
      <c r="NTR49" s="72"/>
      <c r="NTS49" s="72"/>
      <c r="NTT49" s="72"/>
      <c r="NTU49" s="72"/>
      <c r="NTV49" s="72"/>
      <c r="NTW49" s="72"/>
      <c r="NTX49" s="72"/>
      <c r="NTY49" s="72"/>
      <c r="NTZ49" s="72"/>
      <c r="NUA49" s="72"/>
      <c r="NUB49" s="72"/>
      <c r="NUC49" s="72"/>
      <c r="NUD49" s="72"/>
      <c r="NUE49" s="72"/>
      <c r="NUF49" s="72"/>
      <c r="NUG49" s="72"/>
      <c r="NUH49" s="72"/>
      <c r="NUI49" s="72"/>
      <c r="NUJ49" s="72"/>
      <c r="NUK49" s="72"/>
      <c r="NUL49" s="72"/>
      <c r="NUM49" s="72"/>
      <c r="NUN49" s="72"/>
      <c r="NUO49" s="72"/>
      <c r="NUP49" s="72"/>
      <c r="NUQ49" s="72"/>
      <c r="NUR49" s="72"/>
      <c r="NUS49" s="72"/>
      <c r="NUT49" s="72"/>
      <c r="NUU49" s="72"/>
      <c r="NUV49" s="72"/>
      <c r="NUW49" s="72"/>
      <c r="NUX49" s="72"/>
      <c r="NUY49" s="72"/>
      <c r="NUZ49" s="72"/>
      <c r="NVA49" s="72"/>
      <c r="NVB49" s="72"/>
      <c r="NVC49" s="72"/>
      <c r="NVD49" s="72"/>
      <c r="NVE49" s="72"/>
      <c r="NVF49" s="72"/>
      <c r="NVG49" s="72"/>
      <c r="NVH49" s="72"/>
      <c r="NVI49" s="72"/>
      <c r="NVJ49" s="72"/>
      <c r="NVK49" s="72"/>
      <c r="NVL49" s="72"/>
      <c r="NVM49" s="72"/>
      <c r="NVN49" s="72"/>
      <c r="NVO49" s="72"/>
      <c r="NVP49" s="72"/>
      <c r="NVQ49" s="72"/>
      <c r="NVR49" s="72"/>
      <c r="NVS49" s="72"/>
      <c r="NVT49" s="72"/>
      <c r="NVU49" s="72"/>
      <c r="NVV49" s="72"/>
      <c r="NVW49" s="72"/>
      <c r="NVX49" s="72"/>
      <c r="NVY49" s="72"/>
      <c r="NVZ49" s="72"/>
      <c r="NWA49" s="72"/>
      <c r="NWB49" s="72"/>
      <c r="NWC49" s="72"/>
      <c r="NWD49" s="72"/>
      <c r="NWE49" s="72"/>
      <c r="NWF49" s="72"/>
      <c r="NWG49" s="72"/>
      <c r="NWH49" s="72"/>
      <c r="NWI49" s="72"/>
      <c r="NWJ49" s="72"/>
      <c r="NWK49" s="72"/>
      <c r="NWL49" s="72"/>
      <c r="NWM49" s="72"/>
      <c r="NWN49" s="72"/>
      <c r="NWO49" s="72"/>
      <c r="NWP49" s="72"/>
      <c r="NWQ49" s="72"/>
      <c r="NWR49" s="72"/>
      <c r="NWS49" s="72"/>
      <c r="NWT49" s="72"/>
      <c r="NWU49" s="72"/>
      <c r="NWV49" s="72"/>
      <c r="NWW49" s="72"/>
      <c r="NWX49" s="72"/>
      <c r="NWY49" s="72"/>
      <c r="NWZ49" s="72"/>
      <c r="NXA49" s="72"/>
      <c r="NXB49" s="72"/>
      <c r="NXC49" s="72"/>
      <c r="NXD49" s="72"/>
      <c r="NXE49" s="72"/>
      <c r="NXF49" s="72"/>
      <c r="NXG49" s="72"/>
      <c r="NXH49" s="72"/>
      <c r="NXI49" s="72"/>
      <c r="NXJ49" s="72"/>
      <c r="NXK49" s="72"/>
      <c r="NXL49" s="72"/>
      <c r="NXM49" s="72"/>
      <c r="NXN49" s="72"/>
      <c r="NXO49" s="72"/>
      <c r="NXP49" s="72"/>
      <c r="NXQ49" s="72"/>
      <c r="NXR49" s="72"/>
      <c r="NXS49" s="72"/>
      <c r="NXT49" s="72"/>
      <c r="NXU49" s="72"/>
      <c r="NXV49" s="72"/>
      <c r="NXW49" s="72"/>
      <c r="NXX49" s="72"/>
      <c r="NXY49" s="72"/>
      <c r="NXZ49" s="72"/>
      <c r="NYA49" s="72"/>
      <c r="NYB49" s="72"/>
      <c r="NYC49" s="72"/>
      <c r="NYD49" s="72"/>
      <c r="NYE49" s="72"/>
      <c r="NYF49" s="72"/>
      <c r="NYG49" s="72"/>
      <c r="NYH49" s="72"/>
      <c r="NYI49" s="72"/>
      <c r="NYJ49" s="72"/>
      <c r="NYK49" s="72"/>
      <c r="NYL49" s="72"/>
      <c r="NYM49" s="72"/>
      <c r="NYN49" s="72"/>
      <c r="NYO49" s="72"/>
      <c r="NYP49" s="72"/>
      <c r="NYQ49" s="72"/>
      <c r="NYR49" s="72"/>
      <c r="NYS49" s="72"/>
      <c r="NYT49" s="72"/>
      <c r="NYU49" s="72"/>
      <c r="NYV49" s="72"/>
      <c r="NYW49" s="72"/>
      <c r="NYX49" s="72"/>
      <c r="NYY49" s="72"/>
      <c r="NYZ49" s="72"/>
      <c r="NZA49" s="72"/>
      <c r="NZB49" s="72"/>
      <c r="NZC49" s="72"/>
      <c r="NZD49" s="72"/>
      <c r="NZE49" s="72"/>
      <c r="NZF49" s="72"/>
      <c r="NZG49" s="72"/>
      <c r="NZH49" s="72"/>
      <c r="NZI49" s="72"/>
      <c r="NZJ49" s="72"/>
      <c r="NZK49" s="72"/>
      <c r="NZL49" s="72"/>
      <c r="NZM49" s="72"/>
      <c r="NZN49" s="72"/>
      <c r="NZO49" s="72"/>
      <c r="NZP49" s="72"/>
      <c r="NZQ49" s="72"/>
      <c r="NZR49" s="72"/>
      <c r="NZS49" s="72"/>
      <c r="NZT49" s="72"/>
      <c r="NZU49" s="72"/>
      <c r="NZV49" s="72"/>
      <c r="NZW49" s="72"/>
      <c r="NZX49" s="72"/>
      <c r="NZY49" s="72"/>
      <c r="NZZ49" s="72"/>
      <c r="OAA49" s="72"/>
      <c r="OAB49" s="72"/>
      <c r="OAC49" s="72"/>
      <c r="OAD49" s="72"/>
      <c r="OAE49" s="72"/>
      <c r="OAF49" s="72"/>
      <c r="OAG49" s="72"/>
      <c r="OAH49" s="72"/>
      <c r="OAI49" s="72"/>
      <c r="OAJ49" s="72"/>
      <c r="OAK49" s="72"/>
      <c r="OAL49" s="72"/>
      <c r="OAM49" s="72"/>
      <c r="OAN49" s="72"/>
      <c r="OAO49" s="72"/>
      <c r="OAP49" s="72"/>
      <c r="OAQ49" s="72"/>
      <c r="OAR49" s="72"/>
      <c r="OAS49" s="72"/>
      <c r="OAT49" s="72"/>
      <c r="OAU49" s="72"/>
      <c r="OAV49" s="72"/>
      <c r="OAW49" s="72"/>
      <c r="OAX49" s="72"/>
      <c r="OAY49" s="72"/>
      <c r="OAZ49" s="72"/>
      <c r="OBA49" s="72"/>
      <c r="OBB49" s="72"/>
      <c r="OBC49" s="72"/>
      <c r="OBD49" s="72"/>
      <c r="OBE49" s="72"/>
      <c r="OBF49" s="72"/>
      <c r="OBG49" s="72"/>
      <c r="OBH49" s="72"/>
      <c r="OBI49" s="72"/>
      <c r="OBJ49" s="72"/>
      <c r="OBK49" s="72"/>
      <c r="OBL49" s="72"/>
      <c r="OBM49" s="72"/>
      <c r="OBN49" s="72"/>
      <c r="OBO49" s="72"/>
      <c r="OBP49" s="72"/>
      <c r="OBQ49" s="72"/>
      <c r="OBR49" s="72"/>
      <c r="OBS49" s="72"/>
      <c r="OBT49" s="72"/>
      <c r="OBU49" s="72"/>
      <c r="OBV49" s="72"/>
      <c r="OBW49" s="72"/>
      <c r="OBX49" s="72"/>
      <c r="OBY49" s="72"/>
      <c r="OBZ49" s="72"/>
      <c r="OCA49" s="72"/>
      <c r="OCB49" s="72"/>
      <c r="OCC49" s="72"/>
      <c r="OCD49" s="72"/>
      <c r="OCE49" s="72"/>
      <c r="OCF49" s="72"/>
      <c r="OCG49" s="72"/>
      <c r="OCH49" s="72"/>
      <c r="OCI49" s="72"/>
      <c r="OCJ49" s="72"/>
      <c r="OCK49" s="72"/>
      <c r="OCL49" s="72"/>
      <c r="OCM49" s="72"/>
      <c r="OCN49" s="72"/>
      <c r="OCO49" s="72"/>
      <c r="OCP49" s="72"/>
      <c r="OCQ49" s="72"/>
      <c r="OCR49" s="72"/>
      <c r="OCS49" s="72"/>
      <c r="OCT49" s="72"/>
      <c r="OCU49" s="72"/>
      <c r="OCV49" s="72"/>
      <c r="OCW49" s="72"/>
      <c r="OCX49" s="72"/>
      <c r="OCY49" s="72"/>
      <c r="OCZ49" s="72"/>
      <c r="ODA49" s="72"/>
      <c r="ODB49" s="72"/>
      <c r="ODC49" s="72"/>
      <c r="ODD49" s="72"/>
      <c r="ODE49" s="72"/>
      <c r="ODF49" s="72"/>
      <c r="ODG49" s="72"/>
      <c r="ODH49" s="72"/>
      <c r="ODI49" s="72"/>
      <c r="ODJ49" s="72"/>
      <c r="ODK49" s="72"/>
      <c r="ODL49" s="72"/>
      <c r="ODM49" s="72"/>
      <c r="ODN49" s="72"/>
      <c r="ODO49" s="72"/>
      <c r="ODP49" s="72"/>
      <c r="ODQ49" s="72"/>
      <c r="ODR49" s="72"/>
      <c r="ODS49" s="72"/>
      <c r="ODT49" s="72"/>
      <c r="ODU49" s="72"/>
      <c r="ODV49" s="72"/>
      <c r="ODW49" s="72"/>
      <c r="ODX49" s="72"/>
      <c r="ODY49" s="72"/>
      <c r="ODZ49" s="72"/>
      <c r="OEA49" s="72"/>
      <c r="OEB49" s="72"/>
      <c r="OEC49" s="72"/>
      <c r="OED49" s="72"/>
      <c r="OEE49" s="72"/>
      <c r="OEF49" s="72"/>
      <c r="OEG49" s="72"/>
      <c r="OEH49" s="72"/>
      <c r="OEI49" s="72"/>
      <c r="OEJ49" s="72"/>
      <c r="OEK49" s="72"/>
      <c r="OEL49" s="72"/>
      <c r="OEM49" s="72"/>
      <c r="OEN49" s="72"/>
      <c r="OEO49" s="72"/>
      <c r="OEP49" s="72"/>
      <c r="OEQ49" s="72"/>
      <c r="OER49" s="72"/>
      <c r="OES49" s="72"/>
      <c r="OET49" s="72"/>
      <c r="OEU49" s="72"/>
      <c r="OEV49" s="72"/>
      <c r="OEW49" s="72"/>
      <c r="OEX49" s="72"/>
      <c r="OEY49" s="72"/>
      <c r="OEZ49" s="72"/>
      <c r="OFA49" s="72"/>
      <c r="OFB49" s="72"/>
      <c r="OFC49" s="72"/>
      <c r="OFD49" s="72"/>
      <c r="OFE49" s="72"/>
      <c r="OFF49" s="72"/>
      <c r="OFG49" s="72"/>
      <c r="OFH49" s="72"/>
      <c r="OFI49" s="72"/>
      <c r="OFJ49" s="72"/>
      <c r="OFK49" s="72"/>
      <c r="OFL49" s="72"/>
      <c r="OFM49" s="72"/>
      <c r="OFN49" s="72"/>
      <c r="OFO49" s="72"/>
      <c r="OFP49" s="72"/>
      <c r="OFQ49" s="72"/>
      <c r="OFR49" s="72"/>
      <c r="OFS49" s="72"/>
      <c r="OFT49" s="72"/>
      <c r="OFU49" s="72"/>
      <c r="OFV49" s="72"/>
      <c r="OFW49" s="72"/>
      <c r="OFX49" s="72"/>
      <c r="OFY49" s="72"/>
      <c r="OFZ49" s="72"/>
      <c r="OGA49" s="72"/>
      <c r="OGB49" s="72"/>
      <c r="OGC49" s="72"/>
      <c r="OGD49" s="72"/>
      <c r="OGE49" s="72"/>
      <c r="OGF49" s="72"/>
      <c r="OGG49" s="72"/>
      <c r="OGH49" s="72"/>
      <c r="OGI49" s="72"/>
      <c r="OGJ49" s="72"/>
      <c r="OGK49" s="72"/>
      <c r="OGL49" s="72"/>
      <c r="OGM49" s="72"/>
      <c r="OGN49" s="72"/>
      <c r="OGO49" s="72"/>
      <c r="OGP49" s="72"/>
      <c r="OGQ49" s="72"/>
      <c r="OGR49" s="72"/>
      <c r="OGS49" s="72"/>
      <c r="OGT49" s="72"/>
      <c r="OGU49" s="72"/>
      <c r="OGV49" s="72"/>
      <c r="OGW49" s="72"/>
      <c r="OGX49" s="72"/>
      <c r="OGY49" s="72"/>
      <c r="OGZ49" s="72"/>
      <c r="OHA49" s="72"/>
      <c r="OHB49" s="72"/>
      <c r="OHC49" s="72"/>
      <c r="OHD49" s="72"/>
      <c r="OHE49" s="72"/>
      <c r="OHF49" s="72"/>
      <c r="OHG49" s="72"/>
      <c r="OHH49" s="72"/>
      <c r="OHI49" s="72"/>
      <c r="OHJ49" s="72"/>
      <c r="OHK49" s="72"/>
      <c r="OHL49" s="72"/>
      <c r="OHM49" s="72"/>
      <c r="OHN49" s="72"/>
      <c r="OHO49" s="72"/>
      <c r="OHP49" s="72"/>
      <c r="OHQ49" s="72"/>
      <c r="OHR49" s="72"/>
      <c r="OHS49" s="72"/>
      <c r="OHT49" s="72"/>
      <c r="OHU49" s="72"/>
      <c r="OHV49" s="72"/>
      <c r="OHW49" s="72"/>
      <c r="OHX49" s="72"/>
      <c r="OHY49" s="72"/>
      <c r="OHZ49" s="72"/>
      <c r="OIA49" s="72"/>
      <c r="OIB49" s="72"/>
      <c r="OIC49" s="72"/>
      <c r="OID49" s="72"/>
      <c r="OIE49" s="72"/>
      <c r="OIF49" s="72"/>
      <c r="OIG49" s="72"/>
      <c r="OIH49" s="72"/>
      <c r="OII49" s="72"/>
      <c r="OIJ49" s="72"/>
      <c r="OIK49" s="72"/>
      <c r="OIL49" s="72"/>
      <c r="OIM49" s="72"/>
      <c r="OIN49" s="72"/>
      <c r="OIO49" s="72"/>
      <c r="OIP49" s="72"/>
      <c r="OIQ49" s="72"/>
      <c r="OIR49" s="72"/>
      <c r="OIS49" s="72"/>
      <c r="OIT49" s="72"/>
      <c r="OIU49" s="72"/>
      <c r="OIV49" s="72"/>
      <c r="OIW49" s="72"/>
      <c r="OIX49" s="72"/>
      <c r="OIY49" s="72"/>
      <c r="OIZ49" s="72"/>
      <c r="OJA49" s="72"/>
      <c r="OJB49" s="72"/>
      <c r="OJC49" s="72"/>
      <c r="OJD49" s="72"/>
      <c r="OJE49" s="72"/>
      <c r="OJF49" s="72"/>
      <c r="OJG49" s="72"/>
      <c r="OJH49" s="72"/>
      <c r="OJI49" s="72"/>
      <c r="OJJ49" s="72"/>
      <c r="OJK49" s="72"/>
      <c r="OJL49" s="72"/>
      <c r="OJM49" s="72"/>
      <c r="OJN49" s="72"/>
      <c r="OJO49" s="72"/>
      <c r="OJP49" s="72"/>
      <c r="OJQ49" s="72"/>
      <c r="OJR49" s="72"/>
      <c r="OJS49" s="72"/>
      <c r="OJT49" s="72"/>
      <c r="OJU49" s="72"/>
      <c r="OJV49" s="72"/>
      <c r="OJW49" s="72"/>
      <c r="OJX49" s="72"/>
      <c r="OJY49" s="72"/>
      <c r="OJZ49" s="72"/>
      <c r="OKA49" s="72"/>
      <c r="OKB49" s="72"/>
      <c r="OKC49" s="72"/>
      <c r="OKD49" s="72"/>
      <c r="OKE49" s="72"/>
      <c r="OKF49" s="72"/>
      <c r="OKG49" s="72"/>
      <c r="OKH49" s="72"/>
      <c r="OKI49" s="72"/>
      <c r="OKJ49" s="72"/>
      <c r="OKK49" s="72"/>
      <c r="OKL49" s="72"/>
      <c r="OKM49" s="72"/>
      <c r="OKN49" s="72"/>
      <c r="OKO49" s="72"/>
      <c r="OKP49" s="72"/>
      <c r="OKQ49" s="72"/>
      <c r="OKR49" s="72"/>
      <c r="OKS49" s="72"/>
      <c r="OKT49" s="72"/>
      <c r="OKU49" s="72"/>
      <c r="OKV49" s="72"/>
      <c r="OKW49" s="72"/>
      <c r="OKX49" s="72"/>
      <c r="OKY49" s="72"/>
      <c r="OKZ49" s="72"/>
      <c r="OLA49" s="72"/>
      <c r="OLB49" s="72"/>
      <c r="OLC49" s="72"/>
      <c r="OLD49" s="72"/>
      <c r="OLE49" s="72"/>
      <c r="OLF49" s="72"/>
      <c r="OLG49" s="72"/>
      <c r="OLH49" s="72"/>
      <c r="OLI49" s="72"/>
      <c r="OLJ49" s="72"/>
      <c r="OLK49" s="72"/>
      <c r="OLL49" s="72"/>
      <c r="OLM49" s="72"/>
      <c r="OLN49" s="72"/>
      <c r="OLO49" s="72"/>
      <c r="OLP49" s="72"/>
      <c r="OLQ49" s="72"/>
      <c r="OLR49" s="72"/>
      <c r="OLS49" s="72"/>
      <c r="OLT49" s="72"/>
      <c r="OLU49" s="72"/>
      <c r="OLV49" s="72"/>
      <c r="OLW49" s="72"/>
      <c r="OLX49" s="72"/>
      <c r="OLY49" s="72"/>
      <c r="OLZ49" s="72"/>
      <c r="OMA49" s="72"/>
      <c r="OMB49" s="72"/>
      <c r="OMC49" s="72"/>
      <c r="OMD49" s="72"/>
      <c r="OME49" s="72"/>
      <c r="OMF49" s="72"/>
      <c r="OMG49" s="72"/>
      <c r="OMH49" s="72"/>
      <c r="OMI49" s="72"/>
      <c r="OMJ49" s="72"/>
      <c r="OMK49" s="72"/>
      <c r="OML49" s="72"/>
      <c r="OMM49" s="72"/>
      <c r="OMN49" s="72"/>
      <c r="OMO49" s="72"/>
      <c r="OMP49" s="72"/>
      <c r="OMQ49" s="72"/>
      <c r="OMR49" s="72"/>
      <c r="OMS49" s="72"/>
      <c r="OMT49" s="72"/>
      <c r="OMU49" s="72"/>
      <c r="OMV49" s="72"/>
      <c r="OMW49" s="72"/>
      <c r="OMX49" s="72"/>
      <c r="OMY49" s="72"/>
      <c r="OMZ49" s="72"/>
      <c r="ONA49" s="72"/>
      <c r="ONB49" s="72"/>
      <c r="ONC49" s="72"/>
      <c r="OND49" s="72"/>
      <c r="ONE49" s="72"/>
      <c r="ONF49" s="72"/>
      <c r="ONG49" s="72"/>
      <c r="ONH49" s="72"/>
      <c r="ONI49" s="72"/>
      <c r="ONJ49" s="72"/>
      <c r="ONK49" s="72"/>
      <c r="ONL49" s="72"/>
      <c r="ONM49" s="72"/>
      <c r="ONN49" s="72"/>
      <c r="ONO49" s="72"/>
      <c r="ONP49" s="72"/>
      <c r="ONQ49" s="72"/>
      <c r="ONR49" s="72"/>
      <c r="ONS49" s="72"/>
      <c r="ONT49" s="72"/>
      <c r="ONU49" s="72"/>
      <c r="ONV49" s="72"/>
      <c r="ONW49" s="72"/>
      <c r="ONX49" s="72"/>
      <c r="ONY49" s="72"/>
      <c r="ONZ49" s="72"/>
      <c r="OOA49" s="72"/>
      <c r="OOB49" s="72"/>
      <c r="OOC49" s="72"/>
      <c r="OOD49" s="72"/>
      <c r="OOE49" s="72"/>
      <c r="OOF49" s="72"/>
      <c r="OOG49" s="72"/>
      <c r="OOH49" s="72"/>
      <c r="OOI49" s="72"/>
      <c r="OOJ49" s="72"/>
      <c r="OOK49" s="72"/>
      <c r="OOL49" s="72"/>
      <c r="OOM49" s="72"/>
      <c r="OON49" s="72"/>
      <c r="OOO49" s="72"/>
      <c r="OOP49" s="72"/>
      <c r="OOQ49" s="72"/>
      <c r="OOR49" s="72"/>
      <c r="OOS49" s="72"/>
      <c r="OOT49" s="72"/>
      <c r="OOU49" s="72"/>
      <c r="OOV49" s="72"/>
      <c r="OOW49" s="72"/>
      <c r="OOX49" s="72"/>
      <c r="OOY49" s="72"/>
      <c r="OOZ49" s="72"/>
      <c r="OPA49" s="72"/>
      <c r="OPB49" s="72"/>
      <c r="OPC49" s="72"/>
      <c r="OPD49" s="72"/>
      <c r="OPE49" s="72"/>
      <c r="OPF49" s="72"/>
      <c r="OPG49" s="72"/>
      <c r="OPH49" s="72"/>
      <c r="OPI49" s="72"/>
      <c r="OPJ49" s="72"/>
      <c r="OPK49" s="72"/>
      <c r="OPL49" s="72"/>
      <c r="OPM49" s="72"/>
      <c r="OPN49" s="72"/>
      <c r="OPO49" s="72"/>
      <c r="OPP49" s="72"/>
      <c r="OPQ49" s="72"/>
      <c r="OPR49" s="72"/>
      <c r="OPS49" s="72"/>
      <c r="OPT49" s="72"/>
      <c r="OPU49" s="72"/>
      <c r="OPV49" s="72"/>
      <c r="OPW49" s="72"/>
      <c r="OPX49" s="72"/>
      <c r="OPY49" s="72"/>
      <c r="OPZ49" s="72"/>
      <c r="OQA49" s="72"/>
      <c r="OQB49" s="72"/>
      <c r="OQC49" s="72"/>
      <c r="OQD49" s="72"/>
      <c r="OQE49" s="72"/>
      <c r="OQF49" s="72"/>
      <c r="OQG49" s="72"/>
      <c r="OQH49" s="72"/>
      <c r="OQI49" s="72"/>
      <c r="OQJ49" s="72"/>
      <c r="OQK49" s="72"/>
      <c r="OQL49" s="72"/>
      <c r="OQM49" s="72"/>
      <c r="OQN49" s="72"/>
      <c r="OQO49" s="72"/>
      <c r="OQP49" s="72"/>
      <c r="OQQ49" s="72"/>
      <c r="OQR49" s="72"/>
      <c r="OQS49" s="72"/>
      <c r="OQT49" s="72"/>
      <c r="OQU49" s="72"/>
      <c r="OQV49" s="72"/>
      <c r="OQW49" s="72"/>
      <c r="OQX49" s="72"/>
      <c r="OQY49" s="72"/>
      <c r="OQZ49" s="72"/>
      <c r="ORA49" s="72"/>
      <c r="ORB49" s="72"/>
      <c r="ORC49" s="72"/>
      <c r="ORD49" s="72"/>
      <c r="ORE49" s="72"/>
      <c r="ORF49" s="72"/>
      <c r="ORG49" s="72"/>
      <c r="ORH49" s="72"/>
      <c r="ORI49" s="72"/>
      <c r="ORJ49" s="72"/>
      <c r="ORK49" s="72"/>
      <c r="ORL49" s="72"/>
      <c r="ORM49" s="72"/>
      <c r="ORN49" s="72"/>
      <c r="ORO49" s="72"/>
      <c r="ORP49" s="72"/>
      <c r="ORQ49" s="72"/>
      <c r="ORR49" s="72"/>
      <c r="ORS49" s="72"/>
      <c r="ORT49" s="72"/>
      <c r="ORU49" s="72"/>
      <c r="ORV49" s="72"/>
      <c r="ORW49" s="72"/>
      <c r="ORX49" s="72"/>
      <c r="ORY49" s="72"/>
      <c r="ORZ49" s="72"/>
      <c r="OSA49" s="72"/>
      <c r="OSB49" s="72"/>
      <c r="OSC49" s="72"/>
      <c r="OSD49" s="72"/>
      <c r="OSE49" s="72"/>
      <c r="OSF49" s="72"/>
      <c r="OSG49" s="72"/>
      <c r="OSH49" s="72"/>
      <c r="OSI49" s="72"/>
      <c r="OSJ49" s="72"/>
      <c r="OSK49" s="72"/>
      <c r="OSL49" s="72"/>
      <c r="OSM49" s="72"/>
      <c r="OSN49" s="72"/>
      <c r="OSO49" s="72"/>
      <c r="OSP49" s="72"/>
      <c r="OSQ49" s="72"/>
      <c r="OSR49" s="72"/>
      <c r="OSS49" s="72"/>
      <c r="OST49" s="72"/>
      <c r="OSU49" s="72"/>
      <c r="OSV49" s="72"/>
      <c r="OSW49" s="72"/>
      <c r="OSX49" s="72"/>
      <c r="OSY49" s="72"/>
      <c r="OSZ49" s="72"/>
      <c r="OTA49" s="72"/>
      <c r="OTB49" s="72"/>
      <c r="OTC49" s="72"/>
      <c r="OTD49" s="72"/>
      <c r="OTE49" s="72"/>
      <c r="OTF49" s="72"/>
      <c r="OTG49" s="72"/>
      <c r="OTH49" s="72"/>
      <c r="OTI49" s="72"/>
      <c r="OTJ49" s="72"/>
      <c r="OTK49" s="72"/>
      <c r="OTL49" s="72"/>
      <c r="OTM49" s="72"/>
      <c r="OTN49" s="72"/>
      <c r="OTO49" s="72"/>
      <c r="OTP49" s="72"/>
      <c r="OTQ49" s="72"/>
      <c r="OTR49" s="72"/>
      <c r="OTS49" s="72"/>
      <c r="OTT49" s="72"/>
      <c r="OTU49" s="72"/>
      <c r="OTV49" s="72"/>
      <c r="OTW49" s="72"/>
      <c r="OTX49" s="72"/>
      <c r="OTY49" s="72"/>
      <c r="OTZ49" s="72"/>
      <c r="OUA49" s="72"/>
      <c r="OUB49" s="72"/>
      <c r="OUC49" s="72"/>
      <c r="OUD49" s="72"/>
      <c r="OUE49" s="72"/>
      <c r="OUF49" s="72"/>
      <c r="OUG49" s="72"/>
      <c r="OUH49" s="72"/>
      <c r="OUI49" s="72"/>
      <c r="OUJ49" s="72"/>
      <c r="OUK49" s="72"/>
      <c r="OUL49" s="72"/>
      <c r="OUM49" s="72"/>
      <c r="OUN49" s="72"/>
      <c r="OUO49" s="72"/>
      <c r="OUP49" s="72"/>
      <c r="OUQ49" s="72"/>
      <c r="OUR49" s="72"/>
      <c r="OUS49" s="72"/>
      <c r="OUT49" s="72"/>
      <c r="OUU49" s="72"/>
      <c r="OUV49" s="72"/>
      <c r="OUW49" s="72"/>
      <c r="OUX49" s="72"/>
      <c r="OUY49" s="72"/>
      <c r="OUZ49" s="72"/>
      <c r="OVA49" s="72"/>
      <c r="OVB49" s="72"/>
      <c r="OVC49" s="72"/>
      <c r="OVD49" s="72"/>
      <c r="OVE49" s="72"/>
      <c r="OVF49" s="72"/>
      <c r="OVG49" s="72"/>
      <c r="OVH49" s="72"/>
      <c r="OVI49" s="72"/>
      <c r="OVJ49" s="72"/>
      <c r="OVK49" s="72"/>
      <c r="OVL49" s="72"/>
      <c r="OVM49" s="72"/>
      <c r="OVN49" s="72"/>
      <c r="OVO49" s="72"/>
      <c r="OVP49" s="72"/>
      <c r="OVQ49" s="72"/>
      <c r="OVR49" s="72"/>
      <c r="OVS49" s="72"/>
      <c r="OVT49" s="72"/>
      <c r="OVU49" s="72"/>
      <c r="OVV49" s="72"/>
      <c r="OVW49" s="72"/>
      <c r="OVX49" s="72"/>
      <c r="OVY49" s="72"/>
      <c r="OVZ49" s="72"/>
      <c r="OWA49" s="72"/>
      <c r="OWB49" s="72"/>
      <c r="OWC49" s="72"/>
      <c r="OWD49" s="72"/>
      <c r="OWE49" s="72"/>
      <c r="OWF49" s="72"/>
      <c r="OWG49" s="72"/>
      <c r="OWH49" s="72"/>
      <c r="OWI49" s="72"/>
      <c r="OWJ49" s="72"/>
      <c r="OWK49" s="72"/>
      <c r="OWL49" s="72"/>
      <c r="OWM49" s="72"/>
      <c r="OWN49" s="72"/>
      <c r="OWO49" s="72"/>
      <c r="OWP49" s="72"/>
      <c r="OWQ49" s="72"/>
      <c r="OWR49" s="72"/>
      <c r="OWS49" s="72"/>
      <c r="OWT49" s="72"/>
      <c r="OWU49" s="72"/>
      <c r="OWV49" s="72"/>
      <c r="OWW49" s="72"/>
      <c r="OWX49" s="72"/>
      <c r="OWY49" s="72"/>
      <c r="OWZ49" s="72"/>
      <c r="OXA49" s="72"/>
      <c r="OXB49" s="72"/>
      <c r="OXC49" s="72"/>
      <c r="OXD49" s="72"/>
      <c r="OXE49" s="72"/>
      <c r="OXF49" s="72"/>
      <c r="OXG49" s="72"/>
      <c r="OXH49" s="72"/>
      <c r="OXI49" s="72"/>
      <c r="OXJ49" s="72"/>
      <c r="OXK49" s="72"/>
      <c r="OXL49" s="72"/>
      <c r="OXM49" s="72"/>
      <c r="OXN49" s="72"/>
      <c r="OXO49" s="72"/>
      <c r="OXP49" s="72"/>
      <c r="OXQ49" s="72"/>
      <c r="OXR49" s="72"/>
      <c r="OXS49" s="72"/>
      <c r="OXT49" s="72"/>
      <c r="OXU49" s="72"/>
      <c r="OXV49" s="72"/>
      <c r="OXW49" s="72"/>
      <c r="OXX49" s="72"/>
      <c r="OXY49" s="72"/>
      <c r="OXZ49" s="72"/>
      <c r="OYA49" s="72"/>
      <c r="OYB49" s="72"/>
      <c r="OYC49" s="72"/>
      <c r="OYD49" s="72"/>
      <c r="OYE49" s="72"/>
      <c r="OYF49" s="72"/>
      <c r="OYG49" s="72"/>
      <c r="OYH49" s="72"/>
      <c r="OYI49" s="72"/>
      <c r="OYJ49" s="72"/>
      <c r="OYK49" s="72"/>
      <c r="OYL49" s="72"/>
      <c r="OYM49" s="72"/>
      <c r="OYN49" s="72"/>
      <c r="OYO49" s="72"/>
      <c r="OYP49" s="72"/>
      <c r="OYQ49" s="72"/>
      <c r="OYR49" s="72"/>
      <c r="OYS49" s="72"/>
      <c r="OYT49" s="72"/>
      <c r="OYU49" s="72"/>
      <c r="OYV49" s="72"/>
      <c r="OYW49" s="72"/>
      <c r="OYX49" s="72"/>
      <c r="OYY49" s="72"/>
      <c r="OYZ49" s="72"/>
      <c r="OZA49" s="72"/>
      <c r="OZB49" s="72"/>
      <c r="OZC49" s="72"/>
      <c r="OZD49" s="72"/>
      <c r="OZE49" s="72"/>
      <c r="OZF49" s="72"/>
      <c r="OZG49" s="72"/>
      <c r="OZH49" s="72"/>
      <c r="OZI49" s="72"/>
      <c r="OZJ49" s="72"/>
      <c r="OZK49" s="72"/>
      <c r="OZL49" s="72"/>
      <c r="OZM49" s="72"/>
      <c r="OZN49" s="72"/>
      <c r="OZO49" s="72"/>
      <c r="OZP49" s="72"/>
      <c r="OZQ49" s="72"/>
      <c r="OZR49" s="72"/>
      <c r="OZS49" s="72"/>
      <c r="OZT49" s="72"/>
      <c r="OZU49" s="72"/>
      <c r="OZV49" s="72"/>
      <c r="OZW49" s="72"/>
      <c r="OZX49" s="72"/>
      <c r="OZY49" s="72"/>
      <c r="OZZ49" s="72"/>
      <c r="PAA49" s="72"/>
      <c r="PAB49" s="72"/>
      <c r="PAC49" s="72"/>
      <c r="PAD49" s="72"/>
      <c r="PAE49" s="72"/>
      <c r="PAF49" s="72"/>
      <c r="PAG49" s="72"/>
      <c r="PAH49" s="72"/>
      <c r="PAI49" s="72"/>
      <c r="PAJ49" s="72"/>
      <c r="PAK49" s="72"/>
      <c r="PAL49" s="72"/>
      <c r="PAM49" s="72"/>
      <c r="PAN49" s="72"/>
      <c r="PAO49" s="72"/>
      <c r="PAP49" s="72"/>
      <c r="PAQ49" s="72"/>
      <c r="PAR49" s="72"/>
      <c r="PAS49" s="72"/>
      <c r="PAT49" s="72"/>
      <c r="PAU49" s="72"/>
      <c r="PAV49" s="72"/>
      <c r="PAW49" s="72"/>
      <c r="PAX49" s="72"/>
      <c r="PAY49" s="72"/>
      <c r="PAZ49" s="72"/>
      <c r="PBA49" s="72"/>
      <c r="PBB49" s="72"/>
      <c r="PBC49" s="72"/>
      <c r="PBD49" s="72"/>
      <c r="PBE49" s="72"/>
      <c r="PBF49" s="72"/>
      <c r="PBG49" s="72"/>
      <c r="PBH49" s="72"/>
      <c r="PBI49" s="72"/>
      <c r="PBJ49" s="72"/>
      <c r="PBK49" s="72"/>
      <c r="PBL49" s="72"/>
      <c r="PBM49" s="72"/>
      <c r="PBN49" s="72"/>
      <c r="PBO49" s="72"/>
      <c r="PBP49" s="72"/>
      <c r="PBQ49" s="72"/>
      <c r="PBR49" s="72"/>
      <c r="PBS49" s="72"/>
      <c r="PBT49" s="72"/>
      <c r="PBU49" s="72"/>
      <c r="PBV49" s="72"/>
      <c r="PBW49" s="72"/>
      <c r="PBX49" s="72"/>
      <c r="PBY49" s="72"/>
      <c r="PBZ49" s="72"/>
      <c r="PCA49" s="72"/>
      <c r="PCB49" s="72"/>
      <c r="PCC49" s="72"/>
      <c r="PCD49" s="72"/>
      <c r="PCE49" s="72"/>
      <c r="PCF49" s="72"/>
      <c r="PCG49" s="72"/>
      <c r="PCH49" s="72"/>
      <c r="PCI49" s="72"/>
      <c r="PCJ49" s="72"/>
      <c r="PCK49" s="72"/>
      <c r="PCL49" s="72"/>
      <c r="PCM49" s="72"/>
      <c r="PCN49" s="72"/>
      <c r="PCO49" s="72"/>
      <c r="PCP49" s="72"/>
      <c r="PCQ49" s="72"/>
      <c r="PCR49" s="72"/>
      <c r="PCS49" s="72"/>
      <c r="PCT49" s="72"/>
      <c r="PCU49" s="72"/>
      <c r="PCV49" s="72"/>
      <c r="PCW49" s="72"/>
      <c r="PCX49" s="72"/>
      <c r="PCY49" s="72"/>
      <c r="PCZ49" s="72"/>
      <c r="PDA49" s="72"/>
      <c r="PDB49" s="72"/>
      <c r="PDC49" s="72"/>
      <c r="PDD49" s="72"/>
      <c r="PDE49" s="72"/>
      <c r="PDF49" s="72"/>
      <c r="PDG49" s="72"/>
      <c r="PDH49" s="72"/>
      <c r="PDI49" s="72"/>
      <c r="PDJ49" s="72"/>
      <c r="PDK49" s="72"/>
      <c r="PDL49" s="72"/>
      <c r="PDM49" s="72"/>
      <c r="PDN49" s="72"/>
      <c r="PDO49" s="72"/>
      <c r="PDP49" s="72"/>
      <c r="PDQ49" s="72"/>
      <c r="PDR49" s="72"/>
      <c r="PDS49" s="72"/>
      <c r="PDT49" s="72"/>
      <c r="PDU49" s="72"/>
      <c r="PDV49" s="72"/>
      <c r="PDW49" s="72"/>
      <c r="PDX49" s="72"/>
      <c r="PDY49" s="72"/>
      <c r="PDZ49" s="72"/>
      <c r="PEA49" s="72"/>
      <c r="PEB49" s="72"/>
      <c r="PEC49" s="72"/>
      <c r="PED49" s="72"/>
      <c r="PEE49" s="72"/>
      <c r="PEF49" s="72"/>
      <c r="PEG49" s="72"/>
      <c r="PEH49" s="72"/>
      <c r="PEI49" s="72"/>
      <c r="PEJ49" s="72"/>
      <c r="PEK49" s="72"/>
      <c r="PEL49" s="72"/>
      <c r="PEM49" s="72"/>
      <c r="PEN49" s="72"/>
      <c r="PEO49" s="72"/>
      <c r="PEP49" s="72"/>
      <c r="PEQ49" s="72"/>
      <c r="PER49" s="72"/>
      <c r="PES49" s="72"/>
      <c r="PET49" s="72"/>
      <c r="PEU49" s="72"/>
      <c r="PEV49" s="72"/>
      <c r="PEW49" s="72"/>
      <c r="PEX49" s="72"/>
      <c r="PEY49" s="72"/>
      <c r="PEZ49" s="72"/>
      <c r="PFA49" s="72"/>
      <c r="PFB49" s="72"/>
      <c r="PFC49" s="72"/>
      <c r="PFD49" s="72"/>
      <c r="PFE49" s="72"/>
      <c r="PFF49" s="72"/>
      <c r="PFG49" s="72"/>
      <c r="PFH49" s="72"/>
      <c r="PFI49" s="72"/>
      <c r="PFJ49" s="72"/>
      <c r="PFK49" s="72"/>
      <c r="PFL49" s="72"/>
      <c r="PFM49" s="72"/>
      <c r="PFN49" s="72"/>
      <c r="PFO49" s="72"/>
      <c r="PFP49" s="72"/>
      <c r="PFQ49" s="72"/>
      <c r="PFR49" s="72"/>
      <c r="PFS49" s="72"/>
      <c r="PFT49" s="72"/>
      <c r="PFU49" s="72"/>
      <c r="PFV49" s="72"/>
      <c r="PFW49" s="72"/>
      <c r="PFX49" s="72"/>
      <c r="PFY49" s="72"/>
      <c r="PFZ49" s="72"/>
      <c r="PGA49" s="72"/>
      <c r="PGB49" s="72"/>
      <c r="PGC49" s="72"/>
      <c r="PGD49" s="72"/>
      <c r="PGE49" s="72"/>
      <c r="PGF49" s="72"/>
      <c r="PGG49" s="72"/>
      <c r="PGH49" s="72"/>
      <c r="PGI49" s="72"/>
      <c r="PGJ49" s="72"/>
      <c r="PGK49" s="72"/>
      <c r="PGL49" s="72"/>
      <c r="PGM49" s="72"/>
      <c r="PGN49" s="72"/>
      <c r="PGO49" s="72"/>
      <c r="PGP49" s="72"/>
      <c r="PGQ49" s="72"/>
      <c r="PGR49" s="72"/>
      <c r="PGS49" s="72"/>
      <c r="PGT49" s="72"/>
      <c r="PGU49" s="72"/>
      <c r="PGV49" s="72"/>
      <c r="PGW49" s="72"/>
      <c r="PGX49" s="72"/>
      <c r="PGY49" s="72"/>
      <c r="PGZ49" s="72"/>
      <c r="PHA49" s="72"/>
      <c r="PHB49" s="72"/>
      <c r="PHC49" s="72"/>
      <c r="PHD49" s="72"/>
      <c r="PHE49" s="72"/>
      <c r="PHF49" s="72"/>
      <c r="PHG49" s="72"/>
      <c r="PHH49" s="72"/>
      <c r="PHI49" s="72"/>
      <c r="PHJ49" s="72"/>
      <c r="PHK49" s="72"/>
      <c r="PHL49" s="72"/>
      <c r="PHM49" s="72"/>
      <c r="PHN49" s="72"/>
      <c r="PHO49" s="72"/>
      <c r="PHP49" s="72"/>
      <c r="PHQ49" s="72"/>
      <c r="PHR49" s="72"/>
      <c r="PHS49" s="72"/>
      <c r="PHT49" s="72"/>
      <c r="PHU49" s="72"/>
      <c r="PHV49" s="72"/>
      <c r="PHW49" s="72"/>
      <c r="PHX49" s="72"/>
      <c r="PHY49" s="72"/>
      <c r="PHZ49" s="72"/>
      <c r="PIA49" s="72"/>
      <c r="PIB49" s="72"/>
      <c r="PIC49" s="72"/>
      <c r="PID49" s="72"/>
      <c r="PIE49" s="72"/>
      <c r="PIF49" s="72"/>
      <c r="PIG49" s="72"/>
      <c r="PIH49" s="72"/>
      <c r="PII49" s="72"/>
      <c r="PIJ49" s="72"/>
      <c r="PIK49" s="72"/>
      <c r="PIL49" s="72"/>
      <c r="PIM49" s="72"/>
      <c r="PIN49" s="72"/>
      <c r="PIO49" s="72"/>
      <c r="PIP49" s="72"/>
      <c r="PIQ49" s="72"/>
      <c r="PIR49" s="72"/>
      <c r="PIS49" s="72"/>
      <c r="PIT49" s="72"/>
      <c r="PIU49" s="72"/>
      <c r="PIV49" s="72"/>
      <c r="PIW49" s="72"/>
      <c r="PIX49" s="72"/>
      <c r="PIY49" s="72"/>
      <c r="PIZ49" s="72"/>
      <c r="PJA49" s="72"/>
      <c r="PJB49" s="72"/>
      <c r="PJC49" s="72"/>
      <c r="PJD49" s="72"/>
      <c r="PJE49" s="72"/>
      <c r="PJF49" s="72"/>
      <c r="PJG49" s="72"/>
      <c r="PJH49" s="72"/>
      <c r="PJI49" s="72"/>
      <c r="PJJ49" s="72"/>
      <c r="PJK49" s="72"/>
      <c r="PJL49" s="72"/>
      <c r="PJM49" s="72"/>
      <c r="PJN49" s="72"/>
      <c r="PJO49" s="72"/>
      <c r="PJP49" s="72"/>
      <c r="PJQ49" s="72"/>
      <c r="PJR49" s="72"/>
      <c r="PJS49" s="72"/>
      <c r="PJT49" s="72"/>
      <c r="PJU49" s="72"/>
      <c r="PJV49" s="72"/>
      <c r="PJW49" s="72"/>
      <c r="PJX49" s="72"/>
      <c r="PJY49" s="72"/>
      <c r="PJZ49" s="72"/>
      <c r="PKA49" s="72"/>
      <c r="PKB49" s="72"/>
      <c r="PKC49" s="72"/>
      <c r="PKD49" s="72"/>
      <c r="PKE49" s="72"/>
      <c r="PKF49" s="72"/>
      <c r="PKG49" s="72"/>
      <c r="PKH49" s="72"/>
      <c r="PKI49" s="72"/>
      <c r="PKJ49" s="72"/>
      <c r="PKK49" s="72"/>
      <c r="PKL49" s="72"/>
      <c r="PKM49" s="72"/>
      <c r="PKN49" s="72"/>
      <c r="PKO49" s="72"/>
      <c r="PKP49" s="72"/>
      <c r="PKQ49" s="72"/>
      <c r="PKR49" s="72"/>
      <c r="PKS49" s="72"/>
      <c r="PKT49" s="72"/>
      <c r="PKU49" s="72"/>
      <c r="PKV49" s="72"/>
      <c r="PKW49" s="72"/>
      <c r="PKX49" s="72"/>
      <c r="PKY49" s="72"/>
      <c r="PKZ49" s="72"/>
      <c r="PLA49" s="72"/>
      <c r="PLB49" s="72"/>
      <c r="PLC49" s="72"/>
      <c r="PLD49" s="72"/>
      <c r="PLE49" s="72"/>
      <c r="PLF49" s="72"/>
      <c r="PLG49" s="72"/>
      <c r="PLH49" s="72"/>
      <c r="PLI49" s="72"/>
      <c r="PLJ49" s="72"/>
      <c r="PLK49" s="72"/>
      <c r="PLL49" s="72"/>
      <c r="PLM49" s="72"/>
      <c r="PLN49" s="72"/>
      <c r="PLO49" s="72"/>
      <c r="PLP49" s="72"/>
      <c r="PLQ49" s="72"/>
      <c r="PLR49" s="72"/>
      <c r="PLS49" s="72"/>
      <c r="PLT49" s="72"/>
      <c r="PLU49" s="72"/>
      <c r="PLV49" s="72"/>
      <c r="PLW49" s="72"/>
      <c r="PLX49" s="72"/>
      <c r="PLY49" s="72"/>
      <c r="PLZ49" s="72"/>
      <c r="PMA49" s="72"/>
      <c r="PMB49" s="72"/>
      <c r="PMC49" s="72"/>
      <c r="PMD49" s="72"/>
      <c r="PME49" s="72"/>
      <c r="PMF49" s="72"/>
      <c r="PMG49" s="72"/>
      <c r="PMH49" s="72"/>
      <c r="PMI49" s="72"/>
      <c r="PMJ49" s="72"/>
      <c r="PMK49" s="72"/>
      <c r="PML49" s="72"/>
      <c r="PMM49" s="72"/>
      <c r="PMN49" s="72"/>
      <c r="PMO49" s="72"/>
      <c r="PMP49" s="72"/>
      <c r="PMQ49" s="72"/>
      <c r="PMR49" s="72"/>
      <c r="PMS49" s="72"/>
      <c r="PMT49" s="72"/>
      <c r="PMU49" s="72"/>
      <c r="PMV49" s="72"/>
      <c r="PMW49" s="72"/>
      <c r="PMX49" s="72"/>
      <c r="PMY49" s="72"/>
      <c r="PMZ49" s="72"/>
      <c r="PNA49" s="72"/>
      <c r="PNB49" s="72"/>
      <c r="PNC49" s="72"/>
      <c r="PND49" s="72"/>
      <c r="PNE49" s="72"/>
      <c r="PNF49" s="72"/>
      <c r="PNG49" s="72"/>
      <c r="PNH49" s="72"/>
      <c r="PNI49" s="72"/>
      <c r="PNJ49" s="72"/>
      <c r="PNK49" s="72"/>
      <c r="PNL49" s="72"/>
      <c r="PNM49" s="72"/>
      <c r="PNN49" s="72"/>
      <c r="PNO49" s="72"/>
      <c r="PNP49" s="72"/>
      <c r="PNQ49" s="72"/>
      <c r="PNR49" s="72"/>
      <c r="PNS49" s="72"/>
      <c r="PNT49" s="72"/>
      <c r="PNU49" s="72"/>
      <c r="PNV49" s="72"/>
      <c r="PNW49" s="72"/>
      <c r="PNX49" s="72"/>
      <c r="PNY49" s="72"/>
      <c r="PNZ49" s="72"/>
      <c r="POA49" s="72"/>
      <c r="POB49" s="72"/>
      <c r="POC49" s="72"/>
      <c r="POD49" s="72"/>
      <c r="POE49" s="72"/>
      <c r="POF49" s="72"/>
      <c r="POG49" s="72"/>
      <c r="POH49" s="72"/>
      <c r="POI49" s="72"/>
      <c r="POJ49" s="72"/>
      <c r="POK49" s="72"/>
      <c r="POL49" s="72"/>
      <c r="POM49" s="72"/>
      <c r="PON49" s="72"/>
      <c r="POO49" s="72"/>
      <c r="POP49" s="72"/>
      <c r="POQ49" s="72"/>
      <c r="POR49" s="72"/>
      <c r="POS49" s="72"/>
      <c r="POT49" s="72"/>
      <c r="POU49" s="72"/>
      <c r="POV49" s="72"/>
      <c r="POW49" s="72"/>
      <c r="POX49" s="72"/>
      <c r="POY49" s="72"/>
      <c r="POZ49" s="72"/>
      <c r="PPA49" s="72"/>
      <c r="PPB49" s="72"/>
      <c r="PPC49" s="72"/>
      <c r="PPD49" s="72"/>
      <c r="PPE49" s="72"/>
      <c r="PPF49" s="72"/>
      <c r="PPG49" s="72"/>
      <c r="PPH49" s="72"/>
      <c r="PPI49" s="72"/>
      <c r="PPJ49" s="72"/>
      <c r="PPK49" s="72"/>
      <c r="PPL49" s="72"/>
      <c r="PPM49" s="72"/>
      <c r="PPN49" s="72"/>
      <c r="PPO49" s="72"/>
      <c r="PPP49" s="72"/>
      <c r="PPQ49" s="72"/>
      <c r="PPR49" s="72"/>
      <c r="PPS49" s="72"/>
      <c r="PPT49" s="72"/>
      <c r="PPU49" s="72"/>
      <c r="PPV49" s="72"/>
      <c r="PPW49" s="72"/>
      <c r="PPX49" s="72"/>
      <c r="PPY49" s="72"/>
      <c r="PPZ49" s="72"/>
      <c r="PQA49" s="72"/>
      <c r="PQB49" s="72"/>
      <c r="PQC49" s="72"/>
      <c r="PQD49" s="72"/>
      <c r="PQE49" s="72"/>
      <c r="PQF49" s="72"/>
      <c r="PQG49" s="72"/>
      <c r="PQH49" s="72"/>
      <c r="PQI49" s="72"/>
      <c r="PQJ49" s="72"/>
      <c r="PQK49" s="72"/>
      <c r="PQL49" s="72"/>
      <c r="PQM49" s="72"/>
      <c r="PQN49" s="72"/>
      <c r="PQO49" s="72"/>
      <c r="PQP49" s="72"/>
      <c r="PQQ49" s="72"/>
      <c r="PQR49" s="72"/>
      <c r="PQS49" s="72"/>
      <c r="PQT49" s="72"/>
      <c r="PQU49" s="72"/>
      <c r="PQV49" s="72"/>
      <c r="PQW49" s="72"/>
      <c r="PQX49" s="72"/>
      <c r="PQY49" s="72"/>
      <c r="PQZ49" s="72"/>
      <c r="PRA49" s="72"/>
      <c r="PRB49" s="72"/>
      <c r="PRC49" s="72"/>
      <c r="PRD49" s="72"/>
      <c r="PRE49" s="72"/>
      <c r="PRF49" s="72"/>
      <c r="PRG49" s="72"/>
      <c r="PRH49" s="72"/>
      <c r="PRI49" s="72"/>
      <c r="PRJ49" s="72"/>
      <c r="PRK49" s="72"/>
      <c r="PRL49" s="72"/>
      <c r="PRM49" s="72"/>
      <c r="PRN49" s="72"/>
      <c r="PRO49" s="72"/>
      <c r="PRP49" s="72"/>
      <c r="PRQ49" s="72"/>
      <c r="PRR49" s="72"/>
      <c r="PRS49" s="72"/>
      <c r="PRT49" s="72"/>
      <c r="PRU49" s="72"/>
      <c r="PRV49" s="72"/>
      <c r="PRW49" s="72"/>
      <c r="PRX49" s="72"/>
      <c r="PRY49" s="72"/>
      <c r="PRZ49" s="72"/>
      <c r="PSA49" s="72"/>
      <c r="PSB49" s="72"/>
      <c r="PSC49" s="72"/>
      <c r="PSD49" s="72"/>
      <c r="PSE49" s="72"/>
      <c r="PSF49" s="72"/>
      <c r="PSG49" s="72"/>
      <c r="PSH49" s="72"/>
      <c r="PSI49" s="72"/>
      <c r="PSJ49" s="72"/>
      <c r="PSK49" s="72"/>
      <c r="PSL49" s="72"/>
      <c r="PSM49" s="72"/>
      <c r="PSN49" s="72"/>
      <c r="PSO49" s="72"/>
      <c r="PSP49" s="72"/>
      <c r="PSQ49" s="72"/>
      <c r="PSR49" s="72"/>
      <c r="PSS49" s="72"/>
      <c r="PST49" s="72"/>
      <c r="PSU49" s="72"/>
      <c r="PSV49" s="72"/>
      <c r="PSW49" s="72"/>
      <c r="PSX49" s="72"/>
      <c r="PSY49" s="72"/>
      <c r="PSZ49" s="72"/>
      <c r="PTA49" s="72"/>
      <c r="PTB49" s="72"/>
      <c r="PTC49" s="72"/>
      <c r="PTD49" s="72"/>
      <c r="PTE49" s="72"/>
      <c r="PTF49" s="72"/>
      <c r="PTG49" s="72"/>
      <c r="PTH49" s="72"/>
      <c r="PTI49" s="72"/>
      <c r="PTJ49" s="72"/>
      <c r="PTK49" s="72"/>
      <c r="PTL49" s="72"/>
      <c r="PTM49" s="72"/>
      <c r="PTN49" s="72"/>
      <c r="PTO49" s="72"/>
      <c r="PTP49" s="72"/>
      <c r="PTQ49" s="72"/>
      <c r="PTR49" s="72"/>
      <c r="PTS49" s="72"/>
      <c r="PTT49" s="72"/>
      <c r="PTU49" s="72"/>
      <c r="PTV49" s="72"/>
      <c r="PTW49" s="72"/>
      <c r="PTX49" s="72"/>
      <c r="PTY49" s="72"/>
      <c r="PTZ49" s="72"/>
      <c r="PUA49" s="72"/>
      <c r="PUB49" s="72"/>
      <c r="PUC49" s="72"/>
      <c r="PUD49" s="72"/>
      <c r="PUE49" s="72"/>
      <c r="PUF49" s="72"/>
      <c r="PUG49" s="72"/>
      <c r="PUH49" s="72"/>
      <c r="PUI49" s="72"/>
      <c r="PUJ49" s="72"/>
      <c r="PUK49" s="72"/>
      <c r="PUL49" s="72"/>
      <c r="PUM49" s="72"/>
      <c r="PUN49" s="72"/>
      <c r="PUO49" s="72"/>
      <c r="PUP49" s="72"/>
      <c r="PUQ49" s="72"/>
      <c r="PUR49" s="72"/>
      <c r="PUS49" s="72"/>
      <c r="PUT49" s="72"/>
      <c r="PUU49" s="72"/>
      <c r="PUV49" s="72"/>
      <c r="PUW49" s="72"/>
      <c r="PUX49" s="72"/>
      <c r="PUY49" s="72"/>
      <c r="PUZ49" s="72"/>
      <c r="PVA49" s="72"/>
      <c r="PVB49" s="72"/>
      <c r="PVC49" s="72"/>
      <c r="PVD49" s="72"/>
      <c r="PVE49" s="72"/>
      <c r="PVF49" s="72"/>
      <c r="PVG49" s="72"/>
      <c r="PVH49" s="72"/>
      <c r="PVI49" s="72"/>
      <c r="PVJ49" s="72"/>
      <c r="PVK49" s="72"/>
      <c r="PVL49" s="72"/>
      <c r="PVM49" s="72"/>
      <c r="PVN49" s="72"/>
      <c r="PVO49" s="72"/>
      <c r="PVP49" s="72"/>
      <c r="PVQ49" s="72"/>
      <c r="PVR49" s="72"/>
      <c r="PVS49" s="72"/>
      <c r="PVT49" s="72"/>
      <c r="PVU49" s="72"/>
      <c r="PVV49" s="72"/>
      <c r="PVW49" s="72"/>
      <c r="PVX49" s="72"/>
      <c r="PVY49" s="72"/>
      <c r="PVZ49" s="72"/>
      <c r="PWA49" s="72"/>
      <c r="PWB49" s="72"/>
      <c r="PWC49" s="72"/>
      <c r="PWD49" s="72"/>
      <c r="PWE49" s="72"/>
      <c r="PWF49" s="72"/>
      <c r="PWG49" s="72"/>
      <c r="PWH49" s="72"/>
      <c r="PWI49" s="72"/>
      <c r="PWJ49" s="72"/>
      <c r="PWK49" s="72"/>
      <c r="PWL49" s="72"/>
      <c r="PWM49" s="72"/>
      <c r="PWN49" s="72"/>
      <c r="PWO49" s="72"/>
      <c r="PWP49" s="72"/>
      <c r="PWQ49" s="72"/>
      <c r="PWR49" s="72"/>
      <c r="PWS49" s="72"/>
      <c r="PWT49" s="72"/>
      <c r="PWU49" s="72"/>
      <c r="PWV49" s="72"/>
      <c r="PWW49" s="72"/>
      <c r="PWX49" s="72"/>
      <c r="PWY49" s="72"/>
      <c r="PWZ49" s="72"/>
      <c r="PXA49" s="72"/>
      <c r="PXB49" s="72"/>
      <c r="PXC49" s="72"/>
      <c r="PXD49" s="72"/>
      <c r="PXE49" s="72"/>
      <c r="PXF49" s="72"/>
      <c r="PXG49" s="72"/>
      <c r="PXH49" s="72"/>
      <c r="PXI49" s="72"/>
      <c r="PXJ49" s="72"/>
      <c r="PXK49" s="72"/>
      <c r="PXL49" s="72"/>
      <c r="PXM49" s="72"/>
      <c r="PXN49" s="72"/>
      <c r="PXO49" s="72"/>
      <c r="PXP49" s="72"/>
      <c r="PXQ49" s="72"/>
      <c r="PXR49" s="72"/>
      <c r="PXS49" s="72"/>
      <c r="PXT49" s="72"/>
      <c r="PXU49" s="72"/>
      <c r="PXV49" s="72"/>
      <c r="PXW49" s="72"/>
      <c r="PXX49" s="72"/>
      <c r="PXY49" s="72"/>
      <c r="PXZ49" s="72"/>
      <c r="PYA49" s="72"/>
      <c r="PYB49" s="72"/>
      <c r="PYC49" s="72"/>
      <c r="PYD49" s="72"/>
      <c r="PYE49" s="72"/>
      <c r="PYF49" s="72"/>
      <c r="PYG49" s="72"/>
      <c r="PYH49" s="72"/>
      <c r="PYI49" s="72"/>
      <c r="PYJ49" s="72"/>
      <c r="PYK49" s="72"/>
      <c r="PYL49" s="72"/>
      <c r="PYM49" s="72"/>
      <c r="PYN49" s="72"/>
      <c r="PYO49" s="72"/>
      <c r="PYP49" s="72"/>
      <c r="PYQ49" s="72"/>
      <c r="PYR49" s="72"/>
      <c r="PYS49" s="72"/>
      <c r="PYT49" s="72"/>
      <c r="PYU49" s="72"/>
      <c r="PYV49" s="72"/>
      <c r="PYW49" s="72"/>
      <c r="PYX49" s="72"/>
      <c r="PYY49" s="72"/>
      <c r="PYZ49" s="72"/>
      <c r="PZA49" s="72"/>
      <c r="PZB49" s="72"/>
      <c r="PZC49" s="72"/>
      <c r="PZD49" s="72"/>
      <c r="PZE49" s="72"/>
      <c r="PZF49" s="72"/>
      <c r="PZG49" s="72"/>
      <c r="PZH49" s="72"/>
      <c r="PZI49" s="72"/>
      <c r="PZJ49" s="72"/>
      <c r="PZK49" s="72"/>
      <c r="PZL49" s="72"/>
      <c r="PZM49" s="72"/>
      <c r="PZN49" s="72"/>
      <c r="PZO49" s="72"/>
      <c r="PZP49" s="72"/>
      <c r="PZQ49" s="72"/>
      <c r="PZR49" s="72"/>
      <c r="PZS49" s="72"/>
      <c r="PZT49" s="72"/>
      <c r="PZU49" s="72"/>
      <c r="PZV49" s="72"/>
      <c r="PZW49" s="72"/>
      <c r="PZX49" s="72"/>
      <c r="PZY49" s="72"/>
      <c r="PZZ49" s="72"/>
      <c r="QAA49" s="72"/>
      <c r="QAB49" s="72"/>
      <c r="QAC49" s="72"/>
      <c r="QAD49" s="72"/>
      <c r="QAE49" s="72"/>
      <c r="QAF49" s="72"/>
      <c r="QAG49" s="72"/>
      <c r="QAH49" s="72"/>
      <c r="QAI49" s="72"/>
      <c r="QAJ49" s="72"/>
      <c r="QAK49" s="72"/>
      <c r="QAL49" s="72"/>
      <c r="QAM49" s="72"/>
      <c r="QAN49" s="72"/>
      <c r="QAO49" s="72"/>
      <c r="QAP49" s="72"/>
      <c r="QAQ49" s="72"/>
      <c r="QAR49" s="72"/>
      <c r="QAS49" s="72"/>
      <c r="QAT49" s="72"/>
      <c r="QAU49" s="72"/>
      <c r="QAV49" s="72"/>
      <c r="QAW49" s="72"/>
      <c r="QAX49" s="72"/>
      <c r="QAY49" s="72"/>
      <c r="QAZ49" s="72"/>
      <c r="QBA49" s="72"/>
      <c r="QBB49" s="72"/>
      <c r="QBC49" s="72"/>
      <c r="QBD49" s="72"/>
      <c r="QBE49" s="72"/>
      <c r="QBF49" s="72"/>
      <c r="QBG49" s="72"/>
      <c r="QBH49" s="72"/>
      <c r="QBI49" s="72"/>
      <c r="QBJ49" s="72"/>
      <c r="QBK49" s="72"/>
      <c r="QBL49" s="72"/>
      <c r="QBM49" s="72"/>
      <c r="QBN49" s="72"/>
      <c r="QBO49" s="72"/>
      <c r="QBP49" s="72"/>
      <c r="QBQ49" s="72"/>
      <c r="QBR49" s="72"/>
      <c r="QBS49" s="72"/>
      <c r="QBT49" s="72"/>
      <c r="QBU49" s="72"/>
      <c r="QBV49" s="72"/>
      <c r="QBW49" s="72"/>
      <c r="QBX49" s="72"/>
      <c r="QBY49" s="72"/>
      <c r="QBZ49" s="72"/>
      <c r="QCA49" s="72"/>
      <c r="QCB49" s="72"/>
      <c r="QCC49" s="72"/>
      <c r="QCD49" s="72"/>
      <c r="QCE49" s="72"/>
      <c r="QCF49" s="72"/>
      <c r="QCG49" s="72"/>
      <c r="QCH49" s="72"/>
      <c r="QCI49" s="72"/>
      <c r="QCJ49" s="72"/>
      <c r="QCK49" s="72"/>
      <c r="QCL49" s="72"/>
      <c r="QCM49" s="72"/>
      <c r="QCN49" s="72"/>
      <c r="QCO49" s="72"/>
      <c r="QCP49" s="72"/>
      <c r="QCQ49" s="72"/>
      <c r="QCR49" s="72"/>
      <c r="QCS49" s="72"/>
      <c r="QCT49" s="72"/>
      <c r="QCU49" s="72"/>
      <c r="QCV49" s="72"/>
      <c r="QCW49" s="72"/>
      <c r="QCX49" s="72"/>
      <c r="QCY49" s="72"/>
      <c r="QCZ49" s="72"/>
      <c r="QDA49" s="72"/>
      <c r="QDB49" s="72"/>
      <c r="QDC49" s="72"/>
      <c r="QDD49" s="72"/>
      <c r="QDE49" s="72"/>
      <c r="QDF49" s="72"/>
      <c r="QDG49" s="72"/>
      <c r="QDH49" s="72"/>
      <c r="QDI49" s="72"/>
      <c r="QDJ49" s="72"/>
      <c r="QDK49" s="72"/>
      <c r="QDL49" s="72"/>
      <c r="QDM49" s="72"/>
      <c r="QDN49" s="72"/>
      <c r="QDO49" s="72"/>
      <c r="QDP49" s="72"/>
      <c r="QDQ49" s="72"/>
      <c r="QDR49" s="72"/>
      <c r="QDS49" s="72"/>
      <c r="QDT49" s="72"/>
      <c r="QDU49" s="72"/>
      <c r="QDV49" s="72"/>
      <c r="QDW49" s="72"/>
      <c r="QDX49" s="72"/>
      <c r="QDY49" s="72"/>
      <c r="QDZ49" s="72"/>
      <c r="QEA49" s="72"/>
      <c r="QEB49" s="72"/>
      <c r="QEC49" s="72"/>
      <c r="QED49" s="72"/>
      <c r="QEE49" s="72"/>
      <c r="QEF49" s="72"/>
      <c r="QEG49" s="72"/>
      <c r="QEH49" s="72"/>
      <c r="QEI49" s="72"/>
      <c r="QEJ49" s="72"/>
      <c r="QEK49" s="72"/>
      <c r="QEL49" s="72"/>
      <c r="QEM49" s="72"/>
      <c r="QEN49" s="72"/>
      <c r="QEO49" s="72"/>
      <c r="QEP49" s="72"/>
      <c r="QEQ49" s="72"/>
      <c r="QER49" s="72"/>
      <c r="QES49" s="72"/>
      <c r="QET49" s="72"/>
      <c r="QEU49" s="72"/>
      <c r="QEV49" s="72"/>
      <c r="QEW49" s="72"/>
      <c r="QEX49" s="72"/>
      <c r="QEY49" s="72"/>
      <c r="QEZ49" s="72"/>
      <c r="QFA49" s="72"/>
      <c r="QFB49" s="72"/>
      <c r="QFC49" s="72"/>
      <c r="QFD49" s="72"/>
      <c r="QFE49" s="72"/>
      <c r="QFF49" s="72"/>
      <c r="QFG49" s="72"/>
      <c r="QFH49" s="72"/>
      <c r="QFI49" s="72"/>
      <c r="QFJ49" s="72"/>
      <c r="QFK49" s="72"/>
      <c r="QFL49" s="72"/>
      <c r="QFM49" s="72"/>
      <c r="QFN49" s="72"/>
      <c r="QFO49" s="72"/>
      <c r="QFP49" s="72"/>
      <c r="QFQ49" s="72"/>
      <c r="QFR49" s="72"/>
      <c r="QFS49" s="72"/>
      <c r="QFT49" s="72"/>
      <c r="QFU49" s="72"/>
      <c r="QFV49" s="72"/>
      <c r="QFW49" s="72"/>
      <c r="QFX49" s="72"/>
      <c r="QFY49" s="72"/>
      <c r="QFZ49" s="72"/>
      <c r="QGA49" s="72"/>
      <c r="QGB49" s="72"/>
      <c r="QGC49" s="72"/>
      <c r="QGD49" s="72"/>
      <c r="QGE49" s="72"/>
      <c r="QGF49" s="72"/>
      <c r="QGG49" s="72"/>
      <c r="QGH49" s="72"/>
      <c r="QGI49" s="72"/>
      <c r="QGJ49" s="72"/>
      <c r="QGK49" s="72"/>
      <c r="QGL49" s="72"/>
      <c r="QGM49" s="72"/>
      <c r="QGN49" s="72"/>
      <c r="QGO49" s="72"/>
      <c r="QGP49" s="72"/>
      <c r="QGQ49" s="72"/>
      <c r="QGR49" s="72"/>
      <c r="QGS49" s="72"/>
      <c r="QGT49" s="72"/>
      <c r="QGU49" s="72"/>
      <c r="QGV49" s="72"/>
      <c r="QGW49" s="72"/>
      <c r="QGX49" s="72"/>
      <c r="QGY49" s="72"/>
      <c r="QGZ49" s="72"/>
      <c r="QHA49" s="72"/>
      <c r="QHB49" s="72"/>
      <c r="QHC49" s="72"/>
      <c r="QHD49" s="72"/>
      <c r="QHE49" s="72"/>
      <c r="QHF49" s="72"/>
      <c r="QHG49" s="72"/>
      <c r="QHH49" s="72"/>
      <c r="QHI49" s="72"/>
      <c r="QHJ49" s="72"/>
      <c r="QHK49" s="72"/>
      <c r="QHL49" s="72"/>
      <c r="QHM49" s="72"/>
      <c r="QHN49" s="72"/>
      <c r="QHO49" s="72"/>
      <c r="QHP49" s="72"/>
      <c r="QHQ49" s="72"/>
      <c r="QHR49" s="72"/>
      <c r="QHS49" s="72"/>
      <c r="QHT49" s="72"/>
      <c r="QHU49" s="72"/>
      <c r="QHV49" s="72"/>
      <c r="QHW49" s="72"/>
      <c r="QHX49" s="72"/>
      <c r="QHY49" s="72"/>
      <c r="QHZ49" s="72"/>
      <c r="QIA49" s="72"/>
      <c r="QIB49" s="72"/>
      <c r="QIC49" s="72"/>
      <c r="QID49" s="72"/>
      <c r="QIE49" s="72"/>
      <c r="QIF49" s="72"/>
      <c r="QIG49" s="72"/>
      <c r="QIH49" s="72"/>
      <c r="QII49" s="72"/>
      <c r="QIJ49" s="72"/>
      <c r="QIK49" s="72"/>
      <c r="QIL49" s="72"/>
      <c r="QIM49" s="72"/>
      <c r="QIN49" s="72"/>
      <c r="QIO49" s="72"/>
      <c r="QIP49" s="72"/>
      <c r="QIQ49" s="72"/>
      <c r="QIR49" s="72"/>
      <c r="QIS49" s="72"/>
      <c r="QIT49" s="72"/>
      <c r="QIU49" s="72"/>
      <c r="QIV49" s="72"/>
      <c r="QIW49" s="72"/>
      <c r="QIX49" s="72"/>
      <c r="QIY49" s="72"/>
      <c r="QIZ49" s="72"/>
      <c r="QJA49" s="72"/>
      <c r="QJB49" s="72"/>
      <c r="QJC49" s="72"/>
      <c r="QJD49" s="72"/>
      <c r="QJE49" s="72"/>
      <c r="QJF49" s="72"/>
      <c r="QJG49" s="72"/>
      <c r="QJH49" s="72"/>
      <c r="QJI49" s="72"/>
      <c r="QJJ49" s="72"/>
      <c r="QJK49" s="72"/>
      <c r="QJL49" s="72"/>
      <c r="QJM49" s="72"/>
      <c r="QJN49" s="72"/>
      <c r="QJO49" s="72"/>
      <c r="QJP49" s="72"/>
      <c r="QJQ49" s="72"/>
      <c r="QJR49" s="72"/>
      <c r="QJS49" s="72"/>
      <c r="QJT49" s="72"/>
      <c r="QJU49" s="72"/>
      <c r="QJV49" s="72"/>
      <c r="QJW49" s="72"/>
      <c r="QJX49" s="72"/>
      <c r="QJY49" s="72"/>
      <c r="QJZ49" s="72"/>
      <c r="QKA49" s="72"/>
      <c r="QKB49" s="72"/>
      <c r="QKC49" s="72"/>
      <c r="QKD49" s="72"/>
      <c r="QKE49" s="72"/>
      <c r="QKF49" s="72"/>
      <c r="QKG49" s="72"/>
      <c r="QKH49" s="72"/>
      <c r="QKI49" s="72"/>
      <c r="QKJ49" s="72"/>
      <c r="QKK49" s="72"/>
      <c r="QKL49" s="72"/>
      <c r="QKM49" s="72"/>
      <c r="QKN49" s="72"/>
      <c r="QKO49" s="72"/>
      <c r="QKP49" s="72"/>
      <c r="QKQ49" s="72"/>
      <c r="QKR49" s="72"/>
      <c r="QKS49" s="72"/>
      <c r="QKT49" s="72"/>
      <c r="QKU49" s="72"/>
      <c r="QKV49" s="72"/>
      <c r="QKW49" s="72"/>
      <c r="QKX49" s="72"/>
      <c r="QKY49" s="72"/>
      <c r="QKZ49" s="72"/>
      <c r="QLA49" s="72"/>
      <c r="QLB49" s="72"/>
      <c r="QLC49" s="72"/>
      <c r="QLD49" s="72"/>
      <c r="QLE49" s="72"/>
      <c r="QLF49" s="72"/>
      <c r="QLG49" s="72"/>
      <c r="QLH49" s="72"/>
      <c r="QLI49" s="72"/>
      <c r="QLJ49" s="72"/>
      <c r="QLK49" s="72"/>
      <c r="QLL49" s="72"/>
      <c r="QLM49" s="72"/>
      <c r="QLN49" s="72"/>
      <c r="QLO49" s="72"/>
      <c r="QLP49" s="72"/>
      <c r="QLQ49" s="72"/>
      <c r="QLR49" s="72"/>
      <c r="QLS49" s="72"/>
      <c r="QLT49" s="72"/>
      <c r="QLU49" s="72"/>
      <c r="QLV49" s="72"/>
      <c r="QLW49" s="72"/>
      <c r="QLX49" s="72"/>
      <c r="QLY49" s="72"/>
      <c r="QLZ49" s="72"/>
      <c r="QMA49" s="72"/>
      <c r="QMB49" s="72"/>
      <c r="QMC49" s="72"/>
      <c r="QMD49" s="72"/>
      <c r="QME49" s="72"/>
      <c r="QMF49" s="72"/>
      <c r="QMG49" s="72"/>
      <c r="QMH49" s="72"/>
      <c r="QMI49" s="72"/>
      <c r="QMJ49" s="72"/>
      <c r="QMK49" s="72"/>
      <c r="QML49" s="72"/>
      <c r="QMM49" s="72"/>
      <c r="QMN49" s="72"/>
      <c r="QMO49" s="72"/>
      <c r="QMP49" s="72"/>
      <c r="QMQ49" s="72"/>
      <c r="QMR49" s="72"/>
      <c r="QMS49" s="72"/>
      <c r="QMT49" s="72"/>
      <c r="QMU49" s="72"/>
      <c r="QMV49" s="72"/>
      <c r="QMW49" s="72"/>
      <c r="QMX49" s="72"/>
      <c r="QMY49" s="72"/>
      <c r="QMZ49" s="72"/>
      <c r="QNA49" s="72"/>
      <c r="QNB49" s="72"/>
      <c r="QNC49" s="72"/>
      <c r="QND49" s="72"/>
      <c r="QNE49" s="72"/>
      <c r="QNF49" s="72"/>
      <c r="QNG49" s="72"/>
      <c r="QNH49" s="72"/>
      <c r="QNI49" s="72"/>
      <c r="QNJ49" s="72"/>
      <c r="QNK49" s="72"/>
      <c r="QNL49" s="72"/>
      <c r="QNM49" s="72"/>
      <c r="QNN49" s="72"/>
      <c r="QNO49" s="72"/>
      <c r="QNP49" s="72"/>
      <c r="QNQ49" s="72"/>
      <c r="QNR49" s="72"/>
      <c r="QNS49" s="72"/>
      <c r="QNT49" s="72"/>
      <c r="QNU49" s="72"/>
      <c r="QNV49" s="72"/>
      <c r="QNW49" s="72"/>
      <c r="QNX49" s="72"/>
      <c r="QNY49" s="72"/>
      <c r="QNZ49" s="72"/>
      <c r="QOA49" s="72"/>
      <c r="QOB49" s="72"/>
      <c r="QOC49" s="72"/>
      <c r="QOD49" s="72"/>
      <c r="QOE49" s="72"/>
      <c r="QOF49" s="72"/>
      <c r="QOG49" s="72"/>
      <c r="QOH49" s="72"/>
      <c r="QOI49" s="72"/>
      <c r="QOJ49" s="72"/>
      <c r="QOK49" s="72"/>
      <c r="QOL49" s="72"/>
      <c r="QOM49" s="72"/>
      <c r="QON49" s="72"/>
      <c r="QOO49" s="72"/>
      <c r="QOP49" s="72"/>
      <c r="QOQ49" s="72"/>
      <c r="QOR49" s="72"/>
      <c r="QOS49" s="72"/>
      <c r="QOT49" s="72"/>
      <c r="QOU49" s="72"/>
      <c r="QOV49" s="72"/>
      <c r="QOW49" s="72"/>
      <c r="QOX49" s="72"/>
      <c r="QOY49" s="72"/>
      <c r="QOZ49" s="72"/>
      <c r="QPA49" s="72"/>
      <c r="QPB49" s="72"/>
      <c r="QPC49" s="72"/>
      <c r="QPD49" s="72"/>
      <c r="QPE49" s="72"/>
      <c r="QPF49" s="72"/>
      <c r="QPG49" s="72"/>
      <c r="QPH49" s="72"/>
      <c r="QPI49" s="72"/>
      <c r="QPJ49" s="72"/>
      <c r="QPK49" s="72"/>
      <c r="QPL49" s="72"/>
      <c r="QPM49" s="72"/>
      <c r="QPN49" s="72"/>
      <c r="QPO49" s="72"/>
      <c r="QPP49" s="72"/>
      <c r="QPQ49" s="72"/>
      <c r="QPR49" s="72"/>
      <c r="QPS49" s="72"/>
      <c r="QPT49" s="72"/>
      <c r="QPU49" s="72"/>
      <c r="QPV49" s="72"/>
      <c r="QPW49" s="72"/>
      <c r="QPX49" s="72"/>
      <c r="QPY49" s="72"/>
      <c r="QPZ49" s="72"/>
      <c r="QQA49" s="72"/>
      <c r="QQB49" s="72"/>
      <c r="QQC49" s="72"/>
      <c r="QQD49" s="72"/>
      <c r="QQE49" s="72"/>
      <c r="QQF49" s="72"/>
      <c r="QQG49" s="72"/>
      <c r="QQH49" s="72"/>
      <c r="QQI49" s="72"/>
      <c r="QQJ49" s="72"/>
      <c r="QQK49" s="72"/>
      <c r="QQL49" s="72"/>
      <c r="QQM49" s="72"/>
      <c r="QQN49" s="72"/>
      <c r="QQO49" s="72"/>
      <c r="QQP49" s="72"/>
      <c r="QQQ49" s="72"/>
      <c r="QQR49" s="72"/>
      <c r="QQS49" s="72"/>
      <c r="QQT49" s="72"/>
      <c r="QQU49" s="72"/>
      <c r="QQV49" s="72"/>
      <c r="QQW49" s="72"/>
      <c r="QQX49" s="72"/>
      <c r="QQY49" s="72"/>
      <c r="QQZ49" s="72"/>
      <c r="QRA49" s="72"/>
      <c r="QRB49" s="72"/>
      <c r="QRC49" s="72"/>
      <c r="QRD49" s="72"/>
      <c r="QRE49" s="72"/>
      <c r="QRF49" s="72"/>
      <c r="QRG49" s="72"/>
      <c r="QRH49" s="72"/>
      <c r="QRI49" s="72"/>
      <c r="QRJ49" s="72"/>
      <c r="QRK49" s="72"/>
      <c r="QRL49" s="72"/>
      <c r="QRM49" s="72"/>
      <c r="QRN49" s="72"/>
      <c r="QRO49" s="72"/>
      <c r="QRP49" s="72"/>
      <c r="QRQ49" s="72"/>
      <c r="QRR49" s="72"/>
      <c r="QRS49" s="72"/>
      <c r="QRT49" s="72"/>
      <c r="QRU49" s="72"/>
      <c r="QRV49" s="72"/>
      <c r="QRW49" s="72"/>
      <c r="QRX49" s="72"/>
      <c r="QRY49" s="72"/>
      <c r="QRZ49" s="72"/>
      <c r="QSA49" s="72"/>
      <c r="QSB49" s="72"/>
      <c r="QSC49" s="72"/>
      <c r="QSD49" s="72"/>
      <c r="QSE49" s="72"/>
      <c r="QSF49" s="72"/>
      <c r="QSG49" s="72"/>
      <c r="QSH49" s="72"/>
      <c r="QSI49" s="72"/>
      <c r="QSJ49" s="72"/>
      <c r="QSK49" s="72"/>
      <c r="QSL49" s="72"/>
      <c r="QSM49" s="72"/>
      <c r="QSN49" s="72"/>
      <c r="QSO49" s="72"/>
      <c r="QSP49" s="72"/>
      <c r="QSQ49" s="72"/>
      <c r="QSR49" s="72"/>
      <c r="QSS49" s="72"/>
      <c r="QST49" s="72"/>
      <c r="QSU49" s="72"/>
      <c r="QSV49" s="72"/>
      <c r="QSW49" s="72"/>
      <c r="QSX49" s="72"/>
      <c r="QSY49" s="72"/>
      <c r="QSZ49" s="72"/>
      <c r="QTA49" s="72"/>
      <c r="QTB49" s="72"/>
      <c r="QTC49" s="72"/>
      <c r="QTD49" s="72"/>
      <c r="QTE49" s="72"/>
      <c r="QTF49" s="72"/>
      <c r="QTG49" s="72"/>
      <c r="QTH49" s="72"/>
      <c r="QTI49" s="72"/>
      <c r="QTJ49" s="72"/>
      <c r="QTK49" s="72"/>
      <c r="QTL49" s="72"/>
      <c r="QTM49" s="72"/>
      <c r="QTN49" s="72"/>
      <c r="QTO49" s="72"/>
      <c r="QTP49" s="72"/>
      <c r="QTQ49" s="72"/>
      <c r="QTR49" s="72"/>
      <c r="QTS49" s="72"/>
      <c r="QTT49" s="72"/>
      <c r="QTU49" s="72"/>
      <c r="QTV49" s="72"/>
      <c r="QTW49" s="72"/>
      <c r="QTX49" s="72"/>
      <c r="QTY49" s="72"/>
      <c r="QTZ49" s="72"/>
      <c r="QUA49" s="72"/>
      <c r="QUB49" s="72"/>
      <c r="QUC49" s="72"/>
      <c r="QUD49" s="72"/>
      <c r="QUE49" s="72"/>
      <c r="QUF49" s="72"/>
      <c r="QUG49" s="72"/>
      <c r="QUH49" s="72"/>
      <c r="QUI49" s="72"/>
      <c r="QUJ49" s="72"/>
      <c r="QUK49" s="72"/>
      <c r="QUL49" s="72"/>
      <c r="QUM49" s="72"/>
      <c r="QUN49" s="72"/>
      <c r="QUO49" s="72"/>
      <c r="QUP49" s="72"/>
      <c r="QUQ49" s="72"/>
      <c r="QUR49" s="72"/>
      <c r="QUS49" s="72"/>
      <c r="QUT49" s="72"/>
      <c r="QUU49" s="72"/>
      <c r="QUV49" s="72"/>
      <c r="QUW49" s="72"/>
      <c r="QUX49" s="72"/>
      <c r="QUY49" s="72"/>
      <c r="QUZ49" s="72"/>
      <c r="QVA49" s="72"/>
      <c r="QVB49" s="72"/>
      <c r="QVC49" s="72"/>
      <c r="QVD49" s="72"/>
      <c r="QVE49" s="72"/>
      <c r="QVF49" s="72"/>
      <c r="QVG49" s="72"/>
      <c r="QVH49" s="72"/>
      <c r="QVI49" s="72"/>
      <c r="QVJ49" s="72"/>
      <c r="QVK49" s="72"/>
      <c r="QVL49" s="72"/>
      <c r="QVM49" s="72"/>
      <c r="QVN49" s="72"/>
      <c r="QVO49" s="72"/>
      <c r="QVP49" s="72"/>
      <c r="QVQ49" s="72"/>
      <c r="QVR49" s="72"/>
      <c r="QVS49" s="72"/>
      <c r="QVT49" s="72"/>
      <c r="QVU49" s="72"/>
      <c r="QVV49" s="72"/>
      <c r="QVW49" s="72"/>
      <c r="QVX49" s="72"/>
      <c r="QVY49" s="72"/>
      <c r="QVZ49" s="72"/>
      <c r="QWA49" s="72"/>
      <c r="QWB49" s="72"/>
      <c r="QWC49" s="72"/>
      <c r="QWD49" s="72"/>
      <c r="QWE49" s="72"/>
      <c r="QWF49" s="72"/>
      <c r="QWG49" s="72"/>
      <c r="QWH49" s="72"/>
      <c r="QWI49" s="72"/>
      <c r="QWJ49" s="72"/>
      <c r="QWK49" s="72"/>
      <c r="QWL49" s="72"/>
      <c r="QWM49" s="72"/>
      <c r="QWN49" s="72"/>
      <c r="QWO49" s="72"/>
      <c r="QWP49" s="72"/>
      <c r="QWQ49" s="72"/>
      <c r="QWR49" s="72"/>
      <c r="QWS49" s="72"/>
      <c r="QWT49" s="72"/>
      <c r="QWU49" s="72"/>
      <c r="QWV49" s="72"/>
      <c r="QWW49" s="72"/>
      <c r="QWX49" s="72"/>
      <c r="QWY49" s="72"/>
      <c r="QWZ49" s="72"/>
      <c r="QXA49" s="72"/>
      <c r="QXB49" s="72"/>
      <c r="QXC49" s="72"/>
      <c r="QXD49" s="72"/>
      <c r="QXE49" s="72"/>
      <c r="QXF49" s="72"/>
      <c r="QXG49" s="72"/>
      <c r="QXH49" s="72"/>
      <c r="QXI49" s="72"/>
      <c r="QXJ49" s="72"/>
      <c r="QXK49" s="72"/>
      <c r="QXL49" s="72"/>
      <c r="QXM49" s="72"/>
      <c r="QXN49" s="72"/>
      <c r="QXO49" s="72"/>
      <c r="QXP49" s="72"/>
      <c r="QXQ49" s="72"/>
      <c r="QXR49" s="72"/>
      <c r="QXS49" s="72"/>
      <c r="QXT49" s="72"/>
      <c r="QXU49" s="72"/>
      <c r="QXV49" s="72"/>
      <c r="QXW49" s="72"/>
      <c r="QXX49" s="72"/>
      <c r="QXY49" s="72"/>
      <c r="QXZ49" s="72"/>
      <c r="QYA49" s="72"/>
      <c r="QYB49" s="72"/>
      <c r="QYC49" s="72"/>
      <c r="QYD49" s="72"/>
      <c r="QYE49" s="72"/>
      <c r="QYF49" s="72"/>
      <c r="QYG49" s="72"/>
      <c r="QYH49" s="72"/>
      <c r="QYI49" s="72"/>
      <c r="QYJ49" s="72"/>
      <c r="QYK49" s="72"/>
      <c r="QYL49" s="72"/>
      <c r="QYM49" s="72"/>
      <c r="QYN49" s="72"/>
      <c r="QYO49" s="72"/>
      <c r="QYP49" s="72"/>
      <c r="QYQ49" s="72"/>
      <c r="QYR49" s="72"/>
      <c r="QYS49" s="72"/>
      <c r="QYT49" s="72"/>
      <c r="QYU49" s="72"/>
      <c r="QYV49" s="72"/>
      <c r="QYW49" s="72"/>
      <c r="QYX49" s="72"/>
      <c r="QYY49" s="72"/>
      <c r="QYZ49" s="72"/>
      <c r="QZA49" s="72"/>
      <c r="QZB49" s="72"/>
      <c r="QZC49" s="72"/>
      <c r="QZD49" s="72"/>
      <c r="QZE49" s="72"/>
      <c r="QZF49" s="72"/>
      <c r="QZG49" s="72"/>
      <c r="QZH49" s="72"/>
      <c r="QZI49" s="72"/>
      <c r="QZJ49" s="72"/>
      <c r="QZK49" s="72"/>
      <c r="QZL49" s="72"/>
      <c r="QZM49" s="72"/>
      <c r="QZN49" s="72"/>
      <c r="QZO49" s="72"/>
      <c r="QZP49" s="72"/>
      <c r="QZQ49" s="72"/>
      <c r="QZR49" s="72"/>
      <c r="QZS49" s="72"/>
      <c r="QZT49" s="72"/>
      <c r="QZU49" s="72"/>
      <c r="QZV49" s="72"/>
      <c r="QZW49" s="72"/>
      <c r="QZX49" s="72"/>
      <c r="QZY49" s="72"/>
      <c r="QZZ49" s="72"/>
      <c r="RAA49" s="72"/>
      <c r="RAB49" s="72"/>
      <c r="RAC49" s="72"/>
      <c r="RAD49" s="72"/>
      <c r="RAE49" s="72"/>
      <c r="RAF49" s="72"/>
      <c r="RAG49" s="72"/>
      <c r="RAH49" s="72"/>
      <c r="RAI49" s="72"/>
      <c r="RAJ49" s="72"/>
      <c r="RAK49" s="72"/>
      <c r="RAL49" s="72"/>
      <c r="RAM49" s="72"/>
      <c r="RAN49" s="72"/>
      <c r="RAO49" s="72"/>
      <c r="RAP49" s="72"/>
      <c r="RAQ49" s="72"/>
      <c r="RAR49" s="72"/>
      <c r="RAS49" s="72"/>
      <c r="RAT49" s="72"/>
      <c r="RAU49" s="72"/>
      <c r="RAV49" s="72"/>
      <c r="RAW49" s="72"/>
      <c r="RAX49" s="72"/>
      <c r="RAY49" s="72"/>
      <c r="RAZ49" s="72"/>
      <c r="RBA49" s="72"/>
      <c r="RBB49" s="72"/>
      <c r="RBC49" s="72"/>
      <c r="RBD49" s="72"/>
      <c r="RBE49" s="72"/>
      <c r="RBF49" s="72"/>
      <c r="RBG49" s="72"/>
      <c r="RBH49" s="72"/>
      <c r="RBI49" s="72"/>
      <c r="RBJ49" s="72"/>
      <c r="RBK49" s="72"/>
      <c r="RBL49" s="72"/>
      <c r="RBM49" s="72"/>
      <c r="RBN49" s="72"/>
      <c r="RBO49" s="72"/>
      <c r="RBP49" s="72"/>
      <c r="RBQ49" s="72"/>
      <c r="RBR49" s="72"/>
      <c r="RBS49" s="72"/>
      <c r="RBT49" s="72"/>
      <c r="RBU49" s="72"/>
      <c r="RBV49" s="72"/>
      <c r="RBW49" s="72"/>
      <c r="RBX49" s="72"/>
      <c r="RBY49" s="72"/>
      <c r="RBZ49" s="72"/>
      <c r="RCA49" s="72"/>
      <c r="RCB49" s="72"/>
      <c r="RCC49" s="72"/>
      <c r="RCD49" s="72"/>
      <c r="RCE49" s="72"/>
      <c r="RCF49" s="72"/>
      <c r="RCG49" s="72"/>
      <c r="RCH49" s="72"/>
      <c r="RCI49" s="72"/>
      <c r="RCJ49" s="72"/>
      <c r="RCK49" s="72"/>
      <c r="RCL49" s="72"/>
      <c r="RCM49" s="72"/>
      <c r="RCN49" s="72"/>
      <c r="RCO49" s="72"/>
      <c r="RCP49" s="72"/>
      <c r="RCQ49" s="72"/>
      <c r="RCR49" s="72"/>
      <c r="RCS49" s="72"/>
      <c r="RCT49" s="72"/>
      <c r="RCU49" s="72"/>
      <c r="RCV49" s="72"/>
      <c r="RCW49" s="72"/>
      <c r="RCX49" s="72"/>
      <c r="RCY49" s="72"/>
      <c r="RCZ49" s="72"/>
      <c r="RDA49" s="72"/>
      <c r="RDB49" s="72"/>
      <c r="RDC49" s="72"/>
      <c r="RDD49" s="72"/>
      <c r="RDE49" s="72"/>
      <c r="RDF49" s="72"/>
      <c r="RDG49" s="72"/>
      <c r="RDH49" s="72"/>
      <c r="RDI49" s="72"/>
      <c r="RDJ49" s="72"/>
      <c r="RDK49" s="72"/>
      <c r="RDL49" s="72"/>
      <c r="RDM49" s="72"/>
      <c r="RDN49" s="72"/>
      <c r="RDO49" s="72"/>
      <c r="RDP49" s="72"/>
      <c r="RDQ49" s="72"/>
      <c r="RDR49" s="72"/>
      <c r="RDS49" s="72"/>
      <c r="RDT49" s="72"/>
      <c r="RDU49" s="72"/>
      <c r="RDV49" s="72"/>
      <c r="RDW49" s="72"/>
      <c r="RDX49" s="72"/>
      <c r="RDY49" s="72"/>
      <c r="RDZ49" s="72"/>
      <c r="REA49" s="72"/>
      <c r="REB49" s="72"/>
      <c r="REC49" s="72"/>
      <c r="RED49" s="72"/>
      <c r="REE49" s="72"/>
      <c r="REF49" s="72"/>
      <c r="REG49" s="72"/>
      <c r="REH49" s="72"/>
      <c r="REI49" s="72"/>
      <c r="REJ49" s="72"/>
      <c r="REK49" s="72"/>
      <c r="REL49" s="72"/>
      <c r="REM49" s="72"/>
      <c r="REN49" s="72"/>
      <c r="REO49" s="72"/>
      <c r="REP49" s="72"/>
      <c r="REQ49" s="72"/>
      <c r="RER49" s="72"/>
      <c r="RES49" s="72"/>
      <c r="RET49" s="72"/>
      <c r="REU49" s="72"/>
      <c r="REV49" s="72"/>
      <c r="REW49" s="72"/>
      <c r="REX49" s="72"/>
      <c r="REY49" s="72"/>
      <c r="REZ49" s="72"/>
      <c r="RFA49" s="72"/>
      <c r="RFB49" s="72"/>
      <c r="RFC49" s="72"/>
      <c r="RFD49" s="72"/>
      <c r="RFE49" s="72"/>
      <c r="RFF49" s="72"/>
      <c r="RFG49" s="72"/>
      <c r="RFH49" s="72"/>
      <c r="RFI49" s="72"/>
      <c r="RFJ49" s="72"/>
      <c r="RFK49" s="72"/>
      <c r="RFL49" s="72"/>
      <c r="RFM49" s="72"/>
      <c r="RFN49" s="72"/>
      <c r="RFO49" s="72"/>
      <c r="RFP49" s="72"/>
      <c r="RFQ49" s="72"/>
      <c r="RFR49" s="72"/>
      <c r="RFS49" s="72"/>
      <c r="RFT49" s="72"/>
      <c r="RFU49" s="72"/>
      <c r="RFV49" s="72"/>
      <c r="RFW49" s="72"/>
      <c r="RFX49" s="72"/>
      <c r="RFY49" s="72"/>
      <c r="RFZ49" s="72"/>
      <c r="RGA49" s="72"/>
      <c r="RGB49" s="72"/>
      <c r="RGC49" s="72"/>
      <c r="RGD49" s="72"/>
      <c r="RGE49" s="72"/>
      <c r="RGF49" s="72"/>
      <c r="RGG49" s="72"/>
      <c r="RGH49" s="72"/>
      <c r="RGI49" s="72"/>
      <c r="RGJ49" s="72"/>
      <c r="RGK49" s="72"/>
      <c r="RGL49" s="72"/>
      <c r="RGM49" s="72"/>
      <c r="RGN49" s="72"/>
      <c r="RGO49" s="72"/>
      <c r="RGP49" s="72"/>
      <c r="RGQ49" s="72"/>
      <c r="RGR49" s="72"/>
      <c r="RGS49" s="72"/>
      <c r="RGT49" s="72"/>
      <c r="RGU49" s="72"/>
      <c r="RGV49" s="72"/>
      <c r="RGW49" s="72"/>
      <c r="RGX49" s="72"/>
      <c r="RGY49" s="72"/>
      <c r="RGZ49" s="72"/>
      <c r="RHA49" s="72"/>
      <c r="RHB49" s="72"/>
      <c r="RHC49" s="72"/>
      <c r="RHD49" s="72"/>
      <c r="RHE49" s="72"/>
      <c r="RHF49" s="72"/>
      <c r="RHG49" s="72"/>
      <c r="RHH49" s="72"/>
      <c r="RHI49" s="72"/>
      <c r="RHJ49" s="72"/>
      <c r="RHK49" s="72"/>
      <c r="RHL49" s="72"/>
      <c r="RHM49" s="72"/>
      <c r="RHN49" s="72"/>
      <c r="RHO49" s="72"/>
      <c r="RHP49" s="72"/>
      <c r="RHQ49" s="72"/>
      <c r="RHR49" s="72"/>
      <c r="RHS49" s="72"/>
      <c r="RHT49" s="72"/>
      <c r="RHU49" s="72"/>
      <c r="RHV49" s="72"/>
      <c r="RHW49" s="72"/>
      <c r="RHX49" s="72"/>
      <c r="RHY49" s="72"/>
      <c r="RHZ49" s="72"/>
      <c r="RIA49" s="72"/>
      <c r="RIB49" s="72"/>
      <c r="RIC49" s="72"/>
      <c r="RID49" s="72"/>
      <c r="RIE49" s="72"/>
      <c r="RIF49" s="72"/>
      <c r="RIG49" s="72"/>
      <c r="RIH49" s="72"/>
      <c r="RII49" s="72"/>
      <c r="RIJ49" s="72"/>
      <c r="RIK49" s="72"/>
      <c r="RIL49" s="72"/>
      <c r="RIM49" s="72"/>
      <c r="RIN49" s="72"/>
      <c r="RIO49" s="72"/>
      <c r="RIP49" s="72"/>
      <c r="RIQ49" s="72"/>
      <c r="RIR49" s="72"/>
      <c r="RIS49" s="72"/>
      <c r="RIT49" s="72"/>
      <c r="RIU49" s="72"/>
      <c r="RIV49" s="72"/>
      <c r="RIW49" s="72"/>
      <c r="RIX49" s="72"/>
      <c r="RIY49" s="72"/>
      <c r="RIZ49" s="72"/>
      <c r="RJA49" s="72"/>
      <c r="RJB49" s="72"/>
      <c r="RJC49" s="72"/>
      <c r="RJD49" s="72"/>
      <c r="RJE49" s="72"/>
      <c r="RJF49" s="72"/>
      <c r="RJG49" s="72"/>
      <c r="RJH49" s="72"/>
      <c r="RJI49" s="72"/>
      <c r="RJJ49" s="72"/>
      <c r="RJK49" s="72"/>
      <c r="RJL49" s="72"/>
      <c r="RJM49" s="72"/>
      <c r="RJN49" s="72"/>
      <c r="RJO49" s="72"/>
      <c r="RJP49" s="72"/>
      <c r="RJQ49" s="72"/>
      <c r="RJR49" s="72"/>
      <c r="RJS49" s="72"/>
      <c r="RJT49" s="72"/>
      <c r="RJU49" s="72"/>
      <c r="RJV49" s="72"/>
      <c r="RJW49" s="72"/>
      <c r="RJX49" s="72"/>
      <c r="RJY49" s="72"/>
      <c r="RJZ49" s="72"/>
      <c r="RKA49" s="72"/>
      <c r="RKB49" s="72"/>
      <c r="RKC49" s="72"/>
      <c r="RKD49" s="72"/>
      <c r="RKE49" s="72"/>
      <c r="RKF49" s="72"/>
      <c r="RKG49" s="72"/>
      <c r="RKH49" s="72"/>
      <c r="RKI49" s="72"/>
      <c r="RKJ49" s="72"/>
      <c r="RKK49" s="72"/>
      <c r="RKL49" s="72"/>
      <c r="RKM49" s="72"/>
      <c r="RKN49" s="72"/>
      <c r="RKO49" s="72"/>
      <c r="RKP49" s="72"/>
      <c r="RKQ49" s="72"/>
      <c r="RKR49" s="72"/>
      <c r="RKS49" s="72"/>
      <c r="RKT49" s="72"/>
      <c r="RKU49" s="72"/>
      <c r="RKV49" s="72"/>
      <c r="RKW49" s="72"/>
      <c r="RKX49" s="72"/>
      <c r="RKY49" s="72"/>
      <c r="RKZ49" s="72"/>
      <c r="RLA49" s="72"/>
      <c r="RLB49" s="72"/>
      <c r="RLC49" s="72"/>
      <c r="RLD49" s="72"/>
      <c r="RLE49" s="72"/>
      <c r="RLF49" s="72"/>
      <c r="RLG49" s="72"/>
      <c r="RLH49" s="72"/>
      <c r="RLI49" s="72"/>
      <c r="RLJ49" s="72"/>
      <c r="RLK49" s="72"/>
      <c r="RLL49" s="72"/>
      <c r="RLM49" s="72"/>
      <c r="RLN49" s="72"/>
      <c r="RLO49" s="72"/>
      <c r="RLP49" s="72"/>
      <c r="RLQ49" s="72"/>
      <c r="RLR49" s="72"/>
      <c r="RLS49" s="72"/>
      <c r="RLT49" s="72"/>
      <c r="RLU49" s="72"/>
      <c r="RLV49" s="72"/>
      <c r="RLW49" s="72"/>
      <c r="RLX49" s="72"/>
      <c r="RLY49" s="72"/>
      <c r="RLZ49" s="72"/>
      <c r="RMA49" s="72"/>
      <c r="RMB49" s="72"/>
      <c r="RMC49" s="72"/>
      <c r="RMD49" s="72"/>
      <c r="RME49" s="72"/>
      <c r="RMF49" s="72"/>
      <c r="RMG49" s="72"/>
      <c r="RMH49" s="72"/>
      <c r="RMI49" s="72"/>
      <c r="RMJ49" s="72"/>
      <c r="RMK49" s="72"/>
      <c r="RML49" s="72"/>
      <c r="RMM49" s="72"/>
      <c r="RMN49" s="72"/>
      <c r="RMO49" s="72"/>
      <c r="RMP49" s="72"/>
      <c r="RMQ49" s="72"/>
      <c r="RMR49" s="72"/>
      <c r="RMS49" s="72"/>
      <c r="RMT49" s="72"/>
      <c r="RMU49" s="72"/>
      <c r="RMV49" s="72"/>
      <c r="RMW49" s="72"/>
      <c r="RMX49" s="72"/>
      <c r="RMY49" s="72"/>
      <c r="RMZ49" s="72"/>
      <c r="RNA49" s="72"/>
      <c r="RNB49" s="72"/>
      <c r="RNC49" s="72"/>
      <c r="RND49" s="72"/>
      <c r="RNE49" s="72"/>
      <c r="RNF49" s="72"/>
      <c r="RNG49" s="72"/>
      <c r="RNH49" s="72"/>
      <c r="RNI49" s="72"/>
      <c r="RNJ49" s="72"/>
      <c r="RNK49" s="72"/>
      <c r="RNL49" s="72"/>
      <c r="RNM49" s="72"/>
      <c r="RNN49" s="72"/>
      <c r="RNO49" s="72"/>
      <c r="RNP49" s="72"/>
      <c r="RNQ49" s="72"/>
      <c r="RNR49" s="72"/>
      <c r="RNS49" s="72"/>
      <c r="RNT49" s="72"/>
      <c r="RNU49" s="72"/>
      <c r="RNV49" s="72"/>
      <c r="RNW49" s="72"/>
      <c r="RNX49" s="72"/>
      <c r="RNY49" s="72"/>
      <c r="RNZ49" s="72"/>
      <c r="ROA49" s="72"/>
      <c r="ROB49" s="72"/>
      <c r="ROC49" s="72"/>
      <c r="ROD49" s="72"/>
      <c r="ROE49" s="72"/>
      <c r="ROF49" s="72"/>
      <c r="ROG49" s="72"/>
      <c r="ROH49" s="72"/>
      <c r="ROI49" s="72"/>
      <c r="ROJ49" s="72"/>
      <c r="ROK49" s="72"/>
      <c r="ROL49" s="72"/>
      <c r="ROM49" s="72"/>
      <c r="RON49" s="72"/>
      <c r="ROO49" s="72"/>
      <c r="ROP49" s="72"/>
      <c r="ROQ49" s="72"/>
      <c r="ROR49" s="72"/>
      <c r="ROS49" s="72"/>
      <c r="ROT49" s="72"/>
      <c r="ROU49" s="72"/>
      <c r="ROV49" s="72"/>
      <c r="ROW49" s="72"/>
      <c r="ROX49" s="72"/>
      <c r="ROY49" s="72"/>
      <c r="ROZ49" s="72"/>
      <c r="RPA49" s="72"/>
      <c r="RPB49" s="72"/>
      <c r="RPC49" s="72"/>
      <c r="RPD49" s="72"/>
      <c r="RPE49" s="72"/>
      <c r="RPF49" s="72"/>
      <c r="RPG49" s="72"/>
      <c r="RPH49" s="72"/>
      <c r="RPI49" s="72"/>
      <c r="RPJ49" s="72"/>
      <c r="RPK49" s="72"/>
      <c r="RPL49" s="72"/>
      <c r="RPM49" s="72"/>
      <c r="RPN49" s="72"/>
      <c r="RPO49" s="72"/>
      <c r="RPP49" s="72"/>
      <c r="RPQ49" s="72"/>
      <c r="RPR49" s="72"/>
      <c r="RPS49" s="72"/>
      <c r="RPT49" s="72"/>
      <c r="RPU49" s="72"/>
      <c r="RPV49" s="72"/>
      <c r="RPW49" s="72"/>
      <c r="RPX49" s="72"/>
      <c r="RPY49" s="72"/>
      <c r="RPZ49" s="72"/>
      <c r="RQA49" s="72"/>
      <c r="RQB49" s="72"/>
      <c r="RQC49" s="72"/>
      <c r="RQD49" s="72"/>
      <c r="RQE49" s="72"/>
      <c r="RQF49" s="72"/>
      <c r="RQG49" s="72"/>
      <c r="RQH49" s="72"/>
      <c r="RQI49" s="72"/>
      <c r="RQJ49" s="72"/>
      <c r="RQK49" s="72"/>
      <c r="RQL49" s="72"/>
      <c r="RQM49" s="72"/>
      <c r="RQN49" s="72"/>
      <c r="RQO49" s="72"/>
      <c r="RQP49" s="72"/>
      <c r="RQQ49" s="72"/>
      <c r="RQR49" s="72"/>
      <c r="RQS49" s="72"/>
      <c r="RQT49" s="72"/>
      <c r="RQU49" s="72"/>
      <c r="RQV49" s="72"/>
      <c r="RQW49" s="72"/>
      <c r="RQX49" s="72"/>
      <c r="RQY49" s="72"/>
      <c r="RQZ49" s="72"/>
      <c r="RRA49" s="72"/>
      <c r="RRB49" s="72"/>
      <c r="RRC49" s="72"/>
      <c r="RRD49" s="72"/>
      <c r="RRE49" s="72"/>
      <c r="RRF49" s="72"/>
      <c r="RRG49" s="72"/>
      <c r="RRH49" s="72"/>
      <c r="RRI49" s="72"/>
      <c r="RRJ49" s="72"/>
      <c r="RRK49" s="72"/>
      <c r="RRL49" s="72"/>
      <c r="RRM49" s="72"/>
      <c r="RRN49" s="72"/>
      <c r="RRO49" s="72"/>
      <c r="RRP49" s="72"/>
      <c r="RRQ49" s="72"/>
      <c r="RRR49" s="72"/>
      <c r="RRS49" s="72"/>
      <c r="RRT49" s="72"/>
      <c r="RRU49" s="72"/>
      <c r="RRV49" s="72"/>
      <c r="RRW49" s="72"/>
      <c r="RRX49" s="72"/>
      <c r="RRY49" s="72"/>
      <c r="RRZ49" s="72"/>
      <c r="RSA49" s="72"/>
      <c r="RSB49" s="72"/>
      <c r="RSC49" s="72"/>
      <c r="RSD49" s="72"/>
      <c r="RSE49" s="72"/>
      <c r="RSF49" s="72"/>
      <c r="RSG49" s="72"/>
      <c r="RSH49" s="72"/>
      <c r="RSI49" s="72"/>
      <c r="RSJ49" s="72"/>
      <c r="RSK49" s="72"/>
      <c r="RSL49" s="72"/>
      <c r="RSM49" s="72"/>
      <c r="RSN49" s="72"/>
      <c r="RSO49" s="72"/>
      <c r="RSP49" s="72"/>
      <c r="RSQ49" s="72"/>
      <c r="RSR49" s="72"/>
      <c r="RSS49" s="72"/>
      <c r="RST49" s="72"/>
      <c r="RSU49" s="72"/>
      <c r="RSV49" s="72"/>
      <c r="RSW49" s="72"/>
      <c r="RSX49" s="72"/>
      <c r="RSY49" s="72"/>
      <c r="RSZ49" s="72"/>
      <c r="RTA49" s="72"/>
      <c r="RTB49" s="72"/>
      <c r="RTC49" s="72"/>
      <c r="RTD49" s="72"/>
      <c r="RTE49" s="72"/>
      <c r="RTF49" s="72"/>
      <c r="RTG49" s="72"/>
      <c r="RTH49" s="72"/>
      <c r="RTI49" s="72"/>
      <c r="RTJ49" s="72"/>
      <c r="RTK49" s="72"/>
      <c r="RTL49" s="72"/>
      <c r="RTM49" s="72"/>
      <c r="RTN49" s="72"/>
      <c r="RTO49" s="72"/>
      <c r="RTP49" s="72"/>
      <c r="RTQ49" s="72"/>
      <c r="RTR49" s="72"/>
      <c r="RTS49" s="72"/>
      <c r="RTT49" s="72"/>
      <c r="RTU49" s="72"/>
      <c r="RTV49" s="72"/>
      <c r="RTW49" s="72"/>
      <c r="RTX49" s="72"/>
      <c r="RTY49" s="72"/>
      <c r="RTZ49" s="72"/>
      <c r="RUA49" s="72"/>
      <c r="RUB49" s="72"/>
      <c r="RUC49" s="72"/>
      <c r="RUD49" s="72"/>
      <c r="RUE49" s="72"/>
      <c r="RUF49" s="72"/>
      <c r="RUG49" s="72"/>
      <c r="RUH49" s="72"/>
      <c r="RUI49" s="72"/>
      <c r="RUJ49" s="72"/>
      <c r="RUK49" s="72"/>
      <c r="RUL49" s="72"/>
      <c r="RUM49" s="72"/>
      <c r="RUN49" s="72"/>
      <c r="RUO49" s="72"/>
      <c r="RUP49" s="72"/>
      <c r="RUQ49" s="72"/>
      <c r="RUR49" s="72"/>
      <c r="RUS49" s="72"/>
      <c r="RUT49" s="72"/>
      <c r="RUU49" s="72"/>
      <c r="RUV49" s="72"/>
      <c r="RUW49" s="72"/>
      <c r="RUX49" s="72"/>
      <c r="RUY49" s="72"/>
      <c r="RUZ49" s="72"/>
      <c r="RVA49" s="72"/>
      <c r="RVB49" s="72"/>
      <c r="RVC49" s="72"/>
      <c r="RVD49" s="72"/>
      <c r="RVE49" s="72"/>
      <c r="RVF49" s="72"/>
      <c r="RVG49" s="72"/>
      <c r="RVH49" s="72"/>
      <c r="RVI49" s="72"/>
      <c r="RVJ49" s="72"/>
      <c r="RVK49" s="72"/>
      <c r="RVL49" s="72"/>
      <c r="RVM49" s="72"/>
      <c r="RVN49" s="72"/>
      <c r="RVO49" s="72"/>
      <c r="RVP49" s="72"/>
      <c r="RVQ49" s="72"/>
      <c r="RVR49" s="72"/>
      <c r="RVS49" s="72"/>
      <c r="RVT49" s="72"/>
      <c r="RVU49" s="72"/>
      <c r="RVV49" s="72"/>
      <c r="RVW49" s="72"/>
      <c r="RVX49" s="72"/>
      <c r="RVY49" s="72"/>
      <c r="RVZ49" s="72"/>
      <c r="RWA49" s="72"/>
      <c r="RWB49" s="72"/>
      <c r="RWC49" s="72"/>
      <c r="RWD49" s="72"/>
      <c r="RWE49" s="72"/>
      <c r="RWF49" s="72"/>
      <c r="RWG49" s="72"/>
      <c r="RWH49" s="72"/>
      <c r="RWI49" s="72"/>
      <c r="RWJ49" s="72"/>
      <c r="RWK49" s="72"/>
      <c r="RWL49" s="72"/>
      <c r="RWM49" s="72"/>
      <c r="RWN49" s="72"/>
      <c r="RWO49" s="72"/>
      <c r="RWP49" s="72"/>
      <c r="RWQ49" s="72"/>
      <c r="RWR49" s="72"/>
      <c r="RWS49" s="72"/>
      <c r="RWT49" s="72"/>
      <c r="RWU49" s="72"/>
      <c r="RWV49" s="72"/>
      <c r="RWW49" s="72"/>
      <c r="RWX49" s="72"/>
      <c r="RWY49" s="72"/>
      <c r="RWZ49" s="72"/>
      <c r="RXA49" s="72"/>
      <c r="RXB49" s="72"/>
      <c r="RXC49" s="72"/>
      <c r="RXD49" s="72"/>
      <c r="RXE49" s="72"/>
      <c r="RXF49" s="72"/>
      <c r="RXG49" s="72"/>
      <c r="RXH49" s="72"/>
      <c r="RXI49" s="72"/>
      <c r="RXJ49" s="72"/>
      <c r="RXK49" s="72"/>
      <c r="RXL49" s="72"/>
      <c r="RXM49" s="72"/>
      <c r="RXN49" s="72"/>
      <c r="RXO49" s="72"/>
      <c r="RXP49" s="72"/>
      <c r="RXQ49" s="72"/>
      <c r="RXR49" s="72"/>
      <c r="RXS49" s="72"/>
      <c r="RXT49" s="72"/>
      <c r="RXU49" s="72"/>
      <c r="RXV49" s="72"/>
      <c r="RXW49" s="72"/>
      <c r="RXX49" s="72"/>
      <c r="RXY49" s="72"/>
      <c r="RXZ49" s="72"/>
      <c r="RYA49" s="72"/>
      <c r="RYB49" s="72"/>
      <c r="RYC49" s="72"/>
      <c r="RYD49" s="72"/>
      <c r="RYE49" s="72"/>
      <c r="RYF49" s="72"/>
      <c r="RYG49" s="72"/>
      <c r="RYH49" s="72"/>
      <c r="RYI49" s="72"/>
      <c r="RYJ49" s="72"/>
      <c r="RYK49" s="72"/>
      <c r="RYL49" s="72"/>
      <c r="RYM49" s="72"/>
      <c r="RYN49" s="72"/>
      <c r="RYO49" s="72"/>
      <c r="RYP49" s="72"/>
      <c r="RYQ49" s="72"/>
      <c r="RYR49" s="72"/>
      <c r="RYS49" s="72"/>
      <c r="RYT49" s="72"/>
      <c r="RYU49" s="72"/>
      <c r="RYV49" s="72"/>
      <c r="RYW49" s="72"/>
      <c r="RYX49" s="72"/>
      <c r="RYY49" s="72"/>
      <c r="RYZ49" s="72"/>
      <c r="RZA49" s="72"/>
      <c r="RZB49" s="72"/>
      <c r="RZC49" s="72"/>
      <c r="RZD49" s="72"/>
      <c r="RZE49" s="72"/>
      <c r="RZF49" s="72"/>
      <c r="RZG49" s="72"/>
      <c r="RZH49" s="72"/>
      <c r="RZI49" s="72"/>
      <c r="RZJ49" s="72"/>
      <c r="RZK49" s="72"/>
      <c r="RZL49" s="72"/>
      <c r="RZM49" s="72"/>
      <c r="RZN49" s="72"/>
      <c r="RZO49" s="72"/>
      <c r="RZP49" s="72"/>
      <c r="RZQ49" s="72"/>
      <c r="RZR49" s="72"/>
      <c r="RZS49" s="72"/>
      <c r="RZT49" s="72"/>
      <c r="RZU49" s="72"/>
      <c r="RZV49" s="72"/>
      <c r="RZW49" s="72"/>
      <c r="RZX49" s="72"/>
      <c r="RZY49" s="72"/>
      <c r="RZZ49" s="72"/>
      <c r="SAA49" s="72"/>
      <c r="SAB49" s="72"/>
      <c r="SAC49" s="72"/>
      <c r="SAD49" s="72"/>
      <c r="SAE49" s="72"/>
      <c r="SAF49" s="72"/>
      <c r="SAG49" s="72"/>
      <c r="SAH49" s="72"/>
      <c r="SAI49" s="72"/>
      <c r="SAJ49" s="72"/>
      <c r="SAK49" s="72"/>
      <c r="SAL49" s="72"/>
      <c r="SAM49" s="72"/>
      <c r="SAN49" s="72"/>
      <c r="SAO49" s="72"/>
      <c r="SAP49" s="72"/>
      <c r="SAQ49" s="72"/>
      <c r="SAR49" s="72"/>
      <c r="SAS49" s="72"/>
      <c r="SAT49" s="72"/>
      <c r="SAU49" s="72"/>
      <c r="SAV49" s="72"/>
      <c r="SAW49" s="72"/>
      <c r="SAX49" s="72"/>
      <c r="SAY49" s="72"/>
      <c r="SAZ49" s="72"/>
      <c r="SBA49" s="72"/>
      <c r="SBB49" s="72"/>
      <c r="SBC49" s="72"/>
      <c r="SBD49" s="72"/>
      <c r="SBE49" s="72"/>
      <c r="SBF49" s="72"/>
      <c r="SBG49" s="72"/>
      <c r="SBH49" s="72"/>
      <c r="SBI49" s="72"/>
      <c r="SBJ49" s="72"/>
      <c r="SBK49" s="72"/>
      <c r="SBL49" s="72"/>
      <c r="SBM49" s="72"/>
      <c r="SBN49" s="72"/>
      <c r="SBO49" s="72"/>
      <c r="SBP49" s="72"/>
      <c r="SBQ49" s="72"/>
      <c r="SBR49" s="72"/>
      <c r="SBS49" s="72"/>
      <c r="SBT49" s="72"/>
      <c r="SBU49" s="72"/>
      <c r="SBV49" s="72"/>
      <c r="SBW49" s="72"/>
      <c r="SBX49" s="72"/>
      <c r="SBY49" s="72"/>
      <c r="SBZ49" s="72"/>
      <c r="SCA49" s="72"/>
      <c r="SCB49" s="72"/>
      <c r="SCC49" s="72"/>
      <c r="SCD49" s="72"/>
      <c r="SCE49" s="72"/>
      <c r="SCF49" s="72"/>
      <c r="SCG49" s="72"/>
      <c r="SCH49" s="72"/>
      <c r="SCI49" s="72"/>
      <c r="SCJ49" s="72"/>
      <c r="SCK49" s="72"/>
      <c r="SCL49" s="72"/>
      <c r="SCM49" s="72"/>
      <c r="SCN49" s="72"/>
      <c r="SCO49" s="72"/>
      <c r="SCP49" s="72"/>
      <c r="SCQ49" s="72"/>
      <c r="SCR49" s="72"/>
      <c r="SCS49" s="72"/>
      <c r="SCT49" s="72"/>
      <c r="SCU49" s="72"/>
      <c r="SCV49" s="72"/>
      <c r="SCW49" s="72"/>
      <c r="SCX49" s="72"/>
      <c r="SCY49" s="72"/>
      <c r="SCZ49" s="72"/>
      <c r="SDA49" s="72"/>
      <c r="SDB49" s="72"/>
      <c r="SDC49" s="72"/>
      <c r="SDD49" s="72"/>
      <c r="SDE49" s="72"/>
      <c r="SDF49" s="72"/>
      <c r="SDG49" s="72"/>
      <c r="SDH49" s="72"/>
      <c r="SDI49" s="72"/>
      <c r="SDJ49" s="72"/>
      <c r="SDK49" s="72"/>
      <c r="SDL49" s="72"/>
      <c r="SDM49" s="72"/>
      <c r="SDN49" s="72"/>
      <c r="SDO49" s="72"/>
      <c r="SDP49" s="72"/>
      <c r="SDQ49" s="72"/>
      <c r="SDR49" s="72"/>
      <c r="SDS49" s="72"/>
      <c r="SDT49" s="72"/>
      <c r="SDU49" s="72"/>
      <c r="SDV49" s="72"/>
      <c r="SDW49" s="72"/>
      <c r="SDX49" s="72"/>
      <c r="SDY49" s="72"/>
      <c r="SDZ49" s="72"/>
      <c r="SEA49" s="72"/>
      <c r="SEB49" s="72"/>
      <c r="SEC49" s="72"/>
      <c r="SED49" s="72"/>
      <c r="SEE49" s="72"/>
      <c r="SEF49" s="72"/>
      <c r="SEG49" s="72"/>
      <c r="SEH49" s="72"/>
      <c r="SEI49" s="72"/>
      <c r="SEJ49" s="72"/>
      <c r="SEK49" s="72"/>
      <c r="SEL49" s="72"/>
      <c r="SEM49" s="72"/>
      <c r="SEN49" s="72"/>
      <c r="SEO49" s="72"/>
      <c r="SEP49" s="72"/>
      <c r="SEQ49" s="72"/>
      <c r="SER49" s="72"/>
      <c r="SES49" s="72"/>
      <c r="SET49" s="72"/>
      <c r="SEU49" s="72"/>
      <c r="SEV49" s="72"/>
      <c r="SEW49" s="72"/>
      <c r="SEX49" s="72"/>
      <c r="SEY49" s="72"/>
      <c r="SEZ49" s="72"/>
      <c r="SFA49" s="72"/>
      <c r="SFB49" s="72"/>
      <c r="SFC49" s="72"/>
      <c r="SFD49" s="72"/>
      <c r="SFE49" s="72"/>
      <c r="SFF49" s="72"/>
      <c r="SFG49" s="72"/>
      <c r="SFH49" s="72"/>
      <c r="SFI49" s="72"/>
      <c r="SFJ49" s="72"/>
      <c r="SFK49" s="72"/>
      <c r="SFL49" s="72"/>
      <c r="SFM49" s="72"/>
      <c r="SFN49" s="72"/>
      <c r="SFO49" s="72"/>
      <c r="SFP49" s="72"/>
      <c r="SFQ49" s="72"/>
      <c r="SFR49" s="72"/>
      <c r="SFS49" s="72"/>
      <c r="SFT49" s="72"/>
      <c r="SFU49" s="72"/>
      <c r="SFV49" s="72"/>
      <c r="SFW49" s="72"/>
      <c r="SFX49" s="72"/>
      <c r="SFY49" s="72"/>
      <c r="SFZ49" s="72"/>
      <c r="SGA49" s="72"/>
      <c r="SGB49" s="72"/>
      <c r="SGC49" s="72"/>
      <c r="SGD49" s="72"/>
      <c r="SGE49" s="72"/>
      <c r="SGF49" s="72"/>
      <c r="SGG49" s="72"/>
      <c r="SGH49" s="72"/>
      <c r="SGI49" s="72"/>
      <c r="SGJ49" s="72"/>
      <c r="SGK49" s="72"/>
      <c r="SGL49" s="72"/>
      <c r="SGM49" s="72"/>
      <c r="SGN49" s="72"/>
      <c r="SGO49" s="72"/>
      <c r="SGP49" s="72"/>
      <c r="SGQ49" s="72"/>
      <c r="SGR49" s="72"/>
      <c r="SGS49" s="72"/>
      <c r="SGT49" s="72"/>
      <c r="SGU49" s="72"/>
      <c r="SGV49" s="72"/>
      <c r="SGW49" s="72"/>
      <c r="SGX49" s="72"/>
      <c r="SGY49" s="72"/>
      <c r="SGZ49" s="72"/>
      <c r="SHA49" s="72"/>
      <c r="SHB49" s="72"/>
      <c r="SHC49" s="72"/>
      <c r="SHD49" s="72"/>
      <c r="SHE49" s="72"/>
      <c r="SHF49" s="72"/>
      <c r="SHG49" s="72"/>
      <c r="SHH49" s="72"/>
      <c r="SHI49" s="72"/>
      <c r="SHJ49" s="72"/>
      <c r="SHK49" s="72"/>
      <c r="SHL49" s="72"/>
      <c r="SHM49" s="72"/>
      <c r="SHN49" s="72"/>
      <c r="SHO49" s="72"/>
      <c r="SHP49" s="72"/>
      <c r="SHQ49" s="72"/>
      <c r="SHR49" s="72"/>
      <c r="SHS49" s="72"/>
      <c r="SHT49" s="72"/>
      <c r="SHU49" s="72"/>
      <c r="SHV49" s="72"/>
      <c r="SHW49" s="72"/>
      <c r="SHX49" s="72"/>
      <c r="SHY49" s="72"/>
      <c r="SHZ49" s="72"/>
      <c r="SIA49" s="72"/>
      <c r="SIB49" s="72"/>
      <c r="SIC49" s="72"/>
      <c r="SID49" s="72"/>
      <c r="SIE49" s="72"/>
      <c r="SIF49" s="72"/>
      <c r="SIG49" s="72"/>
      <c r="SIH49" s="72"/>
      <c r="SII49" s="72"/>
      <c r="SIJ49" s="72"/>
      <c r="SIK49" s="72"/>
      <c r="SIL49" s="72"/>
      <c r="SIM49" s="72"/>
      <c r="SIN49" s="72"/>
      <c r="SIO49" s="72"/>
      <c r="SIP49" s="72"/>
      <c r="SIQ49" s="72"/>
      <c r="SIR49" s="72"/>
      <c r="SIS49" s="72"/>
      <c r="SIT49" s="72"/>
      <c r="SIU49" s="72"/>
      <c r="SIV49" s="72"/>
      <c r="SIW49" s="72"/>
      <c r="SIX49" s="72"/>
      <c r="SIY49" s="72"/>
      <c r="SIZ49" s="72"/>
      <c r="SJA49" s="72"/>
      <c r="SJB49" s="72"/>
      <c r="SJC49" s="72"/>
      <c r="SJD49" s="72"/>
      <c r="SJE49" s="72"/>
      <c r="SJF49" s="72"/>
      <c r="SJG49" s="72"/>
      <c r="SJH49" s="72"/>
      <c r="SJI49" s="72"/>
      <c r="SJJ49" s="72"/>
      <c r="SJK49" s="72"/>
      <c r="SJL49" s="72"/>
      <c r="SJM49" s="72"/>
      <c r="SJN49" s="72"/>
      <c r="SJO49" s="72"/>
      <c r="SJP49" s="72"/>
      <c r="SJQ49" s="72"/>
      <c r="SJR49" s="72"/>
      <c r="SJS49" s="72"/>
      <c r="SJT49" s="72"/>
      <c r="SJU49" s="72"/>
      <c r="SJV49" s="72"/>
      <c r="SJW49" s="72"/>
      <c r="SJX49" s="72"/>
      <c r="SJY49" s="72"/>
      <c r="SJZ49" s="72"/>
      <c r="SKA49" s="72"/>
      <c r="SKB49" s="72"/>
      <c r="SKC49" s="72"/>
      <c r="SKD49" s="72"/>
      <c r="SKE49" s="72"/>
      <c r="SKF49" s="72"/>
      <c r="SKG49" s="72"/>
      <c r="SKH49" s="72"/>
      <c r="SKI49" s="72"/>
      <c r="SKJ49" s="72"/>
      <c r="SKK49" s="72"/>
      <c r="SKL49" s="72"/>
      <c r="SKM49" s="72"/>
      <c r="SKN49" s="72"/>
      <c r="SKO49" s="72"/>
      <c r="SKP49" s="72"/>
      <c r="SKQ49" s="72"/>
      <c r="SKR49" s="72"/>
      <c r="SKS49" s="72"/>
      <c r="SKT49" s="72"/>
      <c r="SKU49" s="72"/>
      <c r="SKV49" s="72"/>
      <c r="SKW49" s="72"/>
      <c r="SKX49" s="72"/>
      <c r="SKY49" s="72"/>
      <c r="SKZ49" s="72"/>
      <c r="SLA49" s="72"/>
      <c r="SLB49" s="72"/>
      <c r="SLC49" s="72"/>
      <c r="SLD49" s="72"/>
      <c r="SLE49" s="72"/>
      <c r="SLF49" s="72"/>
      <c r="SLG49" s="72"/>
      <c r="SLH49" s="72"/>
      <c r="SLI49" s="72"/>
      <c r="SLJ49" s="72"/>
      <c r="SLK49" s="72"/>
      <c r="SLL49" s="72"/>
      <c r="SLM49" s="72"/>
      <c r="SLN49" s="72"/>
      <c r="SLO49" s="72"/>
      <c r="SLP49" s="72"/>
      <c r="SLQ49" s="72"/>
      <c r="SLR49" s="72"/>
      <c r="SLS49" s="72"/>
      <c r="SLT49" s="72"/>
      <c r="SLU49" s="72"/>
      <c r="SLV49" s="72"/>
      <c r="SLW49" s="72"/>
      <c r="SLX49" s="72"/>
      <c r="SLY49" s="72"/>
      <c r="SLZ49" s="72"/>
      <c r="SMA49" s="72"/>
      <c r="SMB49" s="72"/>
      <c r="SMC49" s="72"/>
      <c r="SMD49" s="72"/>
      <c r="SME49" s="72"/>
      <c r="SMF49" s="72"/>
      <c r="SMG49" s="72"/>
      <c r="SMH49" s="72"/>
      <c r="SMI49" s="72"/>
      <c r="SMJ49" s="72"/>
      <c r="SMK49" s="72"/>
      <c r="SML49" s="72"/>
      <c r="SMM49" s="72"/>
      <c r="SMN49" s="72"/>
      <c r="SMO49" s="72"/>
      <c r="SMP49" s="72"/>
      <c r="SMQ49" s="72"/>
      <c r="SMR49" s="72"/>
      <c r="SMS49" s="72"/>
      <c r="SMT49" s="72"/>
      <c r="SMU49" s="72"/>
      <c r="SMV49" s="72"/>
      <c r="SMW49" s="72"/>
      <c r="SMX49" s="72"/>
      <c r="SMY49" s="72"/>
      <c r="SMZ49" s="72"/>
      <c r="SNA49" s="72"/>
      <c r="SNB49" s="72"/>
      <c r="SNC49" s="72"/>
      <c r="SND49" s="72"/>
      <c r="SNE49" s="72"/>
      <c r="SNF49" s="72"/>
      <c r="SNG49" s="72"/>
      <c r="SNH49" s="72"/>
      <c r="SNI49" s="72"/>
      <c r="SNJ49" s="72"/>
      <c r="SNK49" s="72"/>
      <c r="SNL49" s="72"/>
      <c r="SNM49" s="72"/>
      <c r="SNN49" s="72"/>
      <c r="SNO49" s="72"/>
      <c r="SNP49" s="72"/>
      <c r="SNQ49" s="72"/>
      <c r="SNR49" s="72"/>
      <c r="SNS49" s="72"/>
      <c r="SNT49" s="72"/>
      <c r="SNU49" s="72"/>
      <c r="SNV49" s="72"/>
      <c r="SNW49" s="72"/>
      <c r="SNX49" s="72"/>
      <c r="SNY49" s="72"/>
      <c r="SNZ49" s="72"/>
      <c r="SOA49" s="72"/>
      <c r="SOB49" s="72"/>
      <c r="SOC49" s="72"/>
      <c r="SOD49" s="72"/>
      <c r="SOE49" s="72"/>
      <c r="SOF49" s="72"/>
      <c r="SOG49" s="72"/>
      <c r="SOH49" s="72"/>
      <c r="SOI49" s="72"/>
      <c r="SOJ49" s="72"/>
      <c r="SOK49" s="72"/>
      <c r="SOL49" s="72"/>
      <c r="SOM49" s="72"/>
      <c r="SON49" s="72"/>
      <c r="SOO49" s="72"/>
      <c r="SOP49" s="72"/>
      <c r="SOQ49" s="72"/>
      <c r="SOR49" s="72"/>
      <c r="SOS49" s="72"/>
      <c r="SOT49" s="72"/>
      <c r="SOU49" s="72"/>
      <c r="SOV49" s="72"/>
      <c r="SOW49" s="72"/>
      <c r="SOX49" s="72"/>
      <c r="SOY49" s="72"/>
      <c r="SOZ49" s="72"/>
      <c r="SPA49" s="72"/>
      <c r="SPB49" s="72"/>
      <c r="SPC49" s="72"/>
      <c r="SPD49" s="72"/>
      <c r="SPE49" s="72"/>
      <c r="SPF49" s="72"/>
      <c r="SPG49" s="72"/>
      <c r="SPH49" s="72"/>
      <c r="SPI49" s="72"/>
      <c r="SPJ49" s="72"/>
      <c r="SPK49" s="72"/>
      <c r="SPL49" s="72"/>
      <c r="SPM49" s="72"/>
      <c r="SPN49" s="72"/>
      <c r="SPO49" s="72"/>
      <c r="SPP49" s="72"/>
      <c r="SPQ49" s="72"/>
      <c r="SPR49" s="72"/>
      <c r="SPS49" s="72"/>
      <c r="SPT49" s="72"/>
      <c r="SPU49" s="72"/>
      <c r="SPV49" s="72"/>
      <c r="SPW49" s="72"/>
      <c r="SPX49" s="72"/>
      <c r="SPY49" s="72"/>
      <c r="SPZ49" s="72"/>
      <c r="SQA49" s="72"/>
      <c r="SQB49" s="72"/>
      <c r="SQC49" s="72"/>
      <c r="SQD49" s="72"/>
      <c r="SQE49" s="72"/>
      <c r="SQF49" s="72"/>
      <c r="SQG49" s="72"/>
      <c r="SQH49" s="72"/>
      <c r="SQI49" s="72"/>
      <c r="SQJ49" s="72"/>
      <c r="SQK49" s="72"/>
      <c r="SQL49" s="72"/>
      <c r="SQM49" s="72"/>
      <c r="SQN49" s="72"/>
      <c r="SQO49" s="72"/>
      <c r="SQP49" s="72"/>
      <c r="SQQ49" s="72"/>
      <c r="SQR49" s="72"/>
      <c r="SQS49" s="72"/>
      <c r="SQT49" s="72"/>
      <c r="SQU49" s="72"/>
      <c r="SQV49" s="72"/>
      <c r="SQW49" s="72"/>
      <c r="SQX49" s="72"/>
      <c r="SQY49" s="72"/>
      <c r="SQZ49" s="72"/>
      <c r="SRA49" s="72"/>
      <c r="SRB49" s="72"/>
      <c r="SRC49" s="72"/>
      <c r="SRD49" s="72"/>
      <c r="SRE49" s="72"/>
      <c r="SRF49" s="72"/>
      <c r="SRG49" s="72"/>
      <c r="SRH49" s="72"/>
      <c r="SRI49" s="72"/>
      <c r="SRJ49" s="72"/>
      <c r="SRK49" s="72"/>
      <c r="SRL49" s="72"/>
      <c r="SRM49" s="72"/>
      <c r="SRN49" s="72"/>
      <c r="SRO49" s="72"/>
      <c r="SRP49" s="72"/>
      <c r="SRQ49" s="72"/>
      <c r="SRR49" s="72"/>
      <c r="SRS49" s="72"/>
      <c r="SRT49" s="72"/>
      <c r="SRU49" s="72"/>
      <c r="SRV49" s="72"/>
      <c r="SRW49" s="72"/>
      <c r="SRX49" s="72"/>
      <c r="SRY49" s="72"/>
      <c r="SRZ49" s="72"/>
      <c r="SSA49" s="72"/>
      <c r="SSB49" s="72"/>
      <c r="SSC49" s="72"/>
      <c r="SSD49" s="72"/>
      <c r="SSE49" s="72"/>
      <c r="SSF49" s="72"/>
      <c r="SSG49" s="72"/>
      <c r="SSH49" s="72"/>
      <c r="SSI49" s="72"/>
      <c r="SSJ49" s="72"/>
      <c r="SSK49" s="72"/>
      <c r="SSL49" s="72"/>
      <c r="SSM49" s="72"/>
      <c r="SSN49" s="72"/>
      <c r="SSO49" s="72"/>
      <c r="SSP49" s="72"/>
      <c r="SSQ49" s="72"/>
      <c r="SSR49" s="72"/>
      <c r="SSS49" s="72"/>
      <c r="SST49" s="72"/>
      <c r="SSU49" s="72"/>
      <c r="SSV49" s="72"/>
      <c r="SSW49" s="72"/>
      <c r="SSX49" s="72"/>
      <c r="SSY49" s="72"/>
      <c r="SSZ49" s="72"/>
      <c r="STA49" s="72"/>
      <c r="STB49" s="72"/>
      <c r="STC49" s="72"/>
      <c r="STD49" s="72"/>
      <c r="STE49" s="72"/>
      <c r="STF49" s="72"/>
      <c r="STG49" s="72"/>
      <c r="STH49" s="72"/>
      <c r="STI49" s="72"/>
      <c r="STJ49" s="72"/>
      <c r="STK49" s="72"/>
      <c r="STL49" s="72"/>
      <c r="STM49" s="72"/>
      <c r="STN49" s="72"/>
      <c r="STO49" s="72"/>
      <c r="STP49" s="72"/>
      <c r="STQ49" s="72"/>
      <c r="STR49" s="72"/>
      <c r="STS49" s="72"/>
      <c r="STT49" s="72"/>
      <c r="STU49" s="72"/>
      <c r="STV49" s="72"/>
      <c r="STW49" s="72"/>
      <c r="STX49" s="72"/>
      <c r="STY49" s="72"/>
      <c r="STZ49" s="72"/>
      <c r="SUA49" s="72"/>
      <c r="SUB49" s="72"/>
      <c r="SUC49" s="72"/>
      <c r="SUD49" s="72"/>
      <c r="SUE49" s="72"/>
      <c r="SUF49" s="72"/>
      <c r="SUG49" s="72"/>
      <c r="SUH49" s="72"/>
      <c r="SUI49" s="72"/>
      <c r="SUJ49" s="72"/>
      <c r="SUK49" s="72"/>
      <c r="SUL49" s="72"/>
      <c r="SUM49" s="72"/>
      <c r="SUN49" s="72"/>
      <c r="SUO49" s="72"/>
      <c r="SUP49" s="72"/>
      <c r="SUQ49" s="72"/>
      <c r="SUR49" s="72"/>
      <c r="SUS49" s="72"/>
      <c r="SUT49" s="72"/>
      <c r="SUU49" s="72"/>
      <c r="SUV49" s="72"/>
      <c r="SUW49" s="72"/>
      <c r="SUX49" s="72"/>
      <c r="SUY49" s="72"/>
      <c r="SUZ49" s="72"/>
      <c r="SVA49" s="72"/>
      <c r="SVB49" s="72"/>
      <c r="SVC49" s="72"/>
      <c r="SVD49" s="72"/>
      <c r="SVE49" s="72"/>
      <c r="SVF49" s="72"/>
      <c r="SVG49" s="72"/>
      <c r="SVH49" s="72"/>
      <c r="SVI49" s="72"/>
      <c r="SVJ49" s="72"/>
      <c r="SVK49" s="72"/>
      <c r="SVL49" s="72"/>
      <c r="SVM49" s="72"/>
      <c r="SVN49" s="72"/>
      <c r="SVO49" s="72"/>
      <c r="SVP49" s="72"/>
      <c r="SVQ49" s="72"/>
      <c r="SVR49" s="72"/>
      <c r="SVS49" s="72"/>
      <c r="SVT49" s="72"/>
      <c r="SVU49" s="72"/>
      <c r="SVV49" s="72"/>
      <c r="SVW49" s="72"/>
      <c r="SVX49" s="72"/>
      <c r="SVY49" s="72"/>
      <c r="SVZ49" s="72"/>
      <c r="SWA49" s="72"/>
      <c r="SWB49" s="72"/>
      <c r="SWC49" s="72"/>
      <c r="SWD49" s="72"/>
      <c r="SWE49" s="72"/>
      <c r="SWF49" s="72"/>
      <c r="SWG49" s="72"/>
      <c r="SWH49" s="72"/>
      <c r="SWI49" s="72"/>
      <c r="SWJ49" s="72"/>
      <c r="SWK49" s="72"/>
      <c r="SWL49" s="72"/>
      <c r="SWM49" s="72"/>
      <c r="SWN49" s="72"/>
      <c r="SWO49" s="72"/>
      <c r="SWP49" s="72"/>
      <c r="SWQ49" s="72"/>
      <c r="SWR49" s="72"/>
      <c r="SWS49" s="72"/>
      <c r="SWT49" s="72"/>
      <c r="SWU49" s="72"/>
      <c r="SWV49" s="72"/>
      <c r="SWW49" s="72"/>
      <c r="SWX49" s="72"/>
      <c r="SWY49" s="72"/>
      <c r="SWZ49" s="72"/>
      <c r="SXA49" s="72"/>
      <c r="SXB49" s="72"/>
      <c r="SXC49" s="72"/>
      <c r="SXD49" s="72"/>
      <c r="SXE49" s="72"/>
      <c r="SXF49" s="72"/>
      <c r="SXG49" s="72"/>
      <c r="SXH49" s="72"/>
      <c r="SXI49" s="72"/>
      <c r="SXJ49" s="72"/>
      <c r="SXK49" s="72"/>
      <c r="SXL49" s="72"/>
      <c r="SXM49" s="72"/>
      <c r="SXN49" s="72"/>
      <c r="SXO49" s="72"/>
      <c r="SXP49" s="72"/>
      <c r="SXQ49" s="72"/>
      <c r="SXR49" s="72"/>
      <c r="SXS49" s="72"/>
      <c r="SXT49" s="72"/>
      <c r="SXU49" s="72"/>
      <c r="SXV49" s="72"/>
      <c r="SXW49" s="72"/>
      <c r="SXX49" s="72"/>
      <c r="SXY49" s="72"/>
      <c r="SXZ49" s="72"/>
      <c r="SYA49" s="72"/>
      <c r="SYB49" s="72"/>
      <c r="SYC49" s="72"/>
      <c r="SYD49" s="72"/>
      <c r="SYE49" s="72"/>
      <c r="SYF49" s="72"/>
      <c r="SYG49" s="72"/>
      <c r="SYH49" s="72"/>
      <c r="SYI49" s="72"/>
      <c r="SYJ49" s="72"/>
      <c r="SYK49" s="72"/>
      <c r="SYL49" s="72"/>
      <c r="SYM49" s="72"/>
      <c r="SYN49" s="72"/>
      <c r="SYO49" s="72"/>
      <c r="SYP49" s="72"/>
      <c r="SYQ49" s="72"/>
      <c r="SYR49" s="72"/>
      <c r="SYS49" s="72"/>
      <c r="SYT49" s="72"/>
      <c r="SYU49" s="72"/>
      <c r="SYV49" s="72"/>
      <c r="SYW49" s="72"/>
      <c r="SYX49" s="72"/>
      <c r="SYY49" s="72"/>
      <c r="SYZ49" s="72"/>
      <c r="SZA49" s="72"/>
      <c r="SZB49" s="72"/>
      <c r="SZC49" s="72"/>
      <c r="SZD49" s="72"/>
      <c r="SZE49" s="72"/>
      <c r="SZF49" s="72"/>
      <c r="SZG49" s="72"/>
      <c r="SZH49" s="72"/>
      <c r="SZI49" s="72"/>
      <c r="SZJ49" s="72"/>
      <c r="SZK49" s="72"/>
      <c r="SZL49" s="72"/>
      <c r="SZM49" s="72"/>
      <c r="SZN49" s="72"/>
      <c r="SZO49" s="72"/>
      <c r="SZP49" s="72"/>
      <c r="SZQ49" s="72"/>
      <c r="SZR49" s="72"/>
      <c r="SZS49" s="72"/>
      <c r="SZT49" s="72"/>
      <c r="SZU49" s="72"/>
      <c r="SZV49" s="72"/>
      <c r="SZW49" s="72"/>
      <c r="SZX49" s="72"/>
      <c r="SZY49" s="72"/>
      <c r="SZZ49" s="72"/>
      <c r="TAA49" s="72"/>
      <c r="TAB49" s="72"/>
      <c r="TAC49" s="72"/>
      <c r="TAD49" s="72"/>
      <c r="TAE49" s="72"/>
      <c r="TAF49" s="72"/>
      <c r="TAG49" s="72"/>
      <c r="TAH49" s="72"/>
      <c r="TAI49" s="72"/>
      <c r="TAJ49" s="72"/>
      <c r="TAK49" s="72"/>
      <c r="TAL49" s="72"/>
      <c r="TAM49" s="72"/>
      <c r="TAN49" s="72"/>
      <c r="TAO49" s="72"/>
      <c r="TAP49" s="72"/>
      <c r="TAQ49" s="72"/>
      <c r="TAR49" s="72"/>
      <c r="TAS49" s="72"/>
      <c r="TAT49" s="72"/>
      <c r="TAU49" s="72"/>
      <c r="TAV49" s="72"/>
      <c r="TAW49" s="72"/>
      <c r="TAX49" s="72"/>
      <c r="TAY49" s="72"/>
      <c r="TAZ49" s="72"/>
      <c r="TBA49" s="72"/>
      <c r="TBB49" s="72"/>
      <c r="TBC49" s="72"/>
      <c r="TBD49" s="72"/>
      <c r="TBE49" s="72"/>
      <c r="TBF49" s="72"/>
      <c r="TBG49" s="72"/>
      <c r="TBH49" s="72"/>
      <c r="TBI49" s="72"/>
      <c r="TBJ49" s="72"/>
      <c r="TBK49" s="72"/>
      <c r="TBL49" s="72"/>
      <c r="TBM49" s="72"/>
      <c r="TBN49" s="72"/>
      <c r="TBO49" s="72"/>
      <c r="TBP49" s="72"/>
      <c r="TBQ49" s="72"/>
      <c r="TBR49" s="72"/>
      <c r="TBS49" s="72"/>
      <c r="TBT49" s="72"/>
      <c r="TBU49" s="72"/>
      <c r="TBV49" s="72"/>
      <c r="TBW49" s="72"/>
      <c r="TBX49" s="72"/>
      <c r="TBY49" s="72"/>
      <c r="TBZ49" s="72"/>
      <c r="TCA49" s="72"/>
      <c r="TCB49" s="72"/>
      <c r="TCC49" s="72"/>
      <c r="TCD49" s="72"/>
      <c r="TCE49" s="72"/>
      <c r="TCF49" s="72"/>
      <c r="TCG49" s="72"/>
      <c r="TCH49" s="72"/>
      <c r="TCI49" s="72"/>
      <c r="TCJ49" s="72"/>
      <c r="TCK49" s="72"/>
      <c r="TCL49" s="72"/>
      <c r="TCM49" s="72"/>
      <c r="TCN49" s="72"/>
      <c r="TCO49" s="72"/>
      <c r="TCP49" s="72"/>
      <c r="TCQ49" s="72"/>
      <c r="TCR49" s="72"/>
      <c r="TCS49" s="72"/>
      <c r="TCT49" s="72"/>
      <c r="TCU49" s="72"/>
      <c r="TCV49" s="72"/>
      <c r="TCW49" s="72"/>
      <c r="TCX49" s="72"/>
      <c r="TCY49" s="72"/>
      <c r="TCZ49" s="72"/>
      <c r="TDA49" s="72"/>
      <c r="TDB49" s="72"/>
      <c r="TDC49" s="72"/>
      <c r="TDD49" s="72"/>
      <c r="TDE49" s="72"/>
      <c r="TDF49" s="72"/>
      <c r="TDG49" s="72"/>
      <c r="TDH49" s="72"/>
      <c r="TDI49" s="72"/>
      <c r="TDJ49" s="72"/>
      <c r="TDK49" s="72"/>
      <c r="TDL49" s="72"/>
      <c r="TDM49" s="72"/>
      <c r="TDN49" s="72"/>
      <c r="TDO49" s="72"/>
      <c r="TDP49" s="72"/>
      <c r="TDQ49" s="72"/>
      <c r="TDR49" s="72"/>
      <c r="TDS49" s="72"/>
      <c r="TDT49" s="72"/>
      <c r="TDU49" s="72"/>
      <c r="TDV49" s="72"/>
      <c r="TDW49" s="72"/>
      <c r="TDX49" s="72"/>
      <c r="TDY49" s="72"/>
      <c r="TDZ49" s="72"/>
      <c r="TEA49" s="72"/>
      <c r="TEB49" s="72"/>
      <c r="TEC49" s="72"/>
      <c r="TED49" s="72"/>
      <c r="TEE49" s="72"/>
      <c r="TEF49" s="72"/>
      <c r="TEG49" s="72"/>
      <c r="TEH49" s="72"/>
      <c r="TEI49" s="72"/>
      <c r="TEJ49" s="72"/>
      <c r="TEK49" s="72"/>
      <c r="TEL49" s="72"/>
      <c r="TEM49" s="72"/>
      <c r="TEN49" s="72"/>
      <c r="TEO49" s="72"/>
      <c r="TEP49" s="72"/>
      <c r="TEQ49" s="72"/>
      <c r="TER49" s="72"/>
      <c r="TES49" s="72"/>
      <c r="TET49" s="72"/>
      <c r="TEU49" s="72"/>
      <c r="TEV49" s="72"/>
      <c r="TEW49" s="72"/>
      <c r="TEX49" s="72"/>
      <c r="TEY49" s="72"/>
      <c r="TEZ49" s="72"/>
      <c r="TFA49" s="72"/>
      <c r="TFB49" s="72"/>
      <c r="TFC49" s="72"/>
      <c r="TFD49" s="72"/>
      <c r="TFE49" s="72"/>
      <c r="TFF49" s="72"/>
      <c r="TFG49" s="72"/>
      <c r="TFH49" s="72"/>
      <c r="TFI49" s="72"/>
      <c r="TFJ49" s="72"/>
      <c r="TFK49" s="72"/>
      <c r="TFL49" s="72"/>
      <c r="TFM49" s="72"/>
      <c r="TFN49" s="72"/>
      <c r="TFO49" s="72"/>
      <c r="TFP49" s="72"/>
      <c r="TFQ49" s="72"/>
      <c r="TFR49" s="72"/>
      <c r="TFS49" s="72"/>
      <c r="TFT49" s="72"/>
      <c r="TFU49" s="72"/>
      <c r="TFV49" s="72"/>
      <c r="TFW49" s="72"/>
      <c r="TFX49" s="72"/>
      <c r="TFY49" s="72"/>
      <c r="TFZ49" s="72"/>
      <c r="TGA49" s="72"/>
      <c r="TGB49" s="72"/>
      <c r="TGC49" s="72"/>
      <c r="TGD49" s="72"/>
      <c r="TGE49" s="72"/>
      <c r="TGF49" s="72"/>
      <c r="TGG49" s="72"/>
      <c r="TGH49" s="72"/>
      <c r="TGI49" s="72"/>
      <c r="TGJ49" s="72"/>
      <c r="TGK49" s="72"/>
      <c r="TGL49" s="72"/>
      <c r="TGM49" s="72"/>
      <c r="TGN49" s="72"/>
      <c r="TGO49" s="72"/>
      <c r="TGP49" s="72"/>
      <c r="TGQ49" s="72"/>
      <c r="TGR49" s="72"/>
      <c r="TGS49" s="72"/>
      <c r="TGT49" s="72"/>
      <c r="TGU49" s="72"/>
      <c r="TGV49" s="72"/>
      <c r="TGW49" s="72"/>
      <c r="TGX49" s="72"/>
      <c r="TGY49" s="72"/>
      <c r="TGZ49" s="72"/>
      <c r="THA49" s="72"/>
      <c r="THB49" s="72"/>
      <c r="THC49" s="72"/>
      <c r="THD49" s="72"/>
      <c r="THE49" s="72"/>
      <c r="THF49" s="72"/>
      <c r="THG49" s="72"/>
      <c r="THH49" s="72"/>
      <c r="THI49" s="72"/>
      <c r="THJ49" s="72"/>
      <c r="THK49" s="72"/>
      <c r="THL49" s="72"/>
      <c r="THM49" s="72"/>
      <c r="THN49" s="72"/>
      <c r="THO49" s="72"/>
      <c r="THP49" s="72"/>
      <c r="THQ49" s="72"/>
      <c r="THR49" s="72"/>
      <c r="THS49" s="72"/>
      <c r="THT49" s="72"/>
      <c r="THU49" s="72"/>
      <c r="THV49" s="72"/>
      <c r="THW49" s="72"/>
      <c r="THX49" s="72"/>
      <c r="THY49" s="72"/>
      <c r="THZ49" s="72"/>
      <c r="TIA49" s="72"/>
      <c r="TIB49" s="72"/>
      <c r="TIC49" s="72"/>
      <c r="TID49" s="72"/>
      <c r="TIE49" s="72"/>
      <c r="TIF49" s="72"/>
      <c r="TIG49" s="72"/>
      <c r="TIH49" s="72"/>
      <c r="TII49" s="72"/>
      <c r="TIJ49" s="72"/>
      <c r="TIK49" s="72"/>
      <c r="TIL49" s="72"/>
      <c r="TIM49" s="72"/>
      <c r="TIN49" s="72"/>
      <c r="TIO49" s="72"/>
      <c r="TIP49" s="72"/>
      <c r="TIQ49" s="72"/>
      <c r="TIR49" s="72"/>
      <c r="TIS49" s="72"/>
      <c r="TIT49" s="72"/>
      <c r="TIU49" s="72"/>
      <c r="TIV49" s="72"/>
      <c r="TIW49" s="72"/>
      <c r="TIX49" s="72"/>
      <c r="TIY49" s="72"/>
      <c r="TIZ49" s="72"/>
      <c r="TJA49" s="72"/>
      <c r="TJB49" s="72"/>
      <c r="TJC49" s="72"/>
      <c r="TJD49" s="72"/>
      <c r="TJE49" s="72"/>
      <c r="TJF49" s="72"/>
      <c r="TJG49" s="72"/>
      <c r="TJH49" s="72"/>
      <c r="TJI49" s="72"/>
      <c r="TJJ49" s="72"/>
      <c r="TJK49" s="72"/>
      <c r="TJL49" s="72"/>
      <c r="TJM49" s="72"/>
      <c r="TJN49" s="72"/>
      <c r="TJO49" s="72"/>
      <c r="TJP49" s="72"/>
      <c r="TJQ49" s="72"/>
      <c r="TJR49" s="72"/>
      <c r="TJS49" s="72"/>
      <c r="TJT49" s="72"/>
      <c r="TJU49" s="72"/>
      <c r="TJV49" s="72"/>
      <c r="TJW49" s="72"/>
      <c r="TJX49" s="72"/>
      <c r="TJY49" s="72"/>
      <c r="TJZ49" s="72"/>
      <c r="TKA49" s="72"/>
      <c r="TKB49" s="72"/>
      <c r="TKC49" s="72"/>
      <c r="TKD49" s="72"/>
      <c r="TKE49" s="72"/>
      <c r="TKF49" s="72"/>
      <c r="TKG49" s="72"/>
      <c r="TKH49" s="72"/>
      <c r="TKI49" s="72"/>
      <c r="TKJ49" s="72"/>
      <c r="TKK49" s="72"/>
      <c r="TKL49" s="72"/>
      <c r="TKM49" s="72"/>
      <c r="TKN49" s="72"/>
      <c r="TKO49" s="72"/>
      <c r="TKP49" s="72"/>
      <c r="TKQ49" s="72"/>
      <c r="TKR49" s="72"/>
      <c r="TKS49" s="72"/>
      <c r="TKT49" s="72"/>
      <c r="TKU49" s="72"/>
      <c r="TKV49" s="72"/>
      <c r="TKW49" s="72"/>
      <c r="TKX49" s="72"/>
      <c r="TKY49" s="72"/>
      <c r="TKZ49" s="72"/>
      <c r="TLA49" s="72"/>
      <c r="TLB49" s="72"/>
      <c r="TLC49" s="72"/>
      <c r="TLD49" s="72"/>
      <c r="TLE49" s="72"/>
      <c r="TLF49" s="72"/>
      <c r="TLG49" s="72"/>
      <c r="TLH49" s="72"/>
      <c r="TLI49" s="72"/>
      <c r="TLJ49" s="72"/>
      <c r="TLK49" s="72"/>
      <c r="TLL49" s="72"/>
      <c r="TLM49" s="72"/>
      <c r="TLN49" s="72"/>
      <c r="TLO49" s="72"/>
      <c r="TLP49" s="72"/>
      <c r="TLQ49" s="72"/>
      <c r="TLR49" s="72"/>
      <c r="TLS49" s="72"/>
      <c r="TLT49" s="72"/>
      <c r="TLU49" s="72"/>
      <c r="TLV49" s="72"/>
      <c r="TLW49" s="72"/>
      <c r="TLX49" s="72"/>
      <c r="TLY49" s="72"/>
      <c r="TLZ49" s="72"/>
      <c r="TMA49" s="72"/>
      <c r="TMB49" s="72"/>
      <c r="TMC49" s="72"/>
      <c r="TMD49" s="72"/>
      <c r="TME49" s="72"/>
      <c r="TMF49" s="72"/>
      <c r="TMG49" s="72"/>
      <c r="TMH49" s="72"/>
      <c r="TMI49" s="72"/>
      <c r="TMJ49" s="72"/>
      <c r="TMK49" s="72"/>
      <c r="TML49" s="72"/>
      <c r="TMM49" s="72"/>
      <c r="TMN49" s="72"/>
      <c r="TMO49" s="72"/>
      <c r="TMP49" s="72"/>
      <c r="TMQ49" s="72"/>
      <c r="TMR49" s="72"/>
      <c r="TMS49" s="72"/>
      <c r="TMT49" s="72"/>
      <c r="TMU49" s="72"/>
      <c r="TMV49" s="72"/>
      <c r="TMW49" s="72"/>
      <c r="TMX49" s="72"/>
      <c r="TMY49" s="72"/>
      <c r="TMZ49" s="72"/>
      <c r="TNA49" s="72"/>
      <c r="TNB49" s="72"/>
      <c r="TNC49" s="72"/>
      <c r="TND49" s="72"/>
      <c r="TNE49" s="72"/>
      <c r="TNF49" s="72"/>
      <c r="TNG49" s="72"/>
      <c r="TNH49" s="72"/>
      <c r="TNI49" s="72"/>
      <c r="TNJ49" s="72"/>
      <c r="TNK49" s="72"/>
      <c r="TNL49" s="72"/>
      <c r="TNM49" s="72"/>
      <c r="TNN49" s="72"/>
      <c r="TNO49" s="72"/>
      <c r="TNP49" s="72"/>
      <c r="TNQ49" s="72"/>
      <c r="TNR49" s="72"/>
      <c r="TNS49" s="72"/>
      <c r="TNT49" s="72"/>
      <c r="TNU49" s="72"/>
      <c r="TNV49" s="72"/>
      <c r="TNW49" s="72"/>
      <c r="TNX49" s="72"/>
      <c r="TNY49" s="72"/>
      <c r="TNZ49" s="72"/>
      <c r="TOA49" s="72"/>
      <c r="TOB49" s="72"/>
      <c r="TOC49" s="72"/>
      <c r="TOD49" s="72"/>
      <c r="TOE49" s="72"/>
      <c r="TOF49" s="72"/>
      <c r="TOG49" s="72"/>
      <c r="TOH49" s="72"/>
      <c r="TOI49" s="72"/>
      <c r="TOJ49" s="72"/>
      <c r="TOK49" s="72"/>
      <c r="TOL49" s="72"/>
      <c r="TOM49" s="72"/>
      <c r="TON49" s="72"/>
      <c r="TOO49" s="72"/>
      <c r="TOP49" s="72"/>
      <c r="TOQ49" s="72"/>
      <c r="TOR49" s="72"/>
      <c r="TOS49" s="72"/>
      <c r="TOT49" s="72"/>
      <c r="TOU49" s="72"/>
      <c r="TOV49" s="72"/>
      <c r="TOW49" s="72"/>
      <c r="TOX49" s="72"/>
      <c r="TOY49" s="72"/>
      <c r="TOZ49" s="72"/>
      <c r="TPA49" s="72"/>
      <c r="TPB49" s="72"/>
      <c r="TPC49" s="72"/>
      <c r="TPD49" s="72"/>
      <c r="TPE49" s="72"/>
      <c r="TPF49" s="72"/>
      <c r="TPG49" s="72"/>
      <c r="TPH49" s="72"/>
      <c r="TPI49" s="72"/>
      <c r="TPJ49" s="72"/>
      <c r="TPK49" s="72"/>
      <c r="TPL49" s="72"/>
      <c r="TPM49" s="72"/>
      <c r="TPN49" s="72"/>
      <c r="TPO49" s="72"/>
      <c r="TPP49" s="72"/>
      <c r="TPQ49" s="72"/>
      <c r="TPR49" s="72"/>
      <c r="TPS49" s="72"/>
      <c r="TPT49" s="72"/>
      <c r="TPU49" s="72"/>
      <c r="TPV49" s="72"/>
      <c r="TPW49" s="72"/>
      <c r="TPX49" s="72"/>
      <c r="TPY49" s="72"/>
      <c r="TPZ49" s="72"/>
      <c r="TQA49" s="72"/>
      <c r="TQB49" s="72"/>
      <c r="TQC49" s="72"/>
      <c r="TQD49" s="72"/>
      <c r="TQE49" s="72"/>
      <c r="TQF49" s="72"/>
      <c r="TQG49" s="72"/>
      <c r="TQH49" s="72"/>
      <c r="TQI49" s="72"/>
      <c r="TQJ49" s="72"/>
      <c r="TQK49" s="72"/>
      <c r="TQL49" s="72"/>
      <c r="TQM49" s="72"/>
      <c r="TQN49" s="72"/>
      <c r="TQO49" s="72"/>
      <c r="TQP49" s="72"/>
      <c r="TQQ49" s="72"/>
      <c r="TQR49" s="72"/>
      <c r="TQS49" s="72"/>
      <c r="TQT49" s="72"/>
      <c r="TQU49" s="72"/>
      <c r="TQV49" s="72"/>
      <c r="TQW49" s="72"/>
      <c r="TQX49" s="72"/>
      <c r="TQY49" s="72"/>
      <c r="TQZ49" s="72"/>
      <c r="TRA49" s="72"/>
      <c r="TRB49" s="72"/>
      <c r="TRC49" s="72"/>
      <c r="TRD49" s="72"/>
      <c r="TRE49" s="72"/>
      <c r="TRF49" s="72"/>
      <c r="TRG49" s="72"/>
      <c r="TRH49" s="72"/>
      <c r="TRI49" s="72"/>
      <c r="TRJ49" s="72"/>
      <c r="TRK49" s="72"/>
      <c r="TRL49" s="72"/>
      <c r="TRM49" s="72"/>
      <c r="TRN49" s="72"/>
      <c r="TRO49" s="72"/>
      <c r="TRP49" s="72"/>
      <c r="TRQ49" s="72"/>
      <c r="TRR49" s="72"/>
      <c r="TRS49" s="72"/>
      <c r="TRT49" s="72"/>
      <c r="TRU49" s="72"/>
      <c r="TRV49" s="72"/>
      <c r="TRW49" s="72"/>
      <c r="TRX49" s="72"/>
      <c r="TRY49" s="72"/>
      <c r="TRZ49" s="72"/>
      <c r="TSA49" s="72"/>
      <c r="TSB49" s="72"/>
      <c r="TSC49" s="72"/>
      <c r="TSD49" s="72"/>
      <c r="TSE49" s="72"/>
      <c r="TSF49" s="72"/>
      <c r="TSG49" s="72"/>
      <c r="TSH49" s="72"/>
      <c r="TSI49" s="72"/>
      <c r="TSJ49" s="72"/>
      <c r="TSK49" s="72"/>
      <c r="TSL49" s="72"/>
      <c r="TSM49" s="72"/>
      <c r="TSN49" s="72"/>
      <c r="TSO49" s="72"/>
      <c r="TSP49" s="72"/>
      <c r="TSQ49" s="72"/>
      <c r="TSR49" s="72"/>
      <c r="TSS49" s="72"/>
      <c r="TST49" s="72"/>
      <c r="TSU49" s="72"/>
      <c r="TSV49" s="72"/>
      <c r="TSW49" s="72"/>
      <c r="TSX49" s="72"/>
      <c r="TSY49" s="72"/>
      <c r="TSZ49" s="72"/>
      <c r="TTA49" s="72"/>
      <c r="TTB49" s="72"/>
      <c r="TTC49" s="72"/>
      <c r="TTD49" s="72"/>
      <c r="TTE49" s="72"/>
      <c r="TTF49" s="72"/>
      <c r="TTG49" s="72"/>
      <c r="TTH49" s="72"/>
      <c r="TTI49" s="72"/>
      <c r="TTJ49" s="72"/>
      <c r="TTK49" s="72"/>
      <c r="TTL49" s="72"/>
      <c r="TTM49" s="72"/>
      <c r="TTN49" s="72"/>
      <c r="TTO49" s="72"/>
      <c r="TTP49" s="72"/>
      <c r="TTQ49" s="72"/>
      <c r="TTR49" s="72"/>
      <c r="TTS49" s="72"/>
      <c r="TTT49" s="72"/>
      <c r="TTU49" s="72"/>
      <c r="TTV49" s="72"/>
      <c r="TTW49" s="72"/>
      <c r="TTX49" s="72"/>
      <c r="TTY49" s="72"/>
      <c r="TTZ49" s="72"/>
      <c r="TUA49" s="72"/>
      <c r="TUB49" s="72"/>
      <c r="TUC49" s="72"/>
      <c r="TUD49" s="72"/>
      <c r="TUE49" s="72"/>
      <c r="TUF49" s="72"/>
      <c r="TUG49" s="72"/>
      <c r="TUH49" s="72"/>
      <c r="TUI49" s="72"/>
      <c r="TUJ49" s="72"/>
      <c r="TUK49" s="72"/>
      <c r="TUL49" s="72"/>
      <c r="TUM49" s="72"/>
      <c r="TUN49" s="72"/>
      <c r="TUO49" s="72"/>
      <c r="TUP49" s="72"/>
      <c r="TUQ49" s="72"/>
      <c r="TUR49" s="72"/>
      <c r="TUS49" s="72"/>
      <c r="TUT49" s="72"/>
      <c r="TUU49" s="72"/>
      <c r="TUV49" s="72"/>
      <c r="TUW49" s="72"/>
      <c r="TUX49" s="72"/>
      <c r="TUY49" s="72"/>
      <c r="TUZ49" s="72"/>
      <c r="TVA49" s="72"/>
      <c r="TVB49" s="72"/>
      <c r="TVC49" s="72"/>
      <c r="TVD49" s="72"/>
      <c r="TVE49" s="72"/>
      <c r="TVF49" s="72"/>
      <c r="TVG49" s="72"/>
      <c r="TVH49" s="72"/>
      <c r="TVI49" s="72"/>
      <c r="TVJ49" s="72"/>
      <c r="TVK49" s="72"/>
      <c r="TVL49" s="72"/>
      <c r="TVM49" s="72"/>
      <c r="TVN49" s="72"/>
      <c r="TVO49" s="72"/>
      <c r="TVP49" s="72"/>
      <c r="TVQ49" s="72"/>
      <c r="TVR49" s="72"/>
      <c r="TVS49" s="72"/>
      <c r="TVT49" s="72"/>
      <c r="TVU49" s="72"/>
      <c r="TVV49" s="72"/>
      <c r="TVW49" s="72"/>
      <c r="TVX49" s="72"/>
      <c r="TVY49" s="72"/>
      <c r="TVZ49" s="72"/>
      <c r="TWA49" s="72"/>
      <c r="TWB49" s="72"/>
      <c r="TWC49" s="72"/>
      <c r="TWD49" s="72"/>
      <c r="TWE49" s="72"/>
      <c r="TWF49" s="72"/>
      <c r="TWG49" s="72"/>
      <c r="TWH49" s="72"/>
      <c r="TWI49" s="72"/>
      <c r="TWJ49" s="72"/>
      <c r="TWK49" s="72"/>
      <c r="TWL49" s="72"/>
      <c r="TWM49" s="72"/>
      <c r="TWN49" s="72"/>
      <c r="TWO49" s="72"/>
      <c r="TWP49" s="72"/>
      <c r="TWQ49" s="72"/>
      <c r="TWR49" s="72"/>
      <c r="TWS49" s="72"/>
      <c r="TWT49" s="72"/>
      <c r="TWU49" s="72"/>
      <c r="TWV49" s="72"/>
      <c r="TWW49" s="72"/>
      <c r="TWX49" s="72"/>
      <c r="TWY49" s="72"/>
      <c r="TWZ49" s="72"/>
      <c r="TXA49" s="72"/>
      <c r="TXB49" s="72"/>
      <c r="TXC49" s="72"/>
      <c r="TXD49" s="72"/>
      <c r="TXE49" s="72"/>
      <c r="TXF49" s="72"/>
      <c r="TXG49" s="72"/>
      <c r="TXH49" s="72"/>
      <c r="TXI49" s="72"/>
      <c r="TXJ49" s="72"/>
      <c r="TXK49" s="72"/>
      <c r="TXL49" s="72"/>
      <c r="TXM49" s="72"/>
      <c r="TXN49" s="72"/>
      <c r="TXO49" s="72"/>
      <c r="TXP49" s="72"/>
      <c r="TXQ49" s="72"/>
      <c r="TXR49" s="72"/>
      <c r="TXS49" s="72"/>
      <c r="TXT49" s="72"/>
      <c r="TXU49" s="72"/>
      <c r="TXV49" s="72"/>
      <c r="TXW49" s="72"/>
      <c r="TXX49" s="72"/>
      <c r="TXY49" s="72"/>
      <c r="TXZ49" s="72"/>
      <c r="TYA49" s="72"/>
      <c r="TYB49" s="72"/>
      <c r="TYC49" s="72"/>
      <c r="TYD49" s="72"/>
      <c r="TYE49" s="72"/>
      <c r="TYF49" s="72"/>
      <c r="TYG49" s="72"/>
      <c r="TYH49" s="72"/>
      <c r="TYI49" s="72"/>
      <c r="TYJ49" s="72"/>
      <c r="TYK49" s="72"/>
      <c r="TYL49" s="72"/>
      <c r="TYM49" s="72"/>
      <c r="TYN49" s="72"/>
      <c r="TYO49" s="72"/>
      <c r="TYP49" s="72"/>
      <c r="TYQ49" s="72"/>
      <c r="TYR49" s="72"/>
      <c r="TYS49" s="72"/>
      <c r="TYT49" s="72"/>
      <c r="TYU49" s="72"/>
      <c r="TYV49" s="72"/>
      <c r="TYW49" s="72"/>
      <c r="TYX49" s="72"/>
      <c r="TYY49" s="72"/>
      <c r="TYZ49" s="72"/>
      <c r="TZA49" s="72"/>
      <c r="TZB49" s="72"/>
      <c r="TZC49" s="72"/>
      <c r="TZD49" s="72"/>
      <c r="TZE49" s="72"/>
      <c r="TZF49" s="72"/>
      <c r="TZG49" s="72"/>
      <c r="TZH49" s="72"/>
      <c r="TZI49" s="72"/>
      <c r="TZJ49" s="72"/>
      <c r="TZK49" s="72"/>
      <c r="TZL49" s="72"/>
      <c r="TZM49" s="72"/>
      <c r="TZN49" s="72"/>
      <c r="TZO49" s="72"/>
      <c r="TZP49" s="72"/>
      <c r="TZQ49" s="72"/>
      <c r="TZR49" s="72"/>
      <c r="TZS49" s="72"/>
      <c r="TZT49" s="72"/>
      <c r="TZU49" s="72"/>
      <c r="TZV49" s="72"/>
      <c r="TZW49" s="72"/>
      <c r="TZX49" s="72"/>
      <c r="TZY49" s="72"/>
      <c r="TZZ49" s="72"/>
      <c r="UAA49" s="72"/>
      <c r="UAB49" s="72"/>
      <c r="UAC49" s="72"/>
      <c r="UAD49" s="72"/>
      <c r="UAE49" s="72"/>
      <c r="UAF49" s="72"/>
      <c r="UAG49" s="72"/>
      <c r="UAH49" s="72"/>
      <c r="UAI49" s="72"/>
      <c r="UAJ49" s="72"/>
      <c r="UAK49" s="72"/>
      <c r="UAL49" s="72"/>
      <c r="UAM49" s="72"/>
      <c r="UAN49" s="72"/>
      <c r="UAO49" s="72"/>
      <c r="UAP49" s="72"/>
      <c r="UAQ49" s="72"/>
      <c r="UAR49" s="72"/>
      <c r="UAS49" s="72"/>
      <c r="UAT49" s="72"/>
      <c r="UAU49" s="72"/>
      <c r="UAV49" s="72"/>
      <c r="UAW49" s="72"/>
      <c r="UAX49" s="72"/>
      <c r="UAY49" s="72"/>
      <c r="UAZ49" s="72"/>
      <c r="UBA49" s="72"/>
      <c r="UBB49" s="72"/>
      <c r="UBC49" s="72"/>
      <c r="UBD49" s="72"/>
      <c r="UBE49" s="72"/>
      <c r="UBF49" s="72"/>
      <c r="UBG49" s="72"/>
      <c r="UBH49" s="72"/>
      <c r="UBI49" s="72"/>
      <c r="UBJ49" s="72"/>
      <c r="UBK49" s="72"/>
      <c r="UBL49" s="72"/>
      <c r="UBM49" s="72"/>
      <c r="UBN49" s="72"/>
      <c r="UBO49" s="72"/>
      <c r="UBP49" s="72"/>
      <c r="UBQ49" s="72"/>
      <c r="UBR49" s="72"/>
      <c r="UBS49" s="72"/>
      <c r="UBT49" s="72"/>
      <c r="UBU49" s="72"/>
      <c r="UBV49" s="72"/>
      <c r="UBW49" s="72"/>
      <c r="UBX49" s="72"/>
      <c r="UBY49" s="72"/>
      <c r="UBZ49" s="72"/>
      <c r="UCA49" s="72"/>
      <c r="UCB49" s="72"/>
      <c r="UCC49" s="72"/>
      <c r="UCD49" s="72"/>
      <c r="UCE49" s="72"/>
      <c r="UCF49" s="72"/>
      <c r="UCG49" s="72"/>
      <c r="UCH49" s="72"/>
      <c r="UCI49" s="72"/>
      <c r="UCJ49" s="72"/>
      <c r="UCK49" s="72"/>
      <c r="UCL49" s="72"/>
      <c r="UCM49" s="72"/>
      <c r="UCN49" s="72"/>
      <c r="UCO49" s="72"/>
      <c r="UCP49" s="72"/>
      <c r="UCQ49" s="72"/>
      <c r="UCR49" s="72"/>
      <c r="UCS49" s="72"/>
      <c r="UCT49" s="72"/>
      <c r="UCU49" s="72"/>
      <c r="UCV49" s="72"/>
      <c r="UCW49" s="72"/>
      <c r="UCX49" s="72"/>
      <c r="UCY49" s="72"/>
      <c r="UCZ49" s="72"/>
      <c r="UDA49" s="72"/>
      <c r="UDB49" s="72"/>
      <c r="UDC49" s="72"/>
      <c r="UDD49" s="72"/>
      <c r="UDE49" s="72"/>
      <c r="UDF49" s="72"/>
      <c r="UDG49" s="72"/>
      <c r="UDH49" s="72"/>
      <c r="UDI49" s="72"/>
      <c r="UDJ49" s="72"/>
      <c r="UDK49" s="72"/>
      <c r="UDL49" s="72"/>
      <c r="UDM49" s="72"/>
      <c r="UDN49" s="72"/>
      <c r="UDO49" s="72"/>
      <c r="UDP49" s="72"/>
      <c r="UDQ49" s="72"/>
      <c r="UDR49" s="72"/>
      <c r="UDS49" s="72"/>
      <c r="UDT49" s="72"/>
      <c r="UDU49" s="72"/>
      <c r="UDV49" s="72"/>
      <c r="UDW49" s="72"/>
      <c r="UDX49" s="72"/>
      <c r="UDY49" s="72"/>
      <c r="UDZ49" s="72"/>
      <c r="UEA49" s="72"/>
      <c r="UEB49" s="72"/>
      <c r="UEC49" s="72"/>
      <c r="UED49" s="72"/>
      <c r="UEE49" s="72"/>
      <c r="UEF49" s="72"/>
      <c r="UEG49" s="72"/>
      <c r="UEH49" s="72"/>
      <c r="UEI49" s="72"/>
      <c r="UEJ49" s="72"/>
      <c r="UEK49" s="72"/>
      <c r="UEL49" s="72"/>
      <c r="UEM49" s="72"/>
      <c r="UEN49" s="72"/>
      <c r="UEO49" s="72"/>
      <c r="UEP49" s="72"/>
      <c r="UEQ49" s="72"/>
      <c r="UER49" s="72"/>
      <c r="UES49" s="72"/>
      <c r="UET49" s="72"/>
      <c r="UEU49" s="72"/>
      <c r="UEV49" s="72"/>
      <c r="UEW49" s="72"/>
      <c r="UEX49" s="72"/>
      <c r="UEY49" s="72"/>
      <c r="UEZ49" s="72"/>
      <c r="UFA49" s="72"/>
      <c r="UFB49" s="72"/>
      <c r="UFC49" s="72"/>
      <c r="UFD49" s="72"/>
      <c r="UFE49" s="72"/>
      <c r="UFF49" s="72"/>
      <c r="UFG49" s="72"/>
      <c r="UFH49" s="72"/>
      <c r="UFI49" s="72"/>
      <c r="UFJ49" s="72"/>
      <c r="UFK49" s="72"/>
      <c r="UFL49" s="72"/>
      <c r="UFM49" s="72"/>
      <c r="UFN49" s="72"/>
      <c r="UFO49" s="72"/>
      <c r="UFP49" s="72"/>
      <c r="UFQ49" s="72"/>
      <c r="UFR49" s="72"/>
      <c r="UFS49" s="72"/>
      <c r="UFT49" s="72"/>
      <c r="UFU49" s="72"/>
      <c r="UFV49" s="72"/>
      <c r="UFW49" s="72"/>
      <c r="UFX49" s="72"/>
      <c r="UFY49" s="72"/>
      <c r="UFZ49" s="72"/>
      <c r="UGA49" s="72"/>
      <c r="UGB49" s="72"/>
      <c r="UGC49" s="72"/>
      <c r="UGD49" s="72"/>
      <c r="UGE49" s="72"/>
      <c r="UGF49" s="72"/>
      <c r="UGG49" s="72"/>
      <c r="UGH49" s="72"/>
      <c r="UGI49" s="72"/>
      <c r="UGJ49" s="72"/>
      <c r="UGK49" s="72"/>
      <c r="UGL49" s="72"/>
      <c r="UGM49" s="72"/>
      <c r="UGN49" s="72"/>
      <c r="UGO49" s="72"/>
      <c r="UGP49" s="72"/>
      <c r="UGQ49" s="72"/>
      <c r="UGR49" s="72"/>
      <c r="UGS49" s="72"/>
      <c r="UGT49" s="72"/>
      <c r="UGU49" s="72"/>
      <c r="UGV49" s="72"/>
      <c r="UGW49" s="72"/>
      <c r="UGX49" s="72"/>
      <c r="UGY49" s="72"/>
      <c r="UGZ49" s="72"/>
      <c r="UHA49" s="72"/>
      <c r="UHB49" s="72"/>
      <c r="UHC49" s="72"/>
      <c r="UHD49" s="72"/>
      <c r="UHE49" s="72"/>
      <c r="UHF49" s="72"/>
      <c r="UHG49" s="72"/>
      <c r="UHH49" s="72"/>
      <c r="UHI49" s="72"/>
      <c r="UHJ49" s="72"/>
      <c r="UHK49" s="72"/>
      <c r="UHL49" s="72"/>
      <c r="UHM49" s="72"/>
      <c r="UHN49" s="72"/>
      <c r="UHO49" s="72"/>
      <c r="UHP49" s="72"/>
      <c r="UHQ49" s="72"/>
      <c r="UHR49" s="72"/>
      <c r="UHS49" s="72"/>
      <c r="UHT49" s="72"/>
      <c r="UHU49" s="72"/>
      <c r="UHV49" s="72"/>
      <c r="UHW49" s="72"/>
      <c r="UHX49" s="72"/>
      <c r="UHY49" s="72"/>
      <c r="UHZ49" s="72"/>
      <c r="UIA49" s="72"/>
      <c r="UIB49" s="72"/>
      <c r="UIC49" s="72"/>
      <c r="UID49" s="72"/>
      <c r="UIE49" s="72"/>
      <c r="UIF49" s="72"/>
      <c r="UIG49" s="72"/>
      <c r="UIH49" s="72"/>
      <c r="UII49" s="72"/>
      <c r="UIJ49" s="72"/>
      <c r="UIK49" s="72"/>
      <c r="UIL49" s="72"/>
      <c r="UIM49" s="72"/>
      <c r="UIN49" s="72"/>
      <c r="UIO49" s="72"/>
      <c r="UIP49" s="72"/>
      <c r="UIQ49" s="72"/>
      <c r="UIR49" s="72"/>
      <c r="UIS49" s="72"/>
      <c r="UIT49" s="72"/>
      <c r="UIU49" s="72"/>
      <c r="UIV49" s="72"/>
      <c r="UIW49" s="72"/>
      <c r="UIX49" s="72"/>
      <c r="UIY49" s="72"/>
      <c r="UIZ49" s="72"/>
      <c r="UJA49" s="72"/>
      <c r="UJB49" s="72"/>
      <c r="UJC49" s="72"/>
      <c r="UJD49" s="72"/>
      <c r="UJE49" s="72"/>
      <c r="UJF49" s="72"/>
      <c r="UJG49" s="72"/>
      <c r="UJH49" s="72"/>
      <c r="UJI49" s="72"/>
      <c r="UJJ49" s="72"/>
      <c r="UJK49" s="72"/>
      <c r="UJL49" s="72"/>
      <c r="UJM49" s="72"/>
      <c r="UJN49" s="72"/>
      <c r="UJO49" s="72"/>
      <c r="UJP49" s="72"/>
      <c r="UJQ49" s="72"/>
      <c r="UJR49" s="72"/>
      <c r="UJS49" s="72"/>
      <c r="UJT49" s="72"/>
      <c r="UJU49" s="72"/>
      <c r="UJV49" s="72"/>
      <c r="UJW49" s="72"/>
      <c r="UJX49" s="72"/>
      <c r="UJY49" s="72"/>
      <c r="UJZ49" s="72"/>
      <c r="UKA49" s="72"/>
      <c r="UKB49" s="72"/>
      <c r="UKC49" s="72"/>
      <c r="UKD49" s="72"/>
      <c r="UKE49" s="72"/>
      <c r="UKF49" s="72"/>
      <c r="UKG49" s="72"/>
      <c r="UKH49" s="72"/>
      <c r="UKI49" s="72"/>
      <c r="UKJ49" s="72"/>
      <c r="UKK49" s="72"/>
      <c r="UKL49" s="72"/>
      <c r="UKM49" s="72"/>
      <c r="UKN49" s="72"/>
      <c r="UKO49" s="72"/>
      <c r="UKP49" s="72"/>
      <c r="UKQ49" s="72"/>
      <c r="UKR49" s="72"/>
      <c r="UKS49" s="72"/>
      <c r="UKT49" s="72"/>
      <c r="UKU49" s="72"/>
      <c r="UKV49" s="72"/>
      <c r="UKW49" s="72"/>
      <c r="UKX49" s="72"/>
      <c r="UKY49" s="72"/>
      <c r="UKZ49" s="72"/>
      <c r="ULA49" s="72"/>
      <c r="ULB49" s="72"/>
      <c r="ULC49" s="72"/>
      <c r="ULD49" s="72"/>
      <c r="ULE49" s="72"/>
      <c r="ULF49" s="72"/>
      <c r="ULG49" s="72"/>
      <c r="ULH49" s="72"/>
      <c r="ULI49" s="72"/>
      <c r="ULJ49" s="72"/>
      <c r="ULK49" s="72"/>
      <c r="ULL49" s="72"/>
      <c r="ULM49" s="72"/>
      <c r="ULN49" s="72"/>
      <c r="ULO49" s="72"/>
      <c r="ULP49" s="72"/>
      <c r="ULQ49" s="72"/>
      <c r="ULR49" s="72"/>
      <c r="ULS49" s="72"/>
      <c r="ULT49" s="72"/>
      <c r="ULU49" s="72"/>
      <c r="ULV49" s="72"/>
      <c r="ULW49" s="72"/>
      <c r="ULX49" s="72"/>
      <c r="ULY49" s="72"/>
      <c r="ULZ49" s="72"/>
      <c r="UMA49" s="72"/>
      <c r="UMB49" s="72"/>
      <c r="UMC49" s="72"/>
      <c r="UMD49" s="72"/>
      <c r="UME49" s="72"/>
      <c r="UMF49" s="72"/>
      <c r="UMG49" s="72"/>
      <c r="UMH49" s="72"/>
      <c r="UMI49" s="72"/>
      <c r="UMJ49" s="72"/>
      <c r="UMK49" s="72"/>
      <c r="UML49" s="72"/>
      <c r="UMM49" s="72"/>
      <c r="UMN49" s="72"/>
      <c r="UMO49" s="72"/>
      <c r="UMP49" s="72"/>
      <c r="UMQ49" s="72"/>
      <c r="UMR49" s="72"/>
      <c r="UMS49" s="72"/>
      <c r="UMT49" s="72"/>
      <c r="UMU49" s="72"/>
      <c r="UMV49" s="72"/>
      <c r="UMW49" s="72"/>
      <c r="UMX49" s="72"/>
      <c r="UMY49" s="72"/>
      <c r="UMZ49" s="72"/>
      <c r="UNA49" s="72"/>
      <c r="UNB49" s="72"/>
      <c r="UNC49" s="72"/>
      <c r="UND49" s="72"/>
      <c r="UNE49" s="72"/>
      <c r="UNF49" s="72"/>
      <c r="UNG49" s="72"/>
      <c r="UNH49" s="72"/>
      <c r="UNI49" s="72"/>
      <c r="UNJ49" s="72"/>
      <c r="UNK49" s="72"/>
      <c r="UNL49" s="72"/>
      <c r="UNM49" s="72"/>
      <c r="UNN49" s="72"/>
      <c r="UNO49" s="72"/>
      <c r="UNP49" s="72"/>
      <c r="UNQ49" s="72"/>
      <c r="UNR49" s="72"/>
      <c r="UNS49" s="72"/>
      <c r="UNT49" s="72"/>
      <c r="UNU49" s="72"/>
      <c r="UNV49" s="72"/>
      <c r="UNW49" s="72"/>
      <c r="UNX49" s="72"/>
      <c r="UNY49" s="72"/>
      <c r="UNZ49" s="72"/>
      <c r="UOA49" s="72"/>
      <c r="UOB49" s="72"/>
      <c r="UOC49" s="72"/>
      <c r="UOD49" s="72"/>
      <c r="UOE49" s="72"/>
      <c r="UOF49" s="72"/>
      <c r="UOG49" s="72"/>
      <c r="UOH49" s="72"/>
      <c r="UOI49" s="72"/>
      <c r="UOJ49" s="72"/>
      <c r="UOK49" s="72"/>
      <c r="UOL49" s="72"/>
      <c r="UOM49" s="72"/>
      <c r="UON49" s="72"/>
      <c r="UOO49" s="72"/>
      <c r="UOP49" s="72"/>
      <c r="UOQ49" s="72"/>
      <c r="UOR49" s="72"/>
      <c r="UOS49" s="72"/>
      <c r="UOT49" s="72"/>
      <c r="UOU49" s="72"/>
      <c r="UOV49" s="72"/>
      <c r="UOW49" s="72"/>
      <c r="UOX49" s="72"/>
      <c r="UOY49" s="72"/>
      <c r="UOZ49" s="72"/>
      <c r="UPA49" s="72"/>
      <c r="UPB49" s="72"/>
      <c r="UPC49" s="72"/>
      <c r="UPD49" s="72"/>
      <c r="UPE49" s="72"/>
      <c r="UPF49" s="72"/>
      <c r="UPG49" s="72"/>
      <c r="UPH49" s="72"/>
      <c r="UPI49" s="72"/>
      <c r="UPJ49" s="72"/>
      <c r="UPK49" s="72"/>
      <c r="UPL49" s="72"/>
      <c r="UPM49" s="72"/>
      <c r="UPN49" s="72"/>
      <c r="UPO49" s="72"/>
      <c r="UPP49" s="72"/>
      <c r="UPQ49" s="72"/>
      <c r="UPR49" s="72"/>
      <c r="UPS49" s="72"/>
      <c r="UPT49" s="72"/>
      <c r="UPU49" s="72"/>
      <c r="UPV49" s="72"/>
      <c r="UPW49" s="72"/>
      <c r="UPX49" s="72"/>
      <c r="UPY49" s="72"/>
      <c r="UPZ49" s="72"/>
      <c r="UQA49" s="72"/>
      <c r="UQB49" s="72"/>
      <c r="UQC49" s="72"/>
      <c r="UQD49" s="72"/>
      <c r="UQE49" s="72"/>
      <c r="UQF49" s="72"/>
      <c r="UQG49" s="72"/>
      <c r="UQH49" s="72"/>
      <c r="UQI49" s="72"/>
      <c r="UQJ49" s="72"/>
      <c r="UQK49" s="72"/>
      <c r="UQL49" s="72"/>
      <c r="UQM49" s="72"/>
      <c r="UQN49" s="72"/>
      <c r="UQO49" s="72"/>
      <c r="UQP49" s="72"/>
      <c r="UQQ49" s="72"/>
      <c r="UQR49" s="72"/>
      <c r="UQS49" s="72"/>
      <c r="UQT49" s="72"/>
      <c r="UQU49" s="72"/>
      <c r="UQV49" s="72"/>
      <c r="UQW49" s="72"/>
      <c r="UQX49" s="72"/>
      <c r="UQY49" s="72"/>
      <c r="UQZ49" s="72"/>
      <c r="URA49" s="72"/>
      <c r="URB49" s="72"/>
      <c r="URC49" s="72"/>
      <c r="URD49" s="72"/>
      <c r="URE49" s="72"/>
      <c r="URF49" s="72"/>
      <c r="URG49" s="72"/>
      <c r="URH49" s="72"/>
      <c r="URI49" s="72"/>
      <c r="URJ49" s="72"/>
      <c r="URK49" s="72"/>
      <c r="URL49" s="72"/>
      <c r="URM49" s="72"/>
      <c r="URN49" s="72"/>
      <c r="URO49" s="72"/>
      <c r="URP49" s="72"/>
      <c r="URQ49" s="72"/>
      <c r="URR49" s="72"/>
      <c r="URS49" s="72"/>
      <c r="URT49" s="72"/>
      <c r="URU49" s="72"/>
      <c r="URV49" s="72"/>
      <c r="URW49" s="72"/>
      <c r="URX49" s="72"/>
      <c r="URY49" s="72"/>
      <c r="URZ49" s="72"/>
      <c r="USA49" s="72"/>
      <c r="USB49" s="72"/>
      <c r="USC49" s="72"/>
      <c r="USD49" s="72"/>
      <c r="USE49" s="72"/>
      <c r="USF49" s="72"/>
      <c r="USG49" s="72"/>
      <c r="USH49" s="72"/>
      <c r="USI49" s="72"/>
      <c r="USJ49" s="72"/>
      <c r="USK49" s="72"/>
      <c r="USL49" s="72"/>
      <c r="USM49" s="72"/>
      <c r="USN49" s="72"/>
      <c r="USO49" s="72"/>
      <c r="USP49" s="72"/>
      <c r="USQ49" s="72"/>
      <c r="USR49" s="72"/>
      <c r="USS49" s="72"/>
      <c r="UST49" s="72"/>
      <c r="USU49" s="72"/>
      <c r="USV49" s="72"/>
      <c r="USW49" s="72"/>
      <c r="USX49" s="72"/>
      <c r="USY49" s="72"/>
      <c r="USZ49" s="72"/>
      <c r="UTA49" s="72"/>
      <c r="UTB49" s="72"/>
      <c r="UTC49" s="72"/>
      <c r="UTD49" s="72"/>
      <c r="UTE49" s="72"/>
      <c r="UTF49" s="72"/>
      <c r="UTG49" s="72"/>
      <c r="UTH49" s="72"/>
      <c r="UTI49" s="72"/>
      <c r="UTJ49" s="72"/>
      <c r="UTK49" s="72"/>
      <c r="UTL49" s="72"/>
      <c r="UTM49" s="72"/>
      <c r="UTN49" s="72"/>
      <c r="UTO49" s="72"/>
      <c r="UTP49" s="72"/>
      <c r="UTQ49" s="72"/>
      <c r="UTR49" s="72"/>
      <c r="UTS49" s="72"/>
      <c r="UTT49" s="72"/>
      <c r="UTU49" s="72"/>
      <c r="UTV49" s="72"/>
      <c r="UTW49" s="72"/>
      <c r="UTX49" s="72"/>
      <c r="UTY49" s="72"/>
      <c r="UTZ49" s="72"/>
      <c r="UUA49" s="72"/>
      <c r="UUB49" s="72"/>
      <c r="UUC49" s="72"/>
      <c r="UUD49" s="72"/>
      <c r="UUE49" s="72"/>
      <c r="UUF49" s="72"/>
      <c r="UUG49" s="72"/>
      <c r="UUH49" s="72"/>
      <c r="UUI49" s="72"/>
      <c r="UUJ49" s="72"/>
      <c r="UUK49" s="72"/>
      <c r="UUL49" s="72"/>
      <c r="UUM49" s="72"/>
      <c r="UUN49" s="72"/>
      <c r="UUO49" s="72"/>
      <c r="UUP49" s="72"/>
      <c r="UUQ49" s="72"/>
      <c r="UUR49" s="72"/>
      <c r="UUS49" s="72"/>
      <c r="UUT49" s="72"/>
      <c r="UUU49" s="72"/>
      <c r="UUV49" s="72"/>
      <c r="UUW49" s="72"/>
      <c r="UUX49" s="72"/>
      <c r="UUY49" s="72"/>
      <c r="UUZ49" s="72"/>
      <c r="UVA49" s="72"/>
      <c r="UVB49" s="72"/>
      <c r="UVC49" s="72"/>
      <c r="UVD49" s="72"/>
      <c r="UVE49" s="72"/>
      <c r="UVF49" s="72"/>
      <c r="UVG49" s="72"/>
      <c r="UVH49" s="72"/>
      <c r="UVI49" s="72"/>
      <c r="UVJ49" s="72"/>
      <c r="UVK49" s="72"/>
      <c r="UVL49" s="72"/>
      <c r="UVM49" s="72"/>
      <c r="UVN49" s="72"/>
      <c r="UVO49" s="72"/>
      <c r="UVP49" s="72"/>
      <c r="UVQ49" s="72"/>
      <c r="UVR49" s="72"/>
      <c r="UVS49" s="72"/>
      <c r="UVT49" s="72"/>
      <c r="UVU49" s="72"/>
      <c r="UVV49" s="72"/>
      <c r="UVW49" s="72"/>
      <c r="UVX49" s="72"/>
      <c r="UVY49" s="72"/>
      <c r="UVZ49" s="72"/>
      <c r="UWA49" s="72"/>
      <c r="UWB49" s="72"/>
      <c r="UWC49" s="72"/>
      <c r="UWD49" s="72"/>
      <c r="UWE49" s="72"/>
      <c r="UWF49" s="72"/>
      <c r="UWG49" s="72"/>
      <c r="UWH49" s="72"/>
      <c r="UWI49" s="72"/>
      <c r="UWJ49" s="72"/>
      <c r="UWK49" s="72"/>
      <c r="UWL49" s="72"/>
      <c r="UWM49" s="72"/>
      <c r="UWN49" s="72"/>
      <c r="UWO49" s="72"/>
      <c r="UWP49" s="72"/>
      <c r="UWQ49" s="72"/>
      <c r="UWR49" s="72"/>
      <c r="UWS49" s="72"/>
      <c r="UWT49" s="72"/>
      <c r="UWU49" s="72"/>
      <c r="UWV49" s="72"/>
      <c r="UWW49" s="72"/>
      <c r="UWX49" s="72"/>
      <c r="UWY49" s="72"/>
      <c r="UWZ49" s="72"/>
      <c r="UXA49" s="72"/>
      <c r="UXB49" s="72"/>
      <c r="UXC49" s="72"/>
      <c r="UXD49" s="72"/>
      <c r="UXE49" s="72"/>
      <c r="UXF49" s="72"/>
      <c r="UXG49" s="72"/>
      <c r="UXH49" s="72"/>
      <c r="UXI49" s="72"/>
      <c r="UXJ49" s="72"/>
      <c r="UXK49" s="72"/>
      <c r="UXL49" s="72"/>
      <c r="UXM49" s="72"/>
      <c r="UXN49" s="72"/>
      <c r="UXO49" s="72"/>
      <c r="UXP49" s="72"/>
      <c r="UXQ49" s="72"/>
      <c r="UXR49" s="72"/>
      <c r="UXS49" s="72"/>
      <c r="UXT49" s="72"/>
      <c r="UXU49" s="72"/>
      <c r="UXV49" s="72"/>
      <c r="UXW49" s="72"/>
      <c r="UXX49" s="72"/>
      <c r="UXY49" s="72"/>
      <c r="UXZ49" s="72"/>
      <c r="UYA49" s="72"/>
      <c r="UYB49" s="72"/>
      <c r="UYC49" s="72"/>
      <c r="UYD49" s="72"/>
      <c r="UYE49" s="72"/>
      <c r="UYF49" s="72"/>
      <c r="UYG49" s="72"/>
      <c r="UYH49" s="72"/>
      <c r="UYI49" s="72"/>
      <c r="UYJ49" s="72"/>
      <c r="UYK49" s="72"/>
      <c r="UYL49" s="72"/>
      <c r="UYM49" s="72"/>
      <c r="UYN49" s="72"/>
      <c r="UYO49" s="72"/>
      <c r="UYP49" s="72"/>
      <c r="UYQ49" s="72"/>
      <c r="UYR49" s="72"/>
      <c r="UYS49" s="72"/>
      <c r="UYT49" s="72"/>
      <c r="UYU49" s="72"/>
      <c r="UYV49" s="72"/>
      <c r="UYW49" s="72"/>
      <c r="UYX49" s="72"/>
      <c r="UYY49" s="72"/>
      <c r="UYZ49" s="72"/>
      <c r="UZA49" s="72"/>
      <c r="UZB49" s="72"/>
      <c r="UZC49" s="72"/>
      <c r="UZD49" s="72"/>
      <c r="UZE49" s="72"/>
      <c r="UZF49" s="72"/>
      <c r="UZG49" s="72"/>
      <c r="UZH49" s="72"/>
      <c r="UZI49" s="72"/>
      <c r="UZJ49" s="72"/>
      <c r="UZK49" s="72"/>
      <c r="UZL49" s="72"/>
      <c r="UZM49" s="72"/>
      <c r="UZN49" s="72"/>
      <c r="UZO49" s="72"/>
      <c r="UZP49" s="72"/>
      <c r="UZQ49" s="72"/>
      <c r="UZR49" s="72"/>
      <c r="UZS49" s="72"/>
      <c r="UZT49" s="72"/>
      <c r="UZU49" s="72"/>
      <c r="UZV49" s="72"/>
      <c r="UZW49" s="72"/>
      <c r="UZX49" s="72"/>
      <c r="UZY49" s="72"/>
      <c r="UZZ49" s="72"/>
      <c r="VAA49" s="72"/>
      <c r="VAB49" s="72"/>
      <c r="VAC49" s="72"/>
      <c r="VAD49" s="72"/>
      <c r="VAE49" s="72"/>
      <c r="VAF49" s="72"/>
      <c r="VAG49" s="72"/>
      <c r="VAH49" s="72"/>
      <c r="VAI49" s="72"/>
      <c r="VAJ49" s="72"/>
      <c r="VAK49" s="72"/>
      <c r="VAL49" s="72"/>
      <c r="VAM49" s="72"/>
      <c r="VAN49" s="72"/>
      <c r="VAO49" s="72"/>
      <c r="VAP49" s="72"/>
      <c r="VAQ49" s="72"/>
      <c r="VAR49" s="72"/>
      <c r="VAS49" s="72"/>
      <c r="VAT49" s="72"/>
      <c r="VAU49" s="72"/>
      <c r="VAV49" s="72"/>
      <c r="VAW49" s="72"/>
      <c r="VAX49" s="72"/>
      <c r="VAY49" s="72"/>
      <c r="VAZ49" s="72"/>
      <c r="VBA49" s="72"/>
      <c r="VBB49" s="72"/>
      <c r="VBC49" s="72"/>
      <c r="VBD49" s="72"/>
      <c r="VBE49" s="72"/>
      <c r="VBF49" s="72"/>
      <c r="VBG49" s="72"/>
      <c r="VBH49" s="72"/>
      <c r="VBI49" s="72"/>
      <c r="VBJ49" s="72"/>
      <c r="VBK49" s="72"/>
      <c r="VBL49" s="72"/>
      <c r="VBM49" s="72"/>
      <c r="VBN49" s="72"/>
      <c r="VBO49" s="72"/>
      <c r="VBP49" s="72"/>
      <c r="VBQ49" s="72"/>
      <c r="VBR49" s="72"/>
      <c r="VBS49" s="72"/>
      <c r="VBT49" s="72"/>
      <c r="VBU49" s="72"/>
      <c r="VBV49" s="72"/>
      <c r="VBW49" s="72"/>
      <c r="VBX49" s="72"/>
      <c r="VBY49" s="72"/>
      <c r="VBZ49" s="72"/>
      <c r="VCA49" s="72"/>
      <c r="VCB49" s="72"/>
      <c r="VCC49" s="72"/>
      <c r="VCD49" s="72"/>
      <c r="VCE49" s="72"/>
      <c r="VCF49" s="72"/>
      <c r="VCG49" s="72"/>
      <c r="VCH49" s="72"/>
      <c r="VCI49" s="72"/>
      <c r="VCJ49" s="72"/>
      <c r="VCK49" s="72"/>
      <c r="VCL49" s="72"/>
      <c r="VCM49" s="72"/>
      <c r="VCN49" s="72"/>
      <c r="VCO49" s="72"/>
      <c r="VCP49" s="72"/>
      <c r="VCQ49" s="72"/>
      <c r="VCR49" s="72"/>
      <c r="VCS49" s="72"/>
      <c r="VCT49" s="72"/>
      <c r="VCU49" s="72"/>
      <c r="VCV49" s="72"/>
      <c r="VCW49" s="72"/>
      <c r="VCX49" s="72"/>
      <c r="VCY49" s="72"/>
      <c r="VCZ49" s="72"/>
      <c r="VDA49" s="72"/>
      <c r="VDB49" s="72"/>
      <c r="VDC49" s="72"/>
      <c r="VDD49" s="72"/>
      <c r="VDE49" s="72"/>
      <c r="VDF49" s="72"/>
      <c r="VDG49" s="72"/>
      <c r="VDH49" s="72"/>
      <c r="VDI49" s="72"/>
      <c r="VDJ49" s="72"/>
      <c r="VDK49" s="72"/>
      <c r="VDL49" s="72"/>
      <c r="VDM49" s="72"/>
      <c r="VDN49" s="72"/>
      <c r="VDO49" s="72"/>
      <c r="VDP49" s="72"/>
      <c r="VDQ49" s="72"/>
      <c r="VDR49" s="72"/>
      <c r="VDS49" s="72"/>
      <c r="VDT49" s="72"/>
      <c r="VDU49" s="72"/>
      <c r="VDV49" s="72"/>
      <c r="VDW49" s="72"/>
      <c r="VDX49" s="72"/>
      <c r="VDY49" s="72"/>
      <c r="VDZ49" s="72"/>
      <c r="VEA49" s="72"/>
      <c r="VEB49" s="72"/>
      <c r="VEC49" s="72"/>
      <c r="VED49" s="72"/>
      <c r="VEE49" s="72"/>
      <c r="VEF49" s="72"/>
      <c r="VEG49" s="72"/>
      <c r="VEH49" s="72"/>
      <c r="VEI49" s="72"/>
      <c r="VEJ49" s="72"/>
      <c r="VEK49" s="72"/>
      <c r="VEL49" s="72"/>
      <c r="VEM49" s="72"/>
      <c r="VEN49" s="72"/>
      <c r="VEO49" s="72"/>
      <c r="VEP49" s="72"/>
      <c r="VEQ49" s="72"/>
      <c r="VER49" s="72"/>
      <c r="VES49" s="72"/>
      <c r="VET49" s="72"/>
      <c r="VEU49" s="72"/>
      <c r="VEV49" s="72"/>
      <c r="VEW49" s="72"/>
      <c r="VEX49" s="72"/>
      <c r="VEY49" s="72"/>
      <c r="VEZ49" s="72"/>
      <c r="VFA49" s="72"/>
      <c r="VFB49" s="72"/>
      <c r="VFC49" s="72"/>
      <c r="VFD49" s="72"/>
      <c r="VFE49" s="72"/>
      <c r="VFF49" s="72"/>
      <c r="VFG49" s="72"/>
      <c r="VFH49" s="72"/>
      <c r="VFI49" s="72"/>
      <c r="VFJ49" s="72"/>
      <c r="VFK49" s="72"/>
      <c r="VFL49" s="72"/>
      <c r="VFM49" s="72"/>
      <c r="VFN49" s="72"/>
      <c r="VFO49" s="72"/>
      <c r="VFP49" s="72"/>
      <c r="VFQ49" s="72"/>
      <c r="VFR49" s="72"/>
      <c r="VFS49" s="72"/>
      <c r="VFT49" s="72"/>
      <c r="VFU49" s="72"/>
      <c r="VFV49" s="72"/>
      <c r="VFW49" s="72"/>
      <c r="VFX49" s="72"/>
      <c r="VFY49" s="72"/>
      <c r="VFZ49" s="72"/>
      <c r="VGA49" s="72"/>
      <c r="VGB49" s="72"/>
      <c r="VGC49" s="72"/>
      <c r="VGD49" s="72"/>
      <c r="VGE49" s="72"/>
      <c r="VGF49" s="72"/>
      <c r="VGG49" s="72"/>
      <c r="VGH49" s="72"/>
      <c r="VGI49" s="72"/>
      <c r="VGJ49" s="72"/>
      <c r="VGK49" s="72"/>
      <c r="VGL49" s="72"/>
      <c r="VGM49" s="72"/>
      <c r="VGN49" s="72"/>
      <c r="VGO49" s="72"/>
      <c r="VGP49" s="72"/>
      <c r="VGQ49" s="72"/>
      <c r="VGR49" s="72"/>
      <c r="VGS49" s="72"/>
      <c r="VGT49" s="72"/>
      <c r="VGU49" s="72"/>
      <c r="VGV49" s="72"/>
      <c r="VGW49" s="72"/>
      <c r="VGX49" s="72"/>
      <c r="VGY49" s="72"/>
      <c r="VGZ49" s="72"/>
      <c r="VHA49" s="72"/>
      <c r="VHB49" s="72"/>
      <c r="VHC49" s="72"/>
      <c r="VHD49" s="72"/>
      <c r="VHE49" s="72"/>
      <c r="VHF49" s="72"/>
      <c r="VHG49" s="72"/>
      <c r="VHH49" s="72"/>
      <c r="VHI49" s="72"/>
      <c r="VHJ49" s="72"/>
      <c r="VHK49" s="72"/>
      <c r="VHL49" s="72"/>
      <c r="VHM49" s="72"/>
      <c r="VHN49" s="72"/>
      <c r="VHO49" s="72"/>
      <c r="VHP49" s="72"/>
      <c r="VHQ49" s="72"/>
      <c r="VHR49" s="72"/>
      <c r="VHS49" s="72"/>
      <c r="VHT49" s="72"/>
      <c r="VHU49" s="72"/>
      <c r="VHV49" s="72"/>
      <c r="VHW49" s="72"/>
      <c r="VHX49" s="72"/>
      <c r="VHY49" s="72"/>
      <c r="VHZ49" s="72"/>
      <c r="VIA49" s="72"/>
      <c r="VIB49" s="72"/>
      <c r="VIC49" s="72"/>
      <c r="VID49" s="72"/>
      <c r="VIE49" s="72"/>
      <c r="VIF49" s="72"/>
      <c r="VIG49" s="72"/>
      <c r="VIH49" s="72"/>
      <c r="VII49" s="72"/>
      <c r="VIJ49" s="72"/>
      <c r="VIK49" s="72"/>
      <c r="VIL49" s="72"/>
      <c r="VIM49" s="72"/>
      <c r="VIN49" s="72"/>
      <c r="VIO49" s="72"/>
      <c r="VIP49" s="72"/>
      <c r="VIQ49" s="72"/>
      <c r="VIR49" s="72"/>
      <c r="VIS49" s="72"/>
      <c r="VIT49" s="72"/>
      <c r="VIU49" s="72"/>
      <c r="VIV49" s="72"/>
      <c r="VIW49" s="72"/>
      <c r="VIX49" s="72"/>
      <c r="VIY49" s="72"/>
      <c r="VIZ49" s="72"/>
      <c r="VJA49" s="72"/>
      <c r="VJB49" s="72"/>
      <c r="VJC49" s="72"/>
      <c r="VJD49" s="72"/>
      <c r="VJE49" s="72"/>
      <c r="VJF49" s="72"/>
      <c r="VJG49" s="72"/>
      <c r="VJH49" s="72"/>
      <c r="VJI49" s="72"/>
      <c r="VJJ49" s="72"/>
      <c r="VJK49" s="72"/>
      <c r="VJL49" s="72"/>
      <c r="VJM49" s="72"/>
      <c r="VJN49" s="72"/>
      <c r="VJO49" s="72"/>
      <c r="VJP49" s="72"/>
      <c r="VJQ49" s="72"/>
      <c r="VJR49" s="72"/>
      <c r="VJS49" s="72"/>
      <c r="VJT49" s="72"/>
      <c r="VJU49" s="72"/>
      <c r="VJV49" s="72"/>
      <c r="VJW49" s="72"/>
      <c r="VJX49" s="72"/>
      <c r="VJY49" s="72"/>
      <c r="VJZ49" s="72"/>
      <c r="VKA49" s="72"/>
      <c r="VKB49" s="72"/>
      <c r="VKC49" s="72"/>
      <c r="VKD49" s="72"/>
      <c r="VKE49" s="72"/>
      <c r="VKF49" s="72"/>
      <c r="VKG49" s="72"/>
      <c r="VKH49" s="72"/>
      <c r="VKI49" s="72"/>
      <c r="VKJ49" s="72"/>
      <c r="VKK49" s="72"/>
      <c r="VKL49" s="72"/>
      <c r="VKM49" s="72"/>
      <c r="VKN49" s="72"/>
      <c r="VKO49" s="72"/>
      <c r="VKP49" s="72"/>
      <c r="VKQ49" s="72"/>
      <c r="VKR49" s="72"/>
      <c r="VKS49" s="72"/>
      <c r="VKT49" s="72"/>
      <c r="VKU49" s="72"/>
      <c r="VKV49" s="72"/>
      <c r="VKW49" s="72"/>
      <c r="VKX49" s="72"/>
      <c r="VKY49" s="72"/>
      <c r="VKZ49" s="72"/>
      <c r="VLA49" s="72"/>
      <c r="VLB49" s="72"/>
      <c r="VLC49" s="72"/>
      <c r="VLD49" s="72"/>
      <c r="VLE49" s="72"/>
      <c r="VLF49" s="72"/>
      <c r="VLG49" s="72"/>
      <c r="VLH49" s="72"/>
      <c r="VLI49" s="72"/>
      <c r="VLJ49" s="72"/>
      <c r="VLK49" s="72"/>
      <c r="VLL49" s="72"/>
      <c r="VLM49" s="72"/>
      <c r="VLN49" s="72"/>
      <c r="VLO49" s="72"/>
      <c r="VLP49" s="72"/>
      <c r="VLQ49" s="72"/>
      <c r="VLR49" s="72"/>
      <c r="VLS49" s="72"/>
      <c r="VLT49" s="72"/>
      <c r="VLU49" s="72"/>
      <c r="VLV49" s="72"/>
      <c r="VLW49" s="72"/>
      <c r="VLX49" s="72"/>
      <c r="VLY49" s="72"/>
      <c r="VLZ49" s="72"/>
      <c r="VMA49" s="72"/>
      <c r="VMB49" s="72"/>
      <c r="VMC49" s="72"/>
      <c r="VMD49" s="72"/>
      <c r="VME49" s="72"/>
      <c r="VMF49" s="72"/>
      <c r="VMG49" s="72"/>
      <c r="VMH49" s="72"/>
      <c r="VMI49" s="72"/>
      <c r="VMJ49" s="72"/>
      <c r="VMK49" s="72"/>
      <c r="VML49" s="72"/>
      <c r="VMM49" s="72"/>
      <c r="VMN49" s="72"/>
      <c r="VMO49" s="72"/>
      <c r="VMP49" s="72"/>
      <c r="VMQ49" s="72"/>
      <c r="VMR49" s="72"/>
      <c r="VMS49" s="72"/>
      <c r="VMT49" s="72"/>
      <c r="VMU49" s="72"/>
      <c r="VMV49" s="72"/>
      <c r="VMW49" s="72"/>
      <c r="VMX49" s="72"/>
      <c r="VMY49" s="72"/>
      <c r="VMZ49" s="72"/>
      <c r="VNA49" s="72"/>
      <c r="VNB49" s="72"/>
      <c r="VNC49" s="72"/>
      <c r="VND49" s="72"/>
      <c r="VNE49" s="72"/>
      <c r="VNF49" s="72"/>
      <c r="VNG49" s="72"/>
      <c r="VNH49" s="72"/>
      <c r="VNI49" s="72"/>
      <c r="VNJ49" s="72"/>
      <c r="VNK49" s="72"/>
      <c r="VNL49" s="72"/>
      <c r="VNM49" s="72"/>
      <c r="VNN49" s="72"/>
      <c r="VNO49" s="72"/>
      <c r="VNP49" s="72"/>
      <c r="VNQ49" s="72"/>
      <c r="VNR49" s="72"/>
      <c r="VNS49" s="72"/>
      <c r="VNT49" s="72"/>
      <c r="VNU49" s="72"/>
      <c r="VNV49" s="72"/>
      <c r="VNW49" s="72"/>
      <c r="VNX49" s="72"/>
      <c r="VNY49" s="72"/>
      <c r="VNZ49" s="72"/>
      <c r="VOA49" s="72"/>
      <c r="VOB49" s="72"/>
      <c r="VOC49" s="72"/>
      <c r="VOD49" s="72"/>
      <c r="VOE49" s="72"/>
      <c r="VOF49" s="72"/>
      <c r="VOG49" s="72"/>
      <c r="VOH49" s="72"/>
      <c r="VOI49" s="72"/>
      <c r="VOJ49" s="72"/>
      <c r="VOK49" s="72"/>
      <c r="VOL49" s="72"/>
      <c r="VOM49" s="72"/>
      <c r="VON49" s="72"/>
      <c r="VOO49" s="72"/>
      <c r="VOP49" s="72"/>
      <c r="VOQ49" s="72"/>
      <c r="VOR49" s="72"/>
      <c r="VOS49" s="72"/>
      <c r="VOT49" s="72"/>
      <c r="VOU49" s="72"/>
      <c r="VOV49" s="72"/>
      <c r="VOW49" s="72"/>
      <c r="VOX49" s="72"/>
      <c r="VOY49" s="72"/>
      <c r="VOZ49" s="72"/>
      <c r="VPA49" s="72"/>
      <c r="VPB49" s="72"/>
      <c r="VPC49" s="72"/>
      <c r="VPD49" s="72"/>
      <c r="VPE49" s="72"/>
      <c r="VPF49" s="72"/>
      <c r="VPG49" s="72"/>
      <c r="VPH49" s="72"/>
      <c r="VPI49" s="72"/>
      <c r="VPJ49" s="72"/>
      <c r="VPK49" s="72"/>
      <c r="VPL49" s="72"/>
      <c r="VPM49" s="72"/>
      <c r="VPN49" s="72"/>
      <c r="VPO49" s="72"/>
      <c r="VPP49" s="72"/>
      <c r="VPQ49" s="72"/>
      <c r="VPR49" s="72"/>
      <c r="VPS49" s="72"/>
      <c r="VPT49" s="72"/>
      <c r="VPU49" s="72"/>
      <c r="VPV49" s="72"/>
      <c r="VPW49" s="72"/>
      <c r="VPX49" s="72"/>
      <c r="VPY49" s="72"/>
      <c r="VPZ49" s="72"/>
      <c r="VQA49" s="72"/>
      <c r="VQB49" s="72"/>
      <c r="VQC49" s="72"/>
      <c r="VQD49" s="72"/>
      <c r="VQE49" s="72"/>
      <c r="VQF49" s="72"/>
      <c r="VQG49" s="72"/>
      <c r="VQH49" s="72"/>
      <c r="VQI49" s="72"/>
      <c r="VQJ49" s="72"/>
      <c r="VQK49" s="72"/>
      <c r="VQL49" s="72"/>
      <c r="VQM49" s="72"/>
      <c r="VQN49" s="72"/>
      <c r="VQO49" s="72"/>
      <c r="VQP49" s="72"/>
      <c r="VQQ49" s="72"/>
      <c r="VQR49" s="72"/>
      <c r="VQS49" s="72"/>
      <c r="VQT49" s="72"/>
      <c r="VQU49" s="72"/>
      <c r="VQV49" s="72"/>
      <c r="VQW49" s="72"/>
      <c r="VQX49" s="72"/>
      <c r="VQY49" s="72"/>
      <c r="VQZ49" s="72"/>
      <c r="VRA49" s="72"/>
      <c r="VRB49" s="72"/>
      <c r="VRC49" s="72"/>
      <c r="VRD49" s="72"/>
      <c r="VRE49" s="72"/>
      <c r="VRF49" s="72"/>
      <c r="VRG49" s="72"/>
      <c r="VRH49" s="72"/>
      <c r="VRI49" s="72"/>
      <c r="VRJ49" s="72"/>
      <c r="VRK49" s="72"/>
      <c r="VRL49" s="72"/>
      <c r="VRM49" s="72"/>
      <c r="VRN49" s="72"/>
      <c r="VRO49" s="72"/>
      <c r="VRP49" s="72"/>
      <c r="VRQ49" s="72"/>
      <c r="VRR49" s="72"/>
      <c r="VRS49" s="72"/>
      <c r="VRT49" s="72"/>
      <c r="VRU49" s="72"/>
      <c r="VRV49" s="72"/>
      <c r="VRW49" s="72"/>
      <c r="VRX49" s="72"/>
      <c r="VRY49" s="72"/>
      <c r="VRZ49" s="72"/>
      <c r="VSA49" s="72"/>
      <c r="VSB49" s="72"/>
      <c r="VSC49" s="72"/>
      <c r="VSD49" s="72"/>
      <c r="VSE49" s="72"/>
      <c r="VSF49" s="72"/>
      <c r="VSG49" s="72"/>
      <c r="VSH49" s="72"/>
      <c r="VSI49" s="72"/>
      <c r="VSJ49" s="72"/>
      <c r="VSK49" s="72"/>
      <c r="VSL49" s="72"/>
      <c r="VSM49" s="72"/>
      <c r="VSN49" s="72"/>
      <c r="VSO49" s="72"/>
      <c r="VSP49" s="72"/>
      <c r="VSQ49" s="72"/>
      <c r="VSR49" s="72"/>
      <c r="VSS49" s="72"/>
      <c r="VST49" s="72"/>
      <c r="VSU49" s="72"/>
      <c r="VSV49" s="72"/>
      <c r="VSW49" s="72"/>
      <c r="VSX49" s="72"/>
      <c r="VSY49" s="72"/>
      <c r="VSZ49" s="72"/>
      <c r="VTA49" s="72"/>
      <c r="VTB49" s="72"/>
      <c r="VTC49" s="72"/>
      <c r="VTD49" s="72"/>
      <c r="VTE49" s="72"/>
      <c r="VTF49" s="72"/>
      <c r="VTG49" s="72"/>
      <c r="VTH49" s="72"/>
      <c r="VTI49" s="72"/>
      <c r="VTJ49" s="72"/>
      <c r="VTK49" s="72"/>
      <c r="VTL49" s="72"/>
      <c r="VTM49" s="72"/>
      <c r="VTN49" s="72"/>
      <c r="VTO49" s="72"/>
      <c r="VTP49" s="72"/>
      <c r="VTQ49" s="72"/>
      <c r="VTR49" s="72"/>
      <c r="VTS49" s="72"/>
      <c r="VTT49" s="72"/>
      <c r="VTU49" s="72"/>
      <c r="VTV49" s="72"/>
      <c r="VTW49" s="72"/>
      <c r="VTX49" s="72"/>
      <c r="VTY49" s="72"/>
      <c r="VTZ49" s="72"/>
      <c r="VUA49" s="72"/>
      <c r="VUB49" s="72"/>
      <c r="VUC49" s="72"/>
      <c r="VUD49" s="72"/>
      <c r="VUE49" s="72"/>
      <c r="VUF49" s="72"/>
      <c r="VUG49" s="72"/>
      <c r="VUH49" s="72"/>
      <c r="VUI49" s="72"/>
      <c r="VUJ49" s="72"/>
      <c r="VUK49" s="72"/>
      <c r="VUL49" s="72"/>
      <c r="VUM49" s="72"/>
      <c r="VUN49" s="72"/>
      <c r="VUO49" s="72"/>
      <c r="VUP49" s="72"/>
      <c r="VUQ49" s="72"/>
      <c r="VUR49" s="72"/>
      <c r="VUS49" s="72"/>
      <c r="VUT49" s="72"/>
      <c r="VUU49" s="72"/>
      <c r="VUV49" s="72"/>
      <c r="VUW49" s="72"/>
      <c r="VUX49" s="72"/>
      <c r="VUY49" s="72"/>
      <c r="VUZ49" s="72"/>
      <c r="VVA49" s="72"/>
      <c r="VVB49" s="72"/>
      <c r="VVC49" s="72"/>
      <c r="VVD49" s="72"/>
      <c r="VVE49" s="72"/>
      <c r="VVF49" s="72"/>
      <c r="VVG49" s="72"/>
      <c r="VVH49" s="72"/>
      <c r="VVI49" s="72"/>
      <c r="VVJ49" s="72"/>
      <c r="VVK49" s="72"/>
      <c r="VVL49" s="72"/>
      <c r="VVM49" s="72"/>
      <c r="VVN49" s="72"/>
      <c r="VVO49" s="72"/>
      <c r="VVP49" s="72"/>
      <c r="VVQ49" s="72"/>
      <c r="VVR49" s="72"/>
      <c r="VVS49" s="72"/>
      <c r="VVT49" s="72"/>
      <c r="VVU49" s="72"/>
      <c r="VVV49" s="72"/>
      <c r="VVW49" s="72"/>
      <c r="VVX49" s="72"/>
      <c r="VVY49" s="72"/>
      <c r="VVZ49" s="72"/>
      <c r="VWA49" s="72"/>
      <c r="VWB49" s="72"/>
      <c r="VWC49" s="72"/>
      <c r="VWD49" s="72"/>
      <c r="VWE49" s="72"/>
      <c r="VWF49" s="72"/>
      <c r="VWG49" s="72"/>
      <c r="VWH49" s="72"/>
      <c r="VWI49" s="72"/>
      <c r="VWJ49" s="72"/>
      <c r="VWK49" s="72"/>
      <c r="VWL49" s="72"/>
      <c r="VWM49" s="72"/>
      <c r="VWN49" s="72"/>
      <c r="VWO49" s="72"/>
      <c r="VWP49" s="72"/>
      <c r="VWQ49" s="72"/>
      <c r="VWR49" s="72"/>
      <c r="VWS49" s="72"/>
      <c r="VWT49" s="72"/>
      <c r="VWU49" s="72"/>
      <c r="VWV49" s="72"/>
      <c r="VWW49" s="72"/>
      <c r="VWX49" s="72"/>
      <c r="VWY49" s="72"/>
      <c r="VWZ49" s="72"/>
      <c r="VXA49" s="72"/>
      <c r="VXB49" s="72"/>
      <c r="VXC49" s="72"/>
      <c r="VXD49" s="72"/>
      <c r="VXE49" s="72"/>
      <c r="VXF49" s="72"/>
      <c r="VXG49" s="72"/>
      <c r="VXH49" s="72"/>
      <c r="VXI49" s="72"/>
      <c r="VXJ49" s="72"/>
      <c r="VXK49" s="72"/>
      <c r="VXL49" s="72"/>
      <c r="VXM49" s="72"/>
      <c r="VXN49" s="72"/>
      <c r="VXO49" s="72"/>
      <c r="VXP49" s="72"/>
      <c r="VXQ49" s="72"/>
      <c r="VXR49" s="72"/>
      <c r="VXS49" s="72"/>
      <c r="VXT49" s="72"/>
      <c r="VXU49" s="72"/>
      <c r="VXV49" s="72"/>
      <c r="VXW49" s="72"/>
      <c r="VXX49" s="72"/>
      <c r="VXY49" s="72"/>
      <c r="VXZ49" s="72"/>
      <c r="VYA49" s="72"/>
      <c r="VYB49" s="72"/>
      <c r="VYC49" s="72"/>
      <c r="VYD49" s="72"/>
      <c r="VYE49" s="72"/>
      <c r="VYF49" s="72"/>
      <c r="VYG49" s="72"/>
      <c r="VYH49" s="72"/>
      <c r="VYI49" s="72"/>
      <c r="VYJ49" s="72"/>
      <c r="VYK49" s="72"/>
      <c r="VYL49" s="72"/>
      <c r="VYM49" s="72"/>
      <c r="VYN49" s="72"/>
      <c r="VYO49" s="72"/>
      <c r="VYP49" s="72"/>
      <c r="VYQ49" s="72"/>
      <c r="VYR49" s="72"/>
      <c r="VYS49" s="72"/>
      <c r="VYT49" s="72"/>
      <c r="VYU49" s="72"/>
      <c r="VYV49" s="72"/>
      <c r="VYW49" s="72"/>
      <c r="VYX49" s="72"/>
      <c r="VYY49" s="72"/>
      <c r="VYZ49" s="72"/>
      <c r="VZA49" s="72"/>
      <c r="VZB49" s="72"/>
      <c r="VZC49" s="72"/>
      <c r="VZD49" s="72"/>
      <c r="VZE49" s="72"/>
      <c r="VZF49" s="72"/>
      <c r="VZG49" s="72"/>
      <c r="VZH49" s="72"/>
      <c r="VZI49" s="72"/>
      <c r="VZJ49" s="72"/>
      <c r="VZK49" s="72"/>
      <c r="VZL49" s="72"/>
      <c r="VZM49" s="72"/>
      <c r="VZN49" s="72"/>
      <c r="VZO49" s="72"/>
      <c r="VZP49" s="72"/>
      <c r="VZQ49" s="72"/>
      <c r="VZR49" s="72"/>
      <c r="VZS49" s="72"/>
      <c r="VZT49" s="72"/>
      <c r="VZU49" s="72"/>
      <c r="VZV49" s="72"/>
      <c r="VZW49" s="72"/>
      <c r="VZX49" s="72"/>
      <c r="VZY49" s="72"/>
      <c r="VZZ49" s="72"/>
      <c r="WAA49" s="72"/>
      <c r="WAB49" s="72"/>
      <c r="WAC49" s="72"/>
      <c r="WAD49" s="72"/>
      <c r="WAE49" s="72"/>
      <c r="WAF49" s="72"/>
      <c r="WAG49" s="72"/>
      <c r="WAH49" s="72"/>
      <c r="WAI49" s="72"/>
      <c r="WAJ49" s="72"/>
      <c r="WAK49" s="72"/>
      <c r="WAL49" s="72"/>
      <c r="WAM49" s="72"/>
      <c r="WAN49" s="72"/>
      <c r="WAO49" s="72"/>
      <c r="WAP49" s="72"/>
      <c r="WAQ49" s="72"/>
      <c r="WAR49" s="72"/>
      <c r="WAS49" s="72"/>
      <c r="WAT49" s="72"/>
      <c r="WAU49" s="72"/>
      <c r="WAV49" s="72"/>
      <c r="WAW49" s="72"/>
      <c r="WAX49" s="72"/>
      <c r="WAY49" s="72"/>
      <c r="WAZ49" s="72"/>
      <c r="WBA49" s="72"/>
      <c r="WBB49" s="72"/>
      <c r="WBC49" s="72"/>
      <c r="WBD49" s="72"/>
      <c r="WBE49" s="72"/>
      <c r="WBF49" s="72"/>
      <c r="WBG49" s="72"/>
      <c r="WBH49" s="72"/>
      <c r="WBI49" s="72"/>
      <c r="WBJ49" s="72"/>
      <c r="WBK49" s="72"/>
      <c r="WBL49" s="72"/>
      <c r="WBM49" s="72"/>
      <c r="WBN49" s="72"/>
      <c r="WBO49" s="72"/>
      <c r="WBP49" s="72"/>
      <c r="WBQ49" s="72"/>
      <c r="WBR49" s="72"/>
      <c r="WBS49" s="72"/>
      <c r="WBT49" s="72"/>
      <c r="WBU49" s="72"/>
      <c r="WBV49" s="72"/>
      <c r="WBW49" s="72"/>
      <c r="WBX49" s="72"/>
      <c r="WBY49" s="72"/>
      <c r="WBZ49" s="72"/>
      <c r="WCA49" s="72"/>
      <c r="WCB49" s="72"/>
      <c r="WCC49" s="72"/>
      <c r="WCD49" s="72"/>
      <c r="WCE49" s="72"/>
      <c r="WCF49" s="72"/>
      <c r="WCG49" s="72"/>
      <c r="WCH49" s="72"/>
      <c r="WCI49" s="72"/>
      <c r="WCJ49" s="72"/>
      <c r="WCK49" s="72"/>
      <c r="WCL49" s="72"/>
      <c r="WCM49" s="72"/>
      <c r="WCN49" s="72"/>
      <c r="WCO49" s="72"/>
      <c r="WCP49" s="72"/>
      <c r="WCQ49" s="72"/>
      <c r="WCR49" s="72"/>
      <c r="WCS49" s="72"/>
      <c r="WCT49" s="72"/>
      <c r="WCU49" s="72"/>
      <c r="WCV49" s="72"/>
      <c r="WCW49" s="72"/>
      <c r="WCX49" s="72"/>
      <c r="WCY49" s="72"/>
      <c r="WCZ49" s="72"/>
      <c r="WDA49" s="72"/>
      <c r="WDB49" s="72"/>
      <c r="WDC49" s="72"/>
      <c r="WDD49" s="72"/>
      <c r="WDE49" s="72"/>
      <c r="WDF49" s="72"/>
      <c r="WDG49" s="72"/>
      <c r="WDH49" s="72"/>
      <c r="WDI49" s="72"/>
      <c r="WDJ49" s="72"/>
      <c r="WDK49" s="72"/>
      <c r="WDL49" s="72"/>
      <c r="WDM49" s="72"/>
      <c r="WDN49" s="72"/>
      <c r="WDO49" s="72"/>
      <c r="WDP49" s="72"/>
      <c r="WDQ49" s="72"/>
      <c r="WDR49" s="72"/>
      <c r="WDS49" s="72"/>
      <c r="WDT49" s="72"/>
      <c r="WDU49" s="72"/>
      <c r="WDV49" s="72"/>
      <c r="WDW49" s="72"/>
      <c r="WDX49" s="72"/>
      <c r="WDY49" s="72"/>
      <c r="WDZ49" s="72"/>
      <c r="WEA49" s="72"/>
      <c r="WEB49" s="72"/>
      <c r="WEC49" s="72"/>
      <c r="WED49" s="72"/>
      <c r="WEE49" s="72"/>
      <c r="WEF49" s="72"/>
      <c r="WEG49" s="72"/>
      <c r="WEH49" s="72"/>
      <c r="WEI49" s="72"/>
      <c r="WEJ49" s="72"/>
      <c r="WEK49" s="72"/>
      <c r="WEL49" s="72"/>
      <c r="WEM49" s="72"/>
      <c r="WEN49" s="72"/>
      <c r="WEO49" s="72"/>
      <c r="WEP49" s="72"/>
      <c r="WEQ49" s="72"/>
      <c r="WER49" s="72"/>
      <c r="WES49" s="72"/>
      <c r="WET49" s="72"/>
      <c r="WEU49" s="72"/>
      <c r="WEV49" s="72"/>
      <c r="WEW49" s="72"/>
      <c r="WEX49" s="72"/>
      <c r="WEY49" s="72"/>
      <c r="WEZ49" s="72"/>
      <c r="WFA49" s="72"/>
      <c r="WFB49" s="72"/>
      <c r="WFC49" s="72"/>
      <c r="WFD49" s="72"/>
      <c r="WFE49" s="72"/>
      <c r="WFF49" s="72"/>
      <c r="WFG49" s="72"/>
      <c r="WFH49" s="72"/>
      <c r="WFI49" s="72"/>
      <c r="WFJ49" s="72"/>
      <c r="WFK49" s="72"/>
      <c r="WFL49" s="72"/>
      <c r="WFM49" s="72"/>
      <c r="WFN49" s="72"/>
      <c r="WFO49" s="72"/>
      <c r="WFP49" s="72"/>
      <c r="WFQ49" s="72"/>
      <c r="WFR49" s="72"/>
      <c r="WFS49" s="72"/>
      <c r="WFT49" s="72"/>
      <c r="WFU49" s="72"/>
      <c r="WFV49" s="72"/>
      <c r="WFW49" s="72"/>
      <c r="WFX49" s="72"/>
      <c r="WFY49" s="72"/>
      <c r="WFZ49" s="72"/>
      <c r="WGA49" s="72"/>
      <c r="WGB49" s="72"/>
      <c r="WGC49" s="72"/>
      <c r="WGD49" s="72"/>
      <c r="WGE49" s="72"/>
      <c r="WGF49" s="72"/>
      <c r="WGG49" s="72"/>
      <c r="WGH49" s="72"/>
      <c r="WGI49" s="72"/>
      <c r="WGJ49" s="72"/>
      <c r="WGK49" s="72"/>
      <c r="WGL49" s="72"/>
      <c r="WGM49" s="72"/>
      <c r="WGN49" s="72"/>
      <c r="WGO49" s="72"/>
      <c r="WGP49" s="72"/>
      <c r="WGQ49" s="72"/>
      <c r="WGR49" s="72"/>
      <c r="WGS49" s="72"/>
      <c r="WGT49" s="72"/>
      <c r="WGU49" s="72"/>
      <c r="WGV49" s="72"/>
      <c r="WGW49" s="72"/>
      <c r="WGX49" s="72"/>
      <c r="WGY49" s="72"/>
      <c r="WGZ49" s="72"/>
      <c r="WHA49" s="72"/>
      <c r="WHB49" s="72"/>
      <c r="WHC49" s="72"/>
      <c r="WHD49" s="72"/>
      <c r="WHE49" s="72"/>
      <c r="WHF49" s="72"/>
      <c r="WHG49" s="72"/>
      <c r="WHH49" s="72"/>
      <c r="WHI49" s="72"/>
      <c r="WHJ49" s="72"/>
      <c r="WHK49" s="72"/>
      <c r="WHL49" s="72"/>
      <c r="WHM49" s="72"/>
      <c r="WHN49" s="72"/>
      <c r="WHO49" s="72"/>
      <c r="WHP49" s="72"/>
      <c r="WHQ49" s="72"/>
      <c r="WHR49" s="72"/>
      <c r="WHS49" s="72"/>
      <c r="WHT49" s="72"/>
      <c r="WHU49" s="72"/>
      <c r="WHV49" s="72"/>
      <c r="WHW49" s="72"/>
      <c r="WHX49" s="72"/>
      <c r="WHY49" s="72"/>
      <c r="WHZ49" s="72"/>
      <c r="WIA49" s="72"/>
      <c r="WIB49" s="72"/>
      <c r="WIC49" s="72"/>
      <c r="WID49" s="72"/>
      <c r="WIE49" s="72"/>
      <c r="WIF49" s="72"/>
      <c r="WIG49" s="72"/>
      <c r="WIH49" s="72"/>
      <c r="WII49" s="72"/>
      <c r="WIJ49" s="72"/>
      <c r="WIK49" s="72"/>
      <c r="WIL49" s="72"/>
      <c r="WIM49" s="72"/>
      <c r="WIN49" s="72"/>
      <c r="WIO49" s="72"/>
      <c r="WIP49" s="72"/>
      <c r="WIQ49" s="72"/>
      <c r="WIR49" s="72"/>
      <c r="WIS49" s="72"/>
      <c r="WIT49" s="72"/>
      <c r="WIU49" s="72"/>
      <c r="WIV49" s="72"/>
      <c r="WIW49" s="72"/>
      <c r="WIX49" s="72"/>
      <c r="WIY49" s="72"/>
      <c r="WIZ49" s="72"/>
      <c r="WJA49" s="72"/>
      <c r="WJB49" s="72"/>
      <c r="WJC49" s="72"/>
      <c r="WJD49" s="72"/>
      <c r="WJE49" s="72"/>
      <c r="WJF49" s="72"/>
      <c r="WJG49" s="72"/>
      <c r="WJH49" s="72"/>
      <c r="WJI49" s="72"/>
      <c r="WJJ49" s="72"/>
      <c r="WJK49" s="72"/>
      <c r="WJL49" s="72"/>
      <c r="WJM49" s="72"/>
      <c r="WJN49" s="72"/>
      <c r="WJO49" s="72"/>
      <c r="WJP49" s="72"/>
      <c r="WJQ49" s="72"/>
      <c r="WJR49" s="72"/>
      <c r="WJS49" s="72"/>
      <c r="WJT49" s="72"/>
      <c r="WJU49" s="72"/>
      <c r="WJV49" s="72"/>
      <c r="WJW49" s="72"/>
      <c r="WJX49" s="72"/>
      <c r="WJY49" s="72"/>
      <c r="WJZ49" s="72"/>
      <c r="WKA49" s="72"/>
      <c r="WKB49" s="72"/>
      <c r="WKC49" s="72"/>
      <c r="WKD49" s="72"/>
      <c r="WKE49" s="72"/>
      <c r="WKF49" s="72"/>
      <c r="WKG49" s="72"/>
      <c r="WKH49" s="72"/>
      <c r="WKI49" s="72"/>
      <c r="WKJ49" s="72"/>
      <c r="WKK49" s="72"/>
      <c r="WKL49" s="72"/>
      <c r="WKM49" s="72"/>
      <c r="WKN49" s="72"/>
      <c r="WKO49" s="72"/>
      <c r="WKP49" s="72"/>
      <c r="WKQ49" s="72"/>
      <c r="WKR49" s="72"/>
      <c r="WKS49" s="72"/>
      <c r="WKT49" s="72"/>
      <c r="WKU49" s="72"/>
      <c r="WKV49" s="72"/>
      <c r="WKW49" s="72"/>
      <c r="WKX49" s="72"/>
      <c r="WKY49" s="72"/>
      <c r="WKZ49" s="72"/>
      <c r="WLA49" s="72"/>
      <c r="WLB49" s="72"/>
      <c r="WLC49" s="72"/>
      <c r="WLD49" s="72"/>
      <c r="WLE49" s="72"/>
      <c r="WLF49" s="72"/>
      <c r="WLG49" s="72"/>
      <c r="WLH49" s="72"/>
      <c r="WLI49" s="72"/>
      <c r="WLJ49" s="72"/>
      <c r="WLK49" s="72"/>
      <c r="WLL49" s="72"/>
      <c r="WLM49" s="72"/>
      <c r="WLN49" s="72"/>
      <c r="WLO49" s="72"/>
      <c r="WLP49" s="72"/>
      <c r="WLQ49" s="72"/>
      <c r="WLR49" s="72"/>
      <c r="WLS49" s="72"/>
      <c r="WLT49" s="72"/>
      <c r="WLU49" s="72"/>
      <c r="WLV49" s="72"/>
      <c r="WLW49" s="72"/>
      <c r="WLX49" s="72"/>
      <c r="WLY49" s="72"/>
      <c r="WLZ49" s="72"/>
      <c r="WMA49" s="72"/>
      <c r="WMB49" s="72"/>
      <c r="WMC49" s="72"/>
      <c r="WMD49" s="72"/>
      <c r="WME49" s="72"/>
      <c r="WMF49" s="72"/>
      <c r="WMG49" s="72"/>
      <c r="WMH49" s="72"/>
      <c r="WMI49" s="72"/>
      <c r="WMJ49" s="72"/>
      <c r="WMK49" s="72"/>
      <c r="WML49" s="72"/>
      <c r="WMM49" s="72"/>
      <c r="WMN49" s="72"/>
      <c r="WMO49" s="72"/>
      <c r="WMP49" s="72"/>
      <c r="WMQ49" s="72"/>
      <c r="WMR49" s="72"/>
      <c r="WMS49" s="72"/>
      <c r="WMT49" s="72"/>
      <c r="WMU49" s="72"/>
      <c r="WMV49" s="72"/>
      <c r="WMW49" s="72"/>
      <c r="WMX49" s="72"/>
      <c r="WMY49" s="72"/>
      <c r="WMZ49" s="72"/>
      <c r="WNA49" s="72"/>
      <c r="WNB49" s="72"/>
      <c r="WNC49" s="72"/>
      <c r="WND49" s="72"/>
      <c r="WNE49" s="72"/>
      <c r="WNF49" s="72"/>
      <c r="WNG49" s="72"/>
      <c r="WNH49" s="72"/>
      <c r="WNI49" s="72"/>
      <c r="WNJ49" s="72"/>
      <c r="WNK49" s="72"/>
      <c r="WNL49" s="72"/>
      <c r="WNM49" s="72"/>
      <c r="WNN49" s="72"/>
      <c r="WNO49" s="72"/>
      <c r="WNP49" s="72"/>
      <c r="WNQ49" s="72"/>
      <c r="WNR49" s="72"/>
      <c r="WNS49" s="72"/>
      <c r="WNT49" s="72"/>
      <c r="WNU49" s="72"/>
      <c r="WNV49" s="72"/>
      <c r="WNW49" s="72"/>
      <c r="WNX49" s="72"/>
      <c r="WNY49" s="72"/>
      <c r="WNZ49" s="72"/>
      <c r="WOA49" s="72"/>
      <c r="WOB49" s="72"/>
      <c r="WOC49" s="72"/>
      <c r="WOD49" s="72"/>
      <c r="WOE49" s="72"/>
      <c r="WOF49" s="72"/>
      <c r="WOG49" s="72"/>
      <c r="WOH49" s="72"/>
      <c r="WOI49" s="72"/>
      <c r="WOJ49" s="72"/>
      <c r="WOK49" s="72"/>
      <c r="WOL49" s="72"/>
      <c r="WOM49" s="72"/>
      <c r="WON49" s="72"/>
      <c r="WOO49" s="72"/>
      <c r="WOP49" s="72"/>
      <c r="WOQ49" s="72"/>
      <c r="WOR49" s="72"/>
      <c r="WOS49" s="72"/>
      <c r="WOT49" s="72"/>
      <c r="WOU49" s="72"/>
      <c r="WOV49" s="72"/>
      <c r="WOW49" s="72"/>
      <c r="WOX49" s="72"/>
      <c r="WOY49" s="72"/>
      <c r="WOZ49" s="72"/>
      <c r="WPA49" s="72"/>
      <c r="WPB49" s="72"/>
      <c r="WPC49" s="72"/>
      <c r="WPD49" s="72"/>
      <c r="WPE49" s="72"/>
      <c r="WPF49" s="72"/>
      <c r="WPG49" s="72"/>
      <c r="WPH49" s="72"/>
      <c r="WPI49" s="72"/>
      <c r="WPJ49" s="72"/>
      <c r="WPK49" s="72"/>
      <c r="WPL49" s="72"/>
      <c r="WPM49" s="72"/>
      <c r="WPN49" s="72"/>
      <c r="WPO49" s="72"/>
      <c r="WPP49" s="72"/>
      <c r="WPQ49" s="72"/>
      <c r="WPR49" s="72"/>
      <c r="WPS49" s="72"/>
      <c r="WPT49" s="72"/>
      <c r="WPU49" s="72"/>
      <c r="WPV49" s="72"/>
      <c r="WPW49" s="72"/>
      <c r="WPX49" s="72"/>
      <c r="WPY49" s="72"/>
      <c r="WPZ49" s="72"/>
      <c r="WQA49" s="72"/>
      <c r="WQB49" s="72"/>
      <c r="WQC49" s="72"/>
      <c r="WQD49" s="72"/>
      <c r="WQE49" s="72"/>
      <c r="WQF49" s="72"/>
      <c r="WQG49" s="72"/>
      <c r="WQH49" s="72"/>
      <c r="WQI49" s="72"/>
      <c r="WQJ49" s="72"/>
      <c r="WQK49" s="72"/>
      <c r="WQL49" s="72"/>
      <c r="WQM49" s="72"/>
      <c r="WQN49" s="72"/>
      <c r="WQO49" s="72"/>
      <c r="WQP49" s="72"/>
      <c r="WQQ49" s="72"/>
      <c r="WQR49" s="72"/>
      <c r="WQS49" s="72"/>
      <c r="WQT49" s="72"/>
      <c r="WQU49" s="72"/>
      <c r="WQV49" s="72"/>
      <c r="WQW49" s="72"/>
      <c r="WQX49" s="72"/>
      <c r="WQY49" s="72"/>
      <c r="WQZ49" s="72"/>
      <c r="WRA49" s="72"/>
      <c r="WRB49" s="72"/>
      <c r="WRC49" s="72"/>
      <c r="WRD49" s="72"/>
      <c r="WRE49" s="72"/>
      <c r="WRF49" s="72"/>
      <c r="WRG49" s="72"/>
      <c r="WRH49" s="72"/>
      <c r="WRI49" s="72"/>
      <c r="WRJ49" s="72"/>
      <c r="WRK49" s="72"/>
      <c r="WRL49" s="72"/>
      <c r="WRM49" s="72"/>
      <c r="WRN49" s="72"/>
      <c r="WRO49" s="72"/>
      <c r="WRP49" s="72"/>
      <c r="WRQ49" s="72"/>
      <c r="WRR49" s="72"/>
      <c r="WRS49" s="72"/>
      <c r="WRT49" s="72"/>
      <c r="WRU49" s="72"/>
      <c r="WRV49" s="72"/>
      <c r="WRW49" s="72"/>
      <c r="WRX49" s="72"/>
      <c r="WRY49" s="72"/>
      <c r="WRZ49" s="72"/>
      <c r="WSA49" s="72"/>
      <c r="WSB49" s="72"/>
      <c r="WSC49" s="72"/>
      <c r="WSD49" s="72"/>
      <c r="WSE49" s="72"/>
      <c r="WSF49" s="72"/>
      <c r="WSG49" s="72"/>
      <c r="WSH49" s="72"/>
      <c r="WSI49" s="72"/>
      <c r="WSJ49" s="72"/>
      <c r="WSK49" s="72"/>
      <c r="WSL49" s="72"/>
      <c r="WSM49" s="72"/>
      <c r="WSN49" s="72"/>
      <c r="WSO49" s="72"/>
      <c r="WSP49" s="72"/>
      <c r="WSQ49" s="72"/>
      <c r="WSR49" s="72"/>
      <c r="WSS49" s="72"/>
      <c r="WST49" s="72"/>
      <c r="WSU49" s="72"/>
      <c r="WSV49" s="72"/>
      <c r="WSW49" s="72"/>
      <c r="WSX49" s="72"/>
      <c r="WSY49" s="72"/>
      <c r="WSZ49" s="72"/>
      <c r="WTA49" s="72"/>
      <c r="WTB49" s="72"/>
      <c r="WTC49" s="72"/>
      <c r="WTD49" s="72"/>
      <c r="WTE49" s="72"/>
      <c r="WTF49" s="72"/>
      <c r="WTG49" s="72"/>
      <c r="WTH49" s="72"/>
      <c r="WTI49" s="72"/>
      <c r="WTJ49" s="72"/>
      <c r="WTK49" s="72"/>
      <c r="WTL49" s="72"/>
      <c r="WTM49" s="72"/>
      <c r="WTN49" s="72"/>
      <c r="WTO49" s="72"/>
      <c r="WTP49" s="72"/>
      <c r="WTQ49" s="72"/>
      <c r="WTR49" s="72"/>
      <c r="WTS49" s="72"/>
      <c r="WTT49" s="72"/>
      <c r="WTU49" s="72"/>
      <c r="WTV49" s="72"/>
      <c r="WTW49" s="72"/>
      <c r="WTX49" s="72"/>
      <c r="WTY49" s="72"/>
      <c r="WTZ49" s="72"/>
      <c r="WUA49" s="72"/>
      <c r="WUB49" s="72"/>
      <c r="WUC49" s="72"/>
      <c r="WUD49" s="72"/>
      <c r="WUE49" s="72"/>
      <c r="WUF49" s="72"/>
      <c r="WUG49" s="72"/>
      <c r="WUH49" s="72"/>
      <c r="WUI49" s="72"/>
      <c r="WUJ49" s="72"/>
      <c r="WUK49" s="72"/>
      <c r="WUL49" s="72"/>
      <c r="WUM49" s="72"/>
      <c r="WUN49" s="72"/>
      <c r="WUO49" s="72"/>
      <c r="WUP49" s="72"/>
      <c r="WUQ49" s="72"/>
      <c r="WUR49" s="72"/>
      <c r="WUS49" s="72"/>
      <c r="WUT49" s="72"/>
      <c r="WUU49" s="72"/>
      <c r="WUV49" s="72"/>
      <c r="WUW49" s="72"/>
      <c r="WUX49" s="72"/>
      <c r="WUY49" s="72"/>
      <c r="WUZ49" s="72"/>
      <c r="WVA49" s="72"/>
      <c r="WVB49" s="72"/>
      <c r="WVC49" s="72"/>
      <c r="WVD49" s="72"/>
      <c r="WVE49" s="72"/>
      <c r="WVF49" s="72"/>
      <c r="WVG49" s="72"/>
      <c r="WVH49" s="72"/>
      <c r="WVI49" s="72"/>
      <c r="WVJ49" s="72"/>
      <c r="WVK49" s="72"/>
      <c r="WVL49" s="72"/>
      <c r="WVM49" s="72"/>
      <c r="WVN49" s="72"/>
      <c r="WVO49" s="72"/>
      <c r="WVP49" s="72"/>
      <c r="WVQ49" s="72"/>
      <c r="WVR49" s="72"/>
      <c r="WVS49" s="72"/>
      <c r="WVT49" s="72"/>
      <c r="WVU49" s="72"/>
      <c r="WVV49" s="72"/>
      <c r="WVW49" s="72"/>
      <c r="WVX49" s="72"/>
      <c r="WVY49" s="72"/>
      <c r="WVZ49" s="72"/>
      <c r="WWA49" s="72"/>
      <c r="WWB49" s="72"/>
      <c r="WWC49" s="72"/>
      <c r="WWD49" s="72"/>
      <c r="WWE49" s="72"/>
      <c r="WWF49" s="72"/>
      <c r="WWG49" s="72"/>
      <c r="WWH49" s="72"/>
      <c r="WWI49" s="72"/>
      <c r="WWJ49" s="72"/>
      <c r="WWK49" s="72"/>
      <c r="WWL49" s="72"/>
      <c r="WWM49" s="72"/>
      <c r="WWN49" s="72"/>
      <c r="WWO49" s="72"/>
      <c r="WWP49" s="72"/>
      <c r="WWQ49" s="72"/>
      <c r="WWR49" s="72"/>
      <c r="WWS49" s="72"/>
      <c r="WWT49" s="72"/>
      <c r="WWU49" s="72"/>
      <c r="WWV49" s="72"/>
      <c r="WWW49" s="72"/>
      <c r="WWX49" s="72"/>
      <c r="WWY49" s="72"/>
      <c r="WWZ49" s="72"/>
      <c r="WXA49" s="72"/>
      <c r="WXB49" s="72"/>
      <c r="WXC49" s="72"/>
      <c r="WXD49" s="72"/>
      <c r="WXE49" s="72"/>
      <c r="WXF49" s="72"/>
      <c r="WXG49" s="72"/>
      <c r="WXH49" s="72"/>
      <c r="WXI49" s="72"/>
      <c r="WXJ49" s="72"/>
      <c r="WXK49" s="72"/>
      <c r="WXL49" s="72"/>
      <c r="WXM49" s="72"/>
      <c r="WXN49" s="72"/>
      <c r="WXO49" s="72"/>
      <c r="WXP49" s="72"/>
      <c r="WXQ49" s="72"/>
      <c r="WXR49" s="72"/>
      <c r="WXS49" s="72"/>
      <c r="WXT49" s="72"/>
      <c r="WXU49" s="72"/>
      <c r="WXV49" s="72"/>
      <c r="WXW49" s="72"/>
      <c r="WXX49" s="72"/>
      <c r="WXY49" s="72"/>
      <c r="WXZ49" s="72"/>
      <c r="WYA49" s="72"/>
      <c r="WYB49" s="72"/>
      <c r="WYC49" s="72"/>
      <c r="WYD49" s="72"/>
      <c r="WYE49" s="72"/>
      <c r="WYF49" s="72"/>
      <c r="WYG49" s="72"/>
      <c r="WYH49" s="72"/>
      <c r="WYI49" s="72"/>
      <c r="WYJ49" s="72"/>
      <c r="WYK49" s="72"/>
      <c r="WYL49" s="72"/>
      <c r="WYM49" s="72"/>
      <c r="WYN49" s="72"/>
      <c r="WYO49" s="72"/>
      <c r="WYP49" s="72"/>
      <c r="WYQ49" s="72"/>
      <c r="WYR49" s="72"/>
      <c r="WYS49" s="72"/>
      <c r="WYT49" s="72"/>
      <c r="WYU49" s="72"/>
      <c r="WYV49" s="72"/>
      <c r="WYW49" s="72"/>
      <c r="WYX49" s="72"/>
      <c r="WYY49" s="72"/>
      <c r="WYZ49" s="72"/>
      <c r="WZA49" s="72"/>
      <c r="WZB49" s="72"/>
      <c r="WZC49" s="72"/>
      <c r="WZD49" s="72"/>
      <c r="WZE49" s="72"/>
      <c r="WZF49" s="72"/>
      <c r="WZG49" s="72"/>
      <c r="WZH49" s="72"/>
      <c r="WZI49" s="72"/>
      <c r="WZJ49" s="72"/>
      <c r="WZK49" s="72"/>
      <c r="WZL49" s="72"/>
      <c r="WZM49" s="72"/>
      <c r="WZN49" s="72"/>
      <c r="WZO49" s="72"/>
      <c r="WZP49" s="72"/>
      <c r="WZQ49" s="72"/>
      <c r="WZR49" s="72"/>
      <c r="WZS49" s="72"/>
      <c r="WZT49" s="72"/>
      <c r="WZU49" s="72"/>
      <c r="WZV49" s="72"/>
      <c r="WZW49" s="72"/>
      <c r="WZX49" s="72"/>
      <c r="WZY49" s="72"/>
      <c r="WZZ49" s="72"/>
      <c r="XAA49" s="72"/>
      <c r="XAB49" s="72"/>
      <c r="XAC49" s="72"/>
      <c r="XAD49" s="72"/>
      <c r="XAE49" s="72"/>
      <c r="XAF49" s="72"/>
      <c r="XAG49" s="72"/>
      <c r="XAH49" s="72"/>
      <c r="XAI49" s="72"/>
      <c r="XAJ49" s="72"/>
      <c r="XAK49" s="72"/>
      <c r="XAL49" s="72"/>
      <c r="XAM49" s="72"/>
      <c r="XAN49" s="72"/>
      <c r="XAO49" s="72"/>
      <c r="XAP49" s="72"/>
      <c r="XAQ49" s="72"/>
      <c r="XAR49" s="72"/>
      <c r="XAS49" s="72"/>
      <c r="XAT49" s="72"/>
      <c r="XAU49" s="72"/>
      <c r="XAV49" s="72"/>
      <c r="XAW49" s="72"/>
      <c r="XAX49" s="72"/>
      <c r="XAY49" s="72"/>
      <c r="XAZ49" s="72"/>
      <c r="XBA49" s="72"/>
      <c r="XBB49" s="72"/>
      <c r="XBC49" s="72"/>
      <c r="XBD49" s="72"/>
      <c r="XBE49" s="72"/>
      <c r="XBF49" s="72"/>
      <c r="XBG49" s="72"/>
      <c r="XBH49" s="72"/>
      <c r="XBI49" s="72"/>
      <c r="XBJ49" s="72"/>
      <c r="XBK49" s="72"/>
      <c r="XBL49" s="72"/>
      <c r="XBM49" s="72"/>
      <c r="XBN49" s="72"/>
      <c r="XBO49" s="72"/>
      <c r="XBP49" s="72"/>
      <c r="XBQ49" s="72"/>
      <c r="XBR49" s="72"/>
      <c r="XBS49" s="72"/>
      <c r="XBT49" s="72"/>
      <c r="XBU49" s="72"/>
      <c r="XBV49" s="72"/>
      <c r="XBW49" s="72"/>
      <c r="XBX49" s="72"/>
      <c r="XBY49" s="72"/>
      <c r="XBZ49" s="72"/>
      <c r="XCA49" s="72"/>
      <c r="XCB49" s="72"/>
      <c r="XCC49" s="72"/>
      <c r="XCD49" s="72"/>
      <c r="XCE49" s="72"/>
      <c r="XCF49" s="72"/>
      <c r="XCG49" s="72"/>
      <c r="XCH49" s="72"/>
      <c r="XCI49" s="72"/>
      <c r="XCJ49" s="72"/>
      <c r="XCK49" s="72"/>
      <c r="XCL49" s="72"/>
      <c r="XCM49" s="72"/>
      <c r="XCN49" s="72"/>
      <c r="XCO49" s="72"/>
      <c r="XCP49" s="72"/>
      <c r="XCQ49" s="72"/>
      <c r="XCR49" s="72"/>
      <c r="XCS49" s="72"/>
      <c r="XCT49" s="72"/>
      <c r="XCU49" s="72"/>
      <c r="XCV49" s="72"/>
      <c r="XCW49" s="72"/>
      <c r="XCX49" s="72"/>
      <c r="XCY49" s="72"/>
      <c r="XCZ49" s="72"/>
      <c r="XDA49" s="72"/>
      <c r="XDB49" s="72"/>
      <c r="XDC49" s="72"/>
      <c r="XDD49" s="72"/>
      <c r="XDE49" s="72"/>
      <c r="XDF49" s="72"/>
      <c r="XDG49" s="72"/>
      <c r="XDH49" s="72"/>
      <c r="XDI49" s="72"/>
      <c r="XDJ49" s="72"/>
      <c r="XDK49" s="72"/>
      <c r="XDL49" s="72"/>
      <c r="XDM49" s="72"/>
      <c r="XDN49" s="72"/>
      <c r="XDO49" s="72"/>
      <c r="XDP49" s="72"/>
      <c r="XDQ49" s="72"/>
      <c r="XDR49" s="72"/>
      <c r="XDS49" s="72"/>
      <c r="XDT49" s="72"/>
      <c r="XDU49" s="72"/>
      <c r="XDV49" s="72"/>
      <c r="XDW49" s="72"/>
      <c r="XDX49" s="72"/>
      <c r="XDY49" s="72"/>
      <c r="XDZ49" s="72"/>
      <c r="XEA49" s="72"/>
      <c r="XEB49" s="72"/>
      <c r="XEC49" s="72"/>
      <c r="XED49" s="72"/>
      <c r="XEE49" s="72"/>
      <c r="XEF49" s="72"/>
      <c r="XEG49" s="72"/>
      <c r="XEH49" s="72"/>
      <c r="XEI49" s="72"/>
      <c r="XEJ49" s="72"/>
      <c r="XEK49" s="72"/>
      <c r="XEL49" s="72"/>
      <c r="XEM49" s="72"/>
      <c r="XEN49" s="72"/>
      <c r="XEO49" s="72"/>
      <c r="XEP49" s="72"/>
      <c r="XEQ49" s="72"/>
      <c r="XER49" s="72"/>
      <c r="XES49" s="72"/>
      <c r="XET49" s="72"/>
      <c r="XEU49" s="72"/>
      <c r="XEV49" s="72"/>
      <c r="XEW49" s="72"/>
      <c r="XEX49" s="72"/>
      <c r="XEY49" s="72"/>
      <c r="XEZ49" s="72"/>
      <c r="XFA49" s="72"/>
      <c r="XFB49" s="72"/>
      <c r="XFC49" s="72"/>
      <c r="XFD49" s="72"/>
    </row>
    <row r="50" spans="1:16384" x14ac:dyDescent="0.3">
      <c r="D50" s="26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16384" x14ac:dyDescent="0.3">
      <c r="D51" s="26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1:16384" x14ac:dyDescent="0.3">
      <c r="D52" s="26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spans="1:16384" x14ac:dyDescent="0.3">
      <c r="D53" s="26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spans="1:16384" x14ac:dyDescent="0.3">
      <c r="D54" s="26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spans="1:16384" x14ac:dyDescent="0.3">
      <c r="D55" s="26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16384" x14ac:dyDescent="0.3">
      <c r="D56" s="26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spans="1:16384" x14ac:dyDescent="0.3">
      <c r="D57" s="26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spans="1:16384" x14ac:dyDescent="0.3">
      <c r="D58" s="26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1:16384" x14ac:dyDescent="0.3">
      <c r="D59" s="26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spans="1:16384" x14ac:dyDescent="0.3">
      <c r="D60" s="26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spans="1:16384" x14ac:dyDescent="0.3">
      <c r="D61" s="26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1:16384" x14ac:dyDescent="0.3">
      <c r="D62" s="26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spans="1:16384" x14ac:dyDescent="0.3">
      <c r="D63" s="26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spans="1:16384" x14ac:dyDescent="0.3">
      <c r="D64" s="26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4:24" x14ac:dyDescent="0.3">
      <c r="D65" s="26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spans="4:24" x14ac:dyDescent="0.3">
      <c r="D66" s="26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4:24" x14ac:dyDescent="0.3">
      <c r="D67" s="26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4:24" x14ac:dyDescent="0.3">
      <c r="D68" s="26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4:24" x14ac:dyDescent="0.3">
      <c r="D69" s="26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4:24" x14ac:dyDescent="0.3">
      <c r="D70" s="26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4:24" x14ac:dyDescent="0.3">
      <c r="D71" s="26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4:24" x14ac:dyDescent="0.3">
      <c r="D72" s="26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4:24" x14ac:dyDescent="0.3">
      <c r="D73" s="26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4:24" x14ac:dyDescent="0.3">
      <c r="D74" s="26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4:24" x14ac:dyDescent="0.3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4:24" x14ac:dyDescent="0.3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4:24" x14ac:dyDescent="0.3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4:24" x14ac:dyDescent="0.3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spans="4:24" x14ac:dyDescent="0.3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 spans="4:24" x14ac:dyDescent="0.3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spans="7:24" x14ac:dyDescent="0.3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 spans="7:24" x14ac:dyDescent="0.3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 spans="7:24" x14ac:dyDescent="0.3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 spans="7:24" x14ac:dyDescent="0.3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7:24" x14ac:dyDescent="0.3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 spans="7:24" x14ac:dyDescent="0.3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 spans="7:24" x14ac:dyDescent="0.3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 spans="7:24" x14ac:dyDescent="0.3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 spans="7:24" x14ac:dyDescent="0.3"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 spans="7:24" x14ac:dyDescent="0.3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 spans="7:24" x14ac:dyDescent="0.3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 spans="7:24" x14ac:dyDescent="0.3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</sheetData>
  <sheetProtection password="CD14" sheet="1" objects="1" scenarios="1"/>
  <sortState ref="A13:XFD46">
    <sortCondition ref="A13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CCFFCC"/>
  </sheetPr>
  <dimension ref="A1:Z69"/>
  <sheetViews>
    <sheetView workbookViewId="0">
      <pane xSplit="5" ySplit="10" topLeftCell="U11" activePane="bottomRight" state="frozen"/>
      <selection pane="topRight" activeCell="F1" sqref="F1"/>
      <selection pane="bottomLeft" activeCell="A11" sqref="A11"/>
      <selection pane="bottomRight" activeCell="C8" sqref="C8"/>
    </sheetView>
  </sheetViews>
  <sheetFormatPr defaultColWidth="9.109375" defaultRowHeight="14.4" x14ac:dyDescent="0.3"/>
  <cols>
    <col min="1" max="1" width="9.109375" style="4"/>
    <col min="2" max="2" width="32.109375" style="4" customWidth="1"/>
    <col min="3" max="3" width="13.5546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2" style="4" customWidth="1"/>
    <col min="21" max="24" width="10.88671875" style="4" customWidth="1"/>
    <col min="25" max="25" width="10.109375" style="4" customWidth="1"/>
    <col min="26" max="16384" width="9.109375" style="4"/>
  </cols>
  <sheetData>
    <row r="1" spans="1:26" ht="21" x14ac:dyDescent="0.4">
      <c r="A1" s="39" t="s">
        <v>0</v>
      </c>
      <c r="B1" s="47"/>
      <c r="C1" s="40" t="s">
        <v>150</v>
      </c>
      <c r="D1" s="39"/>
      <c r="E1" s="41"/>
      <c r="F1" s="50"/>
      <c r="G1" s="47"/>
      <c r="H1" s="47"/>
      <c r="I1" s="47"/>
      <c r="J1" s="40" t="s">
        <v>150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87"/>
      <c r="W1" s="87"/>
      <c r="X1" s="87"/>
      <c r="Y1" s="87"/>
      <c r="Z1" s="87"/>
    </row>
    <row r="2" spans="1:26" ht="18" x14ac:dyDescent="0.35">
      <c r="A2" s="42" t="s">
        <v>1</v>
      </c>
      <c r="B2" s="47"/>
      <c r="C2" s="43">
        <v>84.195999999999998</v>
      </c>
      <c r="D2" s="42"/>
      <c r="E2" s="44"/>
      <c r="F2" s="50"/>
      <c r="G2" s="47"/>
      <c r="H2" s="47"/>
      <c r="I2" s="47"/>
      <c r="J2" s="70" t="s">
        <v>168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87"/>
      <c r="W2" s="87"/>
      <c r="X2" s="87"/>
      <c r="Y2" s="87"/>
      <c r="Z2" s="87"/>
    </row>
    <row r="3" spans="1:26" ht="15.6" x14ac:dyDescent="0.3">
      <c r="A3" s="42" t="s">
        <v>2</v>
      </c>
      <c r="B3" s="47"/>
      <c r="C3" s="43">
        <v>5196</v>
      </c>
      <c r="D3" s="42"/>
      <c r="E3" s="44"/>
      <c r="F3" s="50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87"/>
      <c r="W3" s="87"/>
      <c r="X3" s="87"/>
      <c r="Y3" s="87"/>
      <c r="Z3" s="87"/>
    </row>
    <row r="4" spans="1:26" ht="15.6" x14ac:dyDescent="0.3">
      <c r="A4" s="42" t="s">
        <v>3</v>
      </c>
      <c r="B4" s="47"/>
      <c r="C4" s="43" t="s">
        <v>175</v>
      </c>
      <c r="D4" s="44"/>
      <c r="E4" s="44"/>
      <c r="F4" s="50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87"/>
      <c r="W4" s="87"/>
      <c r="X4" s="87"/>
      <c r="Y4" s="87"/>
      <c r="Z4" s="87"/>
    </row>
    <row r="5" spans="1:26" ht="15.6" x14ac:dyDescent="0.3">
      <c r="A5" s="42" t="s">
        <v>171</v>
      </c>
      <c r="B5" s="47"/>
      <c r="C5" s="91" t="s">
        <v>178</v>
      </c>
      <c r="D5" s="44"/>
      <c r="E5" s="44"/>
      <c r="F5" s="50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87"/>
      <c r="W5" s="87"/>
      <c r="X5" s="87"/>
      <c r="Y5" s="87"/>
      <c r="Z5" s="87"/>
    </row>
    <row r="6" spans="1:26" ht="15.6" x14ac:dyDescent="0.3">
      <c r="A6" s="42" t="s">
        <v>101</v>
      </c>
      <c r="B6" s="47"/>
      <c r="C6" s="43" t="s">
        <v>102</v>
      </c>
      <c r="D6" s="44"/>
      <c r="E6" s="44"/>
      <c r="F6" s="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87"/>
      <c r="W6" s="87"/>
      <c r="X6" s="87"/>
      <c r="Y6" s="87"/>
      <c r="Z6" s="87"/>
    </row>
    <row r="7" spans="1:26" ht="15.6" x14ac:dyDescent="0.3">
      <c r="A7" s="42" t="s">
        <v>103</v>
      </c>
      <c r="B7" s="47"/>
      <c r="C7" s="43" t="s">
        <v>569</v>
      </c>
      <c r="D7" s="44"/>
      <c r="E7" s="44"/>
      <c r="F7" s="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87"/>
      <c r="W7" s="87"/>
      <c r="X7" s="87"/>
      <c r="Y7" s="87"/>
      <c r="Z7" s="87"/>
    </row>
    <row r="8" spans="1:26" s="28" customFormat="1" ht="21" x14ac:dyDescent="0.4">
      <c r="A8" s="39" t="s">
        <v>177</v>
      </c>
      <c r="B8" s="41"/>
      <c r="C8" s="40"/>
      <c r="D8" s="41"/>
      <c r="E8" s="41"/>
      <c r="F8" s="75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82"/>
      <c r="W8" s="82"/>
      <c r="X8" s="82"/>
      <c r="Y8" s="82"/>
      <c r="Z8" s="82"/>
    </row>
    <row r="9" spans="1:26" ht="15" thickBot="1" x14ac:dyDescent="0.35">
      <c r="A9" s="78" t="s">
        <v>183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87"/>
      <c r="W9" s="87"/>
      <c r="X9" s="87"/>
      <c r="Y9" s="87"/>
      <c r="Z9" s="87"/>
    </row>
    <row r="10" spans="1:26" ht="43.95" thickBot="1" x14ac:dyDescent="0.35">
      <c r="A10" s="67" t="s">
        <v>4</v>
      </c>
      <c r="B10" s="68" t="s">
        <v>5</v>
      </c>
      <c r="C10" s="68" t="s">
        <v>61</v>
      </c>
      <c r="D10" s="68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  <c r="V10" s="61" t="s">
        <v>557</v>
      </c>
      <c r="W10" s="61" t="s">
        <v>560</v>
      </c>
      <c r="X10" s="61" t="s">
        <v>561</v>
      </c>
      <c r="Y10" s="258" t="s">
        <v>565</v>
      </c>
      <c r="Z10" s="258" t="s">
        <v>566</v>
      </c>
    </row>
    <row r="11" spans="1:26" ht="15" thickBot="1" x14ac:dyDescent="0.35">
      <c r="A11" s="129" t="s">
        <v>120</v>
      </c>
      <c r="B11" s="130" t="s">
        <v>153</v>
      </c>
      <c r="C11" s="131">
        <v>50750</v>
      </c>
      <c r="D11" s="54">
        <f>SUM(F11:Z11)</f>
        <v>50750</v>
      </c>
      <c r="E11" s="54">
        <f>C11-D11</f>
        <v>0</v>
      </c>
      <c r="F11" s="26"/>
      <c r="G11" s="26"/>
      <c r="H11" s="26"/>
      <c r="I11" s="26"/>
      <c r="J11" s="26"/>
      <c r="K11" s="26"/>
      <c r="L11" s="26"/>
      <c r="M11" s="26"/>
      <c r="N11" s="26">
        <v>12135</v>
      </c>
      <c r="O11" s="26">
        <v>2642</v>
      </c>
      <c r="P11" s="26">
        <v>5010</v>
      </c>
      <c r="Q11" s="26">
        <v>2086</v>
      </c>
      <c r="R11" s="26"/>
      <c r="S11" s="26"/>
      <c r="T11" s="26">
        <v>565</v>
      </c>
      <c r="U11" s="26">
        <f>3849+4192</f>
        <v>8041</v>
      </c>
      <c r="V11" s="26"/>
      <c r="W11" s="26"/>
      <c r="X11" s="26"/>
      <c r="Y11" s="4">
        <v>20271</v>
      </c>
    </row>
    <row r="12" spans="1:26" ht="15" thickBot="1" x14ac:dyDescent="0.35">
      <c r="A12" s="125" t="s">
        <v>7</v>
      </c>
      <c r="B12" s="126" t="s">
        <v>154</v>
      </c>
      <c r="C12" s="127">
        <v>43500</v>
      </c>
      <c r="D12" s="54">
        <f t="shared" ref="D12:D29" si="0">SUM(F12:Z12)</f>
        <v>43500</v>
      </c>
      <c r="E12" s="54">
        <f t="shared" ref="E12:E27" si="1">C12-D12</f>
        <v>0</v>
      </c>
      <c r="F12" s="26"/>
      <c r="G12" s="26"/>
      <c r="H12" s="26"/>
      <c r="I12" s="26"/>
      <c r="J12" s="26"/>
      <c r="K12" s="26">
        <v>5780</v>
      </c>
      <c r="L12" s="26">
        <v>29441</v>
      </c>
      <c r="M12" s="197">
        <v>-20635</v>
      </c>
      <c r="N12" s="26">
        <v>2945</v>
      </c>
      <c r="O12" s="26">
        <v>2457</v>
      </c>
      <c r="P12" s="26">
        <v>3380</v>
      </c>
      <c r="Q12" s="26">
        <v>6456</v>
      </c>
      <c r="R12" s="26"/>
      <c r="S12" s="26"/>
      <c r="T12" s="26">
        <v>5274</v>
      </c>
      <c r="U12" s="26">
        <v>6237</v>
      </c>
      <c r="V12" s="26"/>
      <c r="W12" s="26"/>
      <c r="X12" s="26"/>
      <c r="Y12" s="4">
        <v>2165</v>
      </c>
    </row>
    <row r="13" spans="1:26" ht="15" thickBot="1" x14ac:dyDescent="0.35">
      <c r="A13" s="125" t="s">
        <v>151</v>
      </c>
      <c r="B13" s="126" t="s">
        <v>155</v>
      </c>
      <c r="C13" s="127">
        <v>38513</v>
      </c>
      <c r="D13" s="54">
        <f t="shared" si="0"/>
        <v>38513</v>
      </c>
      <c r="E13" s="54">
        <f t="shared" si="1"/>
        <v>0</v>
      </c>
      <c r="F13" s="26"/>
      <c r="G13" s="26"/>
      <c r="H13" s="26"/>
      <c r="I13" s="26"/>
      <c r="J13" s="26"/>
      <c r="K13" s="26">
        <v>3301</v>
      </c>
      <c r="L13" s="26">
        <v>4702</v>
      </c>
      <c r="M13" s="26">
        <v>3651</v>
      </c>
      <c r="N13" s="26">
        <v>3541</v>
      </c>
      <c r="O13" s="26">
        <v>3465</v>
      </c>
      <c r="P13" s="26">
        <v>3332</v>
      </c>
      <c r="Q13" s="26">
        <v>3540</v>
      </c>
      <c r="R13" s="26">
        <v>3230</v>
      </c>
      <c r="S13" s="26"/>
      <c r="T13" s="26">
        <v>3156</v>
      </c>
      <c r="U13" s="26"/>
      <c r="V13" s="26"/>
      <c r="W13" s="26"/>
      <c r="X13" s="26"/>
      <c r="Y13" s="4">
        <v>6595</v>
      </c>
    </row>
    <row r="14" spans="1:26" ht="15" thickBot="1" x14ac:dyDescent="0.35">
      <c r="A14" s="125" t="s">
        <v>152</v>
      </c>
      <c r="B14" s="126" t="s">
        <v>156</v>
      </c>
      <c r="C14" s="127">
        <v>19500</v>
      </c>
      <c r="D14" s="54">
        <f t="shared" si="0"/>
        <v>19500</v>
      </c>
      <c r="E14" s="54">
        <f t="shared" si="1"/>
        <v>0</v>
      </c>
      <c r="F14" s="26"/>
      <c r="G14" s="26"/>
      <c r="H14" s="26"/>
      <c r="I14" s="26"/>
      <c r="J14" s="26"/>
      <c r="K14" s="26"/>
      <c r="L14" s="26">
        <v>5888</v>
      </c>
      <c r="M14" s="26"/>
      <c r="N14" s="26"/>
      <c r="O14" s="26"/>
      <c r="P14" s="26"/>
      <c r="Q14" s="26"/>
      <c r="R14" s="26"/>
      <c r="S14" s="26"/>
      <c r="T14" s="26">
        <v>13612</v>
      </c>
      <c r="U14" s="26"/>
      <c r="V14" s="26"/>
      <c r="W14" s="26"/>
      <c r="X14" s="26"/>
      <c r="Y14" s="77">
        <v>0</v>
      </c>
    </row>
    <row r="15" spans="1:26" ht="15" thickBot="1" x14ac:dyDescent="0.35">
      <c r="A15" s="125" t="s">
        <v>9</v>
      </c>
      <c r="B15" s="126" t="s">
        <v>83</v>
      </c>
      <c r="C15" s="127">
        <v>42704</v>
      </c>
      <c r="D15" s="54">
        <f t="shared" si="0"/>
        <v>42704</v>
      </c>
      <c r="E15" s="54">
        <f t="shared" si="1"/>
        <v>0</v>
      </c>
      <c r="F15" s="26"/>
      <c r="G15" s="26"/>
      <c r="H15" s="26"/>
      <c r="I15" s="26"/>
      <c r="J15" s="26">
        <v>10639</v>
      </c>
      <c r="K15" s="26">
        <v>2534</v>
      </c>
      <c r="L15" s="26">
        <v>2820</v>
      </c>
      <c r="M15" s="26">
        <v>2633</v>
      </c>
      <c r="N15" s="26">
        <v>3403</v>
      </c>
      <c r="O15" s="26">
        <v>3160</v>
      </c>
      <c r="P15" s="26">
        <v>3250</v>
      </c>
      <c r="Q15" s="26">
        <v>2922</v>
      </c>
      <c r="R15" s="26">
        <v>5845</v>
      </c>
      <c r="S15" s="26">
        <v>3854</v>
      </c>
      <c r="T15" s="26">
        <v>696</v>
      </c>
      <c r="U15" s="26"/>
      <c r="V15" s="26"/>
      <c r="W15" s="26"/>
      <c r="X15" s="26"/>
      <c r="Y15" s="77">
        <v>948</v>
      </c>
    </row>
    <row r="16" spans="1:26" ht="15" thickBot="1" x14ac:dyDescent="0.35">
      <c r="A16" s="125" t="s">
        <v>10</v>
      </c>
      <c r="B16" s="126" t="s">
        <v>157</v>
      </c>
      <c r="C16" s="127">
        <v>36000</v>
      </c>
      <c r="D16" s="54">
        <f t="shared" si="0"/>
        <v>36000</v>
      </c>
      <c r="E16" s="54">
        <f t="shared" si="1"/>
        <v>0</v>
      </c>
      <c r="F16" s="26"/>
      <c r="G16" s="26"/>
      <c r="H16" s="26"/>
      <c r="I16" s="26"/>
      <c r="J16" s="26"/>
      <c r="K16" s="26"/>
      <c r="L16" s="26"/>
      <c r="M16" s="26">
        <v>7893</v>
      </c>
      <c r="N16" s="26">
        <v>7544</v>
      </c>
      <c r="O16" s="26"/>
      <c r="P16" s="26">
        <v>3382</v>
      </c>
      <c r="Q16" s="26">
        <v>8813</v>
      </c>
      <c r="R16" s="26"/>
      <c r="S16" s="26"/>
      <c r="T16" s="26">
        <v>7316</v>
      </c>
      <c r="U16" s="26"/>
      <c r="V16" s="26"/>
      <c r="W16" s="26"/>
      <c r="X16" s="26"/>
      <c r="Y16" s="77">
        <v>1052</v>
      </c>
    </row>
    <row r="17" spans="1:26" ht="15" thickBot="1" x14ac:dyDescent="0.35">
      <c r="A17" s="125" t="s">
        <v>12</v>
      </c>
      <c r="B17" s="126" t="s">
        <v>158</v>
      </c>
      <c r="C17" s="127">
        <f>44000+3739</f>
        <v>47739</v>
      </c>
      <c r="D17" s="54">
        <f t="shared" si="0"/>
        <v>47739</v>
      </c>
      <c r="E17" s="54">
        <f t="shared" si="1"/>
        <v>0</v>
      </c>
      <c r="F17" s="26"/>
      <c r="G17" s="26"/>
      <c r="H17" s="26"/>
      <c r="I17" s="26"/>
      <c r="J17" s="26">
        <v>5392</v>
      </c>
      <c r="K17" s="26"/>
      <c r="L17" s="26">
        <v>10459</v>
      </c>
      <c r="M17" s="26">
        <v>6120</v>
      </c>
      <c r="N17" s="26">
        <v>94</v>
      </c>
      <c r="O17" s="26">
        <v>7285</v>
      </c>
      <c r="P17" s="26">
        <v>4317</v>
      </c>
      <c r="Q17" s="26">
        <v>4621</v>
      </c>
      <c r="R17" s="26">
        <v>9129</v>
      </c>
      <c r="S17" s="26"/>
      <c r="T17" s="26"/>
      <c r="U17" s="26">
        <v>322</v>
      </c>
      <c r="V17" s="26"/>
      <c r="W17" s="26"/>
      <c r="X17" s="26"/>
      <c r="Y17" s="77">
        <v>0</v>
      </c>
    </row>
    <row r="18" spans="1:26" ht="15" thickBot="1" x14ac:dyDescent="0.35">
      <c r="A18" s="125" t="s">
        <v>122</v>
      </c>
      <c r="B18" s="126" t="s">
        <v>159</v>
      </c>
      <c r="C18" s="127">
        <v>44000</v>
      </c>
      <c r="D18" s="54">
        <f t="shared" si="0"/>
        <v>44000</v>
      </c>
      <c r="E18" s="54">
        <f t="shared" si="1"/>
        <v>0</v>
      </c>
      <c r="F18" s="26"/>
      <c r="G18" s="26"/>
      <c r="H18" s="26"/>
      <c r="I18" s="26"/>
      <c r="J18" s="26"/>
      <c r="K18" s="26"/>
      <c r="L18" s="26">
        <v>26364</v>
      </c>
      <c r="M18" s="26">
        <v>10572</v>
      </c>
      <c r="N18" s="26"/>
      <c r="O18" s="26"/>
      <c r="P18" s="26"/>
      <c r="Q18" s="26">
        <v>7064</v>
      </c>
      <c r="R18" s="26"/>
      <c r="S18" s="26"/>
      <c r="T18" s="26"/>
      <c r="U18" s="26"/>
      <c r="V18" s="26"/>
      <c r="W18" s="26"/>
      <c r="X18" s="26"/>
      <c r="Y18" s="77">
        <v>0</v>
      </c>
    </row>
    <row r="19" spans="1:26" ht="15" thickBot="1" x14ac:dyDescent="0.35">
      <c r="A19" s="128">
        <v>1000</v>
      </c>
      <c r="B19" s="126" t="s">
        <v>160</v>
      </c>
      <c r="C19" s="127">
        <v>24500</v>
      </c>
      <c r="D19" s="54">
        <f t="shared" si="0"/>
        <v>24500</v>
      </c>
      <c r="E19" s="54">
        <f t="shared" si="1"/>
        <v>0</v>
      </c>
      <c r="F19" s="26"/>
      <c r="G19" s="26"/>
      <c r="H19" s="26"/>
      <c r="I19" s="26"/>
      <c r="J19" s="26">
        <v>4048</v>
      </c>
      <c r="K19" s="26">
        <v>2024</v>
      </c>
      <c r="L19" s="26">
        <v>2026</v>
      </c>
      <c r="M19" s="26">
        <v>2038</v>
      </c>
      <c r="N19" s="26">
        <v>2038</v>
      </c>
      <c r="O19" s="26">
        <v>2039</v>
      </c>
      <c r="P19" s="26">
        <v>2038</v>
      </c>
      <c r="Q19" s="26">
        <v>4076</v>
      </c>
      <c r="R19" s="26">
        <v>4173</v>
      </c>
      <c r="S19" s="26"/>
      <c r="T19" s="26"/>
      <c r="U19" s="26"/>
      <c r="V19" s="26"/>
      <c r="W19" s="26"/>
      <c r="X19" s="26"/>
      <c r="Y19" s="77">
        <v>0</v>
      </c>
    </row>
    <row r="20" spans="1:26" ht="15" thickBot="1" x14ac:dyDescent="0.35">
      <c r="A20" s="128">
        <v>1420</v>
      </c>
      <c r="B20" s="126" t="s">
        <v>161</v>
      </c>
      <c r="C20" s="127">
        <f>39000+7583</f>
        <v>46583</v>
      </c>
      <c r="D20" s="54">
        <f t="shared" si="0"/>
        <v>46583</v>
      </c>
      <c r="E20" s="54">
        <f t="shared" si="1"/>
        <v>0</v>
      </c>
      <c r="F20" s="26"/>
      <c r="G20" s="26"/>
      <c r="H20" s="26"/>
      <c r="I20" s="26"/>
      <c r="J20" s="26"/>
      <c r="K20" s="26">
        <v>15364</v>
      </c>
      <c r="L20" s="26">
        <v>1078</v>
      </c>
      <c r="M20" s="26">
        <v>6459</v>
      </c>
      <c r="N20" s="26">
        <v>4587</v>
      </c>
      <c r="O20" s="26">
        <v>3456</v>
      </c>
      <c r="P20" s="26">
        <v>3978</v>
      </c>
      <c r="Q20" s="26"/>
      <c r="R20" s="26">
        <f>4293+2894</f>
        <v>7187</v>
      </c>
      <c r="S20" s="26"/>
      <c r="T20" s="26"/>
      <c r="U20" s="26"/>
      <c r="V20" s="26"/>
      <c r="W20" s="26"/>
      <c r="X20" s="26">
        <v>1469</v>
      </c>
      <c r="Y20" s="77">
        <v>3005</v>
      </c>
    </row>
    <row r="21" spans="1:26" ht="15" thickBot="1" x14ac:dyDescent="0.35">
      <c r="A21" s="128">
        <v>1550</v>
      </c>
      <c r="B21" s="126" t="s">
        <v>162</v>
      </c>
      <c r="C21" s="127">
        <f>44000+6750</f>
        <v>50750</v>
      </c>
      <c r="D21" s="54">
        <f t="shared" si="0"/>
        <v>50750</v>
      </c>
      <c r="E21" s="54">
        <f t="shared" si="1"/>
        <v>0</v>
      </c>
      <c r="F21" s="26"/>
      <c r="G21" s="26"/>
      <c r="H21" s="26"/>
      <c r="I21" s="26"/>
      <c r="J21" s="26"/>
      <c r="K21" s="26"/>
      <c r="L21" s="26"/>
      <c r="M21" s="26">
        <v>13901</v>
      </c>
      <c r="N21" s="26">
        <v>2813</v>
      </c>
      <c r="O21" s="26"/>
      <c r="P21" s="26">
        <v>6436</v>
      </c>
      <c r="Q21" s="26"/>
      <c r="R21" s="26">
        <v>3661</v>
      </c>
      <c r="S21" s="26"/>
      <c r="T21" s="26"/>
      <c r="U21" s="26">
        <v>10959</v>
      </c>
      <c r="V21" s="26"/>
      <c r="W21" s="26"/>
      <c r="X21" s="26"/>
      <c r="Y21" s="4">
        <v>7612</v>
      </c>
      <c r="Z21" s="4">
        <v>5368</v>
      </c>
    </row>
    <row r="22" spans="1:26" ht="15" thickBot="1" x14ac:dyDescent="0.35">
      <c r="A22" s="128">
        <v>2000</v>
      </c>
      <c r="B22" s="126" t="s">
        <v>163</v>
      </c>
      <c r="C22" s="127">
        <f>37000+1203</f>
        <v>38203</v>
      </c>
      <c r="D22" s="54">
        <f t="shared" si="0"/>
        <v>38203</v>
      </c>
      <c r="E22" s="54">
        <f t="shared" si="1"/>
        <v>0</v>
      </c>
      <c r="F22" s="26"/>
      <c r="G22" s="26"/>
      <c r="H22" s="26"/>
      <c r="I22" s="26"/>
      <c r="J22" s="26">
        <v>2524</v>
      </c>
      <c r="K22" s="26">
        <v>3888</v>
      </c>
      <c r="L22" s="26">
        <v>5329</v>
      </c>
      <c r="M22" s="26">
        <v>4146</v>
      </c>
      <c r="N22" s="26">
        <v>9849</v>
      </c>
      <c r="O22" s="26">
        <v>6148</v>
      </c>
      <c r="P22" s="26">
        <v>1144</v>
      </c>
      <c r="Q22" s="26">
        <v>1158</v>
      </c>
      <c r="R22" s="26">
        <v>4017</v>
      </c>
      <c r="S22" s="26"/>
      <c r="T22" s="26"/>
      <c r="U22" s="26"/>
      <c r="V22" s="26"/>
      <c r="W22" s="26"/>
      <c r="X22" s="26"/>
    </row>
    <row r="23" spans="1:26" ht="15" thickBot="1" x14ac:dyDescent="0.35">
      <c r="A23" s="128">
        <v>2690</v>
      </c>
      <c r="B23" s="126" t="s">
        <v>164</v>
      </c>
      <c r="C23" s="127">
        <f>44000+6750</f>
        <v>50750</v>
      </c>
      <c r="D23" s="54">
        <f t="shared" si="0"/>
        <v>50750</v>
      </c>
      <c r="E23" s="54">
        <f t="shared" si="1"/>
        <v>0</v>
      </c>
      <c r="F23" s="26"/>
      <c r="G23" s="26"/>
      <c r="H23" s="26"/>
      <c r="I23" s="26"/>
      <c r="J23" s="26"/>
      <c r="K23" s="26"/>
      <c r="L23" s="26">
        <v>5257</v>
      </c>
      <c r="M23" s="26">
        <v>23019</v>
      </c>
      <c r="N23" s="26"/>
      <c r="O23" s="26"/>
      <c r="P23" s="26"/>
      <c r="Q23" s="26"/>
      <c r="R23" s="26">
        <v>22474</v>
      </c>
      <c r="S23" s="26"/>
      <c r="T23" s="26"/>
      <c r="U23" s="26"/>
      <c r="V23" s="26"/>
      <c r="W23" s="26"/>
      <c r="X23" s="26"/>
    </row>
    <row r="24" spans="1:26" ht="15" thickBot="1" x14ac:dyDescent="0.35">
      <c r="A24" s="128">
        <v>2790</v>
      </c>
      <c r="B24" s="126" t="s">
        <v>165</v>
      </c>
      <c r="C24" s="127">
        <v>9800</v>
      </c>
      <c r="D24" s="54">
        <f t="shared" si="0"/>
        <v>9800</v>
      </c>
      <c r="E24" s="54">
        <f t="shared" si="1"/>
        <v>0</v>
      </c>
      <c r="F24" s="26"/>
      <c r="G24" s="26"/>
      <c r="H24" s="26"/>
      <c r="I24" s="26"/>
      <c r="J24" s="26"/>
      <c r="K24" s="26"/>
      <c r="L24" s="26">
        <v>5000</v>
      </c>
      <c r="M24" s="26"/>
      <c r="N24" s="26"/>
      <c r="O24" s="26"/>
      <c r="P24" s="26">
        <v>4800</v>
      </c>
      <c r="Q24" s="26"/>
      <c r="R24" s="26"/>
      <c r="S24" s="26"/>
      <c r="T24" s="26"/>
      <c r="U24" s="26"/>
      <c r="V24" s="26"/>
      <c r="W24" s="26"/>
      <c r="X24" s="26"/>
    </row>
    <row r="25" spans="1:26" ht="15" thickBot="1" x14ac:dyDescent="0.35">
      <c r="A25" s="128">
        <v>3120</v>
      </c>
      <c r="B25" s="126" t="s">
        <v>145</v>
      </c>
      <c r="C25" s="127">
        <f>27000+4125</f>
        <v>31125</v>
      </c>
      <c r="D25" s="54">
        <f t="shared" si="0"/>
        <v>31125</v>
      </c>
      <c r="E25" s="54">
        <f t="shared" si="1"/>
        <v>0</v>
      </c>
      <c r="F25" s="26"/>
      <c r="G25" s="26"/>
      <c r="H25" s="26"/>
      <c r="I25" s="26"/>
      <c r="J25" s="26"/>
      <c r="K25" s="26">
        <v>10664</v>
      </c>
      <c r="L25" s="26"/>
      <c r="M25" s="26">
        <v>4971</v>
      </c>
      <c r="N25" s="26">
        <v>2410</v>
      </c>
      <c r="O25" s="26">
        <v>384</v>
      </c>
      <c r="P25" s="26">
        <v>5150</v>
      </c>
      <c r="Q25" s="26">
        <v>1874</v>
      </c>
      <c r="R25" s="26">
        <v>2424</v>
      </c>
      <c r="S25" s="26">
        <v>131</v>
      </c>
      <c r="T25" s="26">
        <v>737</v>
      </c>
      <c r="U25" s="26"/>
      <c r="V25" s="26"/>
      <c r="W25" s="26"/>
      <c r="X25" s="26"/>
      <c r="Y25" s="4">
        <v>2380</v>
      </c>
    </row>
    <row r="26" spans="1:26" ht="15" thickBot="1" x14ac:dyDescent="0.35">
      <c r="A26" s="133">
        <v>9035</v>
      </c>
      <c r="B26" s="134" t="s">
        <v>166</v>
      </c>
      <c r="C26" s="135">
        <v>44500</v>
      </c>
      <c r="D26" s="54">
        <f t="shared" si="0"/>
        <v>44500</v>
      </c>
      <c r="E26" s="54">
        <f t="shared" si="1"/>
        <v>0</v>
      </c>
      <c r="F26" s="26"/>
      <c r="G26" s="26"/>
      <c r="H26" s="26"/>
      <c r="I26" s="26"/>
      <c r="J26" s="26">
        <v>17800</v>
      </c>
      <c r="K26" s="26">
        <v>3800</v>
      </c>
      <c r="L26" s="26">
        <v>4000</v>
      </c>
      <c r="M26" s="26">
        <v>2500</v>
      </c>
      <c r="N26" s="26">
        <v>5800</v>
      </c>
      <c r="O26" s="26">
        <v>3200</v>
      </c>
      <c r="P26" s="26">
        <v>3100</v>
      </c>
      <c r="Q26" s="26">
        <v>2900</v>
      </c>
      <c r="R26" s="26">
        <v>450</v>
      </c>
      <c r="S26" s="26">
        <v>950</v>
      </c>
      <c r="T26" s="26"/>
      <c r="U26" s="26"/>
      <c r="V26" s="26"/>
      <c r="W26" s="26"/>
      <c r="X26" s="26"/>
    </row>
    <row r="27" spans="1:26" ht="15" thickBot="1" x14ac:dyDescent="0.35">
      <c r="A27" s="151">
        <v>9055</v>
      </c>
      <c r="B27" s="152" t="s">
        <v>167</v>
      </c>
      <c r="C27" s="153">
        <v>43000</v>
      </c>
      <c r="D27" s="54">
        <f t="shared" si="0"/>
        <v>43000</v>
      </c>
      <c r="E27" s="54">
        <f t="shared" si="1"/>
        <v>0</v>
      </c>
      <c r="F27" s="26"/>
      <c r="G27" s="26"/>
      <c r="H27" s="26"/>
      <c r="I27" s="26"/>
      <c r="J27" s="26">
        <v>8313</v>
      </c>
      <c r="K27" s="26"/>
      <c r="L27" s="26">
        <v>9576</v>
      </c>
      <c r="M27" s="26"/>
      <c r="N27" s="26">
        <v>12288</v>
      </c>
      <c r="O27" s="26"/>
      <c r="P27" s="26">
        <v>3696</v>
      </c>
      <c r="Q27" s="26">
        <v>9127</v>
      </c>
      <c r="R27" s="26"/>
      <c r="S27" s="26"/>
      <c r="T27" s="197">
        <v>-8336</v>
      </c>
      <c r="U27" s="26">
        <v>7351</v>
      </c>
      <c r="V27" s="26"/>
      <c r="W27" s="26"/>
      <c r="X27" s="26"/>
      <c r="Y27" s="4">
        <v>985</v>
      </c>
    </row>
    <row r="28" spans="1:26" ht="15" thickBot="1" x14ac:dyDescent="0.35">
      <c r="A28" s="151"/>
      <c r="B28" s="152"/>
      <c r="C28" s="153"/>
      <c r="D28" s="54">
        <f t="shared" si="0"/>
        <v>0</v>
      </c>
      <c r="E28" s="154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6" s="73" customFormat="1" ht="15" thickBot="1" x14ac:dyDescent="0.35">
      <c r="A29" s="136"/>
      <c r="B29" s="118"/>
      <c r="C29" s="137">
        <f>SUM(C11:C27)</f>
        <v>661917</v>
      </c>
      <c r="D29" s="54">
        <f t="shared" si="0"/>
        <v>611536</v>
      </c>
      <c r="E29" s="137">
        <f t="shared" ref="E29:U29" si="2">SUM(E11:E27)</f>
        <v>0</v>
      </c>
      <c r="F29" s="138">
        <f t="shared" si="2"/>
        <v>0</v>
      </c>
      <c r="G29" s="138">
        <f t="shared" si="2"/>
        <v>0</v>
      </c>
      <c r="H29" s="138">
        <f t="shared" si="2"/>
        <v>0</v>
      </c>
      <c r="I29" s="138">
        <f t="shared" si="2"/>
        <v>0</v>
      </c>
      <c r="J29" s="138">
        <f t="shared" si="2"/>
        <v>48716</v>
      </c>
      <c r="K29" s="138">
        <f t="shared" si="2"/>
        <v>47355</v>
      </c>
      <c r="L29" s="138">
        <f t="shared" si="2"/>
        <v>111940</v>
      </c>
      <c r="M29" s="138">
        <f t="shared" si="2"/>
        <v>67268</v>
      </c>
      <c r="N29" s="138">
        <f t="shared" si="2"/>
        <v>69447</v>
      </c>
      <c r="O29" s="138">
        <f t="shared" si="2"/>
        <v>34236</v>
      </c>
      <c r="P29" s="138">
        <f t="shared" si="2"/>
        <v>53013</v>
      </c>
      <c r="Q29" s="138">
        <f t="shared" si="2"/>
        <v>54637</v>
      </c>
      <c r="R29" s="138">
        <f t="shared" si="2"/>
        <v>62590</v>
      </c>
      <c r="S29" s="138">
        <f t="shared" si="2"/>
        <v>4935</v>
      </c>
      <c r="T29" s="138">
        <f t="shared" si="2"/>
        <v>23020</v>
      </c>
      <c r="U29" s="138">
        <f t="shared" si="2"/>
        <v>32910</v>
      </c>
      <c r="V29" s="138">
        <f t="shared" ref="V29:X29" si="3">SUM(V11:V27)</f>
        <v>0</v>
      </c>
      <c r="W29" s="138">
        <f t="shared" si="3"/>
        <v>0</v>
      </c>
      <c r="X29" s="138">
        <f t="shared" si="3"/>
        <v>1469</v>
      </c>
    </row>
    <row r="30" spans="1:26" x14ac:dyDescent="0.3">
      <c r="A30" s="37"/>
      <c r="B30" s="22"/>
      <c r="C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6" x14ac:dyDescent="0.3">
      <c r="A31" s="37"/>
      <c r="B31" s="22"/>
      <c r="C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6" x14ac:dyDescent="0.3">
      <c r="A32" s="37"/>
      <c r="B32" s="22"/>
      <c r="C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3:24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3:24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spans="3:24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3:24" x14ac:dyDescent="0.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spans="3:24" x14ac:dyDescent="0.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 spans="3:24" x14ac:dyDescent="0.3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spans="3:24" x14ac:dyDescent="0.3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spans="3:24" x14ac:dyDescent="0.3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 spans="3:24" x14ac:dyDescent="0.3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spans="3:24" x14ac:dyDescent="0.3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spans="3:24" x14ac:dyDescent="0.3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spans="3:24" x14ac:dyDescent="0.3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3:24" x14ac:dyDescent="0.3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3:24" x14ac:dyDescent="0.3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3:24" x14ac:dyDescent="0.3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3:24" x14ac:dyDescent="0.3">
      <c r="C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3:24" x14ac:dyDescent="0.3">
      <c r="C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3:24" x14ac:dyDescent="0.3">
      <c r="C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3:24" x14ac:dyDescent="0.3">
      <c r="C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3:24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3:24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3:24" x14ac:dyDescent="0.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3:24" x14ac:dyDescent="0.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3:24" x14ac:dyDescent="0.3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3:24" x14ac:dyDescent="0.3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3:24" x14ac:dyDescent="0.3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3:24" x14ac:dyDescent="0.3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spans="3:24" x14ac:dyDescent="0.3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3:24" x14ac:dyDescent="0.3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spans="3:24" x14ac:dyDescent="0.3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 spans="3:24" x14ac:dyDescent="0.3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 spans="3:24" x14ac:dyDescent="0.3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 spans="6:24" x14ac:dyDescent="0.3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 spans="6:24" x14ac:dyDescent="0.3"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 spans="6:24" x14ac:dyDescent="0.3"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 spans="6:24" x14ac:dyDescent="0.3"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 spans="6:24" x14ac:dyDescent="0.3"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CCFFCC"/>
  </sheetPr>
  <dimension ref="A1:AL49"/>
  <sheetViews>
    <sheetView workbookViewId="0">
      <pane xSplit="5" ySplit="11" topLeftCell="S12" activePane="bottomRight" state="frozen"/>
      <selection pane="topRight" activeCell="F1" sqref="F1"/>
      <selection pane="bottomLeft" activeCell="A12" sqref="A12"/>
      <selection pane="bottomRight" activeCell="U27" sqref="U27"/>
    </sheetView>
  </sheetViews>
  <sheetFormatPr defaultRowHeight="14.4" x14ac:dyDescent="0.3"/>
  <cols>
    <col min="1" max="1" width="10.6640625" customWidth="1"/>
    <col min="2" max="2" width="32.109375" customWidth="1"/>
    <col min="3" max="3" width="13.5546875" style="4" customWidth="1"/>
    <col min="4" max="4" width="11.44140625" style="4" customWidth="1"/>
    <col min="5" max="5" width="12" style="4" customWidth="1"/>
    <col min="6" max="6" width="15" customWidth="1"/>
    <col min="7" max="7" width="12.109375" customWidth="1"/>
    <col min="8" max="9" width="12.6640625" customWidth="1"/>
    <col min="10" max="10" width="12.44140625" customWidth="1"/>
    <col min="11" max="11" width="12.6640625" customWidth="1"/>
    <col min="13" max="13" width="11.109375" customWidth="1"/>
    <col min="20" max="20" width="11.33203125" bestFit="1" customWidth="1"/>
    <col min="21" max="22" width="12" customWidth="1"/>
  </cols>
  <sheetData>
    <row r="1" spans="1:38" s="4" customFormat="1" ht="21" x14ac:dyDescent="0.35">
      <c r="A1" s="93" t="s">
        <v>0</v>
      </c>
      <c r="B1" s="87"/>
      <c r="C1" s="81" t="s">
        <v>409</v>
      </c>
      <c r="D1" s="93"/>
      <c r="E1" s="82"/>
      <c r="F1" s="88"/>
      <c r="G1" s="87"/>
      <c r="H1" s="87"/>
      <c r="I1" s="87"/>
      <c r="J1" s="81" t="str">
        <f>C1</f>
        <v>Colorado Graduation Pathways</v>
      </c>
      <c r="K1" s="87"/>
      <c r="L1" s="87"/>
      <c r="M1" s="87"/>
      <c r="N1" s="87"/>
      <c r="O1" s="87"/>
      <c r="P1" s="81" t="str">
        <f>C1</f>
        <v>Colorado Graduation Pathways</v>
      </c>
      <c r="Q1" s="87"/>
      <c r="R1" s="87"/>
      <c r="S1" s="87"/>
      <c r="T1" s="87"/>
      <c r="U1" s="87"/>
      <c r="V1" s="87"/>
    </row>
    <row r="2" spans="1:38" s="4" customFormat="1" ht="18.75" x14ac:dyDescent="0.3">
      <c r="A2" s="94" t="s">
        <v>1</v>
      </c>
      <c r="B2" s="87"/>
      <c r="C2" s="91">
        <v>84.36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70" t="str">
        <f>"FY"&amp;C4</f>
        <v>FY2011-12</v>
      </c>
      <c r="Q2" s="87"/>
      <c r="R2" s="87"/>
      <c r="S2" s="87"/>
      <c r="T2" s="87"/>
      <c r="U2" s="87"/>
      <c r="V2" s="87"/>
    </row>
    <row r="3" spans="1:38" s="4" customFormat="1" ht="15.75" x14ac:dyDescent="0.25">
      <c r="A3" s="94" t="s">
        <v>2</v>
      </c>
      <c r="B3" s="87"/>
      <c r="C3" s="91">
        <v>5360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</row>
    <row r="4" spans="1:38" s="4" customFormat="1" ht="15.75" x14ac:dyDescent="0.25">
      <c r="A4" s="94" t="s">
        <v>3</v>
      </c>
      <c r="B4" s="87"/>
      <c r="C4" s="91" t="s">
        <v>6</v>
      </c>
      <c r="D4" s="85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38" s="4" customFormat="1" ht="15.75" x14ac:dyDescent="0.25">
      <c r="A5" s="94" t="s">
        <v>171</v>
      </c>
      <c r="B5" s="87"/>
      <c r="C5" s="91" t="s">
        <v>178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38" s="4" customFormat="1" ht="15.75" x14ac:dyDescent="0.25">
      <c r="A6" s="94" t="s">
        <v>101</v>
      </c>
      <c r="B6" s="87"/>
      <c r="C6" s="91" t="s">
        <v>102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38" s="4" customFormat="1" ht="15.75" x14ac:dyDescent="0.25">
      <c r="A7" s="94" t="s">
        <v>103</v>
      </c>
      <c r="B7" s="87"/>
      <c r="C7" s="91" t="s">
        <v>569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8" spans="1:38" s="4" customFormat="1" ht="15.75" x14ac:dyDescent="0.25">
      <c r="A8" s="94"/>
      <c r="B8" s="87"/>
      <c r="C8" s="91"/>
      <c r="D8" s="85"/>
      <c r="E8" s="85"/>
      <c r="F8" s="86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</row>
    <row r="9" spans="1:38" s="4" customFormat="1" ht="21" x14ac:dyDescent="0.35">
      <c r="A9" s="93" t="s">
        <v>186</v>
      </c>
      <c r="B9" s="87"/>
      <c r="C9" s="91"/>
      <c r="D9" s="85"/>
      <c r="E9" s="85"/>
      <c r="F9" s="86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38" s="4" customFormat="1" ht="15.75" thickBot="1" x14ac:dyDescent="0.3">
      <c r="A10" s="78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</row>
    <row r="11" spans="1:38" ht="30.75" thickBot="1" x14ac:dyDescent="0.3">
      <c r="A11" s="67" t="s">
        <v>4</v>
      </c>
      <c r="B11" s="68" t="s">
        <v>5</v>
      </c>
      <c r="C11" s="69" t="s">
        <v>61</v>
      </c>
      <c r="D11" s="68" t="s">
        <v>62</v>
      </c>
      <c r="E11" s="59" t="s">
        <v>63</v>
      </c>
      <c r="F11" s="57" t="s">
        <v>64</v>
      </c>
      <c r="G11" s="56" t="s">
        <v>65</v>
      </c>
      <c r="H11" s="57" t="s">
        <v>66</v>
      </c>
      <c r="I11" s="56" t="s">
        <v>67</v>
      </c>
      <c r="J11" s="57" t="s">
        <v>68</v>
      </c>
      <c r="K11" s="56" t="s">
        <v>79</v>
      </c>
      <c r="L11" s="57" t="s">
        <v>69</v>
      </c>
      <c r="M11" s="57" t="s">
        <v>70</v>
      </c>
      <c r="N11" s="56" t="s">
        <v>71</v>
      </c>
      <c r="O11" s="57" t="s">
        <v>72</v>
      </c>
      <c r="P11" s="56" t="s">
        <v>73</v>
      </c>
      <c r="Q11" s="57" t="s">
        <v>74</v>
      </c>
      <c r="R11" s="56" t="s">
        <v>75</v>
      </c>
      <c r="S11" s="57" t="s">
        <v>76</v>
      </c>
      <c r="T11" s="56" t="s">
        <v>77</v>
      </c>
      <c r="U11" s="57" t="s">
        <v>78</v>
      </c>
      <c r="V11" s="57" t="s">
        <v>557</v>
      </c>
    </row>
    <row r="12" spans="1:38" s="179" customFormat="1" ht="15.75" thickBot="1" x14ac:dyDescent="0.3">
      <c r="A12" s="189" t="s">
        <v>279</v>
      </c>
      <c r="B12" s="130" t="s">
        <v>416</v>
      </c>
      <c r="C12" s="159">
        <v>134999</v>
      </c>
      <c r="D12" s="160">
        <f>SUM(F12:V12)</f>
        <v>122520</v>
      </c>
      <c r="E12" s="161">
        <f t="shared" ref="E12:E18" si="0">C12-D12</f>
        <v>12479</v>
      </c>
      <c r="F12" s="178"/>
      <c r="G12" s="178"/>
      <c r="H12" s="178"/>
      <c r="I12" s="178"/>
      <c r="J12" s="178"/>
      <c r="K12" s="178">
        <v>24826</v>
      </c>
      <c r="L12" s="178">
        <v>8255</v>
      </c>
      <c r="M12" s="178">
        <v>13267</v>
      </c>
      <c r="N12" s="178">
        <v>5938</v>
      </c>
      <c r="O12" s="178">
        <v>14799</v>
      </c>
      <c r="P12" s="178">
        <v>5819</v>
      </c>
      <c r="Q12" s="178">
        <v>24779</v>
      </c>
      <c r="R12" s="178">
        <v>14687</v>
      </c>
      <c r="S12" s="178">
        <v>480</v>
      </c>
      <c r="T12" s="178"/>
      <c r="U12" s="178">
        <v>9670</v>
      </c>
    </row>
    <row r="13" spans="1:38" s="179" customFormat="1" ht="15.75" thickBot="1" x14ac:dyDescent="0.3">
      <c r="A13" s="196" t="s">
        <v>426</v>
      </c>
      <c r="B13" s="130" t="s">
        <v>427</v>
      </c>
      <c r="C13" s="159">
        <v>49982</v>
      </c>
      <c r="D13" s="160">
        <f t="shared" ref="D13:D30" si="1">SUM(F13:V13)</f>
        <v>43218</v>
      </c>
      <c r="E13" s="161">
        <f t="shared" si="0"/>
        <v>6764</v>
      </c>
      <c r="F13" s="178"/>
      <c r="G13" s="178"/>
      <c r="H13" s="178"/>
      <c r="I13" s="178"/>
      <c r="J13" s="178"/>
      <c r="K13" s="178"/>
      <c r="L13" s="178"/>
      <c r="M13" s="178">
        <v>9523</v>
      </c>
      <c r="N13" s="178"/>
      <c r="O13" s="178">
        <v>8775</v>
      </c>
      <c r="P13" s="178"/>
      <c r="Q13" s="178">
        <v>9931</v>
      </c>
      <c r="R13" s="178"/>
      <c r="S13" s="178">
        <v>14989</v>
      </c>
      <c r="T13" s="178"/>
      <c r="U13" s="178"/>
    </row>
    <row r="14" spans="1:38" s="179" customFormat="1" ht="15.75" thickBot="1" x14ac:dyDescent="0.3">
      <c r="A14" s="195" t="s">
        <v>120</v>
      </c>
      <c r="B14" s="130" t="s">
        <v>125</v>
      </c>
      <c r="C14" s="159">
        <v>311910</v>
      </c>
      <c r="D14" s="160">
        <f t="shared" si="1"/>
        <v>290104</v>
      </c>
      <c r="E14" s="161">
        <f t="shared" si="0"/>
        <v>21806</v>
      </c>
      <c r="F14" s="178"/>
      <c r="G14" s="178"/>
      <c r="H14" s="178"/>
      <c r="I14" s="178"/>
      <c r="J14" s="178"/>
      <c r="K14" s="178"/>
      <c r="L14" s="178">
        <v>65645</v>
      </c>
      <c r="M14" s="178"/>
      <c r="N14" s="178">
        <v>41671</v>
      </c>
      <c r="O14" s="178"/>
      <c r="P14" s="178">
        <v>33505</v>
      </c>
      <c r="Q14" s="178">
        <v>33024</v>
      </c>
      <c r="R14" s="178"/>
      <c r="S14" s="178"/>
      <c r="T14" s="178">
        <v>35055</v>
      </c>
      <c r="U14" s="178">
        <f>39470+41734</f>
        <v>81204</v>
      </c>
    </row>
    <row r="15" spans="1:38" s="179" customFormat="1" ht="15.75" thickBot="1" x14ac:dyDescent="0.3">
      <c r="A15" s="195" t="s">
        <v>7</v>
      </c>
      <c r="B15" s="130" t="s">
        <v>154</v>
      </c>
      <c r="C15" s="159">
        <v>99589</v>
      </c>
      <c r="D15" s="160">
        <f t="shared" si="1"/>
        <v>89835</v>
      </c>
      <c r="E15" s="161">
        <f t="shared" ref="E15" si="2">C15-D15</f>
        <v>9754</v>
      </c>
      <c r="F15" s="178"/>
      <c r="G15" s="178"/>
      <c r="H15" s="178"/>
      <c r="I15" s="178"/>
      <c r="J15" s="178"/>
      <c r="K15" s="178"/>
      <c r="L15" s="178"/>
      <c r="M15" s="178"/>
      <c r="N15" s="178">
        <v>22513</v>
      </c>
      <c r="O15" s="178">
        <v>6298</v>
      </c>
      <c r="P15" s="178">
        <v>8927</v>
      </c>
      <c r="Q15" s="178">
        <v>6407</v>
      </c>
      <c r="R15" s="178">
        <v>22444</v>
      </c>
      <c r="S15" s="178"/>
      <c r="T15" s="178">
        <v>5041</v>
      </c>
      <c r="U15" s="178">
        <v>18205</v>
      </c>
      <c r="V15" s="178"/>
    </row>
    <row r="16" spans="1:38" s="179" customFormat="1" ht="15.75" thickBot="1" x14ac:dyDescent="0.3">
      <c r="A16" s="189" t="s">
        <v>151</v>
      </c>
      <c r="B16" s="130" t="s">
        <v>179</v>
      </c>
      <c r="C16" s="159">
        <v>105000</v>
      </c>
      <c r="D16" s="160">
        <f t="shared" si="1"/>
        <v>83200</v>
      </c>
      <c r="E16" s="161">
        <f t="shared" si="0"/>
        <v>21800</v>
      </c>
      <c r="F16" s="178"/>
      <c r="G16" s="178"/>
      <c r="H16" s="178"/>
      <c r="I16" s="178"/>
      <c r="J16" s="178"/>
      <c r="K16" s="178">
        <v>7461</v>
      </c>
      <c r="L16" s="178">
        <v>7243</v>
      </c>
      <c r="M16" s="178">
        <v>18242</v>
      </c>
      <c r="N16" s="178">
        <v>11027</v>
      </c>
      <c r="O16" s="178">
        <v>14414</v>
      </c>
      <c r="P16" s="178">
        <v>6843</v>
      </c>
      <c r="Q16" s="178">
        <v>7832</v>
      </c>
      <c r="R16" s="178">
        <v>6373</v>
      </c>
      <c r="S16" s="178"/>
      <c r="T16" s="178">
        <v>3765</v>
      </c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</row>
    <row r="17" spans="1:38" s="179" customFormat="1" ht="15.75" thickBot="1" x14ac:dyDescent="0.3">
      <c r="A17" s="189" t="s">
        <v>121</v>
      </c>
      <c r="B17" s="130" t="s">
        <v>336</v>
      </c>
      <c r="C17" s="159">
        <v>136432</v>
      </c>
      <c r="D17" s="160">
        <f t="shared" si="1"/>
        <v>123026</v>
      </c>
      <c r="E17" s="161">
        <f t="shared" si="0"/>
        <v>13406</v>
      </c>
      <c r="F17" s="178"/>
      <c r="G17" s="178"/>
      <c r="H17" s="178"/>
      <c r="I17" s="178"/>
      <c r="J17" s="178"/>
      <c r="K17" s="178">
        <v>34304</v>
      </c>
      <c r="L17" s="178">
        <v>6249</v>
      </c>
      <c r="M17" s="178">
        <v>6333</v>
      </c>
      <c r="N17" s="178">
        <v>10065</v>
      </c>
      <c r="O17" s="178">
        <v>3057</v>
      </c>
      <c r="P17" s="178">
        <v>11899</v>
      </c>
      <c r="Q17" s="178">
        <v>30212</v>
      </c>
      <c r="R17" s="178">
        <v>16425</v>
      </c>
      <c r="S17" s="178">
        <v>4482</v>
      </c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</row>
    <row r="18" spans="1:38" s="179" customFormat="1" ht="15.75" thickBot="1" x14ac:dyDescent="0.3">
      <c r="A18" s="189" t="s">
        <v>250</v>
      </c>
      <c r="B18" s="130" t="s">
        <v>413</v>
      </c>
      <c r="C18" s="159">
        <v>35000</v>
      </c>
      <c r="D18" s="160">
        <f t="shared" si="1"/>
        <v>32689</v>
      </c>
      <c r="E18" s="161">
        <f t="shared" si="0"/>
        <v>2311</v>
      </c>
      <c r="F18" s="178"/>
      <c r="G18" s="178"/>
      <c r="H18" s="178"/>
      <c r="I18" s="178"/>
      <c r="J18" s="178">
        <v>6979</v>
      </c>
      <c r="K18" s="178"/>
      <c r="L18" s="178"/>
      <c r="M18" s="178"/>
      <c r="N18" s="178"/>
      <c r="O18" s="178"/>
      <c r="P18" s="178"/>
      <c r="Q18" s="178"/>
      <c r="R18" s="178"/>
      <c r="S18" s="178">
        <v>25710</v>
      </c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</row>
    <row r="19" spans="1:38" s="179" customFormat="1" ht="15.75" thickBot="1" x14ac:dyDescent="0.3">
      <c r="A19" s="195" t="s">
        <v>9</v>
      </c>
      <c r="B19" s="130" t="s">
        <v>128</v>
      </c>
      <c r="C19" s="159">
        <f>399601+99900</f>
        <v>499501</v>
      </c>
      <c r="D19" s="160">
        <f t="shared" si="1"/>
        <v>496579</v>
      </c>
      <c r="E19" s="161">
        <f t="shared" ref="E19:E20" si="3">C19-D19</f>
        <v>2922</v>
      </c>
      <c r="F19" s="178"/>
      <c r="G19" s="178"/>
      <c r="H19" s="178"/>
      <c r="I19" s="178"/>
      <c r="J19" s="178"/>
      <c r="K19" s="178"/>
      <c r="L19" s="178">
        <v>166308</v>
      </c>
      <c r="M19" s="178">
        <v>48702</v>
      </c>
      <c r="N19" s="178">
        <v>37838</v>
      </c>
      <c r="O19" s="178">
        <v>51160</v>
      </c>
      <c r="P19" s="178">
        <v>36732</v>
      </c>
      <c r="Q19" s="178">
        <v>30646</v>
      </c>
      <c r="R19" s="178">
        <v>56725</v>
      </c>
      <c r="S19" s="178"/>
      <c r="U19" s="178">
        <v>68468</v>
      </c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</row>
    <row r="20" spans="1:38" s="179" customFormat="1" ht="15" thickBot="1" x14ac:dyDescent="0.35">
      <c r="A20" s="196" t="s">
        <v>543</v>
      </c>
      <c r="B20" s="130" t="s">
        <v>427</v>
      </c>
      <c r="C20" s="159">
        <v>55952</v>
      </c>
      <c r="D20" s="160">
        <f t="shared" si="1"/>
        <v>55952</v>
      </c>
      <c r="E20" s="161">
        <f t="shared" si="3"/>
        <v>0</v>
      </c>
      <c r="F20" s="178"/>
      <c r="G20" s="178"/>
      <c r="H20" s="178"/>
      <c r="I20" s="178"/>
      <c r="J20" s="178"/>
      <c r="K20" s="178"/>
      <c r="L20" s="178">
        <v>3269</v>
      </c>
      <c r="M20" s="178">
        <v>10647</v>
      </c>
      <c r="N20" s="178"/>
      <c r="O20" s="178"/>
      <c r="P20" s="178">
        <v>13921</v>
      </c>
      <c r="Q20" s="178">
        <v>7349</v>
      </c>
      <c r="R20" s="178">
        <v>5922</v>
      </c>
      <c r="S20" s="178"/>
      <c r="T20" s="178">
        <v>14844</v>
      </c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</row>
    <row r="21" spans="1:38" s="179" customFormat="1" ht="15" thickBot="1" x14ac:dyDescent="0.35">
      <c r="A21" s="196" t="s">
        <v>451</v>
      </c>
      <c r="B21" s="130" t="s">
        <v>180</v>
      </c>
      <c r="C21" s="159">
        <f>134836+33709</f>
        <v>168545</v>
      </c>
      <c r="D21" s="160">
        <f t="shared" si="1"/>
        <v>154746</v>
      </c>
      <c r="E21" s="161">
        <f t="shared" ref="E21" si="4">C21-D21</f>
        <v>13799</v>
      </c>
      <c r="F21" s="178"/>
      <c r="G21" s="178"/>
      <c r="H21" s="178"/>
      <c r="I21" s="178"/>
      <c r="J21" s="178"/>
      <c r="K21" s="178"/>
      <c r="L21" s="178"/>
      <c r="M21" s="178"/>
      <c r="N21" s="178">
        <v>41156</v>
      </c>
      <c r="O21" s="178"/>
      <c r="P21" s="178"/>
      <c r="Q21" s="178"/>
      <c r="R21" s="178">
        <v>27261</v>
      </c>
      <c r="S21" s="178"/>
      <c r="T21" s="178"/>
      <c r="U21" s="178">
        <v>86329</v>
      </c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</row>
    <row r="22" spans="1:38" s="179" customFormat="1" ht="15" thickBot="1" x14ac:dyDescent="0.35">
      <c r="A22" s="196">
        <v>1010</v>
      </c>
      <c r="B22" s="130" t="s">
        <v>109</v>
      </c>
      <c r="C22" s="159">
        <v>97122</v>
      </c>
      <c r="D22" s="160">
        <f t="shared" si="1"/>
        <v>94496</v>
      </c>
      <c r="E22" s="161">
        <f t="shared" ref="E22" si="5">C22-D22</f>
        <v>2626</v>
      </c>
      <c r="F22" s="178"/>
      <c r="G22" s="178"/>
      <c r="H22" s="178"/>
      <c r="I22" s="178"/>
      <c r="J22" s="178"/>
      <c r="K22" s="178"/>
      <c r="L22" s="178"/>
      <c r="M22" s="178">
        <v>15606</v>
      </c>
      <c r="N22" s="178">
        <v>5802</v>
      </c>
      <c r="O22" s="178">
        <v>511</v>
      </c>
      <c r="P22" s="178">
        <v>2123</v>
      </c>
      <c r="Q22" s="178">
        <v>1784</v>
      </c>
      <c r="R22" s="178"/>
      <c r="S22" s="178">
        <v>68670</v>
      </c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</row>
    <row r="23" spans="1:38" s="179" customFormat="1" ht="15" thickBot="1" x14ac:dyDescent="0.35">
      <c r="A23" s="189" t="s">
        <v>410</v>
      </c>
      <c r="B23" s="130" t="s">
        <v>414</v>
      </c>
      <c r="C23" s="252">
        <v>295872</v>
      </c>
      <c r="D23" s="160">
        <f t="shared" si="1"/>
        <v>275560</v>
      </c>
      <c r="E23" s="161">
        <f t="shared" ref="E23:E29" si="6">C23-D23</f>
        <v>20312</v>
      </c>
      <c r="F23" s="178"/>
      <c r="G23" s="178"/>
      <c r="H23" s="178"/>
      <c r="I23" s="178"/>
      <c r="J23" s="178"/>
      <c r="K23" s="178">
        <v>51845</v>
      </c>
      <c r="L23" s="178">
        <v>20472</v>
      </c>
      <c r="M23" s="178">
        <v>15482</v>
      </c>
      <c r="N23" s="178">
        <v>19516</v>
      </c>
      <c r="O23" s="178">
        <v>22827</v>
      </c>
      <c r="P23" s="178">
        <v>25655</v>
      </c>
      <c r="Q23" s="178"/>
      <c r="R23" s="178">
        <f>27100+26118</f>
        <v>53218</v>
      </c>
      <c r="S23" s="178"/>
      <c r="T23" s="178">
        <v>54413</v>
      </c>
      <c r="U23" s="178">
        <v>12132</v>
      </c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</row>
    <row r="24" spans="1:38" s="179" customFormat="1" ht="15" thickBot="1" x14ac:dyDescent="0.35">
      <c r="A24" s="189" t="s">
        <v>411</v>
      </c>
      <c r="B24" s="130" t="s">
        <v>415</v>
      </c>
      <c r="C24" s="159">
        <v>35000</v>
      </c>
      <c r="D24" s="160">
        <f t="shared" si="1"/>
        <v>33198</v>
      </c>
      <c r="E24" s="161">
        <f t="shared" si="6"/>
        <v>1802</v>
      </c>
      <c r="F24" s="178"/>
      <c r="G24" s="178"/>
      <c r="H24" s="178"/>
      <c r="I24" s="178"/>
      <c r="J24" s="178">
        <v>2739</v>
      </c>
      <c r="K24" s="178">
        <v>3870</v>
      </c>
      <c r="L24" s="178">
        <v>704</v>
      </c>
      <c r="M24" s="178">
        <v>696</v>
      </c>
      <c r="N24" s="178">
        <v>1796</v>
      </c>
      <c r="O24" s="178">
        <v>1267</v>
      </c>
      <c r="P24" s="178">
        <v>3087</v>
      </c>
      <c r="Q24" s="178"/>
      <c r="R24" s="178">
        <f>3355+1571</f>
        <v>4926</v>
      </c>
      <c r="S24" s="178">
        <v>3880</v>
      </c>
      <c r="T24" s="178">
        <v>5293</v>
      </c>
      <c r="U24" s="178">
        <v>4940</v>
      </c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</row>
    <row r="25" spans="1:38" s="179" customFormat="1" ht="15" thickBot="1" x14ac:dyDescent="0.35">
      <c r="A25" s="189" t="s">
        <v>269</v>
      </c>
      <c r="B25" s="130" t="s">
        <v>163</v>
      </c>
      <c r="C25" s="159">
        <v>35000</v>
      </c>
      <c r="D25" s="160">
        <f t="shared" si="1"/>
        <v>31196</v>
      </c>
      <c r="E25" s="161">
        <f t="shared" si="6"/>
        <v>3804</v>
      </c>
      <c r="F25" s="178"/>
      <c r="G25" s="178"/>
      <c r="H25" s="178"/>
      <c r="I25" s="178"/>
      <c r="J25" s="178">
        <v>7000</v>
      </c>
      <c r="K25" s="178">
        <v>4627</v>
      </c>
      <c r="L25" s="178"/>
      <c r="M25" s="178">
        <v>4118</v>
      </c>
      <c r="N25" s="178">
        <v>1419</v>
      </c>
      <c r="O25" s="178">
        <v>2532</v>
      </c>
      <c r="P25" s="178">
        <v>1000</v>
      </c>
      <c r="Q25" s="178">
        <v>5500</v>
      </c>
      <c r="R25" s="178"/>
      <c r="S25" s="178">
        <v>5000</v>
      </c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</row>
    <row r="26" spans="1:38" s="179" customFormat="1" ht="15" thickBot="1" x14ac:dyDescent="0.35">
      <c r="A26" s="189" t="s">
        <v>412</v>
      </c>
      <c r="B26" s="130" t="s">
        <v>140</v>
      </c>
      <c r="C26" s="159">
        <v>153930</v>
      </c>
      <c r="D26" s="160">
        <f t="shared" si="1"/>
        <v>150329</v>
      </c>
      <c r="E26" s="161">
        <f t="shared" si="6"/>
        <v>3601</v>
      </c>
      <c r="F26" s="178"/>
      <c r="G26" s="178"/>
      <c r="H26" s="178"/>
      <c r="I26" s="178"/>
      <c r="J26" s="178">
        <v>17176</v>
      </c>
      <c r="K26" s="178">
        <v>6694</v>
      </c>
      <c r="L26" s="178">
        <v>15774</v>
      </c>
      <c r="M26" s="178">
        <v>9839</v>
      </c>
      <c r="N26" s="178">
        <v>8801</v>
      </c>
      <c r="O26" s="178">
        <v>11601</v>
      </c>
      <c r="P26" s="178">
        <v>15754</v>
      </c>
      <c r="Q26" s="178">
        <v>14712</v>
      </c>
      <c r="R26" s="178">
        <v>16903</v>
      </c>
      <c r="S26" s="178">
        <v>6087</v>
      </c>
      <c r="T26" s="178">
        <v>21451</v>
      </c>
      <c r="U26" s="178">
        <v>5537</v>
      </c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</row>
    <row r="27" spans="1:38" s="179" customFormat="1" ht="15" thickBot="1" x14ac:dyDescent="0.35">
      <c r="A27" s="189">
        <v>2405</v>
      </c>
      <c r="B27" s="130" t="s">
        <v>452</v>
      </c>
      <c r="C27" s="159">
        <v>70000</v>
      </c>
      <c r="D27" s="160">
        <f t="shared" si="1"/>
        <v>63000</v>
      </c>
      <c r="E27" s="161">
        <f t="shared" ref="E27" si="7">C27-D27</f>
        <v>7000</v>
      </c>
      <c r="F27" s="178"/>
      <c r="G27" s="178"/>
      <c r="H27" s="178"/>
      <c r="I27" s="178"/>
      <c r="J27" s="178"/>
      <c r="K27" s="178"/>
      <c r="L27" s="178"/>
      <c r="M27" s="178"/>
      <c r="N27" s="178"/>
      <c r="O27" s="178">
        <v>31978</v>
      </c>
      <c r="P27" s="178">
        <v>4205</v>
      </c>
      <c r="Q27" s="178">
        <v>4182</v>
      </c>
      <c r="R27" s="178">
        <v>13699</v>
      </c>
      <c r="S27" s="178">
        <v>2339</v>
      </c>
      <c r="T27" s="178">
        <v>6597</v>
      </c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</row>
    <row r="28" spans="1:38" s="179" customFormat="1" ht="15" thickBot="1" x14ac:dyDescent="0.35">
      <c r="A28" s="189">
        <v>2690</v>
      </c>
      <c r="B28" s="130" t="s">
        <v>422</v>
      </c>
      <c r="C28" s="159">
        <v>114999</v>
      </c>
      <c r="D28" s="160">
        <f t="shared" si="1"/>
        <v>79069</v>
      </c>
      <c r="E28" s="161">
        <f t="shared" si="6"/>
        <v>35930</v>
      </c>
      <c r="F28" s="178"/>
      <c r="G28" s="178"/>
      <c r="H28" s="178"/>
      <c r="I28" s="178"/>
      <c r="J28" s="178"/>
      <c r="K28" s="178"/>
      <c r="L28" s="178"/>
      <c r="M28" s="178">
        <v>11569</v>
      </c>
      <c r="N28" s="178">
        <v>19817</v>
      </c>
      <c r="O28" s="178">
        <v>3250</v>
      </c>
      <c r="P28" s="178">
        <v>44433</v>
      </c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</row>
    <row r="29" spans="1:38" s="179" customFormat="1" ht="15" thickBot="1" x14ac:dyDescent="0.35">
      <c r="A29" s="190" t="s">
        <v>271</v>
      </c>
      <c r="B29" s="187" t="s">
        <v>145</v>
      </c>
      <c r="C29" s="157">
        <v>70000</v>
      </c>
      <c r="D29" s="160">
        <f t="shared" si="1"/>
        <v>64139</v>
      </c>
      <c r="E29" s="161">
        <f t="shared" si="6"/>
        <v>5861</v>
      </c>
      <c r="F29" s="178"/>
      <c r="G29" s="178"/>
      <c r="H29" s="178"/>
      <c r="I29" s="178"/>
      <c r="J29" s="178"/>
      <c r="K29" s="178">
        <v>4178</v>
      </c>
      <c r="L29" s="178">
        <v>1063</v>
      </c>
      <c r="M29" s="178">
        <v>1197</v>
      </c>
      <c r="N29" s="178">
        <v>11204</v>
      </c>
      <c r="O29" s="178">
        <v>1140</v>
      </c>
      <c r="P29" s="178">
        <v>1804</v>
      </c>
      <c r="Q29" s="178">
        <v>1237</v>
      </c>
      <c r="R29" s="178">
        <v>29402</v>
      </c>
      <c r="S29" s="178">
        <v>6852</v>
      </c>
      <c r="T29" s="178">
        <v>6062</v>
      </c>
      <c r="U29" s="178"/>
    </row>
    <row r="30" spans="1:38" s="179" customFormat="1" ht="15" thickBot="1" x14ac:dyDescent="0.35">
      <c r="A30" s="190">
        <v>3140</v>
      </c>
      <c r="B30" s="187" t="s">
        <v>467</v>
      </c>
      <c r="C30" s="157">
        <v>38170</v>
      </c>
      <c r="D30" s="160">
        <f t="shared" si="1"/>
        <v>29784</v>
      </c>
      <c r="E30" s="161">
        <f t="shared" ref="E30" si="8">C30-D30</f>
        <v>8386</v>
      </c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>
        <v>17367</v>
      </c>
      <c r="Q30" s="178">
        <v>2394</v>
      </c>
      <c r="R30" s="178"/>
      <c r="S30" s="178"/>
      <c r="T30" s="178"/>
      <c r="U30" s="178">
        <f>7358+2665</f>
        <v>10023</v>
      </c>
    </row>
    <row r="31" spans="1:38" s="179" customFormat="1" ht="15" thickBot="1" x14ac:dyDescent="0.35">
      <c r="A31" s="183"/>
      <c r="B31" s="184"/>
      <c r="C31" s="157"/>
      <c r="D31" s="162"/>
      <c r="E31" s="15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</row>
    <row r="32" spans="1:38" s="72" customFormat="1" ht="15" thickBot="1" x14ac:dyDescent="0.35">
      <c r="A32" s="185"/>
      <c r="B32" s="184"/>
      <c r="C32" s="95">
        <f>SUM(C12:C31)</f>
        <v>2507003</v>
      </c>
      <c r="D32" s="95">
        <f t="shared" ref="D32:V32" si="9">SUM(D12:D31)</f>
        <v>2312640</v>
      </c>
      <c r="E32" s="95">
        <f t="shared" si="9"/>
        <v>194363</v>
      </c>
      <c r="F32" s="124">
        <f t="shared" si="9"/>
        <v>0</v>
      </c>
      <c r="G32" s="124">
        <f t="shared" si="9"/>
        <v>0</v>
      </c>
      <c r="H32" s="124">
        <f t="shared" si="9"/>
        <v>0</v>
      </c>
      <c r="I32" s="124">
        <f t="shared" si="9"/>
        <v>0</v>
      </c>
      <c r="J32" s="124">
        <f t="shared" si="9"/>
        <v>33894</v>
      </c>
      <c r="K32" s="124">
        <f t="shared" si="9"/>
        <v>137805</v>
      </c>
      <c r="L32" s="124">
        <f t="shared" si="9"/>
        <v>294982</v>
      </c>
      <c r="M32" s="124">
        <f t="shared" si="9"/>
        <v>165221</v>
      </c>
      <c r="N32" s="124">
        <f t="shared" si="9"/>
        <v>238563</v>
      </c>
      <c r="O32" s="124">
        <f t="shared" si="9"/>
        <v>173609</v>
      </c>
      <c r="P32" s="124">
        <f t="shared" si="9"/>
        <v>233074</v>
      </c>
      <c r="Q32" s="124">
        <f t="shared" si="9"/>
        <v>179989</v>
      </c>
      <c r="R32" s="124">
        <f t="shared" si="9"/>
        <v>267985</v>
      </c>
      <c r="S32" s="124">
        <f t="shared" si="9"/>
        <v>138489</v>
      </c>
      <c r="T32" s="124">
        <f t="shared" si="9"/>
        <v>152521</v>
      </c>
      <c r="U32" s="124">
        <f t="shared" si="9"/>
        <v>296508</v>
      </c>
      <c r="V32" s="124">
        <f t="shared" si="9"/>
        <v>0</v>
      </c>
    </row>
    <row r="33" spans="3:22" s="77" customFormat="1" x14ac:dyDescent="0.3">
      <c r="C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</row>
    <row r="34" spans="3:22" s="77" customFormat="1" x14ac:dyDescent="0.3">
      <c r="C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</row>
    <row r="35" spans="3:22" s="77" customFormat="1" x14ac:dyDescent="0.3"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 spans="3:22" s="77" customFormat="1" x14ac:dyDescent="0.3"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</row>
    <row r="37" spans="3:22" s="77" customFormat="1" x14ac:dyDescent="0.3"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</row>
    <row r="38" spans="3:22" s="77" customFormat="1" x14ac:dyDescent="0.3"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</row>
    <row r="39" spans="3:22" s="77" customFormat="1" x14ac:dyDescent="0.3"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</row>
    <row r="40" spans="3:22" s="77" customFormat="1" x14ac:dyDescent="0.3"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</row>
    <row r="41" spans="3:22" x14ac:dyDescent="0.3"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3:22" x14ac:dyDescent="0.3"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3:22" x14ac:dyDescent="0.3"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3:22" x14ac:dyDescent="0.3"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3:22" x14ac:dyDescent="0.3"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3:22" x14ac:dyDescent="0.3"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3:22" x14ac:dyDescent="0.3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9" spans="6:22" x14ac:dyDescent="0.3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rgb="FFCCFFCC"/>
  </sheetPr>
  <dimension ref="A1:X67"/>
  <sheetViews>
    <sheetView workbookViewId="0">
      <pane xSplit="5" ySplit="10" topLeftCell="I11" activePane="bottomRight" state="frozen"/>
      <selection activeCell="V12" sqref="V12"/>
      <selection pane="topRight" activeCell="V12" sqref="V12"/>
      <selection pane="bottomLeft" activeCell="V12" sqref="V12"/>
      <selection pane="bottomRight" activeCell="X17" sqref="X17"/>
    </sheetView>
  </sheetViews>
  <sheetFormatPr defaultColWidth="9.109375" defaultRowHeight="14.4" x14ac:dyDescent="0.3"/>
  <cols>
    <col min="1" max="1" width="9.109375" style="4"/>
    <col min="2" max="2" width="32.109375" style="4" customWidth="1"/>
    <col min="3" max="3" width="13.5546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1.6640625" style="4" customWidth="1"/>
    <col min="21" max="21" width="9.109375" style="4"/>
    <col min="22" max="22" width="12" style="77" customWidth="1"/>
    <col min="23" max="24" width="10.88671875" style="77" customWidth="1"/>
    <col min="25" max="16384" width="9.109375" style="4"/>
  </cols>
  <sheetData>
    <row r="1" spans="1:24" ht="21" x14ac:dyDescent="0.35">
      <c r="A1" s="80" t="s">
        <v>0</v>
      </c>
      <c r="B1" s="87"/>
      <c r="C1" s="81" t="s">
        <v>192</v>
      </c>
      <c r="D1" s="80"/>
      <c r="E1" s="82"/>
      <c r="F1" s="88"/>
      <c r="G1" s="87"/>
      <c r="H1" s="87"/>
      <c r="I1" s="87"/>
      <c r="J1" s="81" t="str">
        <f>C1</f>
        <v>Tiered Intervention Grant</v>
      </c>
      <c r="K1" s="87"/>
      <c r="L1" s="87"/>
      <c r="M1" s="87"/>
      <c r="N1" s="87"/>
      <c r="O1" s="87"/>
      <c r="P1" s="87"/>
      <c r="Q1" s="81" t="str">
        <f>C1</f>
        <v>Tiered Intervention Grant</v>
      </c>
      <c r="R1" s="87"/>
      <c r="S1" s="87"/>
      <c r="T1" s="87"/>
      <c r="U1" s="87"/>
      <c r="V1" s="87"/>
      <c r="W1" s="87"/>
      <c r="X1" s="87"/>
    </row>
    <row r="2" spans="1:24" ht="18.75" x14ac:dyDescent="0.3">
      <c r="A2" s="83" t="s">
        <v>1</v>
      </c>
      <c r="B2" s="87"/>
      <c r="C2" s="84">
        <v>84.388000000000005</v>
      </c>
      <c r="D2" s="83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  <c r="X2" s="87"/>
    </row>
    <row r="3" spans="1:24" ht="15.75" x14ac:dyDescent="0.25">
      <c r="A3" s="83" t="s">
        <v>2</v>
      </c>
      <c r="B3" s="87"/>
      <c r="C3" s="84">
        <v>7388</v>
      </c>
      <c r="D3" s="83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</row>
    <row r="4" spans="1:24" ht="15.75" x14ac:dyDescent="0.25">
      <c r="A4" s="83" t="s">
        <v>3</v>
      </c>
      <c r="B4" s="87"/>
      <c r="C4" s="84" t="s">
        <v>6</v>
      </c>
      <c r="D4" s="92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</row>
    <row r="5" spans="1:24" ht="15.75" x14ac:dyDescent="0.25">
      <c r="A5" s="83" t="s">
        <v>171</v>
      </c>
      <c r="B5" s="87"/>
      <c r="C5" s="84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</row>
    <row r="6" spans="1:24" ht="15.75" x14ac:dyDescent="0.25">
      <c r="A6" s="83" t="s">
        <v>101</v>
      </c>
      <c r="B6" s="87"/>
      <c r="C6" s="83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</row>
    <row r="7" spans="1:24" ht="15.75" x14ac:dyDescent="0.25">
      <c r="A7" s="83" t="s">
        <v>103</v>
      </c>
      <c r="B7" s="87"/>
      <c r="C7" s="83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</row>
    <row r="8" spans="1:24" s="28" customFormat="1" ht="21" x14ac:dyDescent="0.35">
      <c r="A8" s="93" t="s">
        <v>261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</row>
    <row r="9" spans="1:24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</row>
    <row r="10" spans="1:24" ht="30.75" thickBot="1" x14ac:dyDescent="0.3">
      <c r="A10" s="62" t="s">
        <v>4</v>
      </c>
      <c r="B10" s="62" t="s">
        <v>240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2" t="s">
        <v>78</v>
      </c>
      <c r="V10" s="62" t="s">
        <v>557</v>
      </c>
      <c r="W10" s="62" t="s">
        <v>560</v>
      </c>
      <c r="X10" s="62" t="s">
        <v>561</v>
      </c>
    </row>
    <row r="11" spans="1:24" ht="15.75" thickBot="1" x14ac:dyDescent="0.3">
      <c r="A11" s="143" t="s">
        <v>221</v>
      </c>
      <c r="B11" s="143" t="s">
        <v>222</v>
      </c>
      <c r="C11" s="54">
        <v>606497</v>
      </c>
      <c r="D11" s="54">
        <f>SUM(F11:Z11)</f>
        <v>606497</v>
      </c>
      <c r="E11" s="54">
        <f>C11-D11</f>
        <v>0</v>
      </c>
      <c r="F11" s="26"/>
      <c r="G11" s="26"/>
      <c r="H11" s="26"/>
      <c r="I11" s="26"/>
      <c r="J11" s="26">
        <v>238819</v>
      </c>
      <c r="K11" s="26">
        <v>139817</v>
      </c>
      <c r="L11" s="26"/>
      <c r="M11" s="26">
        <v>136752</v>
      </c>
      <c r="N11" s="26"/>
      <c r="O11" s="26"/>
      <c r="P11" s="26"/>
      <c r="Q11" s="26">
        <v>91109</v>
      </c>
      <c r="R11" s="26"/>
      <c r="S11" s="26"/>
      <c r="T11" s="26"/>
      <c r="U11" s="26"/>
      <c r="V11" s="26"/>
    </row>
    <row r="12" spans="1:24" ht="15.75" thickBot="1" x14ac:dyDescent="0.3">
      <c r="A12" s="139" t="s">
        <v>211</v>
      </c>
      <c r="B12" s="139" t="s">
        <v>212</v>
      </c>
      <c r="C12" s="55">
        <v>904678</v>
      </c>
      <c r="D12" s="54">
        <f t="shared" ref="D12:D25" si="0">SUM(F12:Z12)</f>
        <v>871730</v>
      </c>
      <c r="E12" s="54">
        <f t="shared" ref="E12:E25" si="1">C12-D12</f>
        <v>32948</v>
      </c>
      <c r="F12" s="26"/>
      <c r="G12" s="26"/>
      <c r="H12" s="26"/>
      <c r="I12" s="26"/>
      <c r="J12" s="26"/>
      <c r="K12" s="26"/>
      <c r="L12" s="26"/>
      <c r="M12" s="26">
        <f>99252+77655+127893</f>
        <v>304800</v>
      </c>
      <c r="N12" s="26"/>
      <c r="O12" s="26">
        <v>139861</v>
      </c>
      <c r="P12" s="26">
        <v>90616</v>
      </c>
      <c r="Q12" s="26">
        <v>42448</v>
      </c>
      <c r="R12" s="26">
        <v>172294</v>
      </c>
      <c r="S12" s="26"/>
      <c r="T12" s="26"/>
      <c r="U12" s="26"/>
      <c r="V12" s="26">
        <v>121711</v>
      </c>
    </row>
    <row r="13" spans="1:24" ht="15.75" thickBot="1" x14ac:dyDescent="0.3">
      <c r="A13" s="139" t="s">
        <v>209</v>
      </c>
      <c r="B13" s="139" t="s">
        <v>210</v>
      </c>
      <c r="C13" s="55">
        <v>866037</v>
      </c>
      <c r="D13" s="54">
        <f t="shared" si="0"/>
        <v>866037</v>
      </c>
      <c r="E13" s="54">
        <f t="shared" si="1"/>
        <v>0</v>
      </c>
      <c r="F13" s="26"/>
      <c r="G13" s="26"/>
      <c r="H13" s="26"/>
      <c r="I13" s="26"/>
      <c r="J13" s="26"/>
      <c r="K13" s="26"/>
      <c r="L13" s="26"/>
      <c r="M13" s="26">
        <v>415439</v>
      </c>
      <c r="N13" s="26"/>
      <c r="O13" s="26"/>
      <c r="P13" s="26"/>
      <c r="Q13" s="26">
        <v>224691</v>
      </c>
      <c r="R13" s="26"/>
      <c r="S13" s="26"/>
      <c r="T13" s="26"/>
      <c r="U13" s="26">
        <v>225907</v>
      </c>
      <c r="V13" s="26"/>
    </row>
    <row r="14" spans="1:24" ht="15.75" thickBot="1" x14ac:dyDescent="0.3">
      <c r="A14" s="139" t="s">
        <v>195</v>
      </c>
      <c r="B14" s="139" t="s">
        <v>196</v>
      </c>
      <c r="C14" s="55">
        <v>976349</v>
      </c>
      <c r="D14" s="54">
        <f t="shared" si="0"/>
        <v>939455</v>
      </c>
      <c r="E14" s="54">
        <f t="shared" si="1"/>
        <v>36894</v>
      </c>
      <c r="F14" s="26"/>
      <c r="G14" s="26"/>
      <c r="H14" s="26"/>
      <c r="I14" s="26"/>
      <c r="J14" s="26"/>
      <c r="K14" s="26"/>
      <c r="L14" s="26"/>
      <c r="M14" s="26">
        <f>173354+88248</f>
        <v>261602</v>
      </c>
      <c r="N14" s="26"/>
      <c r="O14" s="26">
        <v>230147</v>
      </c>
      <c r="P14" s="26"/>
      <c r="Q14" s="26">
        <v>135920</v>
      </c>
      <c r="R14" s="26">
        <v>80726</v>
      </c>
      <c r="S14" s="26"/>
      <c r="T14" s="26">
        <v>86307</v>
      </c>
      <c r="U14" s="26">
        <v>144753</v>
      </c>
      <c r="V14" s="26"/>
    </row>
    <row r="15" spans="1:24" ht="15.75" thickBot="1" x14ac:dyDescent="0.3">
      <c r="A15" s="139" t="s">
        <v>213</v>
      </c>
      <c r="B15" s="139" t="s">
        <v>214</v>
      </c>
      <c r="C15" s="55">
        <v>666297</v>
      </c>
      <c r="D15" s="54">
        <f t="shared" si="0"/>
        <v>645987</v>
      </c>
      <c r="E15" s="54">
        <f t="shared" si="1"/>
        <v>20310</v>
      </c>
      <c r="F15" s="26"/>
      <c r="G15" s="26"/>
      <c r="H15" s="26"/>
      <c r="I15" s="26"/>
      <c r="J15" s="26"/>
      <c r="K15" s="26"/>
      <c r="L15" s="26"/>
      <c r="M15" s="26">
        <f>146676+19514+99963</f>
        <v>266153</v>
      </c>
      <c r="N15" s="26"/>
      <c r="O15" s="26">
        <v>120857</v>
      </c>
      <c r="P15" s="26">
        <v>57120</v>
      </c>
      <c r="Q15" s="26">
        <v>50143</v>
      </c>
      <c r="R15" s="26">
        <v>124623</v>
      </c>
      <c r="S15" s="26"/>
      <c r="T15" s="26"/>
      <c r="U15" s="26"/>
      <c r="V15" s="26">
        <v>27091</v>
      </c>
    </row>
    <row r="16" spans="1:24" ht="15.75" thickBot="1" x14ac:dyDescent="0.3">
      <c r="A16" s="139" t="s">
        <v>197</v>
      </c>
      <c r="B16" s="139" t="s">
        <v>198</v>
      </c>
      <c r="C16" s="55">
        <v>444915</v>
      </c>
      <c r="D16" s="54">
        <f t="shared" si="0"/>
        <v>418037</v>
      </c>
      <c r="E16" s="54">
        <f t="shared" si="1"/>
        <v>26878</v>
      </c>
      <c r="F16" s="26"/>
      <c r="G16" s="26"/>
      <c r="H16" s="26"/>
      <c r="I16" s="26"/>
      <c r="J16" s="26"/>
      <c r="K16" s="26">
        <v>33313</v>
      </c>
      <c r="L16" s="26">
        <v>30111</v>
      </c>
      <c r="M16" s="26">
        <v>34498</v>
      </c>
      <c r="N16" s="26">
        <v>30439</v>
      </c>
      <c r="O16" s="26">
        <v>36781</v>
      </c>
      <c r="P16" s="26">
        <v>39467</v>
      </c>
      <c r="Q16" s="26"/>
      <c r="R16" s="26"/>
      <c r="S16" s="26">
        <v>26316</v>
      </c>
      <c r="T16" s="26">
        <v>107249</v>
      </c>
      <c r="U16" s="26">
        <v>75721</v>
      </c>
      <c r="V16" s="26"/>
      <c r="X16" s="76">
        <f>4142</f>
        <v>4142</v>
      </c>
    </row>
    <row r="17" spans="1:24" ht="15.75" thickBot="1" x14ac:dyDescent="0.3">
      <c r="A17" s="139" t="s">
        <v>199</v>
      </c>
      <c r="B17" s="139" t="s">
        <v>200</v>
      </c>
      <c r="C17" s="55">
        <v>752172</v>
      </c>
      <c r="D17" s="54">
        <f t="shared" si="0"/>
        <v>591596</v>
      </c>
      <c r="E17" s="54">
        <f t="shared" si="1"/>
        <v>160576</v>
      </c>
      <c r="F17" s="26"/>
      <c r="G17" s="26"/>
      <c r="H17" s="26"/>
      <c r="I17" s="26"/>
      <c r="J17" s="26"/>
      <c r="K17" s="26">
        <v>39948</v>
      </c>
      <c r="L17" s="26">
        <v>30933</v>
      </c>
      <c r="M17" s="26">
        <v>98809</v>
      </c>
      <c r="N17" s="26">
        <v>38670</v>
      </c>
      <c r="O17" s="26">
        <v>37790</v>
      </c>
      <c r="P17" s="26">
        <v>33322</v>
      </c>
      <c r="Q17" s="26"/>
      <c r="R17" s="26"/>
      <c r="S17" s="26">
        <v>29574</v>
      </c>
      <c r="T17" s="26">
        <v>164802</v>
      </c>
      <c r="U17" s="26">
        <v>103218</v>
      </c>
      <c r="V17" s="26"/>
      <c r="W17" s="76">
        <v>14530</v>
      </c>
      <c r="X17" s="76"/>
    </row>
    <row r="18" spans="1:24" ht="15.75" thickBot="1" x14ac:dyDescent="0.3">
      <c r="A18" s="139" t="s">
        <v>215</v>
      </c>
      <c r="B18" s="139" t="s">
        <v>216</v>
      </c>
      <c r="C18" s="55">
        <v>701327</v>
      </c>
      <c r="D18" s="54">
        <f t="shared" si="0"/>
        <v>691496</v>
      </c>
      <c r="E18" s="54">
        <f t="shared" si="1"/>
        <v>9831</v>
      </c>
      <c r="F18" s="26"/>
      <c r="G18" s="26"/>
      <c r="H18" s="26"/>
      <c r="I18" s="26"/>
      <c r="J18" s="26"/>
      <c r="K18" s="26"/>
      <c r="L18" s="26"/>
      <c r="M18" s="26">
        <f>185478+23094+110438</f>
        <v>319010</v>
      </c>
      <c r="N18" s="26"/>
      <c r="O18" s="26">
        <v>120752</v>
      </c>
      <c r="P18" s="26">
        <v>55046</v>
      </c>
      <c r="Q18" s="26">
        <v>48032</v>
      </c>
      <c r="R18" s="26">
        <v>129208</v>
      </c>
      <c r="S18" s="26"/>
      <c r="T18" s="26"/>
      <c r="U18" s="26"/>
      <c r="V18" s="26">
        <v>19448</v>
      </c>
    </row>
    <row r="19" spans="1:24" ht="15" thickBot="1" x14ac:dyDescent="0.35">
      <c r="A19" s="139" t="s">
        <v>201</v>
      </c>
      <c r="B19" s="139" t="s">
        <v>202</v>
      </c>
      <c r="C19" s="55">
        <v>747001</v>
      </c>
      <c r="D19" s="54">
        <f t="shared" si="0"/>
        <v>608183</v>
      </c>
      <c r="E19" s="54">
        <f t="shared" si="1"/>
        <v>138818</v>
      </c>
      <c r="F19" s="26"/>
      <c r="G19" s="26"/>
      <c r="H19" s="26"/>
      <c r="I19" s="26"/>
      <c r="J19" s="26"/>
      <c r="K19" s="26">
        <v>26041</v>
      </c>
      <c r="L19" s="26"/>
      <c r="M19" s="26">
        <v>35879</v>
      </c>
      <c r="N19" s="26">
        <v>82880</v>
      </c>
      <c r="O19" s="26">
        <v>31904</v>
      </c>
      <c r="P19" s="26">
        <v>23917</v>
      </c>
      <c r="Q19" s="26"/>
      <c r="R19" s="26"/>
      <c r="S19" s="26">
        <v>23040</v>
      </c>
      <c r="T19" s="26">
        <v>216134</v>
      </c>
      <c r="U19" s="26">
        <v>168388</v>
      </c>
      <c r="V19" s="26"/>
      <c r="X19" s="76"/>
    </row>
    <row r="20" spans="1:24" ht="15" thickBot="1" x14ac:dyDescent="0.35">
      <c r="A20" s="139" t="s">
        <v>217</v>
      </c>
      <c r="B20" s="139" t="s">
        <v>218</v>
      </c>
      <c r="C20" s="55">
        <v>719867</v>
      </c>
      <c r="D20" s="54">
        <f t="shared" si="0"/>
        <v>719867</v>
      </c>
      <c r="E20" s="54">
        <f t="shared" si="1"/>
        <v>0</v>
      </c>
      <c r="F20" s="26"/>
      <c r="G20" s="26"/>
      <c r="H20" s="26"/>
      <c r="I20" s="26"/>
      <c r="J20" s="26"/>
      <c r="K20" s="26"/>
      <c r="L20" s="26"/>
      <c r="M20" s="26">
        <f>127815+99457</f>
        <v>227272</v>
      </c>
      <c r="N20" s="26"/>
      <c r="O20" s="26">
        <v>207609</v>
      </c>
      <c r="P20" s="26">
        <v>53634</v>
      </c>
      <c r="Q20" s="26">
        <v>50475</v>
      </c>
      <c r="R20" s="26">
        <v>163413</v>
      </c>
      <c r="S20" s="26"/>
      <c r="T20" s="26"/>
      <c r="U20" s="26"/>
      <c r="V20" s="26">
        <v>17464</v>
      </c>
    </row>
    <row r="21" spans="1:24" ht="15" thickBot="1" x14ac:dyDescent="0.35">
      <c r="A21" s="139" t="s">
        <v>203</v>
      </c>
      <c r="B21" s="139" t="s">
        <v>204</v>
      </c>
      <c r="C21" s="55">
        <v>1145546</v>
      </c>
      <c r="D21" s="54">
        <f t="shared" si="0"/>
        <v>1300978</v>
      </c>
      <c r="E21" s="54">
        <f t="shared" si="1"/>
        <v>-155432</v>
      </c>
      <c r="F21" s="26"/>
      <c r="G21" s="26"/>
      <c r="H21" s="26"/>
      <c r="I21" s="26"/>
      <c r="J21" s="26"/>
      <c r="K21" s="26">
        <v>94154</v>
      </c>
      <c r="L21" s="26">
        <v>49431</v>
      </c>
      <c r="M21" s="26">
        <v>66035</v>
      </c>
      <c r="N21" s="26">
        <v>78921</v>
      </c>
      <c r="O21" s="26">
        <v>60780</v>
      </c>
      <c r="P21" s="26">
        <v>44873</v>
      </c>
      <c r="Q21" s="26"/>
      <c r="R21" s="26"/>
      <c r="S21" s="26">
        <v>90089</v>
      </c>
      <c r="T21" s="26">
        <v>283882</v>
      </c>
      <c r="U21" s="26">
        <v>282065</v>
      </c>
      <c r="V21" s="26"/>
      <c r="W21" s="76">
        <v>250748</v>
      </c>
      <c r="X21" s="76"/>
    </row>
    <row r="22" spans="1:24" ht="15" thickBot="1" x14ac:dyDescent="0.35">
      <c r="A22" s="139" t="s">
        <v>205</v>
      </c>
      <c r="B22" s="139" t="s">
        <v>206</v>
      </c>
      <c r="C22" s="55">
        <v>1077100</v>
      </c>
      <c r="D22" s="54">
        <f t="shared" si="0"/>
        <v>1055441</v>
      </c>
      <c r="E22" s="54">
        <f t="shared" si="1"/>
        <v>21659</v>
      </c>
      <c r="F22" s="26"/>
      <c r="G22" s="26"/>
      <c r="H22" s="26"/>
      <c r="I22" s="26"/>
      <c r="J22" s="26"/>
      <c r="K22" s="26">
        <v>43405</v>
      </c>
      <c r="L22" s="26">
        <v>41261</v>
      </c>
      <c r="M22" s="26">
        <v>52209</v>
      </c>
      <c r="N22" s="26">
        <v>78776</v>
      </c>
      <c r="O22" s="26">
        <v>43336</v>
      </c>
      <c r="P22" s="26">
        <v>45339</v>
      </c>
      <c r="Q22" s="26"/>
      <c r="R22" s="26"/>
      <c r="S22" s="26">
        <v>35394</v>
      </c>
      <c r="T22" s="26">
        <v>244943</v>
      </c>
      <c r="U22" s="26">
        <v>302888</v>
      </c>
      <c r="V22" s="26"/>
      <c r="W22" s="76">
        <v>101605</v>
      </c>
      <c r="X22" s="76">
        <v>66285</v>
      </c>
    </row>
    <row r="23" spans="1:24" ht="15" thickBot="1" x14ac:dyDescent="0.35">
      <c r="A23" s="139" t="s">
        <v>193</v>
      </c>
      <c r="B23" s="139" t="s">
        <v>194</v>
      </c>
      <c r="C23" s="55">
        <v>670060</v>
      </c>
      <c r="D23" s="54">
        <f t="shared" si="0"/>
        <v>670060</v>
      </c>
      <c r="E23" s="54">
        <f t="shared" si="1"/>
        <v>0</v>
      </c>
      <c r="F23" s="26"/>
      <c r="G23" s="26"/>
      <c r="H23" s="26"/>
      <c r="I23" s="26"/>
      <c r="J23" s="26"/>
      <c r="K23" s="26"/>
      <c r="L23" s="26"/>
      <c r="M23" s="26">
        <f>46506+95198+51834</f>
        <v>193538</v>
      </c>
      <c r="N23" s="26">
        <v>52734</v>
      </c>
      <c r="O23" s="26"/>
      <c r="P23" s="26">
        <f>66393+91196</f>
        <v>157589</v>
      </c>
      <c r="Q23" s="26">
        <v>55117</v>
      </c>
      <c r="R23" s="26">
        <v>94577</v>
      </c>
      <c r="S23" s="26">
        <v>77226</v>
      </c>
      <c r="T23" s="26"/>
      <c r="U23" s="26">
        <v>39279</v>
      </c>
      <c r="V23" s="26"/>
    </row>
    <row r="24" spans="1:24" ht="15" thickBot="1" x14ac:dyDescent="0.35">
      <c r="A24" s="139" t="s">
        <v>207</v>
      </c>
      <c r="B24" s="139" t="s">
        <v>208</v>
      </c>
      <c r="C24" s="55">
        <v>927531</v>
      </c>
      <c r="D24" s="54">
        <f t="shared" si="0"/>
        <v>887939</v>
      </c>
      <c r="E24" s="54">
        <f t="shared" si="1"/>
        <v>39592</v>
      </c>
      <c r="F24" s="26"/>
      <c r="G24" s="26"/>
      <c r="H24" s="26"/>
      <c r="I24" s="26"/>
      <c r="J24" s="26"/>
      <c r="K24" s="26">
        <v>105056</v>
      </c>
      <c r="L24" s="26">
        <v>57524</v>
      </c>
      <c r="M24" s="26">
        <v>68896</v>
      </c>
      <c r="N24" s="26">
        <v>100918</v>
      </c>
      <c r="O24" s="26">
        <v>66606</v>
      </c>
      <c r="P24" s="26">
        <v>39896</v>
      </c>
      <c r="Q24" s="26"/>
      <c r="R24" s="26"/>
      <c r="S24" s="26">
        <v>25591</v>
      </c>
      <c r="T24" s="26">
        <v>239347</v>
      </c>
      <c r="U24" s="26">
        <v>184105</v>
      </c>
      <c r="V24" s="26"/>
      <c r="X24" s="76"/>
    </row>
    <row r="25" spans="1:24" ht="15" thickBot="1" x14ac:dyDescent="0.35">
      <c r="A25" s="139" t="s">
        <v>219</v>
      </c>
      <c r="B25" s="139" t="s">
        <v>220</v>
      </c>
      <c r="C25" s="55">
        <v>737378</v>
      </c>
      <c r="D25" s="54">
        <f t="shared" si="0"/>
        <v>642718</v>
      </c>
      <c r="E25" s="54">
        <f t="shared" si="1"/>
        <v>94660</v>
      </c>
      <c r="F25" s="26"/>
      <c r="G25" s="26"/>
      <c r="H25" s="26"/>
      <c r="I25" s="26"/>
      <c r="J25" s="26"/>
      <c r="K25" s="26"/>
      <c r="L25" s="26"/>
      <c r="M25" s="26">
        <f>185478-9830+106572</f>
        <v>282220</v>
      </c>
      <c r="N25" s="26"/>
      <c r="O25" s="26">
        <v>101572</v>
      </c>
      <c r="P25" s="26">
        <v>46588</v>
      </c>
      <c r="Q25" s="26">
        <v>43540</v>
      </c>
      <c r="R25" s="26">
        <v>124538</v>
      </c>
      <c r="S25" s="26"/>
      <c r="T25" s="26"/>
      <c r="U25" s="26"/>
      <c r="V25" s="26">
        <v>44260</v>
      </c>
    </row>
    <row r="26" spans="1:24" ht="15" thickBot="1" x14ac:dyDescent="0.35">
      <c r="A26" s="133"/>
      <c r="B26" s="134"/>
      <c r="C26" s="135"/>
      <c r="D26" s="122"/>
      <c r="E26" s="122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4" s="73" customFormat="1" ht="15" thickBot="1" x14ac:dyDescent="0.35">
      <c r="A27" s="136"/>
      <c r="B27" s="118"/>
      <c r="C27" s="137">
        <f t="shared" ref="C27:W27" si="2">SUM(C11:C26)</f>
        <v>11942755</v>
      </c>
      <c r="D27" s="137">
        <f t="shared" si="2"/>
        <v>11516021</v>
      </c>
      <c r="E27" s="137">
        <f t="shared" si="2"/>
        <v>426734</v>
      </c>
      <c r="F27" s="138">
        <f t="shared" si="2"/>
        <v>0</v>
      </c>
      <c r="G27" s="138">
        <f t="shared" si="2"/>
        <v>0</v>
      </c>
      <c r="H27" s="138">
        <f t="shared" si="2"/>
        <v>0</v>
      </c>
      <c r="I27" s="138">
        <f t="shared" si="2"/>
        <v>0</v>
      </c>
      <c r="J27" s="138">
        <f t="shared" si="2"/>
        <v>238819</v>
      </c>
      <c r="K27" s="138">
        <f t="shared" si="2"/>
        <v>481734</v>
      </c>
      <c r="L27" s="138">
        <f t="shared" si="2"/>
        <v>209260</v>
      </c>
      <c r="M27" s="138">
        <f t="shared" si="2"/>
        <v>2763112</v>
      </c>
      <c r="N27" s="138">
        <f t="shared" si="2"/>
        <v>463338</v>
      </c>
      <c r="O27" s="138">
        <f t="shared" si="2"/>
        <v>1197995</v>
      </c>
      <c r="P27" s="138">
        <f t="shared" si="2"/>
        <v>687407</v>
      </c>
      <c r="Q27" s="138">
        <f t="shared" si="2"/>
        <v>741475</v>
      </c>
      <c r="R27" s="138">
        <f t="shared" si="2"/>
        <v>889379</v>
      </c>
      <c r="S27" s="138">
        <f t="shared" si="2"/>
        <v>307230</v>
      </c>
      <c r="T27" s="138">
        <f t="shared" si="2"/>
        <v>1342664</v>
      </c>
      <c r="U27" s="254">
        <f t="shared" si="2"/>
        <v>1526324</v>
      </c>
      <c r="V27" s="254">
        <f t="shared" si="2"/>
        <v>229974</v>
      </c>
      <c r="W27" s="254">
        <f t="shared" si="2"/>
        <v>366883</v>
      </c>
      <c r="X27" s="254">
        <f t="shared" ref="X27" si="3">SUM(X11:X26)</f>
        <v>70427</v>
      </c>
    </row>
    <row r="28" spans="1:24" x14ac:dyDescent="0.3">
      <c r="A28" s="37"/>
      <c r="B28" s="22"/>
      <c r="C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76"/>
      <c r="W28" s="76"/>
      <c r="X28" s="76"/>
    </row>
    <row r="29" spans="1:24" x14ac:dyDescent="0.3">
      <c r="A29" s="37"/>
      <c r="B29" s="22"/>
      <c r="C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76"/>
      <c r="W29" s="76"/>
      <c r="X29" s="76"/>
    </row>
    <row r="30" spans="1:24" x14ac:dyDescent="0.3">
      <c r="A30" s="37"/>
      <c r="B30" s="22"/>
      <c r="C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76"/>
      <c r="W30" s="76"/>
      <c r="X30" s="76"/>
    </row>
    <row r="31" spans="1:24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76"/>
      <c r="W31" s="76"/>
      <c r="X31" s="76"/>
    </row>
    <row r="32" spans="1:24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76"/>
      <c r="W32" s="76"/>
      <c r="X32" s="76"/>
    </row>
    <row r="33" spans="3:24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76"/>
      <c r="W33" s="76"/>
      <c r="X33" s="76"/>
    </row>
    <row r="34" spans="3:24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76"/>
      <c r="W34" s="76"/>
      <c r="X34" s="76"/>
    </row>
    <row r="35" spans="3:24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76"/>
      <c r="W35" s="76"/>
      <c r="X35" s="76"/>
    </row>
    <row r="36" spans="3:24" x14ac:dyDescent="0.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76"/>
      <c r="W36" s="76"/>
      <c r="X36" s="76"/>
    </row>
    <row r="37" spans="3:24" x14ac:dyDescent="0.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76"/>
      <c r="W37" s="76"/>
      <c r="X37" s="76"/>
    </row>
    <row r="38" spans="3:24" x14ac:dyDescent="0.3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76"/>
      <c r="W38" s="76"/>
      <c r="X38" s="76"/>
    </row>
    <row r="39" spans="3:24" x14ac:dyDescent="0.3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76"/>
      <c r="W39" s="76"/>
      <c r="X39" s="76"/>
    </row>
    <row r="40" spans="3:24" x14ac:dyDescent="0.3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76"/>
      <c r="W40" s="76"/>
      <c r="X40" s="76"/>
    </row>
    <row r="41" spans="3:24" x14ac:dyDescent="0.3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76"/>
      <c r="W41" s="76"/>
      <c r="X41" s="76"/>
    </row>
    <row r="42" spans="3:24" x14ac:dyDescent="0.3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76"/>
      <c r="W42" s="76"/>
      <c r="X42" s="76"/>
    </row>
    <row r="43" spans="3:24" x14ac:dyDescent="0.3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76"/>
      <c r="W43" s="76"/>
      <c r="X43" s="76"/>
    </row>
    <row r="44" spans="3:24" x14ac:dyDescent="0.3">
      <c r="C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76"/>
      <c r="W44" s="76"/>
      <c r="X44" s="76"/>
    </row>
    <row r="45" spans="3:24" x14ac:dyDescent="0.3">
      <c r="C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76"/>
      <c r="W45" s="76"/>
      <c r="X45" s="76"/>
    </row>
    <row r="46" spans="3:24" x14ac:dyDescent="0.3">
      <c r="C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76"/>
      <c r="W46" s="76"/>
      <c r="X46" s="76"/>
    </row>
    <row r="47" spans="3:24" x14ac:dyDescent="0.3">
      <c r="C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76"/>
      <c r="W47" s="76"/>
      <c r="X47" s="76"/>
    </row>
    <row r="48" spans="3:24" x14ac:dyDescent="0.3">
      <c r="C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76"/>
      <c r="W48" s="76"/>
      <c r="X48" s="76"/>
    </row>
    <row r="49" spans="3:24" x14ac:dyDescent="0.3">
      <c r="C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76"/>
      <c r="W49" s="76"/>
      <c r="X49" s="76"/>
    </row>
    <row r="50" spans="3:24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6"/>
      <c r="W50" s="76"/>
      <c r="X50" s="76"/>
    </row>
    <row r="51" spans="3:24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76"/>
      <c r="W51" s="76"/>
      <c r="X51" s="76"/>
    </row>
    <row r="52" spans="3:24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76"/>
      <c r="W52" s="76"/>
      <c r="X52" s="76"/>
    </row>
    <row r="53" spans="3:24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76"/>
      <c r="W53" s="76"/>
      <c r="X53" s="76"/>
    </row>
    <row r="54" spans="3:24" x14ac:dyDescent="0.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76"/>
      <c r="W54" s="76"/>
      <c r="X54" s="76"/>
    </row>
    <row r="55" spans="3:24" x14ac:dyDescent="0.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76"/>
      <c r="W55" s="76"/>
      <c r="X55" s="76"/>
    </row>
    <row r="56" spans="3:24" x14ac:dyDescent="0.3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76"/>
      <c r="W56" s="76"/>
      <c r="X56" s="76"/>
    </row>
    <row r="57" spans="3:24" x14ac:dyDescent="0.3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76"/>
      <c r="W57" s="76"/>
      <c r="X57" s="76"/>
    </row>
    <row r="58" spans="3:24" x14ac:dyDescent="0.3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76"/>
      <c r="W58" s="76"/>
      <c r="X58" s="76"/>
    </row>
    <row r="59" spans="3:24" x14ac:dyDescent="0.3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76"/>
      <c r="W59" s="76"/>
      <c r="X59" s="76"/>
    </row>
    <row r="60" spans="3:24" x14ac:dyDescent="0.3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76"/>
      <c r="W60" s="76"/>
      <c r="X60" s="76"/>
    </row>
    <row r="61" spans="3:24" x14ac:dyDescent="0.3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76"/>
      <c r="W61" s="76"/>
      <c r="X61" s="76"/>
    </row>
    <row r="62" spans="3:24" x14ac:dyDescent="0.3"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76"/>
      <c r="W62" s="76"/>
      <c r="X62" s="76"/>
    </row>
    <row r="63" spans="3:24" x14ac:dyDescent="0.3"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76"/>
      <c r="W63" s="76"/>
      <c r="X63" s="76"/>
    </row>
    <row r="64" spans="3:24" x14ac:dyDescent="0.3"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76"/>
      <c r="W64" s="76"/>
      <c r="X64" s="76"/>
    </row>
    <row r="65" spans="6:24" x14ac:dyDescent="0.3"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76"/>
      <c r="W65" s="76"/>
      <c r="X65" s="76"/>
    </row>
    <row r="66" spans="6:24" x14ac:dyDescent="0.3"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76"/>
      <c r="W66" s="76"/>
      <c r="X66" s="76"/>
    </row>
    <row r="67" spans="6:24" x14ac:dyDescent="0.3"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76"/>
      <c r="W67" s="76"/>
      <c r="X67" s="76"/>
    </row>
  </sheetData>
  <sheetProtection password="CCD4" sheet="1" objects="1" scenarios="1"/>
  <sortState ref="A11:X25">
    <sortCondition ref="A11"/>
  </sortState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FFCC"/>
  </sheetPr>
  <dimension ref="A1:X61"/>
  <sheetViews>
    <sheetView workbookViewId="0">
      <pane xSplit="5" ySplit="10" topLeftCell="P11" activePane="bottomRight" state="frozen"/>
      <selection activeCell="V11" sqref="V11"/>
      <selection pane="topRight" activeCell="V11" sqref="V11"/>
      <selection pane="bottomLeft" activeCell="V11" sqref="V11"/>
      <selection pane="bottomRight" activeCell="X16" sqref="X16"/>
    </sheetView>
  </sheetViews>
  <sheetFormatPr defaultColWidth="9.109375" defaultRowHeight="14.4" x14ac:dyDescent="0.3"/>
  <cols>
    <col min="1" max="1" width="9.109375" style="4"/>
    <col min="2" max="2" width="29.109375" style="4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1.33203125" style="4" bestFit="1" customWidth="1"/>
    <col min="21" max="21" width="9.109375" style="4"/>
    <col min="22" max="22" width="12" style="4" customWidth="1"/>
    <col min="23" max="23" width="10.88671875" style="4" customWidth="1"/>
    <col min="24" max="24" width="11.109375" style="4" customWidth="1"/>
    <col min="25" max="16384" width="9.109375" style="4"/>
  </cols>
  <sheetData>
    <row r="1" spans="1:24" ht="21" x14ac:dyDescent="0.35">
      <c r="A1" s="93" t="s">
        <v>0</v>
      </c>
      <c r="B1" s="87"/>
      <c r="C1" s="81" t="s">
        <v>192</v>
      </c>
      <c r="D1" s="93"/>
      <c r="E1" s="82"/>
      <c r="F1" s="88"/>
      <c r="G1" s="87"/>
      <c r="H1" s="87"/>
      <c r="I1" s="87"/>
      <c r="J1" s="81" t="str">
        <f>C1</f>
        <v>Tiered Intervention Grant</v>
      </c>
      <c r="K1" s="87"/>
      <c r="L1" s="87"/>
      <c r="M1" s="87"/>
      <c r="N1" s="87"/>
      <c r="O1" s="87"/>
      <c r="P1" s="87"/>
      <c r="Q1" s="81" t="str">
        <f>C1</f>
        <v>Tiered Intervention Grant</v>
      </c>
      <c r="R1" s="87"/>
      <c r="S1" s="87"/>
      <c r="T1" s="87"/>
      <c r="U1" s="87"/>
      <c r="V1" s="87"/>
      <c r="W1" s="87"/>
      <c r="X1" s="87"/>
    </row>
    <row r="2" spans="1:24" ht="18.75" x14ac:dyDescent="0.3">
      <c r="A2" s="94" t="s">
        <v>1</v>
      </c>
      <c r="B2" s="87"/>
      <c r="C2" s="91">
        <v>84.388000000000005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  <c r="X2" s="87"/>
    </row>
    <row r="3" spans="1:24" ht="15.75" x14ac:dyDescent="0.25">
      <c r="A3" s="94" t="s">
        <v>2</v>
      </c>
      <c r="B3" s="87"/>
      <c r="C3" s="91">
        <v>7388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</row>
    <row r="4" spans="1:24" ht="15.75" x14ac:dyDescent="0.25">
      <c r="A4" s="94" t="s">
        <v>3</v>
      </c>
      <c r="B4" s="87"/>
      <c r="C4" s="91" t="s">
        <v>6</v>
      </c>
      <c r="D4" s="94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</row>
    <row r="5" spans="1:24" ht="15.75" x14ac:dyDescent="0.25">
      <c r="A5" s="94" t="s">
        <v>171</v>
      </c>
      <c r="B5" s="87"/>
      <c r="C5" s="91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</row>
    <row r="6" spans="1:24" ht="15.75" x14ac:dyDescent="0.25">
      <c r="A6" s="94" t="s">
        <v>101</v>
      </c>
      <c r="B6" s="87"/>
      <c r="C6" s="94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</row>
    <row r="7" spans="1:24" ht="15.75" x14ac:dyDescent="0.25">
      <c r="A7" s="94" t="s">
        <v>103</v>
      </c>
      <c r="B7" s="87"/>
      <c r="C7" s="94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</row>
    <row r="8" spans="1:24" s="28" customFormat="1" ht="21" x14ac:dyDescent="0.35">
      <c r="A8" s="93" t="s">
        <v>262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</row>
    <row r="9" spans="1:24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</row>
    <row r="10" spans="1:24" ht="30.75" thickBot="1" x14ac:dyDescent="0.3">
      <c r="A10" s="62" t="s">
        <v>4</v>
      </c>
      <c r="B10" s="89" t="s">
        <v>240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  <c r="V10" s="61" t="s">
        <v>557</v>
      </c>
      <c r="W10" s="61" t="s">
        <v>560</v>
      </c>
      <c r="X10" s="61" t="s">
        <v>69</v>
      </c>
    </row>
    <row r="11" spans="1:24" ht="15.75" thickBot="1" x14ac:dyDescent="0.3">
      <c r="A11" s="142" t="s">
        <v>223</v>
      </c>
      <c r="B11" s="143" t="s">
        <v>224</v>
      </c>
      <c r="C11" s="143">
        <v>385256</v>
      </c>
      <c r="D11" s="54">
        <f>SUM(F11:Z11)</f>
        <v>385256</v>
      </c>
      <c r="E11" s="54">
        <f>C11-D11</f>
        <v>0</v>
      </c>
      <c r="F11" s="26"/>
      <c r="G11" s="26"/>
      <c r="H11" s="26"/>
      <c r="I11" s="26"/>
      <c r="J11" s="26"/>
      <c r="K11" s="26"/>
      <c r="L11" s="26"/>
      <c r="M11" s="26">
        <f>12990+66464+16453+13219</f>
        <v>109126</v>
      </c>
      <c r="N11" s="26"/>
      <c r="O11" s="26">
        <v>52465</v>
      </c>
      <c r="P11" s="26"/>
      <c r="Q11" s="26">
        <v>86513</v>
      </c>
      <c r="R11" s="26">
        <v>62926</v>
      </c>
      <c r="S11" s="26"/>
      <c r="T11" s="26"/>
      <c r="U11" s="26">
        <f>31481+9</f>
        <v>31490</v>
      </c>
      <c r="V11" s="26"/>
      <c r="W11" s="26">
        <v>34796</v>
      </c>
      <c r="X11" s="4">
        <v>7940</v>
      </c>
    </row>
    <row r="12" spans="1:24" ht="15.75" thickBot="1" x14ac:dyDescent="0.3">
      <c r="A12" s="140" t="s">
        <v>225</v>
      </c>
      <c r="B12" s="139" t="s">
        <v>226</v>
      </c>
      <c r="C12" s="139">
        <v>459999</v>
      </c>
      <c r="D12" s="54">
        <f t="shared" ref="D12:D19" si="0">SUM(F12:Z12)</f>
        <v>425351</v>
      </c>
      <c r="E12" s="54">
        <f t="shared" ref="E12:E19" si="1">C12-D12</f>
        <v>34648</v>
      </c>
      <c r="F12" s="26"/>
      <c r="G12" s="26"/>
      <c r="H12" s="26"/>
      <c r="I12" s="26"/>
      <c r="J12" s="26"/>
      <c r="K12" s="26">
        <v>32327</v>
      </c>
      <c r="L12" s="26">
        <v>27497</v>
      </c>
      <c r="M12" s="26">
        <v>62723</v>
      </c>
      <c r="N12" s="26">
        <v>37193</v>
      </c>
      <c r="O12" s="26">
        <v>31707</v>
      </c>
      <c r="P12" s="26">
        <v>39725</v>
      </c>
      <c r="Q12" s="26">
        <v>85393</v>
      </c>
      <c r="R12" s="26">
        <v>35374</v>
      </c>
      <c r="S12" s="26"/>
      <c r="T12" s="26"/>
      <c r="U12" s="26">
        <v>14687</v>
      </c>
      <c r="V12" s="26"/>
      <c r="W12" s="26">
        <v>56618</v>
      </c>
      <c r="X12" s="4">
        <v>2107</v>
      </c>
    </row>
    <row r="13" spans="1:24" ht="15.75" thickBot="1" x14ac:dyDescent="0.3">
      <c r="A13" s="141" t="s">
        <v>227</v>
      </c>
      <c r="B13" s="139" t="s">
        <v>228</v>
      </c>
      <c r="C13" s="139">
        <v>314883</v>
      </c>
      <c r="D13" s="54">
        <f t="shared" si="0"/>
        <v>296951</v>
      </c>
      <c r="E13" s="54">
        <f t="shared" si="1"/>
        <v>17932</v>
      </c>
      <c r="F13" s="26"/>
      <c r="G13" s="26"/>
      <c r="H13" s="26"/>
      <c r="I13" s="26"/>
      <c r="J13" s="26"/>
      <c r="K13" s="26">
        <v>44177</v>
      </c>
      <c r="L13" s="26">
        <v>28928</v>
      </c>
      <c r="M13" s="26">
        <v>34839</v>
      </c>
      <c r="N13" s="26">
        <v>27524</v>
      </c>
      <c r="O13" s="26">
        <v>11022</v>
      </c>
      <c r="P13" s="26">
        <v>47074</v>
      </c>
      <c r="Q13" s="26">
        <v>11361</v>
      </c>
      <c r="R13" s="26">
        <v>17062</v>
      </c>
      <c r="S13" s="26"/>
      <c r="T13" s="26"/>
      <c r="U13" s="26">
        <v>25695</v>
      </c>
      <c r="V13" s="26"/>
      <c r="W13" s="26">
        <v>18065</v>
      </c>
      <c r="X13" s="4">
        <v>31204</v>
      </c>
    </row>
    <row r="14" spans="1:24" ht="15.75" thickBot="1" x14ac:dyDescent="0.3">
      <c r="A14" s="141" t="s">
        <v>235</v>
      </c>
      <c r="B14" s="139" t="s">
        <v>236</v>
      </c>
      <c r="C14" s="139">
        <v>287438</v>
      </c>
      <c r="D14" s="54">
        <f t="shared" si="0"/>
        <v>287438</v>
      </c>
      <c r="E14" s="54">
        <f t="shared" si="1"/>
        <v>0</v>
      </c>
      <c r="F14" s="26"/>
      <c r="G14" s="26"/>
      <c r="H14" s="26"/>
      <c r="I14" s="26"/>
      <c r="J14" s="26"/>
      <c r="K14" s="26"/>
      <c r="L14" s="26"/>
      <c r="M14" s="26"/>
      <c r="N14" s="26">
        <v>41057</v>
      </c>
      <c r="O14" s="26">
        <v>44270</v>
      </c>
      <c r="P14" s="26">
        <v>27854</v>
      </c>
      <c r="Q14" s="26">
        <v>39691</v>
      </c>
      <c r="R14" s="26">
        <v>10729</v>
      </c>
      <c r="S14" s="26">
        <v>17148</v>
      </c>
      <c r="T14" s="26">
        <v>27034</v>
      </c>
      <c r="U14" s="26"/>
      <c r="V14" s="26">
        <v>43015</v>
      </c>
      <c r="W14" s="26"/>
      <c r="X14" s="76">
        <v>36640</v>
      </c>
    </row>
    <row r="15" spans="1:24" ht="15.75" thickBot="1" x14ac:dyDescent="0.3">
      <c r="A15" s="141" t="s">
        <v>229</v>
      </c>
      <c r="B15" s="139" t="s">
        <v>230</v>
      </c>
      <c r="C15" s="139">
        <v>322594</v>
      </c>
      <c r="D15" s="54">
        <f t="shared" si="0"/>
        <v>280299</v>
      </c>
      <c r="E15" s="54">
        <f t="shared" si="1"/>
        <v>42295</v>
      </c>
      <c r="F15" s="26"/>
      <c r="G15" s="26"/>
      <c r="H15" s="26"/>
      <c r="I15" s="26"/>
      <c r="J15" s="26"/>
      <c r="K15" s="26">
        <v>24512</v>
      </c>
      <c r="L15" s="26">
        <v>21264</v>
      </c>
      <c r="M15" s="26">
        <v>53713</v>
      </c>
      <c r="N15" s="26">
        <v>17625</v>
      </c>
      <c r="O15" s="26">
        <v>31723</v>
      </c>
      <c r="P15" s="26">
        <v>24173</v>
      </c>
      <c r="Q15" s="26">
        <v>17560</v>
      </c>
      <c r="R15" s="26">
        <v>49999</v>
      </c>
      <c r="S15" s="26"/>
      <c r="T15" s="26"/>
      <c r="U15" s="26">
        <v>21843</v>
      </c>
      <c r="V15" s="26"/>
      <c r="W15" s="26">
        <v>9504</v>
      </c>
      <c r="X15" s="77">
        <v>8383</v>
      </c>
    </row>
    <row r="16" spans="1:24" ht="15.75" thickBot="1" x14ac:dyDescent="0.3">
      <c r="A16" s="141" t="s">
        <v>231</v>
      </c>
      <c r="B16" s="139" t="s">
        <v>232</v>
      </c>
      <c r="C16" s="139">
        <v>299599</v>
      </c>
      <c r="D16" s="54">
        <f t="shared" si="0"/>
        <v>296276</v>
      </c>
      <c r="E16" s="54">
        <f t="shared" si="1"/>
        <v>3323</v>
      </c>
      <c r="F16" s="26"/>
      <c r="G16" s="26"/>
      <c r="H16" s="26"/>
      <c r="I16" s="26"/>
      <c r="J16" s="26"/>
      <c r="K16" s="26">
        <v>8769</v>
      </c>
      <c r="L16" s="26">
        <v>20499</v>
      </c>
      <c r="M16" s="26">
        <v>36202</v>
      </c>
      <c r="N16" s="26">
        <v>30653</v>
      </c>
      <c r="O16" s="26">
        <v>18005</v>
      </c>
      <c r="P16" s="26">
        <v>21579</v>
      </c>
      <c r="Q16" s="26">
        <v>22294</v>
      </c>
      <c r="R16" s="26">
        <v>60806</v>
      </c>
      <c r="S16" s="26"/>
      <c r="T16" s="26"/>
      <c r="U16" s="26">
        <v>10946</v>
      </c>
      <c r="V16" s="26"/>
      <c r="W16" s="26">
        <v>27661</v>
      </c>
      <c r="X16" s="4">
        <v>38862</v>
      </c>
    </row>
    <row r="17" spans="1:24" ht="15.75" thickBot="1" x14ac:dyDescent="0.3">
      <c r="A17" s="141" t="s">
        <v>238</v>
      </c>
      <c r="B17" s="139" t="s">
        <v>239</v>
      </c>
      <c r="C17" s="139">
        <v>346498</v>
      </c>
      <c r="D17" s="54">
        <f t="shared" si="0"/>
        <v>317632</v>
      </c>
      <c r="E17" s="54">
        <f t="shared" si="1"/>
        <v>28866</v>
      </c>
      <c r="F17" s="26"/>
      <c r="G17" s="26"/>
      <c r="H17" s="26"/>
      <c r="I17" s="26"/>
      <c r="J17" s="26"/>
      <c r="K17" s="26"/>
      <c r="L17" s="26"/>
      <c r="M17" s="26">
        <f>36518+101107</f>
        <v>137625</v>
      </c>
      <c r="N17" s="26"/>
      <c r="O17" s="26">
        <v>61942</v>
      </c>
      <c r="P17" s="26">
        <v>25607</v>
      </c>
      <c r="Q17" s="26">
        <v>24779</v>
      </c>
      <c r="R17" s="26">
        <v>55255</v>
      </c>
      <c r="S17" s="26"/>
      <c r="T17" s="26"/>
      <c r="U17" s="26"/>
      <c r="V17" s="26">
        <v>12424</v>
      </c>
      <c r="W17" s="26"/>
    </row>
    <row r="18" spans="1:24" ht="15.75" thickBot="1" x14ac:dyDescent="0.3">
      <c r="A18" s="141" t="s">
        <v>237</v>
      </c>
      <c r="B18" s="139" t="s">
        <v>241</v>
      </c>
      <c r="C18" s="139">
        <v>563610</v>
      </c>
      <c r="D18" s="54">
        <f t="shared" si="0"/>
        <v>563610</v>
      </c>
      <c r="E18" s="54">
        <f t="shared" si="1"/>
        <v>0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>
        <v>144947</v>
      </c>
      <c r="S18" s="26">
        <v>27036</v>
      </c>
      <c r="T18" s="26">
        <v>86352</v>
      </c>
      <c r="U18" s="26">
        <v>99148</v>
      </c>
      <c r="V18" s="26"/>
      <c r="W18" s="26"/>
      <c r="X18" s="26">
        <v>206127</v>
      </c>
    </row>
    <row r="19" spans="1:24" ht="15" thickBot="1" x14ac:dyDescent="0.35">
      <c r="A19" s="141" t="s">
        <v>233</v>
      </c>
      <c r="B19" s="139" t="s">
        <v>234</v>
      </c>
      <c r="C19" s="139">
        <v>263200</v>
      </c>
      <c r="D19" s="54">
        <f t="shared" si="0"/>
        <v>251059</v>
      </c>
      <c r="E19" s="54">
        <f t="shared" si="1"/>
        <v>12141</v>
      </c>
      <c r="F19" s="26"/>
      <c r="G19" s="26"/>
      <c r="H19" s="26"/>
      <c r="I19" s="26"/>
      <c r="J19" s="26"/>
      <c r="K19" s="26">
        <v>5375</v>
      </c>
      <c r="L19" s="26">
        <v>19572</v>
      </c>
      <c r="M19" s="26">
        <v>31898</v>
      </c>
      <c r="N19" s="26">
        <v>27766</v>
      </c>
      <c r="O19" s="26">
        <v>26551</v>
      </c>
      <c r="P19" s="26">
        <v>3368</v>
      </c>
      <c r="Q19" s="26">
        <v>49064</v>
      </c>
      <c r="R19" s="26">
        <v>30608</v>
      </c>
      <c r="S19" s="26"/>
      <c r="T19" s="26"/>
      <c r="U19" s="26">
        <v>9054</v>
      </c>
      <c r="V19" s="26"/>
      <c r="W19" s="26">
        <v>32565</v>
      </c>
      <c r="X19" s="4">
        <v>15238</v>
      </c>
    </row>
    <row r="20" spans="1:24" ht="15" thickBot="1" x14ac:dyDescent="0.35">
      <c r="A20" s="133"/>
      <c r="B20" s="134"/>
      <c r="C20" s="135"/>
      <c r="D20" s="122"/>
      <c r="E20" s="122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4" s="73" customFormat="1" ht="15" thickBot="1" x14ac:dyDescent="0.35">
      <c r="A21" s="136"/>
      <c r="B21" s="118"/>
      <c r="C21" s="137">
        <f t="shared" ref="C21:X21" si="2">SUM(C11:C20)</f>
        <v>3243077</v>
      </c>
      <c r="D21" s="137">
        <f t="shared" si="2"/>
        <v>3103872</v>
      </c>
      <c r="E21" s="137">
        <f t="shared" si="2"/>
        <v>139205</v>
      </c>
      <c r="F21" s="138">
        <f t="shared" si="2"/>
        <v>0</v>
      </c>
      <c r="G21" s="138">
        <f t="shared" si="2"/>
        <v>0</v>
      </c>
      <c r="H21" s="138">
        <f t="shared" si="2"/>
        <v>0</v>
      </c>
      <c r="I21" s="138">
        <f t="shared" si="2"/>
        <v>0</v>
      </c>
      <c r="J21" s="138">
        <f t="shared" si="2"/>
        <v>0</v>
      </c>
      <c r="K21" s="138">
        <f t="shared" si="2"/>
        <v>115160</v>
      </c>
      <c r="L21" s="138">
        <f t="shared" si="2"/>
        <v>117760</v>
      </c>
      <c r="M21" s="138">
        <f t="shared" si="2"/>
        <v>466126</v>
      </c>
      <c r="N21" s="138">
        <f t="shared" si="2"/>
        <v>181818</v>
      </c>
      <c r="O21" s="138">
        <f t="shared" si="2"/>
        <v>277685</v>
      </c>
      <c r="P21" s="138">
        <f t="shared" si="2"/>
        <v>189380</v>
      </c>
      <c r="Q21" s="138">
        <f t="shared" si="2"/>
        <v>336655</v>
      </c>
      <c r="R21" s="138">
        <f t="shared" si="2"/>
        <v>467706</v>
      </c>
      <c r="S21" s="138">
        <f t="shared" si="2"/>
        <v>44184</v>
      </c>
      <c r="T21" s="138">
        <f t="shared" si="2"/>
        <v>113386</v>
      </c>
      <c r="U21" s="138">
        <f t="shared" si="2"/>
        <v>212863</v>
      </c>
      <c r="V21" s="138">
        <f t="shared" si="2"/>
        <v>55439</v>
      </c>
      <c r="W21" s="138">
        <f t="shared" si="2"/>
        <v>179209</v>
      </c>
      <c r="X21" s="138">
        <f t="shared" si="2"/>
        <v>346501</v>
      </c>
    </row>
    <row r="22" spans="1:24" x14ac:dyDescent="0.3">
      <c r="A22" s="37"/>
      <c r="B22" s="22"/>
      <c r="C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4" x14ac:dyDescent="0.3">
      <c r="A23" s="37"/>
      <c r="B23" s="22"/>
      <c r="C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4" x14ac:dyDescent="0.3">
      <c r="A24" s="37"/>
      <c r="B24" s="22"/>
      <c r="C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4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4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4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4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4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4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4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4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C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C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C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C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6:23" x14ac:dyDescent="0.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6:23" x14ac:dyDescent="0.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6:23" x14ac:dyDescent="0.3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6:23" x14ac:dyDescent="0.3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6:23" x14ac:dyDescent="0.3"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6:23" x14ac:dyDescent="0.3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6:23" x14ac:dyDescent="0.3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6:23" x14ac:dyDescent="0.3"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</sheetData>
  <sheetProtection password="CCD4" sheet="1" objects="1" scenarios="1"/>
  <sortState ref="A11:X19">
    <sortCondition ref="A11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CFFCC"/>
  </sheetPr>
  <dimension ref="A1:X53"/>
  <sheetViews>
    <sheetView workbookViewId="0">
      <selection activeCell="L11" sqref="L11"/>
    </sheetView>
  </sheetViews>
  <sheetFormatPr defaultColWidth="9.109375" defaultRowHeight="14.4" x14ac:dyDescent="0.3"/>
  <cols>
    <col min="1" max="1" width="9.109375" style="4"/>
    <col min="2" max="2" width="29.109375" style="4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4" ht="21" x14ac:dyDescent="0.35">
      <c r="A1" s="93" t="s">
        <v>0</v>
      </c>
      <c r="B1" s="87"/>
      <c r="C1" s="81" t="s">
        <v>242</v>
      </c>
      <c r="D1" s="93"/>
      <c r="E1" s="82"/>
      <c r="F1" s="88"/>
      <c r="G1" s="87"/>
      <c r="H1" s="87"/>
      <c r="I1" s="87"/>
      <c r="J1" s="81" t="str">
        <f>C1</f>
        <v>Title 1A School Improvement - Compass Learning Grant</v>
      </c>
      <c r="K1" s="87"/>
      <c r="L1" s="87"/>
      <c r="M1" s="87"/>
      <c r="N1" s="87"/>
      <c r="O1" s="87"/>
      <c r="P1" s="87"/>
      <c r="Q1" s="81" t="str">
        <f>C1</f>
        <v>Title 1A School Improvement - Compass Learning Grant</v>
      </c>
      <c r="R1" s="87"/>
      <c r="S1" s="87"/>
      <c r="T1" s="87"/>
      <c r="U1" s="87"/>
      <c r="V1" s="87"/>
      <c r="W1" s="87"/>
    </row>
    <row r="2" spans="1:24" ht="18.75" x14ac:dyDescent="0.3">
      <c r="A2" s="94" t="s">
        <v>1</v>
      </c>
      <c r="B2" s="87"/>
      <c r="C2" s="155" t="s">
        <v>282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</row>
    <row r="3" spans="1:24" ht="15.75" x14ac:dyDescent="0.25">
      <c r="A3" s="94" t="s">
        <v>2</v>
      </c>
      <c r="B3" s="87"/>
      <c r="C3" s="91">
        <v>5010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4" ht="15.75" x14ac:dyDescent="0.25">
      <c r="A4" s="94" t="s">
        <v>3</v>
      </c>
      <c r="B4" s="87"/>
      <c r="C4" s="91" t="s">
        <v>6</v>
      </c>
      <c r="D4" s="94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4" ht="15.75" x14ac:dyDescent="0.25">
      <c r="A5" s="94" t="s">
        <v>171</v>
      </c>
      <c r="B5" s="87"/>
      <c r="C5" s="91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4" ht="15.75" x14ac:dyDescent="0.25">
      <c r="A6" s="94" t="s">
        <v>101</v>
      </c>
      <c r="B6" s="87"/>
      <c r="C6" s="94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4" ht="15.6" x14ac:dyDescent="0.3">
      <c r="A7" s="94" t="s">
        <v>103</v>
      </c>
      <c r="B7" s="87"/>
      <c r="C7" s="94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4" s="28" customFormat="1" ht="21" x14ac:dyDescent="0.4">
      <c r="A8" s="93" t="s">
        <v>263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4" ht="15" thickBot="1" x14ac:dyDescent="0.3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4" ht="29.4" thickBot="1" x14ac:dyDescent="0.35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72</v>
      </c>
      <c r="R10" s="62" t="s">
        <v>73</v>
      </c>
      <c r="S10" s="60" t="s">
        <v>74</v>
      </c>
      <c r="T10" s="62" t="s">
        <v>75</v>
      </c>
      <c r="U10" s="60" t="s">
        <v>76</v>
      </c>
      <c r="V10" s="62" t="s">
        <v>77</v>
      </c>
      <c r="W10" s="61" t="s">
        <v>78</v>
      </c>
    </row>
    <row r="11" spans="1:24" ht="15" thickBot="1" x14ac:dyDescent="0.35">
      <c r="A11" s="142" t="s">
        <v>243</v>
      </c>
      <c r="B11" s="143" t="s">
        <v>244</v>
      </c>
      <c r="C11" s="54">
        <v>83453</v>
      </c>
      <c r="D11" s="54">
        <f>SUM(F11:W11)</f>
        <v>83453</v>
      </c>
      <c r="E11" s="54">
        <f>C11-D11</f>
        <v>0</v>
      </c>
      <c r="F11" s="26"/>
      <c r="G11" s="26"/>
      <c r="H11" s="26"/>
      <c r="I11" s="26"/>
      <c r="J11" s="26"/>
      <c r="K11" s="26">
        <v>83453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4" ht="15" thickBot="1" x14ac:dyDescent="0.35">
      <c r="A12" s="140"/>
      <c r="B12" s="139"/>
      <c r="C12" s="139"/>
      <c r="D12" s="55"/>
      <c r="E12" s="5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4" s="73" customFormat="1" ht="15" thickBot="1" x14ac:dyDescent="0.35">
      <c r="A13" s="136"/>
      <c r="B13" s="118"/>
      <c r="C13" s="137">
        <f t="shared" ref="C13:W13" si="0">SUM(C11:C12)</f>
        <v>83453</v>
      </c>
      <c r="D13" s="137">
        <f t="shared" si="0"/>
        <v>83453</v>
      </c>
      <c r="E13" s="137">
        <f t="shared" si="0"/>
        <v>0</v>
      </c>
      <c r="F13" s="138">
        <f t="shared" si="0"/>
        <v>0</v>
      </c>
      <c r="G13" s="138">
        <f t="shared" si="0"/>
        <v>0</v>
      </c>
      <c r="H13" s="138">
        <f t="shared" si="0"/>
        <v>0</v>
      </c>
      <c r="I13" s="138">
        <f t="shared" si="0"/>
        <v>0</v>
      </c>
      <c r="J13" s="138">
        <f t="shared" si="0"/>
        <v>0</v>
      </c>
      <c r="K13" s="138">
        <f t="shared" si="0"/>
        <v>83453</v>
      </c>
      <c r="L13" s="138">
        <f t="shared" si="0"/>
        <v>0</v>
      </c>
      <c r="M13" s="138">
        <f t="shared" si="0"/>
        <v>0</v>
      </c>
      <c r="N13" s="138">
        <f t="shared" si="0"/>
        <v>0</v>
      </c>
      <c r="O13" s="138">
        <f t="shared" si="0"/>
        <v>0</v>
      </c>
      <c r="P13" s="138">
        <f t="shared" si="0"/>
        <v>0</v>
      </c>
      <c r="Q13" s="138">
        <f t="shared" si="0"/>
        <v>0</v>
      </c>
      <c r="R13" s="138">
        <f t="shared" si="0"/>
        <v>0</v>
      </c>
      <c r="S13" s="138">
        <f t="shared" si="0"/>
        <v>0</v>
      </c>
      <c r="T13" s="138">
        <f t="shared" si="0"/>
        <v>0</v>
      </c>
      <c r="U13" s="138">
        <f t="shared" si="0"/>
        <v>0</v>
      </c>
      <c r="V13" s="138">
        <f t="shared" si="0"/>
        <v>0</v>
      </c>
      <c r="W13" s="138">
        <f t="shared" si="0"/>
        <v>0</v>
      </c>
      <c r="X13" s="71"/>
    </row>
    <row r="14" spans="1:24" x14ac:dyDescent="0.3">
      <c r="A14" s="37"/>
      <c r="B14" s="22"/>
      <c r="C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4" x14ac:dyDescent="0.3">
      <c r="A15" s="37"/>
      <c r="B15" s="22"/>
      <c r="C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4" x14ac:dyDescent="0.3">
      <c r="A16" s="37"/>
      <c r="B16" s="22"/>
      <c r="C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3:23" x14ac:dyDescent="0.3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3:23" x14ac:dyDescent="0.3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3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3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3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3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3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3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3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3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3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3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3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3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3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3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</sheetData>
  <sheetProtection password="CCD4" sheet="1" objects="1" scenarios="1"/>
  <pageMargins left="0.7" right="0.7" top="0.75" bottom="0.75" header="0.3" footer="0.3"/>
  <pageSetup orientation="portrait" r:id="rId1"/>
  <ignoredErrors>
    <ignoredError sqref="C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CCFFCC"/>
  </sheetPr>
  <dimension ref="A1:X55"/>
  <sheetViews>
    <sheetView workbookViewId="0">
      <pane xSplit="5" ySplit="10" topLeftCell="G11" activePane="bottomRight" state="frozen"/>
      <selection pane="topRight" activeCell="F1" sqref="F1"/>
      <selection pane="bottomLeft" activeCell="A11" sqref="A11"/>
      <selection pane="bottomRight" activeCell="D4" sqref="D4"/>
    </sheetView>
  </sheetViews>
  <sheetFormatPr defaultColWidth="9.109375" defaultRowHeight="14.4" x14ac:dyDescent="0.3"/>
  <cols>
    <col min="1" max="1" width="9.109375" style="4"/>
    <col min="2" max="2" width="29.109375" style="4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4" ht="21" x14ac:dyDescent="0.35">
      <c r="A1" s="93" t="s">
        <v>0</v>
      </c>
      <c r="B1" s="87"/>
      <c r="C1" s="81" t="s">
        <v>245</v>
      </c>
      <c r="D1" s="93"/>
      <c r="E1" s="82"/>
      <c r="F1" s="88"/>
      <c r="G1" s="87"/>
      <c r="H1" s="87"/>
      <c r="I1" s="87"/>
      <c r="J1" s="81" t="str">
        <f>C1</f>
        <v>Title 1A School Improvement - ELSS Math Grant</v>
      </c>
      <c r="K1" s="87"/>
      <c r="L1" s="87"/>
      <c r="M1" s="87"/>
      <c r="N1" s="87"/>
      <c r="O1" s="87"/>
      <c r="P1" s="87"/>
      <c r="Q1" s="81" t="str">
        <f>C1</f>
        <v>Title 1A School Improvement - ELSS Math Grant</v>
      </c>
      <c r="R1" s="87"/>
      <c r="S1" s="87"/>
      <c r="T1" s="87"/>
      <c r="U1" s="87"/>
      <c r="V1" s="87"/>
      <c r="W1" s="87"/>
    </row>
    <row r="2" spans="1:24" ht="18.75" x14ac:dyDescent="0.3">
      <c r="A2" s="94" t="s">
        <v>1</v>
      </c>
      <c r="B2" s="87"/>
      <c r="C2" s="155" t="s">
        <v>282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</row>
    <row r="3" spans="1:24" ht="15.75" x14ac:dyDescent="0.25">
      <c r="A3" s="94" t="s">
        <v>2</v>
      </c>
      <c r="B3" s="87"/>
      <c r="C3" s="91">
        <v>5010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4" ht="15.75" x14ac:dyDescent="0.25">
      <c r="A4" s="94" t="s">
        <v>3</v>
      </c>
      <c r="B4" s="87"/>
      <c r="C4" s="91" t="s">
        <v>6</v>
      </c>
      <c r="D4" s="94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4" ht="15.75" x14ac:dyDescent="0.25">
      <c r="A5" s="94" t="s">
        <v>171</v>
      </c>
      <c r="B5" s="87"/>
      <c r="C5" s="91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4" ht="15.75" x14ac:dyDescent="0.25">
      <c r="A6" s="94" t="s">
        <v>101</v>
      </c>
      <c r="B6" s="87"/>
      <c r="C6" s="94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4" ht="15.75" x14ac:dyDescent="0.25">
      <c r="A7" s="94" t="s">
        <v>103</v>
      </c>
      <c r="B7" s="87"/>
      <c r="C7" s="94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4" s="28" customFormat="1" ht="21" x14ac:dyDescent="0.35">
      <c r="A8" s="93" t="s">
        <v>263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4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4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72</v>
      </c>
      <c r="R10" s="62" t="s">
        <v>73</v>
      </c>
      <c r="S10" s="60" t="s">
        <v>74</v>
      </c>
      <c r="T10" s="62" t="s">
        <v>75</v>
      </c>
      <c r="U10" s="60" t="s">
        <v>76</v>
      </c>
      <c r="V10" s="62" t="s">
        <v>77</v>
      </c>
      <c r="W10" s="61" t="s">
        <v>78</v>
      </c>
    </row>
    <row r="11" spans="1:24" ht="15.75" thickBot="1" x14ac:dyDescent="0.3">
      <c r="A11" s="142">
        <v>9025</v>
      </c>
      <c r="B11" s="143" t="s">
        <v>246</v>
      </c>
      <c r="C11" s="143">
        <v>6650</v>
      </c>
      <c r="D11" s="54">
        <f>SUM(F11:W11)</f>
        <v>6650</v>
      </c>
      <c r="E11" s="54">
        <f>C11-D11</f>
        <v>0</v>
      </c>
      <c r="F11" s="26"/>
      <c r="G11" s="26"/>
      <c r="H11" s="26"/>
      <c r="I11" s="26"/>
      <c r="J11" s="26"/>
      <c r="K11" s="26">
        <v>6650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4" ht="15.75" thickBot="1" x14ac:dyDescent="0.3">
      <c r="A12" s="140">
        <v>9035</v>
      </c>
      <c r="B12" s="139" t="s">
        <v>247</v>
      </c>
      <c r="C12" s="139">
        <v>305897</v>
      </c>
      <c r="D12" s="54">
        <f t="shared" ref="D12:D13" si="0">SUM(F12:W12)</f>
        <v>305897</v>
      </c>
      <c r="E12" s="54">
        <f t="shared" ref="E12:E13" si="1">C12-D12</f>
        <v>0</v>
      </c>
      <c r="F12" s="26"/>
      <c r="G12" s="26"/>
      <c r="H12" s="26"/>
      <c r="I12" s="26"/>
      <c r="J12" s="26"/>
      <c r="K12" s="26"/>
      <c r="L12" s="26"/>
      <c r="M12" s="26">
        <v>305897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4" ht="15.75" thickBot="1" x14ac:dyDescent="0.3">
      <c r="A13" s="140">
        <v>9040</v>
      </c>
      <c r="B13" s="139" t="s">
        <v>248</v>
      </c>
      <c r="C13" s="139">
        <v>29802</v>
      </c>
      <c r="D13" s="54">
        <f t="shared" si="0"/>
        <v>29802</v>
      </c>
      <c r="E13" s="54">
        <f t="shared" si="1"/>
        <v>0</v>
      </c>
      <c r="F13" s="26"/>
      <c r="G13" s="26"/>
      <c r="H13" s="26"/>
      <c r="I13" s="26"/>
      <c r="J13" s="26"/>
      <c r="K13" s="26"/>
      <c r="L13" s="26"/>
      <c r="M13" s="26">
        <v>29802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4" ht="15.75" thickBot="1" x14ac:dyDescent="0.3">
      <c r="A14" s="141"/>
      <c r="B14" s="139"/>
      <c r="C14" s="139"/>
      <c r="D14" s="55"/>
      <c r="E14" s="5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4" s="73" customFormat="1" ht="15.75" thickBot="1" x14ac:dyDescent="0.3">
      <c r="A15" s="136"/>
      <c r="B15" s="118"/>
      <c r="C15" s="137">
        <f t="shared" ref="C15:W15" si="2">SUM(C11:C14)</f>
        <v>342349</v>
      </c>
      <c r="D15" s="137">
        <f t="shared" si="2"/>
        <v>342349</v>
      </c>
      <c r="E15" s="137">
        <f t="shared" si="2"/>
        <v>0</v>
      </c>
      <c r="F15" s="138">
        <f t="shared" si="2"/>
        <v>0</v>
      </c>
      <c r="G15" s="138">
        <f t="shared" si="2"/>
        <v>0</v>
      </c>
      <c r="H15" s="138">
        <f t="shared" si="2"/>
        <v>0</v>
      </c>
      <c r="I15" s="138">
        <f t="shared" si="2"/>
        <v>0</v>
      </c>
      <c r="J15" s="138">
        <f t="shared" si="2"/>
        <v>0</v>
      </c>
      <c r="K15" s="138">
        <f t="shared" si="2"/>
        <v>6650</v>
      </c>
      <c r="L15" s="138">
        <f t="shared" si="2"/>
        <v>0</v>
      </c>
      <c r="M15" s="138">
        <f t="shared" si="2"/>
        <v>335699</v>
      </c>
      <c r="N15" s="138">
        <f t="shared" si="2"/>
        <v>0</v>
      </c>
      <c r="O15" s="138">
        <f t="shared" si="2"/>
        <v>0</v>
      </c>
      <c r="P15" s="138">
        <f t="shared" si="2"/>
        <v>0</v>
      </c>
      <c r="Q15" s="138">
        <f t="shared" si="2"/>
        <v>0</v>
      </c>
      <c r="R15" s="138">
        <f t="shared" si="2"/>
        <v>0</v>
      </c>
      <c r="S15" s="138">
        <f t="shared" si="2"/>
        <v>0</v>
      </c>
      <c r="T15" s="138">
        <f t="shared" si="2"/>
        <v>0</v>
      </c>
      <c r="U15" s="138">
        <f t="shared" si="2"/>
        <v>0</v>
      </c>
      <c r="V15" s="138">
        <f t="shared" si="2"/>
        <v>0</v>
      </c>
      <c r="W15" s="138">
        <f t="shared" si="2"/>
        <v>0</v>
      </c>
      <c r="X15" s="71"/>
    </row>
    <row r="16" spans="1:24" ht="15" x14ac:dyDescent="0.25">
      <c r="A16" s="37"/>
      <c r="B16" s="22"/>
      <c r="C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ht="15" x14ac:dyDescent="0.25">
      <c r="A17" s="37"/>
      <c r="B17" s="22"/>
      <c r="C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x14ac:dyDescent="0.3">
      <c r="A18" s="37"/>
      <c r="B18" s="22"/>
      <c r="C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6:23" x14ac:dyDescent="0.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6:23" x14ac:dyDescent="0.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</sheetData>
  <sheetProtection password="CCD4" sheet="1" objects="1" scenarios="1"/>
  <pageMargins left="0.7" right="0.7" top="0.75" bottom="0.75" header="0.3" footer="0.3"/>
  <pageSetup orientation="portrait" r:id="rId1"/>
  <ignoredErrors>
    <ignoredError sqref="C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CCFFCC"/>
  </sheetPr>
  <dimension ref="A1:W53"/>
  <sheetViews>
    <sheetView workbookViewId="0">
      <pane xSplit="5" ySplit="10" topLeftCell="L11" activePane="bottomRight" state="frozen"/>
      <selection pane="topRight" activeCell="F1" sqref="F1"/>
      <selection pane="bottomLeft" activeCell="A11" sqref="A11"/>
      <selection pane="bottomRight" activeCell="A13" sqref="A13"/>
    </sheetView>
  </sheetViews>
  <sheetFormatPr defaultColWidth="9.109375" defaultRowHeight="14.4" x14ac:dyDescent="0.3"/>
  <cols>
    <col min="1" max="1" width="9.109375" style="4"/>
    <col min="2" max="2" width="29.109375" style="4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11.5546875" style="4" bestFit="1" customWidth="1"/>
    <col min="13" max="13" width="10.88671875" style="4" customWidth="1"/>
    <col min="14" max="17" width="10.5546875" style="4" bestFit="1" customWidth="1"/>
    <col min="18" max="19" width="9.5546875" style="4" bestFit="1" customWidth="1"/>
    <col min="20" max="20" width="11.33203125" style="4" customWidth="1"/>
    <col min="21" max="21" width="9.5546875" style="4" bestFit="1" customWidth="1"/>
    <col min="22" max="22" width="12" style="4" customWidth="1"/>
    <col min="23" max="23" width="10.88671875" style="4" customWidth="1"/>
    <col min="24" max="16384" width="9.109375" style="4"/>
  </cols>
  <sheetData>
    <row r="1" spans="1:23" ht="21" x14ac:dyDescent="0.35">
      <c r="A1" s="93" t="s">
        <v>0</v>
      </c>
      <c r="B1" s="87"/>
      <c r="C1" s="81" t="s">
        <v>251</v>
      </c>
      <c r="D1" s="93"/>
      <c r="E1" s="82"/>
      <c r="F1" s="88"/>
      <c r="G1" s="87"/>
      <c r="H1" s="87"/>
      <c r="I1" s="87"/>
      <c r="J1" s="81" t="str">
        <f>C1</f>
        <v>Title 1A School Improvement - Formative Assessment</v>
      </c>
      <c r="K1" s="87"/>
      <c r="L1" s="87"/>
      <c r="M1" s="87"/>
      <c r="N1" s="87"/>
      <c r="O1" s="87"/>
      <c r="P1" s="87"/>
      <c r="Q1" s="81" t="str">
        <f>C1</f>
        <v>Title 1A School Improvement - Formative Assessment</v>
      </c>
      <c r="R1" s="87"/>
      <c r="S1" s="87"/>
      <c r="T1" s="87"/>
      <c r="U1" s="87"/>
      <c r="V1" s="87"/>
      <c r="W1" s="87"/>
    </row>
    <row r="2" spans="1:23" ht="18.75" x14ac:dyDescent="0.3">
      <c r="A2" s="94" t="s">
        <v>1</v>
      </c>
      <c r="B2" s="87"/>
      <c r="C2" s="155" t="s">
        <v>282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</row>
    <row r="3" spans="1:23" ht="15.75" x14ac:dyDescent="0.25">
      <c r="A3" s="94" t="s">
        <v>2</v>
      </c>
      <c r="B3" s="87"/>
      <c r="C3" s="91">
        <v>5010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15.75" x14ac:dyDescent="0.25">
      <c r="A5" s="94" t="s">
        <v>171</v>
      </c>
      <c r="B5" s="87"/>
      <c r="C5" s="91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5.75" x14ac:dyDescent="0.25">
      <c r="A6" s="94" t="s">
        <v>101</v>
      </c>
      <c r="B6" s="87"/>
      <c r="C6" s="94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15.75" x14ac:dyDescent="0.25">
      <c r="A7" s="94" t="s">
        <v>103</v>
      </c>
      <c r="B7" s="87"/>
      <c r="C7" s="94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263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</row>
    <row r="11" spans="1:23" ht="15.75" thickBot="1" x14ac:dyDescent="0.3">
      <c r="A11" s="139" t="s">
        <v>252</v>
      </c>
      <c r="B11" s="139" t="s">
        <v>126</v>
      </c>
      <c r="C11" s="139">
        <v>81117</v>
      </c>
      <c r="D11" s="55">
        <f>SUM(F11:U11)</f>
        <v>46137</v>
      </c>
      <c r="E11" s="55">
        <f>C11-D11</f>
        <v>34980</v>
      </c>
      <c r="F11" s="26"/>
      <c r="G11" s="26"/>
      <c r="H11" s="26"/>
      <c r="I11" s="26"/>
      <c r="J11" s="26">
        <v>38811</v>
      </c>
      <c r="K11" s="26">
        <v>2453</v>
      </c>
      <c r="L11" s="26">
        <v>55</v>
      </c>
      <c r="M11" s="26"/>
      <c r="N11" s="26">
        <v>1163</v>
      </c>
      <c r="O11" s="26">
        <v>1048</v>
      </c>
      <c r="P11" s="26"/>
      <c r="Q11" s="26"/>
      <c r="R11" s="26"/>
      <c r="S11" s="26"/>
      <c r="T11" s="26">
        <v>2607</v>
      </c>
      <c r="U11" s="26"/>
    </row>
    <row r="12" spans="1:23" ht="15.75" thickBot="1" x14ac:dyDescent="0.3">
      <c r="A12" s="139" t="s">
        <v>253</v>
      </c>
      <c r="B12" s="139" t="s">
        <v>155</v>
      </c>
      <c r="C12" s="139">
        <v>150000</v>
      </c>
      <c r="D12" s="55">
        <f>SUM(F12:U12)</f>
        <v>150000</v>
      </c>
      <c r="E12" s="55">
        <f t="shared" ref="E12:E15" si="0">C12-D12</f>
        <v>0</v>
      </c>
      <c r="F12" s="26"/>
      <c r="G12" s="26"/>
      <c r="H12" s="26"/>
      <c r="I12" s="26"/>
      <c r="J12" s="26"/>
      <c r="K12" s="26"/>
      <c r="L12" s="26"/>
      <c r="M12" s="26">
        <v>150000</v>
      </c>
      <c r="N12" s="26"/>
      <c r="O12" s="26"/>
      <c r="P12" s="26"/>
      <c r="Q12" s="26"/>
      <c r="R12" s="26"/>
      <c r="S12" s="26"/>
      <c r="T12" s="26"/>
      <c r="U12" s="26"/>
    </row>
    <row r="13" spans="1:23" ht="15.75" thickBot="1" x14ac:dyDescent="0.3">
      <c r="A13" s="139" t="s">
        <v>254</v>
      </c>
      <c r="B13" s="139" t="s">
        <v>255</v>
      </c>
      <c r="C13" s="139">
        <v>147993</v>
      </c>
      <c r="D13" s="55">
        <f>SUM(F13:U13)</f>
        <v>146088</v>
      </c>
      <c r="E13" s="55">
        <f t="shared" si="0"/>
        <v>1905</v>
      </c>
      <c r="F13" s="26"/>
      <c r="G13" s="26"/>
      <c r="H13" s="26"/>
      <c r="I13" s="26"/>
      <c r="J13" s="26">
        <v>94619</v>
      </c>
      <c r="K13" s="26">
        <v>788</v>
      </c>
      <c r="L13" s="26"/>
      <c r="M13" s="26">
        <v>205</v>
      </c>
      <c r="N13" s="26">
        <v>297</v>
      </c>
      <c r="O13" s="26">
        <v>351</v>
      </c>
      <c r="P13" s="26"/>
      <c r="Q13" s="26">
        <v>587</v>
      </c>
      <c r="R13" s="26"/>
      <c r="S13" s="26">
        <v>49064</v>
      </c>
      <c r="T13" s="26"/>
      <c r="U13" s="26">
        <v>177</v>
      </c>
    </row>
    <row r="14" spans="1:23" ht="15.75" thickBot="1" x14ac:dyDescent="0.3">
      <c r="A14" s="139" t="s">
        <v>256</v>
      </c>
      <c r="B14" s="139" t="s">
        <v>257</v>
      </c>
      <c r="C14" s="139">
        <v>15978</v>
      </c>
      <c r="D14" s="55">
        <f>SUM(F14:U14)</f>
        <v>15970</v>
      </c>
      <c r="E14" s="55">
        <f t="shared" si="0"/>
        <v>8</v>
      </c>
      <c r="F14" s="26"/>
      <c r="G14" s="26"/>
      <c r="H14" s="26"/>
      <c r="I14" s="26"/>
      <c r="J14" s="26"/>
      <c r="K14" s="26"/>
      <c r="L14" s="26">
        <v>14096</v>
      </c>
      <c r="M14" s="26"/>
      <c r="N14" s="26"/>
      <c r="O14" s="26"/>
      <c r="P14" s="26"/>
      <c r="Q14" s="26">
        <v>1874</v>
      </c>
      <c r="R14" s="26"/>
      <c r="S14" s="26"/>
      <c r="T14" s="26"/>
      <c r="U14" s="26"/>
    </row>
    <row r="15" spans="1:23" ht="15.75" thickBot="1" x14ac:dyDescent="0.3">
      <c r="A15" s="139" t="s">
        <v>258</v>
      </c>
      <c r="B15" s="139" t="s">
        <v>259</v>
      </c>
      <c r="C15" s="139">
        <v>150000</v>
      </c>
      <c r="D15" s="55">
        <f>SUM(F15:U15)</f>
        <v>147673</v>
      </c>
      <c r="E15" s="55">
        <f t="shared" si="0"/>
        <v>2327</v>
      </c>
      <c r="F15" s="26"/>
      <c r="G15" s="26"/>
      <c r="H15" s="26"/>
      <c r="I15" s="26"/>
      <c r="J15" s="26"/>
      <c r="K15" s="26">
        <v>91306</v>
      </c>
      <c r="L15" s="26">
        <v>10474</v>
      </c>
      <c r="M15" s="26">
        <v>6693</v>
      </c>
      <c r="N15" s="26">
        <v>6490</v>
      </c>
      <c r="O15" s="26">
        <v>6123</v>
      </c>
      <c r="P15" s="26">
        <v>6802</v>
      </c>
      <c r="Q15" s="26">
        <v>6489</v>
      </c>
      <c r="R15" s="26">
        <v>6472</v>
      </c>
      <c r="S15" s="26">
        <v>6824</v>
      </c>
      <c r="T15" s="26"/>
      <c r="U15" s="26"/>
    </row>
    <row r="16" spans="1:23" ht="15.75" thickBot="1" x14ac:dyDescent="0.3">
      <c r="A16" s="139"/>
      <c r="B16" s="139"/>
      <c r="C16" s="139"/>
      <c r="D16" s="139"/>
      <c r="E16" s="13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3" s="212" customFormat="1" ht="15.75" thickBot="1" x14ac:dyDescent="0.3">
      <c r="A17" s="210"/>
      <c r="B17" s="210"/>
      <c r="C17" s="210">
        <f>SUM(C11:C16)</f>
        <v>545088</v>
      </c>
      <c r="D17" s="210">
        <f t="shared" ref="D17:U17" si="1">SUM(D11:D16)</f>
        <v>505868</v>
      </c>
      <c r="E17" s="210">
        <f t="shared" si="1"/>
        <v>39220</v>
      </c>
      <c r="F17" s="211">
        <f t="shared" si="1"/>
        <v>0</v>
      </c>
      <c r="G17" s="211">
        <f t="shared" si="1"/>
        <v>0</v>
      </c>
      <c r="H17" s="211">
        <f t="shared" si="1"/>
        <v>0</v>
      </c>
      <c r="I17" s="211">
        <f t="shared" si="1"/>
        <v>0</v>
      </c>
      <c r="J17" s="211">
        <f t="shared" si="1"/>
        <v>133430</v>
      </c>
      <c r="K17" s="211">
        <f t="shared" si="1"/>
        <v>94547</v>
      </c>
      <c r="L17" s="211">
        <f t="shared" si="1"/>
        <v>24625</v>
      </c>
      <c r="M17" s="211">
        <f t="shared" si="1"/>
        <v>156898</v>
      </c>
      <c r="N17" s="211">
        <f t="shared" si="1"/>
        <v>7950</v>
      </c>
      <c r="O17" s="211">
        <f t="shared" si="1"/>
        <v>7522</v>
      </c>
      <c r="P17" s="211">
        <f t="shared" si="1"/>
        <v>6802</v>
      </c>
      <c r="Q17" s="211">
        <f t="shared" si="1"/>
        <v>8950</v>
      </c>
      <c r="R17" s="211">
        <f t="shared" si="1"/>
        <v>6472</v>
      </c>
      <c r="S17" s="211">
        <f t="shared" si="1"/>
        <v>55888</v>
      </c>
      <c r="T17" s="211">
        <f t="shared" si="1"/>
        <v>2607</v>
      </c>
      <c r="U17" s="211">
        <f t="shared" si="1"/>
        <v>177</v>
      </c>
    </row>
    <row r="18" spans="1:23" ht="15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</sheetData>
  <sheetProtection password="CCD4" sheet="1" objects="1" scenarios="1"/>
  <pageMargins left="0.7" right="0.7" top="0.75" bottom="0.75" header="0.3" footer="0.3"/>
  <pageSetup orientation="portrait" r:id="rId1"/>
  <ignoredErrors>
    <ignoredError sqref="C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CCFFCC"/>
  </sheetPr>
  <dimension ref="A1:W53"/>
  <sheetViews>
    <sheetView workbookViewId="0">
      <pane xSplit="5" ySplit="10" topLeftCell="I11" activePane="bottomRight" state="frozen"/>
      <selection pane="topRight" activeCell="F1" sqref="F1"/>
      <selection pane="bottomLeft" activeCell="A11" sqref="A11"/>
      <selection pane="bottomRight" activeCell="C13" sqref="C13"/>
    </sheetView>
  </sheetViews>
  <sheetFormatPr defaultColWidth="9.109375" defaultRowHeight="14.4" x14ac:dyDescent="0.3"/>
  <cols>
    <col min="1" max="1" width="9.109375" style="4"/>
    <col min="2" max="2" width="29.109375" style="4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1.33203125" style="4" bestFit="1" customWidth="1"/>
    <col min="21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3" ht="21" x14ac:dyDescent="0.35">
      <c r="A1" s="93" t="s">
        <v>0</v>
      </c>
      <c r="B1" s="87"/>
      <c r="C1" s="81" t="s">
        <v>260</v>
      </c>
      <c r="D1" s="93"/>
      <c r="E1" s="82"/>
      <c r="F1" s="88"/>
      <c r="G1" s="87"/>
      <c r="H1" s="87"/>
      <c r="I1" s="87"/>
      <c r="J1" s="81" t="str">
        <f>C1</f>
        <v>Title 1A School Improvement - Prevention Integration Grant</v>
      </c>
      <c r="K1" s="87"/>
      <c r="L1" s="87"/>
      <c r="M1" s="87"/>
      <c r="N1" s="87"/>
      <c r="O1" s="87"/>
      <c r="P1" s="87"/>
      <c r="Q1" s="87"/>
      <c r="R1" s="87"/>
      <c r="S1" s="81"/>
      <c r="T1" s="87"/>
      <c r="U1" s="87"/>
      <c r="V1" s="87"/>
      <c r="W1" s="87"/>
    </row>
    <row r="2" spans="1:23" ht="18.75" x14ac:dyDescent="0.3">
      <c r="A2" s="94" t="s">
        <v>1</v>
      </c>
      <c r="B2" s="87"/>
      <c r="C2" s="155" t="s">
        <v>282</v>
      </c>
      <c r="D2" s="94"/>
      <c r="E2" s="85"/>
      <c r="F2" s="88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87"/>
      <c r="R2" s="87"/>
      <c r="S2" s="70"/>
      <c r="T2" s="87"/>
      <c r="U2" s="87"/>
      <c r="V2" s="87"/>
      <c r="W2" s="87"/>
    </row>
    <row r="3" spans="1:23" ht="15.75" x14ac:dyDescent="0.25">
      <c r="A3" s="94" t="s">
        <v>2</v>
      </c>
      <c r="B3" s="87"/>
      <c r="C3" s="91">
        <v>5010</v>
      </c>
      <c r="D3" s="94"/>
      <c r="E3" s="85"/>
      <c r="F3" s="88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/>
      <c r="E4" s="85"/>
      <c r="F4" s="88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15.75" x14ac:dyDescent="0.25">
      <c r="A5" s="94" t="s">
        <v>171</v>
      </c>
      <c r="B5" s="87"/>
      <c r="C5" s="91" t="s">
        <v>172</v>
      </c>
      <c r="D5" s="85"/>
      <c r="E5" s="85"/>
      <c r="F5" s="88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5.75" x14ac:dyDescent="0.25">
      <c r="A6" s="94" t="s">
        <v>101</v>
      </c>
      <c r="B6" s="87"/>
      <c r="C6" s="94" t="s">
        <v>106</v>
      </c>
      <c r="D6" s="85"/>
      <c r="E6" s="85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15.75" x14ac:dyDescent="0.25">
      <c r="A7" s="94" t="s">
        <v>103</v>
      </c>
      <c r="B7" s="87"/>
      <c r="C7" s="94" t="s">
        <v>174</v>
      </c>
      <c r="D7" s="85"/>
      <c r="E7" s="85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261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  <c r="V10" s="61" t="s">
        <v>557</v>
      </c>
      <c r="W10" s="62" t="s">
        <v>564</v>
      </c>
    </row>
    <row r="11" spans="1:23" ht="15.75" thickBot="1" x14ac:dyDescent="0.3">
      <c r="A11" s="55" t="s">
        <v>279</v>
      </c>
      <c r="B11" s="55" t="s">
        <v>280</v>
      </c>
      <c r="C11" s="55">
        <v>49431</v>
      </c>
      <c r="D11" s="55">
        <f>SUM(F11:V11)</f>
        <v>49431</v>
      </c>
      <c r="E11" s="55">
        <f>C11-D11</f>
        <v>0</v>
      </c>
      <c r="F11" s="26"/>
      <c r="G11" s="26"/>
      <c r="H11" s="26"/>
      <c r="I11" s="26">
        <v>6883</v>
      </c>
      <c r="J11" s="26">
        <v>4803</v>
      </c>
      <c r="K11" s="26"/>
      <c r="L11" s="26">
        <v>4876</v>
      </c>
      <c r="M11" s="26">
        <v>2342</v>
      </c>
      <c r="N11" s="26">
        <v>3004</v>
      </c>
      <c r="O11" s="26">
        <v>2070</v>
      </c>
      <c r="P11" s="26">
        <v>2227</v>
      </c>
      <c r="Q11" s="26">
        <v>6833</v>
      </c>
      <c r="R11" s="26">
        <v>4851</v>
      </c>
      <c r="S11" s="26">
        <v>175</v>
      </c>
      <c r="T11" s="26">
        <v>11367</v>
      </c>
      <c r="U11" s="26"/>
      <c r="W11" s="26"/>
    </row>
    <row r="12" spans="1:23" ht="15.75" thickBot="1" x14ac:dyDescent="0.3">
      <c r="A12" s="55" t="s">
        <v>151</v>
      </c>
      <c r="B12" s="55" t="s">
        <v>277</v>
      </c>
      <c r="C12" s="55">
        <v>108420</v>
      </c>
      <c r="D12" s="55">
        <f t="shared" ref="D12:D21" si="0">SUM(F12:V12)</f>
        <v>102825</v>
      </c>
      <c r="E12" s="55">
        <f t="shared" ref="E12:E21" si="1">C12-D12</f>
        <v>5595</v>
      </c>
      <c r="F12" s="26"/>
      <c r="G12" s="26"/>
      <c r="H12" s="26"/>
      <c r="I12" s="26">
        <v>7932</v>
      </c>
      <c r="J12" s="26"/>
      <c r="K12" s="26">
        <v>7932</v>
      </c>
      <c r="L12" s="26">
        <v>27135</v>
      </c>
      <c r="M12" s="26">
        <v>7986</v>
      </c>
      <c r="N12" s="26">
        <v>8126</v>
      </c>
      <c r="O12" s="26">
        <v>9257</v>
      </c>
      <c r="P12" s="26">
        <v>7987</v>
      </c>
      <c r="Q12" s="26">
        <v>7987</v>
      </c>
      <c r="R12" s="26">
        <v>8514</v>
      </c>
      <c r="S12" s="26"/>
      <c r="T12" s="26">
        <v>9969</v>
      </c>
      <c r="U12" s="26"/>
    </row>
    <row r="13" spans="1:23" ht="15.75" thickBot="1" x14ac:dyDescent="0.3">
      <c r="A13" s="55" t="s">
        <v>9</v>
      </c>
      <c r="B13" s="55" t="s">
        <v>278</v>
      </c>
      <c r="C13" s="55">
        <v>88187</v>
      </c>
      <c r="D13" s="55">
        <f>SUM(F13:W13)</f>
        <v>87024</v>
      </c>
      <c r="E13" s="55">
        <f t="shared" si="1"/>
        <v>1163</v>
      </c>
      <c r="F13" s="26"/>
      <c r="G13" s="26"/>
      <c r="H13" s="26"/>
      <c r="I13" s="26"/>
      <c r="J13" s="26">
        <v>21195</v>
      </c>
      <c r="K13" s="26"/>
      <c r="L13" s="26"/>
      <c r="M13" s="26">
        <v>303</v>
      </c>
      <c r="N13" s="26">
        <v>6739</v>
      </c>
      <c r="O13" s="26">
        <v>5201</v>
      </c>
      <c r="P13" s="26">
        <v>2353</v>
      </c>
      <c r="Q13" s="26">
        <v>564</v>
      </c>
      <c r="R13" s="26">
        <v>7045</v>
      </c>
      <c r="S13" s="26">
        <v>2417</v>
      </c>
      <c r="T13" s="26">
        <v>7689</v>
      </c>
      <c r="U13" s="26">
        <v>26350</v>
      </c>
      <c r="V13" s="26">
        <v>4146</v>
      </c>
      <c r="W13" s="26">
        <v>3022</v>
      </c>
    </row>
    <row r="14" spans="1:23" ht="15.75" thickBot="1" x14ac:dyDescent="0.3">
      <c r="A14" s="55" t="s">
        <v>267</v>
      </c>
      <c r="B14" s="55" t="s">
        <v>268</v>
      </c>
      <c r="C14" s="55">
        <v>102440</v>
      </c>
      <c r="D14" s="55">
        <f t="shared" si="0"/>
        <v>102440</v>
      </c>
      <c r="E14" s="55">
        <f t="shared" si="1"/>
        <v>0</v>
      </c>
      <c r="F14" s="26"/>
      <c r="G14" s="26"/>
      <c r="H14" s="26"/>
      <c r="I14" s="26"/>
      <c r="J14" s="26"/>
      <c r="K14" s="26"/>
      <c r="L14" s="26"/>
      <c r="M14" s="26">
        <v>53045</v>
      </c>
      <c r="N14" s="26"/>
      <c r="O14" s="26"/>
      <c r="P14" s="26"/>
      <c r="Q14" s="26">
        <v>49395</v>
      </c>
      <c r="R14" s="26"/>
      <c r="S14" s="26"/>
      <c r="T14" s="26"/>
      <c r="U14" s="26"/>
    </row>
    <row r="15" spans="1:23" ht="15.75" thickBot="1" x14ac:dyDescent="0.3">
      <c r="A15" s="55" t="s">
        <v>12</v>
      </c>
      <c r="B15" s="55" t="s">
        <v>266</v>
      </c>
      <c r="C15" s="55">
        <v>91686</v>
      </c>
      <c r="D15" s="55">
        <f t="shared" si="0"/>
        <v>91686</v>
      </c>
      <c r="E15" s="55">
        <f t="shared" si="1"/>
        <v>0</v>
      </c>
      <c r="F15" s="26"/>
      <c r="G15" s="26"/>
      <c r="H15" s="26"/>
      <c r="I15" s="26"/>
      <c r="J15" s="26">
        <v>20050</v>
      </c>
      <c r="K15" s="26">
        <v>6603</v>
      </c>
      <c r="L15" s="26">
        <v>6784</v>
      </c>
      <c r="M15" s="26">
        <v>8268</v>
      </c>
      <c r="N15" s="26">
        <v>6789</v>
      </c>
      <c r="O15" s="26">
        <v>8146</v>
      </c>
      <c r="P15" s="26">
        <v>6285</v>
      </c>
      <c r="Q15" s="26">
        <v>8153</v>
      </c>
      <c r="R15" s="26">
        <v>13960</v>
      </c>
      <c r="S15" s="26">
        <v>370</v>
      </c>
      <c r="T15" s="26"/>
      <c r="U15" s="26">
        <v>6278</v>
      </c>
    </row>
    <row r="16" spans="1:23" ht="15.75" thickBot="1" x14ac:dyDescent="0.3">
      <c r="A16" s="55" t="s">
        <v>122</v>
      </c>
      <c r="B16" s="55" t="s">
        <v>180</v>
      </c>
      <c r="C16" s="55">
        <v>78395</v>
      </c>
      <c r="D16" s="55">
        <f t="shared" si="0"/>
        <v>78395</v>
      </c>
      <c r="E16" s="55">
        <f t="shared" si="1"/>
        <v>0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>
        <v>55484</v>
      </c>
      <c r="R16" s="26"/>
      <c r="S16" s="26"/>
      <c r="T16" s="26">
        <v>21633</v>
      </c>
      <c r="U16" s="26">
        <v>1278</v>
      </c>
    </row>
    <row r="17" spans="1:23" ht="15.75" thickBot="1" x14ac:dyDescent="0.3">
      <c r="A17" s="55" t="s">
        <v>275</v>
      </c>
      <c r="B17" s="55" t="s">
        <v>276</v>
      </c>
      <c r="C17" s="55">
        <v>86528</v>
      </c>
      <c r="D17" s="55">
        <f t="shared" si="0"/>
        <v>86514</v>
      </c>
      <c r="E17" s="55">
        <f t="shared" si="1"/>
        <v>14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>
        <v>53323</v>
      </c>
      <c r="R17" s="26"/>
      <c r="S17" s="26"/>
      <c r="T17" s="26">
        <v>9282</v>
      </c>
      <c r="U17" s="26"/>
      <c r="V17" s="4">
        <v>23909</v>
      </c>
    </row>
    <row r="18" spans="1:23" ht="15.75" thickBot="1" x14ac:dyDescent="0.3">
      <c r="A18" s="55" t="s">
        <v>269</v>
      </c>
      <c r="B18" s="55" t="s">
        <v>270</v>
      </c>
      <c r="C18" s="55">
        <v>82663</v>
      </c>
      <c r="D18" s="55">
        <f t="shared" si="0"/>
        <v>82663</v>
      </c>
      <c r="E18" s="55">
        <f t="shared" si="1"/>
        <v>0</v>
      </c>
      <c r="F18" s="26"/>
      <c r="G18" s="26"/>
      <c r="H18" s="26"/>
      <c r="I18" s="26"/>
      <c r="J18" s="26">
        <v>23527</v>
      </c>
      <c r="K18" s="26"/>
      <c r="L18" s="26"/>
      <c r="M18" s="26">
        <v>5808</v>
      </c>
      <c r="N18" s="26">
        <v>5773</v>
      </c>
      <c r="O18" s="26">
        <v>18715</v>
      </c>
      <c r="P18" s="26">
        <v>7305</v>
      </c>
      <c r="Q18" s="26">
        <v>5769</v>
      </c>
      <c r="R18" s="26">
        <v>5772</v>
      </c>
      <c r="S18" s="26">
        <v>9994</v>
      </c>
      <c r="T18" s="26"/>
      <c r="U18" s="26"/>
    </row>
    <row r="19" spans="1:23" ht="15" thickBot="1" x14ac:dyDescent="0.35">
      <c r="A19" s="55" t="s">
        <v>17</v>
      </c>
      <c r="B19" s="55" t="s">
        <v>281</v>
      </c>
      <c r="C19" s="55">
        <v>98811</v>
      </c>
      <c r="D19" s="55">
        <f t="shared" si="0"/>
        <v>98811</v>
      </c>
      <c r="E19" s="55">
        <f t="shared" si="1"/>
        <v>0</v>
      </c>
      <c r="F19" s="26"/>
      <c r="G19" s="26"/>
      <c r="H19" s="26"/>
      <c r="I19" s="26"/>
      <c r="J19" s="26"/>
      <c r="K19" s="26"/>
      <c r="L19" s="26"/>
      <c r="M19" s="26"/>
      <c r="N19" s="26">
        <v>70679</v>
      </c>
      <c r="O19" s="26">
        <v>10592</v>
      </c>
      <c r="P19" s="26">
        <v>9402</v>
      </c>
      <c r="Q19" s="26">
        <v>8138</v>
      </c>
      <c r="R19" s="26"/>
      <c r="S19" s="26"/>
      <c r="T19" s="26"/>
      <c r="U19" s="26"/>
    </row>
    <row r="20" spans="1:23" ht="15" thickBot="1" x14ac:dyDescent="0.35">
      <c r="A20" s="55" t="s">
        <v>271</v>
      </c>
      <c r="B20" s="55" t="s">
        <v>272</v>
      </c>
      <c r="C20" s="55">
        <v>100000</v>
      </c>
      <c r="D20" s="55">
        <f t="shared" si="0"/>
        <v>79779</v>
      </c>
      <c r="E20" s="55">
        <f t="shared" si="1"/>
        <v>20221</v>
      </c>
      <c r="F20" s="26"/>
      <c r="G20" s="26"/>
      <c r="H20" s="26"/>
      <c r="I20" s="26"/>
      <c r="J20" s="26"/>
      <c r="K20" s="26">
        <v>4134</v>
      </c>
      <c r="L20" s="26">
        <v>22556</v>
      </c>
      <c r="M20" s="26">
        <v>2866</v>
      </c>
      <c r="N20" s="26">
        <v>4186</v>
      </c>
      <c r="O20" s="26">
        <v>6808</v>
      </c>
      <c r="P20" s="26">
        <v>9598</v>
      </c>
      <c r="Q20" s="26">
        <v>7225</v>
      </c>
      <c r="R20" s="26">
        <v>6996</v>
      </c>
      <c r="S20" s="26">
        <v>7986</v>
      </c>
      <c r="T20" s="26">
        <v>7424</v>
      </c>
      <c r="U20" s="26"/>
    </row>
    <row r="21" spans="1:23" ht="15" thickBot="1" x14ac:dyDescent="0.35">
      <c r="A21" s="55" t="s">
        <v>273</v>
      </c>
      <c r="B21" s="55" t="s">
        <v>274</v>
      </c>
      <c r="C21" s="55">
        <v>99690</v>
      </c>
      <c r="D21" s="55">
        <f t="shared" si="0"/>
        <v>99690</v>
      </c>
      <c r="E21" s="55">
        <f t="shared" si="1"/>
        <v>0</v>
      </c>
      <c r="F21" s="26"/>
      <c r="G21" s="26"/>
      <c r="H21" s="26"/>
      <c r="I21" s="26">
        <v>10014</v>
      </c>
      <c r="J21" s="26"/>
      <c r="K21" s="26"/>
      <c r="L21" s="26">
        <v>31415</v>
      </c>
      <c r="M21" s="26"/>
      <c r="N21" s="26"/>
      <c r="O21" s="26">
        <v>24615</v>
      </c>
      <c r="P21" s="26"/>
      <c r="Q21" s="26"/>
      <c r="R21" s="26">
        <v>21821</v>
      </c>
      <c r="S21" s="26"/>
      <c r="T21" s="26"/>
      <c r="U21" s="26">
        <v>11825</v>
      </c>
    </row>
    <row r="22" spans="1:23" ht="15" thickBot="1" x14ac:dyDescent="0.35">
      <c r="A22" s="55"/>
      <c r="B22" s="55"/>
      <c r="C22" s="55"/>
      <c r="D22" s="55"/>
      <c r="E22" s="55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3" s="73" customFormat="1" ht="15" thickBot="1" x14ac:dyDescent="0.35">
      <c r="A23" s="95"/>
      <c r="B23" s="95"/>
      <c r="C23" s="95">
        <f>SUM(C11:C22)</f>
        <v>986251</v>
      </c>
      <c r="D23" s="95">
        <f t="shared" ref="D23:W23" si="2">SUM(D11:D22)</f>
        <v>959258</v>
      </c>
      <c r="E23" s="95">
        <f t="shared" si="2"/>
        <v>26993</v>
      </c>
      <c r="F23" s="124">
        <f t="shared" si="2"/>
        <v>0</v>
      </c>
      <c r="G23" s="124">
        <f t="shared" si="2"/>
        <v>0</v>
      </c>
      <c r="H23" s="124">
        <f t="shared" si="2"/>
        <v>0</v>
      </c>
      <c r="I23" s="124">
        <f t="shared" si="2"/>
        <v>24829</v>
      </c>
      <c r="J23" s="124">
        <f t="shared" si="2"/>
        <v>69575</v>
      </c>
      <c r="K23" s="124">
        <f t="shared" si="2"/>
        <v>18669</v>
      </c>
      <c r="L23" s="124">
        <f t="shared" si="2"/>
        <v>92766</v>
      </c>
      <c r="M23" s="124">
        <f t="shared" si="2"/>
        <v>80618</v>
      </c>
      <c r="N23" s="124">
        <f t="shared" si="2"/>
        <v>105296</v>
      </c>
      <c r="O23" s="124">
        <f t="shared" si="2"/>
        <v>85404</v>
      </c>
      <c r="P23" s="124">
        <f t="shared" si="2"/>
        <v>45157</v>
      </c>
      <c r="Q23" s="124">
        <f t="shared" si="2"/>
        <v>202871</v>
      </c>
      <c r="R23" s="124">
        <f t="shared" si="2"/>
        <v>68959</v>
      </c>
      <c r="S23" s="124">
        <f t="shared" si="2"/>
        <v>20942</v>
      </c>
      <c r="T23" s="124">
        <f t="shared" si="2"/>
        <v>67364</v>
      </c>
      <c r="U23" s="124">
        <f t="shared" si="2"/>
        <v>45731</v>
      </c>
      <c r="V23" s="124">
        <f t="shared" si="2"/>
        <v>28055</v>
      </c>
      <c r="W23" s="124">
        <f t="shared" si="2"/>
        <v>3022</v>
      </c>
    </row>
    <row r="24" spans="1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</sheetData>
  <sheetProtection password="CCD4" sheet="1" objects="1" scenarios="1"/>
  <sortState ref="A11:W21">
    <sortCondition ref="A11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CCFFCC"/>
  </sheetPr>
  <dimension ref="A1:W57"/>
  <sheetViews>
    <sheetView tabSelected="1" workbookViewId="0">
      <pane xSplit="6" ySplit="10" topLeftCell="T11" activePane="bottomRight" state="frozen"/>
      <selection pane="topRight" activeCell="G1" sqref="G1"/>
      <selection pane="bottomLeft" activeCell="A11" sqref="A11"/>
      <selection pane="bottomRight" activeCell="V13" sqref="V13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29.109375" style="4" customWidth="1"/>
    <col min="4" max="4" width="15.88671875" style="4" customWidth="1"/>
    <col min="5" max="5" width="11.44140625" style="4" customWidth="1"/>
    <col min="6" max="6" width="18" style="4" customWidth="1"/>
    <col min="7" max="7" width="15" style="4" customWidth="1"/>
    <col min="8" max="8" width="12.109375" style="4" customWidth="1"/>
    <col min="9" max="10" width="12.6640625" style="4" customWidth="1"/>
    <col min="11" max="11" width="12.44140625" style="4" customWidth="1"/>
    <col min="12" max="12" width="12.6640625" style="4" customWidth="1"/>
    <col min="13" max="13" width="9.109375" style="4"/>
    <col min="14" max="14" width="10.88671875" style="4" customWidth="1"/>
    <col min="15" max="20" width="9.109375" style="4"/>
    <col min="21" max="21" width="12" style="4" customWidth="1"/>
    <col min="22" max="22" width="10.88671875" style="4" customWidth="1"/>
    <col min="23" max="23" width="11.109375" style="4" customWidth="1"/>
    <col min="24" max="16384" width="9.109375" style="4"/>
  </cols>
  <sheetData>
    <row r="1" spans="1:23" ht="21" x14ac:dyDescent="0.35">
      <c r="A1" s="93" t="s">
        <v>0</v>
      </c>
      <c r="B1" s="87"/>
      <c r="C1" s="81" t="s">
        <v>283</v>
      </c>
      <c r="D1" s="93"/>
      <c r="E1" s="93"/>
      <c r="F1" s="82"/>
      <c r="G1" s="88"/>
      <c r="H1" s="87"/>
      <c r="I1" s="87"/>
      <c r="J1" s="87"/>
      <c r="K1" s="81" t="str">
        <f>C1</f>
        <v>Title 1A School Improvement</v>
      </c>
      <c r="L1" s="87"/>
      <c r="M1" s="87"/>
      <c r="N1" s="87"/>
      <c r="O1" s="87"/>
      <c r="P1" s="81" t="str">
        <f>C1</f>
        <v>Title 1A School Improvement</v>
      </c>
      <c r="Q1" s="87"/>
      <c r="R1" s="87"/>
      <c r="S1" s="87"/>
      <c r="T1" s="87"/>
      <c r="U1" s="87"/>
      <c r="V1" s="87"/>
      <c r="W1" s="87"/>
    </row>
    <row r="2" spans="1:23" ht="21" x14ac:dyDescent="0.35">
      <c r="A2" s="94" t="s">
        <v>1</v>
      </c>
      <c r="B2" s="87"/>
      <c r="C2" s="155" t="s">
        <v>282</v>
      </c>
      <c r="D2" s="93"/>
      <c r="E2" s="94"/>
      <c r="F2" s="85"/>
      <c r="G2" s="88"/>
      <c r="H2" s="87"/>
      <c r="I2" s="87"/>
      <c r="J2" s="87"/>
      <c r="K2" s="70" t="str">
        <f>"FY"&amp;C4</f>
        <v>FY2011-12</v>
      </c>
      <c r="L2" s="87"/>
      <c r="M2" s="87"/>
      <c r="N2" s="87"/>
      <c r="O2" s="87"/>
      <c r="P2" s="70" t="str">
        <f>"FY"&amp;C4</f>
        <v>FY2011-12</v>
      </c>
      <c r="Q2" s="87"/>
      <c r="R2" s="87"/>
      <c r="S2" s="87"/>
      <c r="T2" s="87"/>
      <c r="U2" s="87"/>
      <c r="V2" s="87"/>
      <c r="W2" s="87"/>
    </row>
    <row r="3" spans="1:23" ht="21" x14ac:dyDescent="0.35">
      <c r="A3" s="94" t="s">
        <v>2</v>
      </c>
      <c r="B3" s="87"/>
      <c r="C3" s="91">
        <v>5010</v>
      </c>
      <c r="D3" s="93"/>
      <c r="E3" s="94"/>
      <c r="F3" s="85"/>
      <c r="G3" s="88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/>
      <c r="E4" s="85"/>
      <c r="F4" s="85"/>
      <c r="G4" s="88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21" x14ac:dyDescent="0.35">
      <c r="A5" s="94" t="s">
        <v>171</v>
      </c>
      <c r="B5" s="87"/>
      <c r="C5" s="91" t="s">
        <v>172</v>
      </c>
      <c r="D5" s="93"/>
      <c r="E5" s="85"/>
      <c r="F5" s="85"/>
      <c r="G5" s="88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21" x14ac:dyDescent="0.35">
      <c r="A6" s="94" t="s">
        <v>101</v>
      </c>
      <c r="B6" s="87"/>
      <c r="C6" s="94" t="s">
        <v>106</v>
      </c>
      <c r="D6" s="93"/>
      <c r="E6" s="85"/>
      <c r="F6" s="85"/>
      <c r="G6" s="86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21" x14ac:dyDescent="0.35">
      <c r="A7" s="94" t="s">
        <v>103</v>
      </c>
      <c r="B7" s="87"/>
      <c r="C7" s="94" t="s">
        <v>174</v>
      </c>
      <c r="D7" s="93"/>
      <c r="E7" s="85"/>
      <c r="F7" s="85"/>
      <c r="G7" s="86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261</v>
      </c>
      <c r="B8" s="82"/>
      <c r="C8" s="82"/>
      <c r="D8" s="81"/>
      <c r="E8" s="82"/>
      <c r="F8" s="82"/>
      <c r="G8" s="75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89" t="s">
        <v>240</v>
      </c>
      <c r="D10" s="62" t="s">
        <v>61</v>
      </c>
      <c r="E10" s="62" t="s">
        <v>62</v>
      </c>
      <c r="F10" s="132" t="s">
        <v>63</v>
      </c>
      <c r="G10" s="62" t="s">
        <v>64</v>
      </c>
      <c r="H10" s="60" t="s">
        <v>65</v>
      </c>
      <c r="I10" s="62" t="s">
        <v>66</v>
      </c>
      <c r="J10" s="60" t="s">
        <v>67</v>
      </c>
      <c r="K10" s="62" t="s">
        <v>68</v>
      </c>
      <c r="L10" s="60" t="s">
        <v>79</v>
      </c>
      <c r="M10" s="62" t="s">
        <v>69</v>
      </c>
      <c r="N10" s="60" t="s">
        <v>70</v>
      </c>
      <c r="O10" s="62" t="s">
        <v>71</v>
      </c>
      <c r="P10" s="60" t="s">
        <v>72</v>
      </c>
      <c r="Q10" s="62" t="s">
        <v>73</v>
      </c>
      <c r="R10" s="60" t="s">
        <v>74</v>
      </c>
      <c r="S10" s="62" t="s">
        <v>75</v>
      </c>
      <c r="T10" s="60" t="s">
        <v>76</v>
      </c>
      <c r="U10" s="62" t="s">
        <v>77</v>
      </c>
      <c r="V10" s="61" t="s">
        <v>78</v>
      </c>
      <c r="W10" s="61" t="s">
        <v>557</v>
      </c>
    </row>
    <row r="11" spans="1:23" ht="15.75" thickBot="1" x14ac:dyDescent="0.3">
      <c r="A11" s="55" t="s">
        <v>284</v>
      </c>
      <c r="B11" s="55" t="s">
        <v>155</v>
      </c>
      <c r="C11" s="55" t="s">
        <v>303</v>
      </c>
      <c r="D11" s="55"/>
      <c r="E11" s="55">
        <f>SUM(G11:W11)</f>
        <v>3839</v>
      </c>
      <c r="F11" s="55">
        <f>D11-E11</f>
        <v>-3839</v>
      </c>
      <c r="G11" s="26"/>
      <c r="H11" s="26"/>
      <c r="I11" s="26"/>
      <c r="J11" s="26"/>
      <c r="K11" s="26"/>
      <c r="L11" s="26"/>
      <c r="M11" s="26"/>
      <c r="N11" s="26"/>
      <c r="Q11" s="26"/>
      <c r="R11" s="26"/>
      <c r="S11" s="26"/>
      <c r="T11" s="26"/>
      <c r="U11" s="26"/>
      <c r="V11" s="26">
        <v>3839</v>
      </c>
      <c r="W11" s="26"/>
    </row>
    <row r="12" spans="1:23" ht="15.75" thickBot="1" x14ac:dyDescent="0.3">
      <c r="A12" s="55" t="s">
        <v>296</v>
      </c>
      <c r="B12" s="55" t="s">
        <v>155</v>
      </c>
      <c r="C12" s="55" t="s">
        <v>297</v>
      </c>
      <c r="D12" s="55">
        <v>49939</v>
      </c>
      <c r="E12" s="55">
        <f>SUM(G12:W12)</f>
        <v>49113</v>
      </c>
      <c r="F12" s="55">
        <f t="shared" ref="F12:F23" si="0">D12-E12</f>
        <v>826</v>
      </c>
      <c r="G12" s="26"/>
      <c r="H12" s="26"/>
      <c r="I12" s="26"/>
      <c r="J12" s="26"/>
      <c r="K12" s="26"/>
      <c r="L12" s="26">
        <v>761</v>
      </c>
      <c r="M12" s="26">
        <v>12814</v>
      </c>
      <c r="N12" s="26">
        <v>24776</v>
      </c>
      <c r="O12" s="26">
        <v>1850</v>
      </c>
      <c r="P12" s="26">
        <v>1025</v>
      </c>
      <c r="Q12" s="26">
        <v>587</v>
      </c>
      <c r="R12" s="26">
        <v>2565</v>
      </c>
      <c r="S12" s="26">
        <v>703</v>
      </c>
      <c r="T12" s="26"/>
      <c r="U12" s="26"/>
      <c r="V12" s="26">
        <v>4032</v>
      </c>
      <c r="W12" s="26"/>
    </row>
    <row r="13" spans="1:23" ht="15.75" thickBot="1" x14ac:dyDescent="0.3">
      <c r="A13" s="55" t="s">
        <v>285</v>
      </c>
      <c r="B13" s="55" t="s">
        <v>286</v>
      </c>
      <c r="C13" s="55" t="s">
        <v>302</v>
      </c>
      <c r="D13" s="55">
        <v>99034</v>
      </c>
      <c r="E13" s="55">
        <f>SUM(G13:W13)</f>
        <v>97553</v>
      </c>
      <c r="F13" s="55">
        <f t="shared" si="0"/>
        <v>1481</v>
      </c>
      <c r="G13" s="26"/>
      <c r="H13" s="26"/>
      <c r="I13" s="26"/>
      <c r="J13" s="26"/>
      <c r="K13" s="26"/>
      <c r="L13" s="26"/>
      <c r="M13" s="26"/>
      <c r="N13" s="26">
        <v>25027</v>
      </c>
      <c r="O13" s="26">
        <v>25789</v>
      </c>
      <c r="P13" s="26">
        <v>2487</v>
      </c>
      <c r="Q13" s="26"/>
      <c r="R13" s="26">
        <v>9898</v>
      </c>
      <c r="S13" s="26"/>
      <c r="T13" s="26"/>
      <c r="U13" s="26"/>
      <c r="V13" s="26">
        <v>34352</v>
      </c>
      <c r="W13" s="26"/>
    </row>
    <row r="14" spans="1:23" ht="15.75" thickBot="1" x14ac:dyDescent="0.3">
      <c r="A14" s="55" t="s">
        <v>287</v>
      </c>
      <c r="B14" s="55" t="s">
        <v>255</v>
      </c>
      <c r="C14" s="55" t="s">
        <v>293</v>
      </c>
      <c r="D14" s="55">
        <v>99944</v>
      </c>
      <c r="E14" s="55">
        <f>SUM(G14:V14)</f>
        <v>51848</v>
      </c>
      <c r="F14" s="55">
        <f t="shared" si="0"/>
        <v>48096</v>
      </c>
      <c r="G14" s="26"/>
      <c r="H14" s="26"/>
      <c r="I14" s="26"/>
      <c r="J14" s="26"/>
      <c r="K14" s="26"/>
      <c r="L14" s="26"/>
      <c r="M14" s="26">
        <v>13645</v>
      </c>
      <c r="N14" s="26">
        <v>2081</v>
      </c>
      <c r="O14" s="26">
        <v>1968</v>
      </c>
      <c r="P14" s="26">
        <v>9964</v>
      </c>
      <c r="Q14" s="26">
        <v>8367</v>
      </c>
      <c r="R14" s="26">
        <v>14310</v>
      </c>
      <c r="S14" s="26">
        <v>1317</v>
      </c>
      <c r="T14" s="26">
        <v>196</v>
      </c>
      <c r="U14" s="26"/>
    </row>
    <row r="15" spans="1:23" ht="15.75" thickBot="1" x14ac:dyDescent="0.3">
      <c r="A15" s="55" t="s">
        <v>288</v>
      </c>
      <c r="B15" s="55" t="s">
        <v>255</v>
      </c>
      <c r="C15" s="55" t="s">
        <v>294</v>
      </c>
      <c r="D15" s="55">
        <v>49658</v>
      </c>
      <c r="E15" s="55">
        <f>SUM(G15:V15)</f>
        <v>43526</v>
      </c>
      <c r="F15" s="55">
        <f t="shared" si="0"/>
        <v>6132</v>
      </c>
      <c r="G15" s="26"/>
      <c r="H15" s="26"/>
      <c r="I15" s="26"/>
      <c r="J15" s="26"/>
      <c r="K15" s="26"/>
      <c r="L15" s="26"/>
      <c r="M15" s="26">
        <v>26078</v>
      </c>
      <c r="N15" s="26">
        <v>14615</v>
      </c>
      <c r="O15" s="26">
        <v>574</v>
      </c>
      <c r="P15" s="26">
        <v>1430</v>
      </c>
      <c r="Q15" s="26">
        <v>829</v>
      </c>
      <c r="R15" s="26"/>
      <c r="S15" s="26"/>
      <c r="T15" s="26"/>
      <c r="U15" s="26"/>
    </row>
    <row r="16" spans="1:23" ht="15.75" thickBot="1" x14ac:dyDescent="0.3">
      <c r="A16" s="55" t="s">
        <v>298</v>
      </c>
      <c r="B16" s="55" t="s">
        <v>255</v>
      </c>
      <c r="C16" s="55" t="s">
        <v>299</v>
      </c>
      <c r="D16" s="55">
        <v>49658</v>
      </c>
      <c r="E16" s="55">
        <f>SUM(G16:V16)</f>
        <v>35188</v>
      </c>
      <c r="F16" s="55">
        <f t="shared" si="0"/>
        <v>14470</v>
      </c>
      <c r="G16" s="26"/>
      <c r="H16" s="26"/>
      <c r="I16" s="26"/>
      <c r="J16" s="26"/>
      <c r="K16" s="26"/>
      <c r="L16" s="26">
        <v>20005</v>
      </c>
      <c r="M16" s="26">
        <v>4515</v>
      </c>
      <c r="N16" s="26">
        <v>7965</v>
      </c>
      <c r="O16" s="26">
        <v>968</v>
      </c>
      <c r="P16" s="26">
        <v>266</v>
      </c>
      <c r="Q16" s="26">
        <v>1082</v>
      </c>
      <c r="R16" s="26"/>
      <c r="S16" s="26">
        <v>387</v>
      </c>
      <c r="T16" s="26"/>
      <c r="U16" s="26"/>
    </row>
    <row r="17" spans="1:23" ht="15.75" thickBot="1" x14ac:dyDescent="0.3">
      <c r="A17" s="55" t="s">
        <v>300</v>
      </c>
      <c r="B17" s="55" t="s">
        <v>180</v>
      </c>
      <c r="C17" s="55" t="s">
        <v>301</v>
      </c>
      <c r="D17" s="55">
        <v>50000</v>
      </c>
      <c r="E17" s="55">
        <f t="shared" ref="E17:E23" si="1">SUM(G17:W17)</f>
        <v>33670</v>
      </c>
      <c r="F17" s="55">
        <f t="shared" si="0"/>
        <v>16330</v>
      </c>
      <c r="G17" s="26"/>
      <c r="H17" s="26"/>
      <c r="I17" s="26"/>
      <c r="J17" s="26"/>
      <c r="K17" s="26"/>
      <c r="L17" s="26"/>
      <c r="M17" s="26">
        <v>33670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ht="15.75" thickBot="1" x14ac:dyDescent="0.3">
      <c r="A18" s="55" t="s">
        <v>289</v>
      </c>
      <c r="B18" s="55" t="s">
        <v>290</v>
      </c>
      <c r="C18" s="55" t="s">
        <v>295</v>
      </c>
      <c r="D18" s="55">
        <v>100000</v>
      </c>
      <c r="E18" s="55">
        <f t="shared" si="1"/>
        <v>97356</v>
      </c>
      <c r="F18" s="55">
        <f t="shared" si="0"/>
        <v>2644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>
        <v>97356</v>
      </c>
    </row>
    <row r="19" spans="1:23" ht="15" thickBot="1" x14ac:dyDescent="0.35">
      <c r="A19" s="55" t="s">
        <v>305</v>
      </c>
      <c r="B19" s="55" t="s">
        <v>306</v>
      </c>
      <c r="C19" s="55" t="s">
        <v>307</v>
      </c>
      <c r="D19" s="55">
        <v>49865</v>
      </c>
      <c r="E19" s="55">
        <f t="shared" si="1"/>
        <v>41838</v>
      </c>
      <c r="F19" s="55">
        <f t="shared" si="0"/>
        <v>8027</v>
      </c>
      <c r="G19" s="26"/>
      <c r="H19" s="26"/>
      <c r="I19" s="26"/>
      <c r="J19" s="26"/>
      <c r="K19" s="26"/>
      <c r="L19" s="26"/>
      <c r="M19" s="26">
        <v>25710</v>
      </c>
      <c r="N19" s="26">
        <v>12508</v>
      </c>
      <c r="O19" s="26"/>
      <c r="P19" s="26"/>
      <c r="Q19" s="26">
        <v>3620</v>
      </c>
      <c r="R19" s="26"/>
      <c r="S19" s="26"/>
      <c r="T19" s="26"/>
      <c r="U19" s="26"/>
      <c r="V19" s="26"/>
      <c r="W19" s="26"/>
    </row>
    <row r="20" spans="1:23" ht="15" thickBot="1" x14ac:dyDescent="0.35">
      <c r="A20" s="55" t="s">
        <v>291</v>
      </c>
      <c r="B20" s="55" t="s">
        <v>292</v>
      </c>
      <c r="C20" s="55" t="s">
        <v>304</v>
      </c>
      <c r="D20" s="55">
        <v>100000</v>
      </c>
      <c r="E20" s="55">
        <f t="shared" si="1"/>
        <v>99527</v>
      </c>
      <c r="F20" s="55">
        <f t="shared" si="0"/>
        <v>473</v>
      </c>
      <c r="G20" s="26"/>
      <c r="H20" s="26"/>
      <c r="I20" s="26"/>
      <c r="J20" s="26"/>
      <c r="K20" s="26"/>
      <c r="L20" s="26"/>
      <c r="M20" s="26"/>
      <c r="N20" s="26"/>
      <c r="O20" s="26"/>
      <c r="P20" s="26">
        <v>6589</v>
      </c>
      <c r="Q20" s="26">
        <v>11620</v>
      </c>
      <c r="R20" s="26">
        <v>3291</v>
      </c>
      <c r="S20" s="26">
        <v>11236</v>
      </c>
      <c r="T20" s="26">
        <v>605</v>
      </c>
      <c r="U20" s="26">
        <v>5019</v>
      </c>
      <c r="V20" s="26"/>
      <c r="W20" s="26">
        <f>57329+3838</f>
        <v>61167</v>
      </c>
    </row>
    <row r="21" spans="1:23" ht="15" thickBot="1" x14ac:dyDescent="0.35">
      <c r="A21" s="55" t="s">
        <v>310</v>
      </c>
      <c r="B21" s="55" t="s">
        <v>311</v>
      </c>
      <c r="C21" s="55" t="s">
        <v>312</v>
      </c>
      <c r="D21" s="55">
        <v>135425</v>
      </c>
      <c r="E21" s="55">
        <f t="shared" si="1"/>
        <v>63361</v>
      </c>
      <c r="F21" s="55">
        <f t="shared" si="0"/>
        <v>72064</v>
      </c>
      <c r="G21" s="26"/>
      <c r="H21" s="26"/>
      <c r="I21" s="26"/>
      <c r="J21" s="26"/>
      <c r="K21" s="26"/>
      <c r="L21" s="26"/>
      <c r="M21" s="26">
        <v>51866</v>
      </c>
      <c r="N21" s="26"/>
      <c r="O21" s="26"/>
      <c r="P21" s="26"/>
      <c r="Q21" s="26"/>
      <c r="R21" s="26"/>
      <c r="S21" s="26"/>
      <c r="T21" s="26">
        <v>11495</v>
      </c>
      <c r="U21" s="26"/>
      <c r="V21" s="26"/>
      <c r="W21" s="26"/>
    </row>
    <row r="22" spans="1:23" ht="15" thickBot="1" x14ac:dyDescent="0.35">
      <c r="A22" s="55" t="s">
        <v>308</v>
      </c>
      <c r="B22" s="55" t="s">
        <v>418</v>
      </c>
      <c r="C22" s="55" t="s">
        <v>309</v>
      </c>
      <c r="D22" s="55">
        <v>49983</v>
      </c>
      <c r="E22" s="55">
        <f t="shared" si="1"/>
        <v>48068</v>
      </c>
      <c r="F22" s="55">
        <f t="shared" si="0"/>
        <v>1915</v>
      </c>
      <c r="G22" s="26"/>
      <c r="H22" s="26"/>
      <c r="I22" s="26"/>
      <c r="J22" s="26"/>
      <c r="K22" s="26"/>
      <c r="L22" s="26"/>
      <c r="M22" s="26">
        <v>48068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ht="15" thickBot="1" x14ac:dyDescent="0.35">
      <c r="A23" s="55" t="s">
        <v>308</v>
      </c>
      <c r="B23" s="55" t="s">
        <v>419</v>
      </c>
      <c r="C23" s="55" t="s">
        <v>309</v>
      </c>
      <c r="D23" s="55">
        <v>99900</v>
      </c>
      <c r="E23" s="55">
        <f t="shared" si="1"/>
        <v>55089</v>
      </c>
      <c r="F23" s="55">
        <f t="shared" si="0"/>
        <v>44811</v>
      </c>
      <c r="G23" s="26"/>
      <c r="H23" s="26"/>
      <c r="I23" s="26"/>
      <c r="J23" s="26"/>
      <c r="K23" s="26"/>
      <c r="L23" s="26"/>
      <c r="M23" s="26"/>
      <c r="N23" s="26"/>
      <c r="O23" s="26"/>
      <c r="P23" s="26">
        <v>31132</v>
      </c>
      <c r="Q23" s="26"/>
      <c r="R23" s="26"/>
      <c r="S23" s="26">
        <v>23957</v>
      </c>
      <c r="T23" s="26"/>
      <c r="U23" s="26"/>
      <c r="V23" s="26"/>
      <c r="W23" s="26"/>
    </row>
    <row r="24" spans="1:23" ht="15" thickBot="1" x14ac:dyDescent="0.35">
      <c r="A24" s="55"/>
      <c r="B24" s="55"/>
      <c r="C24" s="55"/>
      <c r="D24" s="55"/>
      <c r="E24" s="55"/>
      <c r="F24" s="5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s="73" customFormat="1" ht="15" thickBot="1" x14ac:dyDescent="0.35">
      <c r="A25" s="95"/>
      <c r="B25" s="95"/>
      <c r="C25" s="95"/>
      <c r="D25" s="95">
        <f t="shared" ref="D25:N25" si="2">SUM(D11:D24)</f>
        <v>933406</v>
      </c>
      <c r="E25" s="95">
        <f t="shared" si="2"/>
        <v>719976</v>
      </c>
      <c r="F25" s="95">
        <f t="shared" si="2"/>
        <v>213430</v>
      </c>
      <c r="G25" s="95">
        <f t="shared" si="2"/>
        <v>0</v>
      </c>
      <c r="H25" s="95">
        <f t="shared" si="2"/>
        <v>0</v>
      </c>
      <c r="I25" s="95">
        <f t="shared" si="2"/>
        <v>0</v>
      </c>
      <c r="J25" s="95">
        <f t="shared" si="2"/>
        <v>0</v>
      </c>
      <c r="K25" s="95">
        <f t="shared" si="2"/>
        <v>0</v>
      </c>
      <c r="L25" s="95">
        <f t="shared" si="2"/>
        <v>20766</v>
      </c>
      <c r="M25" s="95">
        <f t="shared" si="2"/>
        <v>216366</v>
      </c>
      <c r="N25" s="95">
        <f t="shared" si="2"/>
        <v>86972</v>
      </c>
      <c r="O25" s="95">
        <f>SUM(O12:O24)</f>
        <v>31149</v>
      </c>
      <c r="P25" s="95">
        <f>SUM(P12:P24)</f>
        <v>52893</v>
      </c>
      <c r="Q25" s="95">
        <f t="shared" ref="Q25:W25" si="3">SUM(Q11:Q24)</f>
        <v>26105</v>
      </c>
      <c r="R25" s="95">
        <f t="shared" si="3"/>
        <v>30064</v>
      </c>
      <c r="S25" s="95">
        <f t="shared" si="3"/>
        <v>37600</v>
      </c>
      <c r="T25" s="95">
        <f t="shared" si="3"/>
        <v>12296</v>
      </c>
      <c r="U25" s="95">
        <f t="shared" si="3"/>
        <v>5019</v>
      </c>
      <c r="V25" s="95">
        <f t="shared" si="3"/>
        <v>42223</v>
      </c>
      <c r="W25" s="95">
        <f t="shared" si="3"/>
        <v>158523</v>
      </c>
    </row>
    <row r="26" spans="1:23" x14ac:dyDescent="0.3">
      <c r="D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3" x14ac:dyDescent="0.3">
      <c r="D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3">
      <c r="D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spans="1:23" x14ac:dyDescent="0.3">
      <c r="D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1:23" x14ac:dyDescent="0.3">
      <c r="D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spans="1:23" x14ac:dyDescent="0.3">
      <c r="D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3" x14ac:dyDescent="0.3">
      <c r="D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1:22" x14ac:dyDescent="0.3">
      <c r="D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1:22" x14ac:dyDescent="0.3">
      <c r="D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spans="1:22" x14ac:dyDescent="0.3">
      <c r="D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2" x14ac:dyDescent="0.3">
      <c r="D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spans="1:22" x14ac:dyDescent="0.3">
      <c r="D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spans="1:22" x14ac:dyDescent="0.3">
      <c r="D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spans="1:22" x14ac:dyDescent="0.3">
      <c r="D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1:22" x14ac:dyDescent="0.3">
      <c r="A40" s="4" t="str">
        <f t="shared" ref="A40:A44" si="4">LEFT(A24,4)</f>
        <v/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22" x14ac:dyDescent="0.3">
      <c r="A41" s="4" t="str">
        <f t="shared" si="4"/>
        <v/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spans="1:22" x14ac:dyDescent="0.3">
      <c r="A42" s="4" t="str">
        <f t="shared" si="4"/>
        <v/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spans="1:22" x14ac:dyDescent="0.3">
      <c r="A43" s="4" t="str">
        <f t="shared" si="4"/>
        <v/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1:22" x14ac:dyDescent="0.3">
      <c r="A44" s="4" t="str">
        <f t="shared" si="4"/>
        <v/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spans="1:22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spans="1:22" x14ac:dyDescent="0.3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spans="1:22" x14ac:dyDescent="0.3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spans="1:22" x14ac:dyDescent="0.3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spans="7:22" x14ac:dyDescent="0.3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spans="7:22" x14ac:dyDescent="0.3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spans="7:22" x14ac:dyDescent="0.3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spans="7:22" x14ac:dyDescent="0.3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spans="7:22" x14ac:dyDescent="0.3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spans="7:22" x14ac:dyDescent="0.3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spans="7:22" x14ac:dyDescent="0.3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spans="7:22" x14ac:dyDescent="0.3"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spans="7:22" x14ac:dyDescent="0.3"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CCFFCC"/>
  </sheetPr>
  <dimension ref="A1:V45"/>
  <sheetViews>
    <sheetView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S11" sqref="S11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29.109375" style="4" customWidth="1"/>
    <col min="4" max="4" width="15.88671875" style="4" customWidth="1"/>
    <col min="5" max="5" width="11.44140625" style="4" customWidth="1"/>
    <col min="6" max="6" width="18" style="4" customWidth="1"/>
    <col min="7" max="7" width="15" style="4" customWidth="1"/>
    <col min="8" max="8" width="12.109375" style="4" customWidth="1"/>
    <col min="9" max="10" width="12.6640625" style="4" customWidth="1"/>
    <col min="11" max="11" width="12.44140625" style="4" customWidth="1"/>
    <col min="12" max="12" width="12.6640625" style="4" customWidth="1"/>
    <col min="13" max="13" width="9.109375" style="4"/>
    <col min="14" max="14" width="10.88671875" style="4" customWidth="1"/>
    <col min="15" max="20" width="9.109375" style="4"/>
    <col min="21" max="21" width="12" style="4" customWidth="1"/>
    <col min="22" max="22" width="10.88671875" style="4" customWidth="1"/>
    <col min="23" max="16384" width="9.109375" style="4"/>
  </cols>
  <sheetData>
    <row r="1" spans="1:22" ht="21" x14ac:dyDescent="0.35">
      <c r="A1" s="93" t="s">
        <v>0</v>
      </c>
      <c r="B1" s="87"/>
      <c r="C1" s="81" t="s">
        <v>430</v>
      </c>
      <c r="D1" s="93"/>
      <c r="E1" s="93"/>
      <c r="F1" s="82"/>
      <c r="G1" s="88"/>
      <c r="H1" s="87"/>
      <c r="I1" s="87"/>
      <c r="J1" s="87"/>
      <c r="K1" s="81" t="str">
        <f>C1</f>
        <v>Title 1A Charter School Student Improvement</v>
      </c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21" x14ac:dyDescent="0.35">
      <c r="A2" s="94" t="s">
        <v>1</v>
      </c>
      <c r="B2" s="87"/>
      <c r="C2" s="155" t="s">
        <v>282</v>
      </c>
      <c r="D2" s="93"/>
      <c r="E2" s="94"/>
      <c r="F2" s="85"/>
      <c r="G2" s="88"/>
      <c r="H2" s="87"/>
      <c r="I2" s="87"/>
      <c r="J2" s="87"/>
      <c r="K2" s="70" t="str">
        <f>"FY"&amp;C4</f>
        <v>FY2011-12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ht="21" x14ac:dyDescent="0.35">
      <c r="A3" s="94" t="s">
        <v>2</v>
      </c>
      <c r="B3" s="87"/>
      <c r="C3" s="91">
        <v>5010</v>
      </c>
      <c r="D3" s="93"/>
      <c r="E3" s="94"/>
      <c r="F3" s="85"/>
      <c r="G3" s="88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</row>
    <row r="4" spans="1:22" ht="15.75" x14ac:dyDescent="0.25">
      <c r="A4" s="94" t="s">
        <v>3</v>
      </c>
      <c r="B4" s="87"/>
      <c r="C4" s="91" t="s">
        <v>6</v>
      </c>
      <c r="D4" s="94"/>
      <c r="E4" s="85"/>
      <c r="F4" s="85"/>
      <c r="G4" s="88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22" ht="21" x14ac:dyDescent="0.35">
      <c r="A5" s="94" t="s">
        <v>171</v>
      </c>
      <c r="B5" s="87"/>
      <c r="C5" s="91" t="s">
        <v>172</v>
      </c>
      <c r="D5" s="93"/>
      <c r="E5" s="85"/>
      <c r="F5" s="85"/>
      <c r="G5" s="88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1" x14ac:dyDescent="0.35">
      <c r="A6" s="94" t="s">
        <v>101</v>
      </c>
      <c r="B6" s="87"/>
      <c r="C6" s="94" t="s">
        <v>106</v>
      </c>
      <c r="D6" s="93"/>
      <c r="E6" s="85"/>
      <c r="F6" s="85"/>
      <c r="G6" s="86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 ht="21" x14ac:dyDescent="0.35">
      <c r="A7" s="94" t="s">
        <v>103</v>
      </c>
      <c r="B7" s="87"/>
      <c r="C7" s="94" t="s">
        <v>174</v>
      </c>
      <c r="D7" s="93"/>
      <c r="E7" s="85"/>
      <c r="F7" s="85"/>
      <c r="G7" s="86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8" spans="1:22" s="28" customFormat="1" ht="21" x14ac:dyDescent="0.35">
      <c r="A8" s="93" t="s">
        <v>261</v>
      </c>
      <c r="B8" s="82"/>
      <c r="C8" s="82"/>
      <c r="D8" s="81"/>
      <c r="E8" s="82"/>
      <c r="F8" s="82"/>
      <c r="G8" s="75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1:22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22" ht="30.75" thickBot="1" x14ac:dyDescent="0.3">
      <c r="A10" s="62" t="s">
        <v>4</v>
      </c>
      <c r="B10" s="89" t="s">
        <v>265</v>
      </c>
      <c r="C10" s="89" t="s">
        <v>240</v>
      </c>
      <c r="D10" s="62" t="s">
        <v>61</v>
      </c>
      <c r="E10" s="62" t="s">
        <v>62</v>
      </c>
      <c r="F10" s="132" t="s">
        <v>63</v>
      </c>
      <c r="G10" s="62" t="s">
        <v>64</v>
      </c>
      <c r="H10" s="60" t="s">
        <v>65</v>
      </c>
      <c r="I10" s="62" t="s">
        <v>66</v>
      </c>
      <c r="J10" s="60" t="s">
        <v>67</v>
      </c>
      <c r="K10" s="62" t="s">
        <v>68</v>
      </c>
      <c r="L10" s="60" t="s">
        <v>79</v>
      </c>
      <c r="M10" s="62" t="s">
        <v>69</v>
      </c>
      <c r="N10" s="60" t="s">
        <v>70</v>
      </c>
      <c r="O10" s="62" t="s">
        <v>71</v>
      </c>
      <c r="P10" s="60" t="s">
        <v>72</v>
      </c>
      <c r="Q10" s="62" t="s">
        <v>73</v>
      </c>
      <c r="R10" s="60" t="s">
        <v>74</v>
      </c>
      <c r="S10" s="62" t="s">
        <v>75</v>
      </c>
      <c r="T10" s="60" t="s">
        <v>76</v>
      </c>
      <c r="U10" s="62" t="s">
        <v>77</v>
      </c>
      <c r="V10" s="61" t="s">
        <v>78</v>
      </c>
    </row>
    <row r="11" spans="1:22" ht="15.75" thickBot="1" x14ac:dyDescent="0.3">
      <c r="A11" s="198">
        <v>8001</v>
      </c>
      <c r="B11" s="55" t="s">
        <v>419</v>
      </c>
      <c r="C11" s="55"/>
      <c r="D11" s="55">
        <v>148537</v>
      </c>
      <c r="E11" s="55">
        <f t="shared" ref="E11" si="0">SUM(G11:V11)</f>
        <v>148537</v>
      </c>
      <c r="F11" s="55">
        <f t="shared" ref="F11" si="1">D11-E11</f>
        <v>0</v>
      </c>
      <c r="G11" s="26"/>
      <c r="H11" s="26"/>
      <c r="I11" s="26"/>
      <c r="J11" s="26"/>
      <c r="K11" s="26"/>
      <c r="L11" s="26"/>
      <c r="M11" s="26"/>
      <c r="N11" s="26"/>
      <c r="O11" s="26">
        <v>66390</v>
      </c>
      <c r="P11" s="26"/>
      <c r="Q11" s="26"/>
      <c r="R11" s="26"/>
      <c r="S11" s="26">
        <v>66765</v>
      </c>
      <c r="T11" s="26"/>
      <c r="U11" s="26"/>
      <c r="V11" s="26">
        <v>15382</v>
      </c>
    </row>
    <row r="12" spans="1:22" ht="15.75" thickBot="1" x14ac:dyDescent="0.3">
      <c r="A12" s="55"/>
      <c r="B12" s="55"/>
      <c r="C12" s="55"/>
      <c r="D12" s="55"/>
      <c r="E12" s="55"/>
      <c r="F12" s="5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2" s="73" customFormat="1" ht="15.75" thickBot="1" x14ac:dyDescent="0.3">
      <c r="A13" s="95"/>
      <c r="B13" s="95"/>
      <c r="C13" s="95"/>
      <c r="D13" s="95">
        <f t="shared" ref="D13:V13" si="2">SUM(D11:D12)</f>
        <v>148537</v>
      </c>
      <c r="E13" s="95">
        <f t="shared" si="2"/>
        <v>148537</v>
      </c>
      <c r="F13" s="95">
        <f t="shared" si="2"/>
        <v>0</v>
      </c>
      <c r="G13" s="95">
        <f t="shared" si="2"/>
        <v>0</v>
      </c>
      <c r="H13" s="95">
        <f t="shared" si="2"/>
        <v>0</v>
      </c>
      <c r="I13" s="95">
        <f t="shared" si="2"/>
        <v>0</v>
      </c>
      <c r="J13" s="95">
        <f t="shared" si="2"/>
        <v>0</v>
      </c>
      <c r="K13" s="95">
        <f t="shared" si="2"/>
        <v>0</v>
      </c>
      <c r="L13" s="95">
        <f t="shared" si="2"/>
        <v>0</v>
      </c>
      <c r="M13" s="95">
        <f t="shared" si="2"/>
        <v>0</v>
      </c>
      <c r="N13" s="95">
        <f t="shared" si="2"/>
        <v>0</v>
      </c>
      <c r="O13" s="95">
        <f t="shared" si="2"/>
        <v>66390</v>
      </c>
      <c r="P13" s="95">
        <f t="shared" si="2"/>
        <v>0</v>
      </c>
      <c r="Q13" s="95">
        <f t="shared" si="2"/>
        <v>0</v>
      </c>
      <c r="R13" s="95">
        <f t="shared" si="2"/>
        <v>0</v>
      </c>
      <c r="S13" s="95">
        <f t="shared" si="2"/>
        <v>66765</v>
      </c>
      <c r="T13" s="95">
        <f t="shared" si="2"/>
        <v>0</v>
      </c>
      <c r="U13" s="95">
        <f t="shared" si="2"/>
        <v>0</v>
      </c>
      <c r="V13" s="95">
        <f t="shared" si="2"/>
        <v>15382</v>
      </c>
    </row>
    <row r="14" spans="1:22" ht="15" x14ac:dyDescent="0.25">
      <c r="D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ht="15" x14ac:dyDescent="0.25">
      <c r="D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ht="15" x14ac:dyDescent="0.25">
      <c r="D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 ht="15" x14ac:dyDescent="0.25">
      <c r="D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 x14ac:dyDescent="0.3">
      <c r="D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1:22" x14ac:dyDescent="0.3">
      <c r="D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 x14ac:dyDescent="0.3">
      <c r="D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2" x14ac:dyDescent="0.3">
      <c r="D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1:22" x14ac:dyDescent="0.3">
      <c r="D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spans="1:22" x14ac:dyDescent="0.3">
      <c r="D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1:22" x14ac:dyDescent="0.3">
      <c r="D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1:22" x14ac:dyDescent="0.3">
      <c r="D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2" x14ac:dyDescent="0.3">
      <c r="D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2" x14ac:dyDescent="0.3">
      <c r="D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spans="1:22" x14ac:dyDescent="0.3">
      <c r="A28" s="4" t="str">
        <f t="shared" ref="A28:A32" si="3">LEFT(A12,4)</f>
        <v/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spans="1:22" x14ac:dyDescent="0.3">
      <c r="A29" s="4" t="str">
        <f t="shared" si="3"/>
        <v/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1:22" x14ac:dyDescent="0.3">
      <c r="A30" s="4" t="str">
        <f t="shared" si="3"/>
        <v/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spans="1:22" x14ac:dyDescent="0.3">
      <c r="A31" s="4" t="str">
        <f t="shared" si="3"/>
        <v/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2" x14ac:dyDescent="0.3">
      <c r="A32" s="4" t="str">
        <f t="shared" si="3"/>
        <v/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7:22" x14ac:dyDescent="0.3"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7:22" x14ac:dyDescent="0.3"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spans="7:22" x14ac:dyDescent="0.3"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7:22" x14ac:dyDescent="0.3"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spans="7:22" x14ac:dyDescent="0.3"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spans="7:22" x14ac:dyDescent="0.3"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spans="7:22" x14ac:dyDescent="0.3"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spans="7:22" x14ac:dyDescent="0.3"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7:22" x14ac:dyDescent="0.3"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spans="7:22" x14ac:dyDescent="0.3"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spans="7:22" x14ac:dyDescent="0.3"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spans="7:22" x14ac:dyDescent="0.3"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spans="7:22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CCFFCC"/>
  </sheetPr>
  <dimension ref="A1:W50"/>
  <sheetViews>
    <sheetView workbookViewId="0">
      <pane xSplit="5" ySplit="10" topLeftCell="P11" activePane="bottomRight" state="frozen"/>
      <selection pane="topRight" activeCell="F1" sqref="F1"/>
      <selection pane="bottomLeft" activeCell="A11" sqref="A11"/>
      <selection pane="bottomRight" activeCell="W14" sqref="W14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2" style="4" customWidth="1"/>
    <col min="21" max="21" width="10.88671875" style="4" customWidth="1"/>
    <col min="22" max="22" width="11" style="4" customWidth="1"/>
    <col min="23" max="23" width="10.5546875" style="4" bestFit="1" customWidth="1"/>
    <col min="24" max="16384" width="9.109375" style="4"/>
  </cols>
  <sheetData>
    <row r="1" spans="1:23" ht="21" x14ac:dyDescent="0.35">
      <c r="A1" s="93" t="s">
        <v>0</v>
      </c>
      <c r="B1" s="87"/>
      <c r="C1" s="81" t="s">
        <v>313</v>
      </c>
      <c r="D1" s="88"/>
      <c r="E1" s="87"/>
      <c r="F1" s="87"/>
      <c r="G1" s="87"/>
      <c r="H1" s="87"/>
      <c r="I1" s="87"/>
      <c r="J1" s="81" t="str">
        <f>C1</f>
        <v>Title 1A District Improvement</v>
      </c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3" ht="18.75" x14ac:dyDescent="0.3">
      <c r="A2" s="94" t="s">
        <v>1</v>
      </c>
      <c r="B2" s="87"/>
      <c r="C2" s="155" t="s">
        <v>282</v>
      </c>
      <c r="D2" s="88"/>
      <c r="E2" s="87"/>
      <c r="F2" s="87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3" ht="15.75" x14ac:dyDescent="0.25">
      <c r="A3" s="94" t="s">
        <v>2</v>
      </c>
      <c r="B3" s="87"/>
      <c r="C3" s="91">
        <v>5010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15.75" x14ac:dyDescent="0.25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261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  <c r="V10" s="61" t="s">
        <v>557</v>
      </c>
      <c r="W10" s="61" t="s">
        <v>560</v>
      </c>
    </row>
    <row r="11" spans="1:23" ht="15.75" thickBot="1" x14ac:dyDescent="0.3">
      <c r="A11" s="55" t="s">
        <v>314</v>
      </c>
      <c r="B11" s="55" t="s">
        <v>315</v>
      </c>
      <c r="C11" s="55">
        <v>92682</v>
      </c>
      <c r="D11" s="55">
        <f>SUM(F11:Z11)</f>
        <v>92682</v>
      </c>
      <c r="E11" s="55">
        <f>C11-D11</f>
        <v>0</v>
      </c>
      <c r="F11" s="26"/>
      <c r="G11" s="26"/>
      <c r="H11" s="26"/>
      <c r="I11" s="26"/>
      <c r="J11" s="26"/>
      <c r="K11" s="26"/>
      <c r="L11" s="26"/>
      <c r="M11" s="26">
        <v>59132</v>
      </c>
      <c r="N11" s="26"/>
      <c r="O11" s="26"/>
      <c r="P11" s="26"/>
      <c r="Q11" s="26">
        <v>33550</v>
      </c>
      <c r="R11" s="26"/>
      <c r="S11" s="26"/>
      <c r="T11" s="26"/>
      <c r="U11" s="26"/>
      <c r="V11" s="26"/>
      <c r="W11" s="26"/>
    </row>
    <row r="12" spans="1:23" ht="15.75" thickBot="1" x14ac:dyDescent="0.3">
      <c r="A12" s="55" t="s">
        <v>558</v>
      </c>
      <c r="B12" s="55" t="s">
        <v>559</v>
      </c>
      <c r="C12" s="55">
        <v>100000</v>
      </c>
      <c r="D12" s="55">
        <f t="shared" ref="D12:D16" si="0">SUM(F12:Z12)</f>
        <v>70598</v>
      </c>
      <c r="E12" s="55">
        <f>C12-D12</f>
        <v>29402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>
        <v>63474</v>
      </c>
      <c r="V12" s="26">
        <v>7124</v>
      </c>
      <c r="W12" s="26"/>
    </row>
    <row r="13" spans="1:23" ht="15.75" thickBot="1" x14ac:dyDescent="0.3">
      <c r="A13" s="55" t="s">
        <v>316</v>
      </c>
      <c r="B13" s="55" t="s">
        <v>317</v>
      </c>
      <c r="C13" s="55">
        <v>89550</v>
      </c>
      <c r="D13" s="55">
        <f t="shared" si="0"/>
        <v>85106</v>
      </c>
      <c r="E13" s="55">
        <f t="shared" ref="E13:E16" si="1">C13-D13</f>
        <v>4444</v>
      </c>
      <c r="F13" s="26"/>
      <c r="G13" s="26"/>
      <c r="H13" s="26"/>
      <c r="I13" s="26"/>
      <c r="J13" s="26">
        <v>52992</v>
      </c>
      <c r="K13" s="26"/>
      <c r="L13" s="26"/>
      <c r="M13" s="26">
        <v>32114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ht="15.75" thickBot="1" x14ac:dyDescent="0.3">
      <c r="A14" s="55" t="s">
        <v>318</v>
      </c>
      <c r="B14" s="55" t="s">
        <v>319</v>
      </c>
      <c r="C14" s="55">
        <v>98800</v>
      </c>
      <c r="D14" s="55">
        <f t="shared" si="0"/>
        <v>66335</v>
      </c>
      <c r="E14" s="55">
        <f t="shared" si="1"/>
        <v>32465</v>
      </c>
      <c r="F14" s="26"/>
      <c r="G14" s="26"/>
      <c r="H14" s="26"/>
      <c r="I14" s="26"/>
      <c r="J14" s="26">
        <v>55000</v>
      </c>
      <c r="K14" s="26"/>
      <c r="L14" s="26"/>
      <c r="M14" s="26"/>
      <c r="N14" s="26"/>
      <c r="O14" s="26"/>
      <c r="P14" s="26"/>
      <c r="Q14" s="26">
        <v>11335</v>
      </c>
      <c r="R14" s="26"/>
      <c r="S14" s="26"/>
      <c r="T14" s="26"/>
      <c r="U14" s="26"/>
      <c r="V14" s="26"/>
      <c r="W14" s="26"/>
    </row>
    <row r="15" spans="1:23" ht="15.75" thickBot="1" x14ac:dyDescent="0.3">
      <c r="A15" s="55" t="s">
        <v>320</v>
      </c>
      <c r="B15" s="55" t="s">
        <v>321</v>
      </c>
      <c r="C15" s="55">
        <v>100000</v>
      </c>
      <c r="D15" s="55">
        <f t="shared" si="0"/>
        <v>100000</v>
      </c>
      <c r="E15" s="55">
        <f t="shared" si="1"/>
        <v>0</v>
      </c>
      <c r="F15" s="26"/>
      <c r="G15" s="26"/>
      <c r="H15" s="26"/>
      <c r="I15" s="26"/>
      <c r="J15" s="26"/>
      <c r="K15" s="26"/>
      <c r="L15" s="26"/>
      <c r="M15" s="26"/>
      <c r="N15" s="26">
        <v>57083</v>
      </c>
      <c r="O15" s="26"/>
      <c r="P15" s="26"/>
      <c r="Q15" s="26">
        <v>42917</v>
      </c>
      <c r="R15" s="26"/>
      <c r="S15" s="26"/>
      <c r="T15" s="26"/>
      <c r="U15" s="26"/>
      <c r="V15" s="26"/>
      <c r="W15" s="26"/>
    </row>
    <row r="16" spans="1:23" ht="15.75" thickBot="1" x14ac:dyDescent="0.3">
      <c r="A16" s="55" t="s">
        <v>322</v>
      </c>
      <c r="B16" s="55" t="s">
        <v>323</v>
      </c>
      <c r="C16" s="55">
        <v>118423</v>
      </c>
      <c r="D16" s="55">
        <f t="shared" si="0"/>
        <v>0</v>
      </c>
      <c r="E16" s="55">
        <f t="shared" si="1"/>
        <v>118423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ht="15.75" thickBot="1" x14ac:dyDescent="0.3">
      <c r="A17" s="55"/>
      <c r="B17" s="55"/>
      <c r="C17" s="55"/>
      <c r="D17" s="55"/>
      <c r="E17" s="5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s="73" customFormat="1" ht="15.75" thickBot="1" x14ac:dyDescent="0.3">
      <c r="A18" s="95"/>
      <c r="B18" s="95"/>
      <c r="C18" s="95">
        <f>SUM(C11:C17)</f>
        <v>599455</v>
      </c>
      <c r="D18" s="95">
        <f t="shared" ref="D18:W18" si="2">SUM(D11:D17)</f>
        <v>414721</v>
      </c>
      <c r="E18" s="95">
        <f t="shared" si="2"/>
        <v>184734</v>
      </c>
      <c r="F18" s="95">
        <f t="shared" si="2"/>
        <v>0</v>
      </c>
      <c r="G18" s="95">
        <f t="shared" si="2"/>
        <v>0</v>
      </c>
      <c r="H18" s="95">
        <f t="shared" si="2"/>
        <v>0</v>
      </c>
      <c r="I18" s="95">
        <f t="shared" si="2"/>
        <v>0</v>
      </c>
      <c r="J18" s="95">
        <f t="shared" si="2"/>
        <v>107992</v>
      </c>
      <c r="K18" s="95">
        <f t="shared" si="2"/>
        <v>0</v>
      </c>
      <c r="L18" s="95">
        <f t="shared" si="2"/>
        <v>0</v>
      </c>
      <c r="M18" s="95">
        <f t="shared" si="2"/>
        <v>91246</v>
      </c>
      <c r="N18" s="95">
        <f t="shared" si="2"/>
        <v>57083</v>
      </c>
      <c r="O18" s="95">
        <f t="shared" si="2"/>
        <v>0</v>
      </c>
      <c r="P18" s="95">
        <f t="shared" si="2"/>
        <v>0</v>
      </c>
      <c r="Q18" s="95">
        <f t="shared" si="2"/>
        <v>87802</v>
      </c>
      <c r="R18" s="95">
        <f t="shared" si="2"/>
        <v>0</v>
      </c>
      <c r="S18" s="95">
        <f t="shared" si="2"/>
        <v>0</v>
      </c>
      <c r="T18" s="95">
        <f t="shared" si="2"/>
        <v>0</v>
      </c>
      <c r="U18" s="95">
        <f t="shared" si="2"/>
        <v>63474</v>
      </c>
      <c r="V18" s="95">
        <f t="shared" si="2"/>
        <v>7124</v>
      </c>
      <c r="W18" s="95">
        <f t="shared" si="2"/>
        <v>0</v>
      </c>
    </row>
    <row r="19" spans="1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6:21" x14ac:dyDescent="0.3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6:21" x14ac:dyDescent="0.3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6:21" x14ac:dyDescent="0.3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6:21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6:21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6:21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spans="6:21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6:21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6:21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spans="6:21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spans="6:21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6:21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6:21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spans="6:21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</row>
    <row r="47" spans="6:21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</row>
    <row r="48" spans="6:21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</row>
    <row r="49" spans="6:21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spans="6:21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rgb="FFCCFFCC"/>
  </sheetPr>
  <dimension ref="A1:W57"/>
  <sheetViews>
    <sheetView workbookViewId="0">
      <pane xSplit="5" ySplit="10" topLeftCell="I11" activePane="bottomRight" state="frozen"/>
      <selection pane="topRight" activeCell="F1" sqref="F1"/>
      <selection pane="bottomLeft" activeCell="A11" sqref="A11"/>
      <selection pane="bottomRight" activeCell="N32" sqref="N32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1.33203125" style="4" bestFit="1" customWidth="1"/>
    <col min="21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3" ht="21" x14ac:dyDescent="0.35">
      <c r="A1" s="93" t="s">
        <v>0</v>
      </c>
      <c r="B1" s="87"/>
      <c r="C1" s="81" t="s">
        <v>549</v>
      </c>
      <c r="D1" s="88"/>
      <c r="E1" s="87"/>
      <c r="F1" s="87"/>
      <c r="G1" s="87"/>
      <c r="H1" s="87"/>
      <c r="I1" s="87"/>
      <c r="J1" s="81" t="str">
        <f>C1</f>
        <v>Title 1A Targeted District Improvement</v>
      </c>
      <c r="K1" s="87"/>
      <c r="L1" s="87"/>
      <c r="M1" s="87"/>
      <c r="N1" s="87"/>
      <c r="O1" s="87"/>
      <c r="P1" s="87"/>
      <c r="Q1" s="81" t="str">
        <f>C1</f>
        <v>Title 1A Targeted District Improvement</v>
      </c>
      <c r="R1" s="87"/>
      <c r="S1" s="87"/>
      <c r="T1" s="87"/>
      <c r="U1" s="87"/>
      <c r="V1" s="87"/>
      <c r="W1" s="87"/>
    </row>
    <row r="2" spans="1:23" ht="18.75" x14ac:dyDescent="0.3">
      <c r="A2" s="94" t="s">
        <v>1</v>
      </c>
      <c r="B2" s="87"/>
      <c r="C2" s="155" t="s">
        <v>282</v>
      </c>
      <c r="D2" s="88"/>
      <c r="E2" s="87"/>
      <c r="F2" s="87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</row>
    <row r="3" spans="1:23" ht="15.75" x14ac:dyDescent="0.25">
      <c r="A3" s="94" t="s">
        <v>2</v>
      </c>
      <c r="B3" s="87"/>
      <c r="C3" s="91">
        <v>5010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 t="s">
        <v>264</v>
      </c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15.75" x14ac:dyDescent="0.25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261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</row>
    <row r="11" spans="1:23" ht="15.75" thickBot="1" x14ac:dyDescent="0.3">
      <c r="A11" s="55" t="s">
        <v>324</v>
      </c>
      <c r="B11" s="55" t="s">
        <v>179</v>
      </c>
      <c r="C11" s="55">
        <v>202413</v>
      </c>
      <c r="D11" s="55">
        <f t="shared" ref="D11:D23" si="0">SUM(F11:U11)</f>
        <v>77243</v>
      </c>
      <c r="E11" s="55">
        <f>C11-D11</f>
        <v>125170</v>
      </c>
      <c r="F11" s="26"/>
      <c r="G11" s="26"/>
      <c r="H11" s="26"/>
      <c r="I11" s="26"/>
      <c r="J11" s="26"/>
      <c r="K11" s="26"/>
      <c r="L11" s="26"/>
      <c r="M11" s="26"/>
      <c r="N11" s="26"/>
      <c r="O11" s="26">
        <v>13312</v>
      </c>
      <c r="P11" s="26">
        <v>8457</v>
      </c>
      <c r="Q11" s="26">
        <v>11708</v>
      </c>
      <c r="R11" s="26">
        <v>43766</v>
      </c>
      <c r="S11" s="26"/>
      <c r="T11" s="26"/>
      <c r="U11" s="26"/>
    </row>
    <row r="12" spans="1:23" ht="15.75" thickBot="1" x14ac:dyDescent="0.3">
      <c r="A12" s="55" t="s">
        <v>325</v>
      </c>
      <c r="B12" s="55" t="s">
        <v>335</v>
      </c>
      <c r="C12" s="55">
        <v>150000</v>
      </c>
      <c r="D12" s="55">
        <f t="shared" si="0"/>
        <v>150000</v>
      </c>
      <c r="E12" s="55">
        <f t="shared" ref="E12:E23" si="1">C12-D12</f>
        <v>0</v>
      </c>
      <c r="F12" s="26"/>
      <c r="G12" s="26"/>
      <c r="H12" s="26"/>
      <c r="I12" s="26"/>
      <c r="J12" s="26">
        <v>17076</v>
      </c>
      <c r="K12" s="26"/>
      <c r="L12" s="26">
        <v>82924</v>
      </c>
      <c r="M12" s="26"/>
      <c r="N12" s="26"/>
      <c r="O12" s="26"/>
      <c r="P12" s="26"/>
      <c r="Q12" s="26">
        <v>50000</v>
      </c>
      <c r="R12" s="26"/>
      <c r="S12" s="26"/>
      <c r="T12" s="26"/>
      <c r="U12" s="26"/>
    </row>
    <row r="13" spans="1:23" ht="15.75" thickBot="1" x14ac:dyDescent="0.3">
      <c r="A13" s="55" t="s">
        <v>326</v>
      </c>
      <c r="B13" s="55" t="s">
        <v>336</v>
      </c>
      <c r="C13" s="55">
        <v>291634</v>
      </c>
      <c r="D13" s="55">
        <f t="shared" si="0"/>
        <v>198245</v>
      </c>
      <c r="E13" s="55">
        <f t="shared" si="1"/>
        <v>93389</v>
      </c>
      <c r="F13" s="26"/>
      <c r="G13" s="26"/>
      <c r="H13" s="26"/>
      <c r="I13" s="26"/>
      <c r="J13" s="26">
        <v>117914</v>
      </c>
      <c r="K13" s="26">
        <v>5471</v>
      </c>
      <c r="L13" s="26"/>
      <c r="M13" s="26"/>
      <c r="N13" s="26"/>
      <c r="O13" s="26"/>
      <c r="P13" s="26"/>
      <c r="Q13" s="26">
        <v>32064</v>
      </c>
      <c r="R13" s="26">
        <v>38811</v>
      </c>
      <c r="S13" s="26">
        <v>3985</v>
      </c>
      <c r="T13" s="26"/>
      <c r="U13" s="26"/>
    </row>
    <row r="14" spans="1:23" ht="15.75" thickBot="1" x14ac:dyDescent="0.3">
      <c r="A14" s="55" t="s">
        <v>347</v>
      </c>
      <c r="B14" s="55" t="s">
        <v>348</v>
      </c>
      <c r="C14" s="55">
        <v>73148</v>
      </c>
      <c r="D14" s="55">
        <f t="shared" si="0"/>
        <v>68193</v>
      </c>
      <c r="E14" s="55">
        <f t="shared" si="1"/>
        <v>4955</v>
      </c>
      <c r="F14" s="26"/>
      <c r="G14" s="26"/>
      <c r="H14" s="26"/>
      <c r="I14" s="26"/>
      <c r="J14" s="26"/>
      <c r="K14" s="26">
        <v>56253</v>
      </c>
      <c r="L14" s="26">
        <v>9222</v>
      </c>
      <c r="M14" s="26"/>
      <c r="N14" s="26"/>
      <c r="O14" s="26"/>
      <c r="P14" s="26">
        <v>2718</v>
      </c>
      <c r="Q14" s="26"/>
      <c r="R14" s="26"/>
      <c r="S14" s="26"/>
      <c r="T14" s="26"/>
      <c r="U14" s="26"/>
    </row>
    <row r="15" spans="1:23" ht="15.75" thickBot="1" x14ac:dyDescent="0.3">
      <c r="A15" s="55" t="s">
        <v>327</v>
      </c>
      <c r="B15" s="55" t="s">
        <v>337</v>
      </c>
      <c r="C15" s="55">
        <v>211025</v>
      </c>
      <c r="D15" s="55">
        <f t="shared" si="0"/>
        <v>173186</v>
      </c>
      <c r="E15" s="55">
        <f t="shared" si="1"/>
        <v>37839</v>
      </c>
      <c r="F15" s="26"/>
      <c r="G15" s="26"/>
      <c r="H15" s="26"/>
      <c r="I15" s="26"/>
      <c r="J15" s="26"/>
      <c r="K15" s="26"/>
      <c r="L15" s="26">
        <v>74886</v>
      </c>
      <c r="M15" s="26"/>
      <c r="N15" s="26">
        <v>48881</v>
      </c>
      <c r="O15" s="26"/>
      <c r="P15" s="26">
        <v>49419</v>
      </c>
      <c r="Q15" s="26"/>
      <c r="R15" s="26"/>
      <c r="S15" s="26"/>
      <c r="T15" s="26"/>
      <c r="U15" s="26"/>
    </row>
    <row r="16" spans="1:23" ht="15.75" thickBot="1" x14ac:dyDescent="0.3">
      <c r="A16" s="55" t="s">
        <v>345</v>
      </c>
      <c r="B16" s="55" t="s">
        <v>346</v>
      </c>
      <c r="C16" s="55">
        <v>133438</v>
      </c>
      <c r="D16" s="55">
        <f t="shared" si="0"/>
        <v>118693</v>
      </c>
      <c r="E16" s="55">
        <f t="shared" si="1"/>
        <v>14745</v>
      </c>
      <c r="F16" s="26"/>
      <c r="G16" s="26"/>
      <c r="H16" s="26"/>
      <c r="I16" s="26"/>
      <c r="J16" s="26"/>
      <c r="K16" s="26"/>
      <c r="L16" s="26">
        <v>7042</v>
      </c>
      <c r="M16" s="26">
        <v>9076</v>
      </c>
      <c r="N16" s="26">
        <v>1391</v>
      </c>
      <c r="O16" s="26"/>
      <c r="P16" s="26">
        <v>38150</v>
      </c>
      <c r="Q16" s="26">
        <v>38150</v>
      </c>
      <c r="R16" s="26"/>
      <c r="S16" s="26">
        <v>24884</v>
      </c>
      <c r="T16" s="26"/>
      <c r="U16" s="26"/>
    </row>
    <row r="17" spans="1:23" ht="15.75" thickBot="1" x14ac:dyDescent="0.3">
      <c r="A17" s="55" t="s">
        <v>328</v>
      </c>
      <c r="B17" s="55" t="s">
        <v>338</v>
      </c>
      <c r="C17" s="55">
        <v>155912</v>
      </c>
      <c r="D17" s="55">
        <f t="shared" si="0"/>
        <v>129527</v>
      </c>
      <c r="E17" s="55">
        <f t="shared" si="1"/>
        <v>26385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>
        <v>129527</v>
      </c>
      <c r="S17" s="26"/>
      <c r="T17" s="26"/>
      <c r="U17" s="26"/>
    </row>
    <row r="18" spans="1:23" ht="15.75" thickBot="1" x14ac:dyDescent="0.3">
      <c r="A18" s="55" t="s">
        <v>329</v>
      </c>
      <c r="B18" s="55" t="s">
        <v>339</v>
      </c>
      <c r="C18" s="55">
        <v>294933</v>
      </c>
      <c r="D18" s="55">
        <f t="shared" si="0"/>
        <v>294933</v>
      </c>
      <c r="E18" s="55">
        <f t="shared" si="1"/>
        <v>0</v>
      </c>
      <c r="F18" s="26"/>
      <c r="G18" s="26"/>
      <c r="H18" s="26"/>
      <c r="I18" s="26"/>
      <c r="J18" s="26"/>
      <c r="K18" s="26"/>
      <c r="L18" s="26">
        <v>94288</v>
      </c>
      <c r="M18" s="26"/>
      <c r="N18" s="26"/>
      <c r="O18" s="26">
        <v>33560</v>
      </c>
      <c r="P18" s="26"/>
      <c r="Q18" s="26">
        <v>40747</v>
      </c>
      <c r="R18" s="26"/>
      <c r="S18" s="26"/>
      <c r="T18" s="26">
        <v>126338</v>
      </c>
      <c r="U18" s="26"/>
    </row>
    <row r="19" spans="1:23" ht="15" thickBot="1" x14ac:dyDescent="0.35">
      <c r="A19" s="55" t="s">
        <v>330</v>
      </c>
      <c r="B19" s="55" t="s">
        <v>340</v>
      </c>
      <c r="C19" s="55">
        <v>61266</v>
      </c>
      <c r="D19" s="55">
        <f t="shared" si="0"/>
        <v>40699</v>
      </c>
      <c r="E19" s="55">
        <f t="shared" si="1"/>
        <v>20567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>
        <v>29127</v>
      </c>
      <c r="R19" s="26"/>
      <c r="S19" s="26">
        <v>11572</v>
      </c>
      <c r="T19" s="26"/>
      <c r="U19" s="26"/>
    </row>
    <row r="20" spans="1:23" ht="15" thickBot="1" x14ac:dyDescent="0.35">
      <c r="A20" s="55" t="s">
        <v>331</v>
      </c>
      <c r="B20" s="55" t="s">
        <v>341</v>
      </c>
      <c r="C20" s="55">
        <v>172148</v>
      </c>
      <c r="D20" s="55">
        <f t="shared" si="0"/>
        <v>170271</v>
      </c>
      <c r="E20" s="55">
        <f t="shared" si="1"/>
        <v>1877</v>
      </c>
      <c r="F20" s="26"/>
      <c r="G20" s="26"/>
      <c r="H20" s="26"/>
      <c r="I20" s="26"/>
      <c r="J20" s="26"/>
      <c r="K20" s="26"/>
      <c r="L20" s="26"/>
      <c r="M20" s="26">
        <v>82747</v>
      </c>
      <c r="N20" s="26">
        <v>16234</v>
      </c>
      <c r="O20" s="26">
        <v>17572</v>
      </c>
      <c r="P20" s="26">
        <v>5986</v>
      </c>
      <c r="Q20" s="26">
        <v>6337</v>
      </c>
      <c r="R20" s="26">
        <v>277</v>
      </c>
      <c r="S20" s="26"/>
      <c r="T20" s="26">
        <v>41118</v>
      </c>
      <c r="U20" s="26"/>
    </row>
    <row r="21" spans="1:23" ht="15" thickBot="1" x14ac:dyDescent="0.35">
      <c r="A21" s="55" t="s">
        <v>332</v>
      </c>
      <c r="B21" s="55" t="s">
        <v>342</v>
      </c>
      <c r="C21" s="55">
        <v>222038</v>
      </c>
      <c r="D21" s="55">
        <f t="shared" si="0"/>
        <v>130114</v>
      </c>
      <c r="E21" s="55">
        <f t="shared" si="1"/>
        <v>91924</v>
      </c>
      <c r="F21" s="26"/>
      <c r="G21" s="26"/>
      <c r="H21" s="26"/>
      <c r="I21" s="26"/>
      <c r="J21" s="26"/>
      <c r="K21" s="26">
        <v>28276</v>
      </c>
      <c r="L21" s="26">
        <v>200</v>
      </c>
      <c r="M21" s="26">
        <v>348</v>
      </c>
      <c r="N21" s="26">
        <v>11203</v>
      </c>
      <c r="O21" s="26">
        <v>13166</v>
      </c>
      <c r="P21" s="26">
        <v>17825</v>
      </c>
      <c r="Q21" s="26">
        <v>1514</v>
      </c>
      <c r="R21" s="26">
        <v>24107</v>
      </c>
      <c r="S21" s="26">
        <v>1384</v>
      </c>
      <c r="T21" s="26">
        <v>32091</v>
      </c>
      <c r="U21" s="26"/>
    </row>
    <row r="22" spans="1:23" ht="15" thickBot="1" x14ac:dyDescent="0.35">
      <c r="A22" s="55" t="s">
        <v>333</v>
      </c>
      <c r="B22" s="55" t="s">
        <v>343</v>
      </c>
      <c r="C22" s="55">
        <v>200000</v>
      </c>
      <c r="D22" s="55">
        <f t="shared" si="0"/>
        <v>200000</v>
      </c>
      <c r="E22" s="55">
        <f t="shared" si="1"/>
        <v>0</v>
      </c>
      <c r="F22" s="26"/>
      <c r="G22" s="26"/>
      <c r="H22" s="26"/>
      <c r="I22" s="26"/>
      <c r="J22" s="26">
        <v>81257</v>
      </c>
      <c r="K22" s="26"/>
      <c r="L22" s="26">
        <v>105948</v>
      </c>
      <c r="M22" s="26"/>
      <c r="N22" s="26"/>
      <c r="O22" s="26"/>
      <c r="P22" s="26"/>
      <c r="Q22" s="26"/>
      <c r="R22" s="26"/>
      <c r="S22" s="26">
        <v>12795</v>
      </c>
      <c r="T22" s="26"/>
      <c r="U22" s="26"/>
    </row>
    <row r="23" spans="1:23" ht="15" thickBot="1" x14ac:dyDescent="0.35">
      <c r="A23" s="55" t="s">
        <v>334</v>
      </c>
      <c r="B23" s="55" t="s">
        <v>344</v>
      </c>
      <c r="C23" s="55">
        <v>200000</v>
      </c>
      <c r="D23" s="55">
        <f t="shared" si="0"/>
        <v>131465</v>
      </c>
      <c r="E23" s="55">
        <f t="shared" si="1"/>
        <v>68535</v>
      </c>
      <c r="F23" s="26"/>
      <c r="G23" s="26"/>
      <c r="H23" s="26"/>
      <c r="I23" s="26"/>
      <c r="J23" s="26">
        <v>50270</v>
      </c>
      <c r="K23" s="26"/>
      <c r="L23" s="26"/>
      <c r="M23" s="26">
        <v>51585</v>
      </c>
      <c r="N23" s="26"/>
      <c r="O23" s="26"/>
      <c r="P23" s="26">
        <v>26351</v>
      </c>
      <c r="Q23" s="26">
        <v>3259</v>
      </c>
      <c r="R23" s="26"/>
      <c r="S23" s="26"/>
      <c r="T23" s="26"/>
      <c r="U23" s="26"/>
    </row>
    <row r="24" spans="1:23" ht="15" thickBot="1" x14ac:dyDescent="0.35">
      <c r="A24" s="55"/>
      <c r="B24" s="55"/>
      <c r="C24" s="55"/>
      <c r="D24" s="55"/>
      <c r="E24" s="55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3" s="73" customFormat="1" ht="15" thickBot="1" x14ac:dyDescent="0.35">
      <c r="A25" s="95"/>
      <c r="B25" s="95"/>
      <c r="C25" s="95">
        <f>SUM(C11:C24)</f>
        <v>2367955</v>
      </c>
      <c r="D25" s="95">
        <f t="shared" ref="D25:U25" si="2">SUM(D11:D24)</f>
        <v>1882569</v>
      </c>
      <c r="E25" s="95">
        <f t="shared" si="2"/>
        <v>485386</v>
      </c>
      <c r="F25" s="124">
        <f t="shared" si="2"/>
        <v>0</v>
      </c>
      <c r="G25" s="124">
        <f t="shared" si="2"/>
        <v>0</v>
      </c>
      <c r="H25" s="124">
        <f t="shared" si="2"/>
        <v>0</v>
      </c>
      <c r="I25" s="124">
        <f t="shared" si="2"/>
        <v>0</v>
      </c>
      <c r="J25" s="124">
        <f t="shared" si="2"/>
        <v>266517</v>
      </c>
      <c r="K25" s="124">
        <f t="shared" si="2"/>
        <v>90000</v>
      </c>
      <c r="L25" s="124">
        <f t="shared" si="2"/>
        <v>374510</v>
      </c>
      <c r="M25" s="124">
        <f t="shared" si="2"/>
        <v>143756</v>
      </c>
      <c r="N25" s="124">
        <f t="shared" si="2"/>
        <v>77709</v>
      </c>
      <c r="O25" s="124">
        <f t="shared" si="2"/>
        <v>77610</v>
      </c>
      <c r="P25" s="124">
        <f t="shared" si="2"/>
        <v>148906</v>
      </c>
      <c r="Q25" s="124">
        <f t="shared" si="2"/>
        <v>212906</v>
      </c>
      <c r="R25" s="124">
        <f t="shared" si="2"/>
        <v>236488</v>
      </c>
      <c r="S25" s="124">
        <f t="shared" si="2"/>
        <v>54620</v>
      </c>
      <c r="T25" s="124">
        <f t="shared" si="2"/>
        <v>199547</v>
      </c>
      <c r="U25" s="124">
        <f t="shared" si="2"/>
        <v>0</v>
      </c>
    </row>
    <row r="26" spans="1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3">
      <c r="C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x14ac:dyDescent="0.3">
      <c r="C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3:23" x14ac:dyDescent="0.3">
      <c r="C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3:23" x14ac:dyDescent="0.3">
      <c r="C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3:23" x14ac:dyDescent="0.3">
      <c r="C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3:23" x14ac:dyDescent="0.3">
      <c r="C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3:23" x14ac:dyDescent="0.3">
      <c r="C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3:23" x14ac:dyDescent="0.3">
      <c r="C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3:23" x14ac:dyDescent="0.3">
      <c r="C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3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3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3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3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3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3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3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3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3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6:23" x14ac:dyDescent="0.3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6:23" x14ac:dyDescent="0.3"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6:23" x14ac:dyDescent="0.3"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6:23" x14ac:dyDescent="0.3"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6:23" x14ac:dyDescent="0.3"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6:23" x14ac:dyDescent="0.3"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6:23" x14ac:dyDescent="0.3"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6:23" x14ac:dyDescent="0.3"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6:23" x14ac:dyDescent="0.3"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</sheetData>
  <sheetProtection password="CCD4" sheet="1" objects="1" scenarios="1"/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CCFFCC"/>
  </sheetPr>
  <dimension ref="A1:X59"/>
  <sheetViews>
    <sheetView workbookViewId="0">
      <pane xSplit="6" ySplit="10" topLeftCell="O11" activePane="bottomRight" state="frozen"/>
      <selection pane="topRight" activeCell="F1" sqref="F1"/>
      <selection pane="bottomLeft" activeCell="A11" sqref="A11"/>
      <selection pane="bottomRight" activeCell="D12" sqref="D12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35.109375" style="4" customWidth="1"/>
    <col min="4" max="4" width="15.88671875" style="4" customWidth="1"/>
    <col min="5" max="5" width="11.44140625" style="4" customWidth="1"/>
    <col min="6" max="6" width="18" style="4" customWidth="1"/>
    <col min="7" max="7" width="15" style="4" customWidth="1"/>
    <col min="8" max="8" width="12.109375" style="4" customWidth="1"/>
    <col min="9" max="10" width="12.6640625" style="4" customWidth="1"/>
    <col min="11" max="11" width="12.44140625" style="4" customWidth="1"/>
    <col min="12" max="12" width="12.6640625" style="4" customWidth="1"/>
    <col min="13" max="13" width="9.109375" style="4"/>
    <col min="14" max="14" width="10.88671875" style="4" customWidth="1"/>
    <col min="15" max="20" width="9.109375" style="4"/>
    <col min="21" max="21" width="11.33203125" style="4" bestFit="1" customWidth="1"/>
    <col min="22" max="22" width="9.109375" style="4"/>
    <col min="23" max="23" width="12" style="4" customWidth="1"/>
    <col min="24" max="24" width="10.88671875" style="4" customWidth="1"/>
    <col min="25" max="16384" width="9.109375" style="4"/>
  </cols>
  <sheetData>
    <row r="1" spans="1:24" ht="21" x14ac:dyDescent="0.35">
      <c r="A1" s="93" t="s">
        <v>0</v>
      </c>
      <c r="B1" s="87"/>
      <c r="C1" s="81" t="s">
        <v>437</v>
      </c>
      <c r="D1" s="88"/>
      <c r="E1" s="87"/>
      <c r="F1" s="87"/>
      <c r="G1" s="87"/>
      <c r="H1" s="87"/>
      <c r="I1" s="87"/>
      <c r="J1" s="81" t="str">
        <f>C1</f>
        <v>Title 1A Improvement Support Partnership</v>
      </c>
      <c r="K1" s="87"/>
      <c r="L1" s="87"/>
      <c r="M1" s="87"/>
      <c r="N1" s="87"/>
      <c r="O1" s="87"/>
      <c r="P1" s="87"/>
      <c r="Q1" s="81" t="str">
        <f>C1</f>
        <v>Title 1A Improvement Support Partnership</v>
      </c>
      <c r="R1" s="87"/>
      <c r="S1" s="87"/>
      <c r="T1" s="87"/>
      <c r="U1" s="87"/>
      <c r="V1" s="87"/>
      <c r="W1" s="87"/>
      <c r="X1" s="87"/>
    </row>
    <row r="2" spans="1:24" ht="18.75" x14ac:dyDescent="0.3">
      <c r="A2" s="94" t="s">
        <v>1</v>
      </c>
      <c r="B2" s="87"/>
      <c r="C2" s="155" t="s">
        <v>282</v>
      </c>
      <c r="D2" s="88"/>
      <c r="E2" s="87"/>
      <c r="F2" s="87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  <c r="X2" s="87"/>
    </row>
    <row r="3" spans="1:24" ht="15.75" x14ac:dyDescent="0.25">
      <c r="A3" s="94" t="s">
        <v>2</v>
      </c>
      <c r="B3" s="87"/>
      <c r="C3" s="91">
        <v>5010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</row>
    <row r="4" spans="1:24" ht="15.75" x14ac:dyDescent="0.2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</row>
    <row r="5" spans="1:24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</row>
    <row r="6" spans="1:24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</row>
    <row r="7" spans="1:24" ht="15.75" x14ac:dyDescent="0.25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</row>
    <row r="8" spans="1:24" s="28" customFormat="1" ht="21" x14ac:dyDescent="0.35">
      <c r="A8" s="93" t="s">
        <v>450</v>
      </c>
      <c r="B8" s="82"/>
      <c r="C8" s="82"/>
      <c r="D8" s="81"/>
      <c r="E8" s="82"/>
      <c r="F8" s="82"/>
      <c r="G8" s="75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</row>
    <row r="9" spans="1:24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</row>
    <row r="10" spans="1:24" ht="30.75" thickBot="1" x14ac:dyDescent="0.3">
      <c r="A10" s="62" t="s">
        <v>4</v>
      </c>
      <c r="B10" s="89" t="s">
        <v>265</v>
      </c>
      <c r="C10" s="89" t="s">
        <v>240</v>
      </c>
      <c r="D10" s="62" t="s">
        <v>61</v>
      </c>
      <c r="E10" s="62" t="s">
        <v>62</v>
      </c>
      <c r="F10" s="132" t="s">
        <v>63</v>
      </c>
      <c r="G10" s="62" t="s">
        <v>64</v>
      </c>
      <c r="H10" s="60" t="s">
        <v>65</v>
      </c>
      <c r="I10" s="62" t="s">
        <v>66</v>
      </c>
      <c r="J10" s="60" t="s">
        <v>67</v>
      </c>
      <c r="K10" s="62" t="s">
        <v>68</v>
      </c>
      <c r="L10" s="60" t="s">
        <v>79</v>
      </c>
      <c r="M10" s="62" t="s">
        <v>69</v>
      </c>
      <c r="N10" s="60" t="s">
        <v>70</v>
      </c>
      <c r="O10" s="62" t="s">
        <v>71</v>
      </c>
      <c r="P10" s="60" t="s">
        <v>72</v>
      </c>
      <c r="Q10" s="62" t="s">
        <v>73</v>
      </c>
      <c r="R10" s="60" t="s">
        <v>74</v>
      </c>
      <c r="S10" s="62" t="s">
        <v>75</v>
      </c>
      <c r="T10" s="60" t="s">
        <v>76</v>
      </c>
      <c r="U10" s="62" t="s">
        <v>77</v>
      </c>
      <c r="V10" s="61" t="s">
        <v>78</v>
      </c>
      <c r="W10" s="61" t="s">
        <v>557</v>
      </c>
      <c r="X10" s="61" t="s">
        <v>560</v>
      </c>
    </row>
    <row r="11" spans="1:24" ht="15.75" thickBot="1" x14ac:dyDescent="0.3">
      <c r="A11" s="201">
        <v>30</v>
      </c>
      <c r="B11" s="55" t="s">
        <v>154</v>
      </c>
      <c r="C11" s="55"/>
      <c r="D11" s="55">
        <v>192214</v>
      </c>
      <c r="E11" s="55">
        <f>SUM(G11:Z11)</f>
        <v>43059</v>
      </c>
      <c r="F11" s="55">
        <f>D11-E11</f>
        <v>149155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>
        <v>20692</v>
      </c>
      <c r="V11" s="26">
        <v>22367</v>
      </c>
      <c r="X11" s="26"/>
    </row>
    <row r="12" spans="1:24" ht="15.75" thickBot="1" x14ac:dyDescent="0.3">
      <c r="A12" s="201">
        <v>123</v>
      </c>
      <c r="B12" s="55" t="s">
        <v>455</v>
      </c>
      <c r="C12" s="55" t="s">
        <v>456</v>
      </c>
      <c r="D12" s="55">
        <v>199800</v>
      </c>
      <c r="E12" s="55">
        <f t="shared" ref="E12:E25" si="0">SUM(G12:Z12)</f>
        <v>11021</v>
      </c>
      <c r="F12" s="55">
        <f t="shared" ref="F12:F25" si="1">D12-E12</f>
        <v>188779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>
        <v>11021</v>
      </c>
      <c r="X12" s="26"/>
    </row>
    <row r="13" spans="1:24" ht="15.75" thickBot="1" x14ac:dyDescent="0.3">
      <c r="A13" s="201">
        <v>123</v>
      </c>
      <c r="B13" s="55" t="s">
        <v>455</v>
      </c>
      <c r="C13" s="55" t="s">
        <v>457</v>
      </c>
      <c r="D13" s="55">
        <v>200000</v>
      </c>
      <c r="E13" s="55">
        <f t="shared" si="0"/>
        <v>38427</v>
      </c>
      <c r="F13" s="55">
        <f t="shared" si="1"/>
        <v>161573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>
        <v>38427</v>
      </c>
      <c r="X13" s="26"/>
    </row>
    <row r="14" spans="1:24" ht="15.75" thickBot="1" x14ac:dyDescent="0.3">
      <c r="A14" s="201">
        <v>880</v>
      </c>
      <c r="B14" s="55" t="s">
        <v>180</v>
      </c>
      <c r="C14" s="55" t="s">
        <v>458</v>
      </c>
      <c r="D14" s="55">
        <v>62500</v>
      </c>
      <c r="E14" s="55">
        <f t="shared" si="0"/>
        <v>5181</v>
      </c>
      <c r="F14" s="55">
        <f t="shared" si="1"/>
        <v>57319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>
        <v>36</v>
      </c>
      <c r="S14" s="26">
        <v>600</v>
      </c>
      <c r="T14" s="26">
        <v>26</v>
      </c>
      <c r="U14" s="26"/>
      <c r="V14" s="26"/>
      <c r="W14" s="26">
        <v>4519</v>
      </c>
      <c r="X14" s="26"/>
    </row>
    <row r="15" spans="1:24" ht="15.75" thickBot="1" x14ac:dyDescent="0.3">
      <c r="A15" s="201">
        <v>880</v>
      </c>
      <c r="B15" s="55" t="s">
        <v>180</v>
      </c>
      <c r="C15" s="55" t="s">
        <v>459</v>
      </c>
      <c r="D15" s="55">
        <v>198567</v>
      </c>
      <c r="E15" s="55">
        <f t="shared" si="0"/>
        <v>46233</v>
      </c>
      <c r="F15" s="55">
        <f t="shared" si="1"/>
        <v>152334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>
        <v>46233</v>
      </c>
      <c r="X15" s="26"/>
    </row>
    <row r="16" spans="1:24" ht="15.75" thickBot="1" x14ac:dyDescent="0.3">
      <c r="A16" s="201">
        <v>880</v>
      </c>
      <c r="B16" s="55" t="s">
        <v>180</v>
      </c>
      <c r="C16" s="55" t="s">
        <v>460</v>
      </c>
      <c r="D16" s="55">
        <v>100000</v>
      </c>
      <c r="E16" s="55">
        <f t="shared" si="0"/>
        <v>98314</v>
      </c>
      <c r="F16" s="55">
        <f t="shared" si="1"/>
        <v>1686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>
        <v>38200</v>
      </c>
      <c r="T16" s="26">
        <v>3753</v>
      </c>
      <c r="U16" s="26"/>
      <c r="V16" s="26"/>
      <c r="W16" s="26">
        <v>56361</v>
      </c>
      <c r="X16" s="26"/>
    </row>
    <row r="17" spans="1:24" ht="15.75" thickBot="1" x14ac:dyDescent="0.3">
      <c r="A17" s="201">
        <v>880</v>
      </c>
      <c r="B17" s="55" t="s">
        <v>180</v>
      </c>
      <c r="C17" s="55" t="s">
        <v>435</v>
      </c>
      <c r="D17" s="55">
        <v>88902</v>
      </c>
      <c r="E17" s="55">
        <f t="shared" si="0"/>
        <v>53529</v>
      </c>
      <c r="F17" s="55">
        <f t="shared" si="1"/>
        <v>35373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>
        <v>15686</v>
      </c>
      <c r="R17" s="26"/>
      <c r="S17" s="26">
        <f>7195+8077</f>
        <v>15272</v>
      </c>
      <c r="T17" s="26"/>
      <c r="U17" s="26"/>
      <c r="V17" s="26">
        <v>3755</v>
      </c>
      <c r="W17" s="26">
        <v>18816</v>
      </c>
      <c r="X17" s="26"/>
    </row>
    <row r="18" spans="1:24" ht="15.75" thickBot="1" x14ac:dyDescent="0.3">
      <c r="A18" s="201">
        <v>880</v>
      </c>
      <c r="B18" s="55" t="s">
        <v>180</v>
      </c>
      <c r="C18" s="55" t="s">
        <v>461</v>
      </c>
      <c r="D18" s="55">
        <v>95517</v>
      </c>
      <c r="E18" s="55">
        <f t="shared" si="0"/>
        <v>59</v>
      </c>
      <c r="F18" s="55">
        <f t="shared" si="1"/>
        <v>95458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>
        <v>49</v>
      </c>
      <c r="S18" s="26">
        <v>10</v>
      </c>
      <c r="T18" s="26"/>
      <c r="U18" s="26"/>
      <c r="V18" s="26"/>
      <c r="W18" s="26"/>
      <c r="X18" s="26"/>
    </row>
    <row r="19" spans="1:24" ht="15" thickBot="1" x14ac:dyDescent="0.35">
      <c r="A19" s="201">
        <v>880</v>
      </c>
      <c r="B19" s="55" t="s">
        <v>180</v>
      </c>
      <c r="C19" s="55" t="s">
        <v>469</v>
      </c>
      <c r="D19" s="55">
        <v>63672</v>
      </c>
      <c r="E19" s="55">
        <f t="shared" si="0"/>
        <v>28889</v>
      </c>
      <c r="F19" s="55">
        <f t="shared" ref="F19" si="2">D19-E19</f>
        <v>34783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>
        <v>28889</v>
      </c>
      <c r="X19" s="26"/>
    </row>
    <row r="20" spans="1:24" ht="15" thickBot="1" x14ac:dyDescent="0.35">
      <c r="A20" s="201">
        <v>1050</v>
      </c>
      <c r="B20" s="55" t="s">
        <v>434</v>
      </c>
      <c r="C20" s="55"/>
      <c r="D20" s="55">
        <v>140277</v>
      </c>
      <c r="E20" s="55">
        <f t="shared" si="0"/>
        <v>0</v>
      </c>
      <c r="F20" s="55">
        <f t="shared" si="1"/>
        <v>140277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ht="15" thickBot="1" x14ac:dyDescent="0.35">
      <c r="A21" s="201">
        <v>1390</v>
      </c>
      <c r="B21" s="55" t="s">
        <v>464</v>
      </c>
      <c r="C21" s="55"/>
      <c r="D21" s="55">
        <v>35000</v>
      </c>
      <c r="E21" s="55">
        <f t="shared" si="0"/>
        <v>0</v>
      </c>
      <c r="F21" s="55">
        <f t="shared" si="1"/>
        <v>35000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ht="15" thickBot="1" x14ac:dyDescent="0.35">
      <c r="A22" s="201">
        <v>2000</v>
      </c>
      <c r="B22" s="55" t="s">
        <v>432</v>
      </c>
      <c r="C22" s="55" t="s">
        <v>433</v>
      </c>
      <c r="D22" s="55">
        <v>76365</v>
      </c>
      <c r="E22" s="55">
        <f t="shared" si="0"/>
        <v>49200</v>
      </c>
      <c r="F22" s="55">
        <f t="shared" si="1"/>
        <v>27165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>
        <v>20000</v>
      </c>
      <c r="S22" s="26"/>
      <c r="T22" s="26">
        <v>10000</v>
      </c>
      <c r="U22" s="26">
        <v>19200</v>
      </c>
      <c r="V22" s="26"/>
      <c r="W22" s="26"/>
      <c r="X22" s="26"/>
    </row>
    <row r="23" spans="1:24" ht="15" thickBot="1" x14ac:dyDescent="0.35">
      <c r="A23" s="201">
        <v>2000</v>
      </c>
      <c r="B23" s="55" t="s">
        <v>432</v>
      </c>
      <c r="C23" s="55" t="s">
        <v>431</v>
      </c>
      <c r="D23" s="55">
        <v>100000</v>
      </c>
      <c r="E23" s="55">
        <f t="shared" si="0"/>
        <v>14145</v>
      </c>
      <c r="F23" s="55">
        <f t="shared" si="1"/>
        <v>85855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>
        <f>15000-7155</f>
        <v>7845</v>
      </c>
      <c r="S23" s="26"/>
      <c r="T23" s="26">
        <v>5000</v>
      </c>
      <c r="U23" s="26"/>
      <c r="V23" s="26"/>
      <c r="W23" s="26"/>
      <c r="X23" s="26">
        <v>1300</v>
      </c>
    </row>
    <row r="24" spans="1:24" ht="15" thickBot="1" x14ac:dyDescent="0.35">
      <c r="A24" s="201">
        <v>2690</v>
      </c>
      <c r="B24" s="55" t="s">
        <v>462</v>
      </c>
      <c r="C24" s="55" t="s">
        <v>463</v>
      </c>
      <c r="D24" s="55">
        <v>30000</v>
      </c>
      <c r="E24" s="55">
        <f t="shared" si="0"/>
        <v>3596</v>
      </c>
      <c r="F24" s="55">
        <f t="shared" si="1"/>
        <v>26404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3596</v>
      </c>
    </row>
    <row r="25" spans="1:24" ht="15" thickBot="1" x14ac:dyDescent="0.35">
      <c r="A25" s="201">
        <v>2690</v>
      </c>
      <c r="B25" s="55" t="s">
        <v>462</v>
      </c>
      <c r="C25" s="55" t="s">
        <v>465</v>
      </c>
      <c r="D25" s="55">
        <v>30000</v>
      </c>
      <c r="E25" s="55">
        <f t="shared" si="0"/>
        <v>3500</v>
      </c>
      <c r="F25" s="55">
        <f t="shared" si="1"/>
        <v>26500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3500</v>
      </c>
    </row>
    <row r="26" spans="1:24" ht="15" thickBot="1" x14ac:dyDescent="0.35">
      <c r="A26" s="200"/>
      <c r="B26" s="55"/>
      <c r="C26" s="55"/>
      <c r="D26" s="55"/>
      <c r="E26" s="55"/>
      <c r="F26" s="5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X26" s="26"/>
    </row>
    <row r="27" spans="1:24" s="73" customFormat="1" ht="15" thickBot="1" x14ac:dyDescent="0.35">
      <c r="A27" s="199"/>
      <c r="B27" s="95"/>
      <c r="C27" s="95"/>
      <c r="D27" s="95">
        <f t="shared" ref="D27:X27" si="3">SUM(D11:D26)</f>
        <v>1612814</v>
      </c>
      <c r="E27" s="95">
        <f t="shared" si="3"/>
        <v>395153</v>
      </c>
      <c r="F27" s="95">
        <f t="shared" si="3"/>
        <v>1217661</v>
      </c>
      <c r="G27" s="124">
        <f t="shared" si="3"/>
        <v>0</v>
      </c>
      <c r="H27" s="124">
        <f t="shared" si="3"/>
        <v>0</v>
      </c>
      <c r="I27" s="124">
        <f t="shared" si="3"/>
        <v>0</v>
      </c>
      <c r="J27" s="124">
        <f t="shared" si="3"/>
        <v>0</v>
      </c>
      <c r="K27" s="124">
        <f t="shared" si="3"/>
        <v>0</v>
      </c>
      <c r="L27" s="124">
        <f t="shared" si="3"/>
        <v>0</v>
      </c>
      <c r="M27" s="124">
        <f t="shared" si="3"/>
        <v>0</v>
      </c>
      <c r="N27" s="124">
        <f t="shared" si="3"/>
        <v>0</v>
      </c>
      <c r="O27" s="124">
        <f t="shared" si="3"/>
        <v>0</v>
      </c>
      <c r="P27" s="124">
        <f t="shared" si="3"/>
        <v>0</v>
      </c>
      <c r="Q27" s="124">
        <f t="shared" si="3"/>
        <v>15686</v>
      </c>
      <c r="R27" s="124">
        <f t="shared" si="3"/>
        <v>27930</v>
      </c>
      <c r="S27" s="124">
        <f t="shared" si="3"/>
        <v>54082</v>
      </c>
      <c r="T27" s="124">
        <f t="shared" si="3"/>
        <v>18779</v>
      </c>
      <c r="U27" s="124">
        <f t="shared" si="3"/>
        <v>39892</v>
      </c>
      <c r="V27" s="124">
        <f t="shared" si="3"/>
        <v>26122</v>
      </c>
      <c r="W27" s="124">
        <f t="shared" si="3"/>
        <v>204266</v>
      </c>
      <c r="X27" s="124">
        <f t="shared" si="3"/>
        <v>8396</v>
      </c>
    </row>
    <row r="28" spans="1:24" x14ac:dyDescent="0.3">
      <c r="D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x14ac:dyDescent="0.3">
      <c r="D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x14ac:dyDescent="0.3">
      <c r="D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4" x14ac:dyDescent="0.3">
      <c r="D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x14ac:dyDescent="0.3">
      <c r="D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4:24" x14ac:dyDescent="0.3">
      <c r="D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4:24" x14ac:dyDescent="0.3">
      <c r="D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spans="4:24" x14ac:dyDescent="0.3">
      <c r="D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4:24" x14ac:dyDescent="0.3">
      <c r="D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spans="4:24" x14ac:dyDescent="0.3">
      <c r="D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 spans="4:24" x14ac:dyDescent="0.3">
      <c r="D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spans="4:24" x14ac:dyDescent="0.3">
      <c r="D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spans="4:24" x14ac:dyDescent="0.3">
      <c r="D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 spans="4:24" x14ac:dyDescent="0.3">
      <c r="D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spans="4:24" x14ac:dyDescent="0.3"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spans="4:24" x14ac:dyDescent="0.3"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spans="4:24" x14ac:dyDescent="0.3"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4:24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4:24" x14ac:dyDescent="0.3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4:24" x14ac:dyDescent="0.3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4:24" x14ac:dyDescent="0.3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7:24" x14ac:dyDescent="0.3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7:24" x14ac:dyDescent="0.3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7:24" x14ac:dyDescent="0.3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7:24" x14ac:dyDescent="0.3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7:24" x14ac:dyDescent="0.3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7:24" x14ac:dyDescent="0.3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7:24" x14ac:dyDescent="0.3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7:24" x14ac:dyDescent="0.3"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7:24" x14ac:dyDescent="0.3"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7:24" x14ac:dyDescent="0.3"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7:24" x14ac:dyDescent="0.3"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CCFFCC"/>
  </sheetPr>
  <dimension ref="A1:P53"/>
  <sheetViews>
    <sheetView workbookViewId="0">
      <selection activeCell="N12" sqref="N12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35.109375" style="4" customWidth="1"/>
    <col min="4" max="4" width="15.88671875" style="4" customWidth="1"/>
    <col min="5" max="5" width="11.44140625" style="4" customWidth="1"/>
    <col min="6" max="6" width="18" style="4" customWidth="1"/>
    <col min="7" max="12" width="9.109375" style="4"/>
    <col min="13" max="13" width="11.44140625" style="4" customWidth="1"/>
    <col min="14" max="14" width="9.109375" style="4"/>
    <col min="15" max="15" width="12" style="4" customWidth="1"/>
    <col min="16" max="16" width="10.88671875" style="4" customWidth="1"/>
    <col min="17" max="16384" width="9.109375" style="4"/>
  </cols>
  <sheetData>
    <row r="1" spans="1:15" ht="21" x14ac:dyDescent="0.35">
      <c r="A1" s="93" t="s">
        <v>0</v>
      </c>
      <c r="B1" s="87"/>
      <c r="C1" s="81" t="s">
        <v>446</v>
      </c>
      <c r="D1" s="88"/>
      <c r="E1" s="87"/>
      <c r="F1" s="87"/>
      <c r="G1" s="87"/>
      <c r="H1" s="87"/>
      <c r="I1" s="81" t="str">
        <f>C1</f>
        <v>Title 1A Diagnostic Review</v>
      </c>
      <c r="J1" s="87"/>
      <c r="K1" s="87"/>
      <c r="L1" s="87"/>
      <c r="M1" s="87"/>
      <c r="N1" s="87"/>
      <c r="O1" s="87"/>
    </row>
    <row r="2" spans="1:15" ht="18.75" x14ac:dyDescent="0.3">
      <c r="A2" s="94" t="s">
        <v>1</v>
      </c>
      <c r="B2" s="87"/>
      <c r="C2" s="155" t="s">
        <v>282</v>
      </c>
      <c r="D2" s="88"/>
      <c r="E2" s="87"/>
      <c r="F2" s="87"/>
      <c r="G2" s="87"/>
      <c r="H2" s="87"/>
      <c r="I2" s="70" t="str">
        <f>"FY"&amp;C4</f>
        <v>FY2011-12</v>
      </c>
      <c r="J2" s="87"/>
      <c r="K2" s="87"/>
      <c r="L2" s="87"/>
      <c r="M2" s="87"/>
      <c r="N2" s="87"/>
      <c r="O2" s="87"/>
    </row>
    <row r="3" spans="1:15" ht="15.75" x14ac:dyDescent="0.25">
      <c r="A3" s="94" t="s">
        <v>2</v>
      </c>
      <c r="B3" s="87"/>
      <c r="C3" s="91">
        <v>5010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 ht="15.75" x14ac:dyDescent="0.2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5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</row>
    <row r="6" spans="1:15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</row>
    <row r="7" spans="1:15" ht="15.6" x14ac:dyDescent="0.3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</row>
    <row r="8" spans="1:15" s="28" customFormat="1" ht="21" x14ac:dyDescent="0.4">
      <c r="A8" s="93" t="s">
        <v>450</v>
      </c>
      <c r="B8" s="82"/>
      <c r="C8" s="82"/>
      <c r="D8" s="81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15" ht="15" thickBot="1" x14ac:dyDescent="0.3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15" ht="29.4" thickBot="1" x14ac:dyDescent="0.35">
      <c r="A10" s="62" t="s">
        <v>4</v>
      </c>
      <c r="B10" s="89" t="s">
        <v>265</v>
      </c>
      <c r="C10" s="89" t="s">
        <v>240</v>
      </c>
      <c r="D10" s="62" t="s">
        <v>61</v>
      </c>
      <c r="E10" s="62" t="s">
        <v>62</v>
      </c>
      <c r="F10" s="132" t="s">
        <v>63</v>
      </c>
      <c r="G10" s="62" t="s">
        <v>71</v>
      </c>
      <c r="H10" s="60" t="s">
        <v>72</v>
      </c>
      <c r="I10" s="62" t="s">
        <v>73</v>
      </c>
      <c r="J10" s="60" t="s">
        <v>74</v>
      </c>
      <c r="K10" s="62" t="s">
        <v>75</v>
      </c>
      <c r="L10" s="60" t="s">
        <v>76</v>
      </c>
      <c r="M10" s="62" t="s">
        <v>77</v>
      </c>
      <c r="N10" s="61" t="s">
        <v>78</v>
      </c>
    </row>
    <row r="11" spans="1:15" ht="15" thickBot="1" x14ac:dyDescent="0.35">
      <c r="A11" s="203" t="s">
        <v>7</v>
      </c>
      <c r="B11" s="55" t="s">
        <v>154</v>
      </c>
      <c r="C11" s="55"/>
      <c r="D11" s="55">
        <v>51729</v>
      </c>
      <c r="E11" s="55">
        <f t="shared" ref="E11:E19" si="0">SUM(G11:N11)</f>
        <v>48673</v>
      </c>
      <c r="F11" s="55">
        <f t="shared" ref="F11:F19" si="1">D11-E11</f>
        <v>3056</v>
      </c>
      <c r="G11" s="26"/>
      <c r="H11" s="26"/>
      <c r="I11" s="26"/>
      <c r="J11" s="26">
        <v>31202</v>
      </c>
      <c r="K11" s="26">
        <v>17074</v>
      </c>
      <c r="L11" s="26"/>
      <c r="M11" s="26"/>
      <c r="N11" s="26">
        <v>397</v>
      </c>
    </row>
    <row r="12" spans="1:15" ht="15" thickBot="1" x14ac:dyDescent="0.35">
      <c r="A12" s="203" t="s">
        <v>122</v>
      </c>
      <c r="B12" s="55" t="s">
        <v>180</v>
      </c>
      <c r="C12" s="55" t="s">
        <v>441</v>
      </c>
      <c r="D12" s="55">
        <v>60000</v>
      </c>
      <c r="E12" s="55">
        <f t="shared" si="0"/>
        <v>0</v>
      </c>
      <c r="F12" s="55">
        <f t="shared" si="1"/>
        <v>60000</v>
      </c>
      <c r="G12" s="26"/>
      <c r="H12" s="26"/>
      <c r="I12" s="26"/>
      <c r="J12" s="26"/>
      <c r="K12" s="26"/>
      <c r="L12" s="26"/>
      <c r="M12" s="26"/>
      <c r="N12" s="26"/>
    </row>
    <row r="13" spans="1:15" ht="15" thickBot="1" x14ac:dyDescent="0.35">
      <c r="A13" s="203" t="s">
        <v>122</v>
      </c>
      <c r="B13" s="55" t="s">
        <v>180</v>
      </c>
      <c r="C13" s="55" t="s">
        <v>443</v>
      </c>
      <c r="D13" s="55">
        <v>60000</v>
      </c>
      <c r="E13" s="55">
        <f t="shared" si="0"/>
        <v>0</v>
      </c>
      <c r="F13" s="55">
        <f t="shared" si="1"/>
        <v>60000</v>
      </c>
      <c r="G13" s="26"/>
      <c r="H13" s="26"/>
      <c r="I13" s="26"/>
      <c r="J13" s="26"/>
      <c r="K13" s="26"/>
      <c r="L13" s="26"/>
      <c r="M13" s="26"/>
      <c r="N13" s="26"/>
    </row>
    <row r="14" spans="1:15" ht="15" thickBot="1" x14ac:dyDescent="0.35">
      <c r="A14" s="203" t="s">
        <v>122</v>
      </c>
      <c r="B14" s="55" t="s">
        <v>180</v>
      </c>
      <c r="C14" s="55" t="s">
        <v>442</v>
      </c>
      <c r="D14" s="55">
        <v>60000</v>
      </c>
      <c r="E14" s="55">
        <f t="shared" si="0"/>
        <v>0</v>
      </c>
      <c r="F14" s="55">
        <f t="shared" si="1"/>
        <v>60000</v>
      </c>
      <c r="G14" s="26"/>
      <c r="H14" s="26"/>
      <c r="I14" s="26"/>
      <c r="J14" s="26"/>
      <c r="K14" s="26"/>
      <c r="L14" s="26"/>
      <c r="M14" s="26"/>
      <c r="N14" s="26"/>
    </row>
    <row r="15" spans="1:15" ht="15" thickBot="1" x14ac:dyDescent="0.35">
      <c r="A15" s="203" t="s">
        <v>122</v>
      </c>
      <c r="B15" s="55" t="s">
        <v>180</v>
      </c>
      <c r="C15" s="55" t="s">
        <v>444</v>
      </c>
      <c r="D15" s="55">
        <v>60000</v>
      </c>
      <c r="E15" s="55">
        <f t="shared" si="0"/>
        <v>0</v>
      </c>
      <c r="F15" s="55">
        <f t="shared" si="1"/>
        <v>60000</v>
      </c>
      <c r="G15" s="26"/>
      <c r="H15" s="26"/>
      <c r="I15" s="26"/>
      <c r="J15" s="26"/>
      <c r="K15" s="26"/>
      <c r="L15" s="26"/>
      <c r="M15" s="26"/>
      <c r="N15" s="26"/>
    </row>
    <row r="16" spans="1:15" ht="15" thickBot="1" x14ac:dyDescent="0.35">
      <c r="A16" s="203" t="s">
        <v>122</v>
      </c>
      <c r="B16" s="55" t="s">
        <v>180</v>
      </c>
      <c r="C16" s="55" t="s">
        <v>445</v>
      </c>
      <c r="D16" s="55">
        <v>60000</v>
      </c>
      <c r="E16" s="55">
        <f t="shared" si="0"/>
        <v>30685</v>
      </c>
      <c r="F16" s="55">
        <f t="shared" si="1"/>
        <v>29315</v>
      </c>
      <c r="G16" s="26"/>
      <c r="H16" s="26"/>
      <c r="I16" s="26"/>
      <c r="J16" s="26"/>
      <c r="K16" s="26"/>
      <c r="L16" s="26">
        <v>30685</v>
      </c>
      <c r="M16" s="26"/>
      <c r="N16" s="26"/>
    </row>
    <row r="17" spans="1:16" ht="15" thickBot="1" x14ac:dyDescent="0.35">
      <c r="A17" s="203" t="s">
        <v>122</v>
      </c>
      <c r="B17" s="55" t="s">
        <v>180</v>
      </c>
      <c r="C17" s="55" t="s">
        <v>550</v>
      </c>
      <c r="D17" s="55">
        <v>60000</v>
      </c>
      <c r="E17" s="55">
        <f t="shared" si="0"/>
        <v>26307</v>
      </c>
      <c r="F17" s="55">
        <f t="shared" si="1"/>
        <v>33693</v>
      </c>
      <c r="G17" s="26"/>
      <c r="H17" s="26"/>
      <c r="I17" s="26"/>
      <c r="J17" s="26"/>
      <c r="K17" s="26"/>
      <c r="L17" s="26">
        <v>26307</v>
      </c>
      <c r="M17" s="26"/>
      <c r="N17" s="26"/>
    </row>
    <row r="18" spans="1:16" ht="15" thickBot="1" x14ac:dyDescent="0.35">
      <c r="A18" s="202">
        <v>1180</v>
      </c>
      <c r="B18" s="55" t="s">
        <v>439</v>
      </c>
      <c r="C18" s="55" t="s">
        <v>438</v>
      </c>
      <c r="D18" s="55">
        <v>69862</v>
      </c>
      <c r="E18" s="55">
        <f t="shared" si="0"/>
        <v>57199</v>
      </c>
      <c r="F18" s="55">
        <f t="shared" si="1"/>
        <v>12663</v>
      </c>
      <c r="G18" s="26"/>
      <c r="H18" s="26"/>
      <c r="I18" s="26"/>
      <c r="J18" s="26"/>
      <c r="K18" s="26"/>
      <c r="L18" s="26"/>
      <c r="M18" s="26"/>
      <c r="N18" s="26">
        <v>57199</v>
      </c>
    </row>
    <row r="19" spans="1:16" ht="15" thickBot="1" x14ac:dyDescent="0.35">
      <c r="A19" s="202">
        <v>1180</v>
      </c>
      <c r="B19" s="55" t="s">
        <v>439</v>
      </c>
      <c r="C19" s="55" t="s">
        <v>440</v>
      </c>
      <c r="D19" s="55">
        <v>71120</v>
      </c>
      <c r="E19" s="55">
        <f t="shared" si="0"/>
        <v>64425</v>
      </c>
      <c r="F19" s="55">
        <f t="shared" si="1"/>
        <v>6695</v>
      </c>
      <c r="G19" s="26"/>
      <c r="H19" s="26"/>
      <c r="I19" s="26"/>
      <c r="J19" s="26"/>
      <c r="K19" s="26"/>
      <c r="L19" s="26"/>
      <c r="M19" s="26"/>
      <c r="N19" s="26">
        <v>64425</v>
      </c>
    </row>
    <row r="20" spans="1:16" ht="15" thickBot="1" x14ac:dyDescent="0.35">
      <c r="A20" s="55"/>
      <c r="B20" s="55"/>
      <c r="C20" s="55"/>
      <c r="D20" s="55"/>
      <c r="E20" s="55"/>
      <c r="F20" s="55"/>
      <c r="G20" s="26"/>
      <c r="H20" s="26"/>
      <c r="I20" s="26"/>
      <c r="J20" s="26"/>
      <c r="K20" s="26"/>
      <c r="L20" s="26"/>
      <c r="M20" s="26"/>
      <c r="N20" s="26"/>
    </row>
    <row r="21" spans="1:16" s="73" customFormat="1" ht="15" thickBot="1" x14ac:dyDescent="0.35">
      <c r="A21" s="95"/>
      <c r="B21" s="95"/>
      <c r="C21" s="95"/>
      <c r="D21" s="95">
        <f t="shared" ref="D21:N21" si="2">SUM(D11:D20)</f>
        <v>552711</v>
      </c>
      <c r="E21" s="95">
        <f t="shared" si="2"/>
        <v>227289</v>
      </c>
      <c r="F21" s="95">
        <f t="shared" si="2"/>
        <v>325422</v>
      </c>
      <c r="G21" s="124">
        <f t="shared" si="2"/>
        <v>0</v>
      </c>
      <c r="H21" s="124">
        <f t="shared" si="2"/>
        <v>0</v>
      </c>
      <c r="I21" s="124">
        <f t="shared" si="2"/>
        <v>0</v>
      </c>
      <c r="J21" s="124">
        <f t="shared" si="2"/>
        <v>31202</v>
      </c>
      <c r="K21" s="124">
        <f t="shared" si="2"/>
        <v>17074</v>
      </c>
      <c r="L21" s="124">
        <f t="shared" si="2"/>
        <v>56992</v>
      </c>
      <c r="M21" s="124">
        <f t="shared" si="2"/>
        <v>0</v>
      </c>
      <c r="N21" s="124">
        <f t="shared" si="2"/>
        <v>122021</v>
      </c>
    </row>
    <row r="22" spans="1:16" x14ac:dyDescent="0.3">
      <c r="D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3">
      <c r="D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3">
      <c r="D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3">
      <c r="D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3">
      <c r="D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x14ac:dyDescent="0.3">
      <c r="D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 x14ac:dyDescent="0.3">
      <c r="D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16" x14ac:dyDescent="0.3">
      <c r="D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 x14ac:dyDescent="0.3">
      <c r="D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1:16" x14ac:dyDescent="0.3">
      <c r="D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 x14ac:dyDescent="0.3">
      <c r="D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4:16" x14ac:dyDescent="0.3">
      <c r="D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4:16" x14ac:dyDescent="0.3">
      <c r="D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4:16" x14ac:dyDescent="0.3">
      <c r="D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4:16" x14ac:dyDescent="0.3"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4:16" x14ac:dyDescent="0.3"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4:16" x14ac:dyDescent="0.3"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4:16" x14ac:dyDescent="0.3"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4:16" x14ac:dyDescent="0.3"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4:16" x14ac:dyDescent="0.3"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4:16" x14ac:dyDescent="0.3"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4:16" x14ac:dyDescent="0.3"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4:16" x14ac:dyDescent="0.3"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4:16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4:16" x14ac:dyDescent="0.3"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4:16" x14ac:dyDescent="0.3"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4:16" x14ac:dyDescent="0.3"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7:16" x14ac:dyDescent="0.3"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7:16" x14ac:dyDescent="0.3"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7:16" x14ac:dyDescent="0.3"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7:16" x14ac:dyDescent="0.3"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7:16" x14ac:dyDescent="0.3">
      <c r="G53" s="26"/>
      <c r="H53" s="26"/>
      <c r="I53" s="26"/>
      <c r="J53" s="26"/>
      <c r="K53" s="26"/>
      <c r="L53" s="26"/>
      <c r="M53" s="26"/>
      <c r="N53" s="26"/>
      <c r="O53" s="26"/>
      <c r="P53" s="26"/>
    </row>
  </sheetData>
  <sheetProtection password="CCD4" sheet="1" objects="1" scenarios="1"/>
  <sortState ref="A11:N19">
    <sortCondition ref="A11:A19"/>
    <sortCondition ref="C11:C19"/>
  </sortState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CCFFCC"/>
  </sheetPr>
  <dimension ref="A1:P46"/>
  <sheetViews>
    <sheetView workbookViewId="0">
      <selection activeCell="F12" sqref="F12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35.109375" style="4" customWidth="1"/>
    <col min="4" max="4" width="15.88671875" style="4" customWidth="1"/>
    <col min="5" max="5" width="11.44140625" style="4" customWidth="1"/>
    <col min="6" max="6" width="18" style="4" customWidth="1"/>
    <col min="7" max="11" width="9.109375" style="4"/>
    <col min="12" max="12" width="8.5546875" style="4" bestFit="1" customWidth="1"/>
    <col min="13" max="13" width="11.6640625" style="4" customWidth="1"/>
    <col min="14" max="14" width="9.109375" style="4"/>
    <col min="15" max="15" width="12" style="4" customWidth="1"/>
    <col min="16" max="16" width="10.88671875" style="4" customWidth="1"/>
    <col min="17" max="16384" width="9.109375" style="4"/>
  </cols>
  <sheetData>
    <row r="1" spans="1:16" ht="21" x14ac:dyDescent="0.35">
      <c r="A1" s="93" t="s">
        <v>0</v>
      </c>
      <c r="B1" s="87"/>
      <c r="C1" s="81" t="s">
        <v>449</v>
      </c>
      <c r="D1" s="88"/>
      <c r="E1" s="87"/>
      <c r="F1" s="87"/>
      <c r="G1" s="87"/>
      <c r="H1" s="87"/>
      <c r="I1" s="81" t="str">
        <f>C1</f>
        <v>Title 1A UVA Leadership Pilot</v>
      </c>
      <c r="J1" s="87"/>
      <c r="K1" s="87"/>
      <c r="L1" s="87"/>
      <c r="M1" s="87"/>
      <c r="N1" s="87"/>
      <c r="O1" s="87"/>
      <c r="P1" s="28"/>
    </row>
    <row r="2" spans="1:16" ht="21" x14ac:dyDescent="0.35">
      <c r="A2" s="94" t="s">
        <v>1</v>
      </c>
      <c r="B2" s="87"/>
      <c r="C2" s="155" t="s">
        <v>282</v>
      </c>
      <c r="D2" s="88"/>
      <c r="E2" s="87"/>
      <c r="F2" s="87"/>
      <c r="G2" s="87"/>
      <c r="H2" s="87"/>
      <c r="I2" s="70" t="str">
        <f>"FY"&amp;C4</f>
        <v>FY2011-12</v>
      </c>
      <c r="J2" s="87"/>
      <c r="K2" s="87"/>
      <c r="L2" s="87"/>
      <c r="M2" s="87"/>
      <c r="N2" s="87"/>
      <c r="O2" s="87"/>
      <c r="P2" s="28"/>
    </row>
    <row r="3" spans="1:16" ht="21" x14ac:dyDescent="0.35">
      <c r="A3" s="94" t="s">
        <v>2</v>
      </c>
      <c r="B3" s="87"/>
      <c r="C3" s="91">
        <v>5010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28"/>
    </row>
    <row r="4" spans="1:16" ht="21" x14ac:dyDescent="0.3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28"/>
    </row>
    <row r="5" spans="1:16" ht="21" x14ac:dyDescent="0.3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28"/>
    </row>
    <row r="6" spans="1:16" ht="21" x14ac:dyDescent="0.4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28"/>
    </row>
    <row r="7" spans="1:16" ht="21" x14ac:dyDescent="0.4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28"/>
    </row>
    <row r="8" spans="1:16" s="28" customFormat="1" ht="21" x14ac:dyDescent="0.4">
      <c r="A8" s="93" t="s">
        <v>436</v>
      </c>
      <c r="B8" s="82"/>
      <c r="C8" s="82"/>
      <c r="D8" s="81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16" ht="15" thickBot="1" x14ac:dyDescent="0.3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</row>
    <row r="10" spans="1:16" ht="29.4" thickBot="1" x14ac:dyDescent="0.35">
      <c r="A10" s="62" t="s">
        <v>4</v>
      </c>
      <c r="B10" s="89" t="s">
        <v>265</v>
      </c>
      <c r="C10" s="89" t="s">
        <v>240</v>
      </c>
      <c r="D10" s="62" t="s">
        <v>61</v>
      </c>
      <c r="E10" s="62" t="s">
        <v>62</v>
      </c>
      <c r="F10" s="132" t="s">
        <v>63</v>
      </c>
      <c r="G10" s="62" t="s">
        <v>71</v>
      </c>
      <c r="H10" s="60" t="s">
        <v>72</v>
      </c>
      <c r="I10" s="62" t="s">
        <v>73</v>
      </c>
      <c r="J10" s="60" t="s">
        <v>74</v>
      </c>
      <c r="K10" s="62" t="s">
        <v>75</v>
      </c>
      <c r="L10" s="60" t="s">
        <v>76</v>
      </c>
      <c r="M10" s="62" t="s">
        <v>77</v>
      </c>
      <c r="N10" s="61" t="s">
        <v>78</v>
      </c>
      <c r="O10" s="61" t="s">
        <v>557</v>
      </c>
    </row>
    <row r="11" spans="1:16" ht="36.75" customHeight="1" thickBot="1" x14ac:dyDescent="0.35">
      <c r="A11" s="202">
        <v>30</v>
      </c>
      <c r="B11" s="206" t="s">
        <v>154</v>
      </c>
      <c r="C11" s="207" t="s">
        <v>466</v>
      </c>
      <c r="D11" s="206">
        <v>225000</v>
      </c>
      <c r="E11" s="206">
        <f>SUM(G11:N11)</f>
        <v>67859</v>
      </c>
      <c r="F11" s="206">
        <f>D11-E11</f>
        <v>157141</v>
      </c>
      <c r="G11" s="205"/>
      <c r="H11" s="205"/>
      <c r="I11" s="205"/>
      <c r="J11" s="205"/>
      <c r="K11" s="205"/>
      <c r="L11" s="205">
        <v>64868</v>
      </c>
      <c r="M11" s="205">
        <v>2991</v>
      </c>
      <c r="N11" s="205"/>
    </row>
    <row r="12" spans="1:16" s="204" customFormat="1" ht="33" customHeight="1" thickBot="1" x14ac:dyDescent="0.35">
      <c r="A12" s="202">
        <v>123</v>
      </c>
      <c r="B12" s="206" t="s">
        <v>448</v>
      </c>
      <c r="C12" s="207" t="s">
        <v>447</v>
      </c>
      <c r="D12" s="206">
        <v>211000</v>
      </c>
      <c r="E12" s="206">
        <f>SUM(G12:N12)</f>
        <v>102800</v>
      </c>
      <c r="F12" s="206">
        <f>D12-E12</f>
        <v>108200</v>
      </c>
      <c r="G12" s="205"/>
      <c r="H12" s="205">
        <v>102800</v>
      </c>
      <c r="I12" s="205"/>
      <c r="J12" s="205"/>
      <c r="K12" s="205"/>
      <c r="L12" s="205"/>
      <c r="M12" s="205"/>
      <c r="N12" s="205"/>
      <c r="O12" s="204">
        <v>8400</v>
      </c>
    </row>
    <row r="13" spans="1:16" ht="15" thickBot="1" x14ac:dyDescent="0.35">
      <c r="A13" s="55"/>
      <c r="B13" s="55"/>
      <c r="C13" s="55"/>
      <c r="D13" s="55"/>
      <c r="E13" s="55"/>
      <c r="F13" s="55"/>
      <c r="G13" s="26"/>
      <c r="H13" s="26"/>
      <c r="I13" s="26"/>
      <c r="J13" s="26"/>
      <c r="K13" s="26"/>
      <c r="L13" s="26"/>
      <c r="M13" s="26"/>
      <c r="N13" s="26"/>
    </row>
    <row r="14" spans="1:16" s="73" customFormat="1" ht="15" thickBot="1" x14ac:dyDescent="0.35">
      <c r="A14" s="95"/>
      <c r="B14" s="95"/>
      <c r="C14" s="95"/>
      <c r="D14" s="95">
        <f>SUM(D11:D13)</f>
        <v>436000</v>
      </c>
      <c r="E14" s="95">
        <f>SUM(E11:E13)</f>
        <v>170659</v>
      </c>
      <c r="F14" s="95">
        <f>SUM(F11:F13)</f>
        <v>265341</v>
      </c>
      <c r="G14" s="124">
        <f>SUM(G11:G13)</f>
        <v>0</v>
      </c>
      <c r="H14" s="124">
        <f t="shared" ref="H14:O14" si="0">SUM(H11:H13)</f>
        <v>102800</v>
      </c>
      <c r="I14" s="124">
        <f t="shared" si="0"/>
        <v>0</v>
      </c>
      <c r="J14" s="124">
        <f t="shared" si="0"/>
        <v>0</v>
      </c>
      <c r="K14" s="124">
        <f t="shared" si="0"/>
        <v>0</v>
      </c>
      <c r="L14" s="124">
        <f t="shared" si="0"/>
        <v>64868</v>
      </c>
      <c r="M14" s="124">
        <f t="shared" si="0"/>
        <v>2991</v>
      </c>
      <c r="N14" s="124">
        <f t="shared" si="0"/>
        <v>0</v>
      </c>
      <c r="O14" s="124">
        <f t="shared" si="0"/>
        <v>8400</v>
      </c>
    </row>
    <row r="15" spans="1:16" x14ac:dyDescent="0.3">
      <c r="D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x14ac:dyDescent="0.3">
      <c r="D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4:16" x14ac:dyDescent="0.3">
      <c r="D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4:16" x14ac:dyDescent="0.3">
      <c r="D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4:16" x14ac:dyDescent="0.3">
      <c r="D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4:16" x14ac:dyDescent="0.3">
      <c r="D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4:16" x14ac:dyDescent="0.3">
      <c r="D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4:16" x14ac:dyDescent="0.3">
      <c r="D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4:16" x14ac:dyDescent="0.3">
      <c r="D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4:16" x14ac:dyDescent="0.3">
      <c r="D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4:16" x14ac:dyDescent="0.3">
      <c r="D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4:16" x14ac:dyDescent="0.3">
      <c r="D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4:16" x14ac:dyDescent="0.3">
      <c r="D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4:16" x14ac:dyDescent="0.3">
      <c r="D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4:16" x14ac:dyDescent="0.3"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4:16" x14ac:dyDescent="0.3"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1" spans="4:16" x14ac:dyDescent="0.3"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4:16" x14ac:dyDescent="0.3"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7:16" x14ac:dyDescent="0.3"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7:16" x14ac:dyDescent="0.3"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7:16" x14ac:dyDescent="0.3"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7:16" x14ac:dyDescent="0.3"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7:16" x14ac:dyDescent="0.3"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7:16" x14ac:dyDescent="0.3"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7:16" x14ac:dyDescent="0.3"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7:16" x14ac:dyDescent="0.3"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7:16" x14ac:dyDescent="0.3"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7:16" x14ac:dyDescent="0.3"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7:16" x14ac:dyDescent="0.3"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7:16" x14ac:dyDescent="0.3"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7:16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7:16" x14ac:dyDescent="0.3">
      <c r="G46" s="26"/>
      <c r="H46" s="26"/>
      <c r="I46" s="26"/>
      <c r="J46" s="26"/>
      <c r="K46" s="26"/>
      <c r="L46" s="26"/>
      <c r="M46" s="26"/>
      <c r="N46" s="26"/>
      <c r="O46" s="26"/>
      <c r="P46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CCFFCC"/>
  </sheetPr>
  <dimension ref="A1:W48"/>
  <sheetViews>
    <sheetView workbookViewId="0">
      <pane xSplit="5" ySplit="10" topLeftCell="K11" activePane="bottomRight" state="frozen"/>
      <selection pane="topRight" activeCell="F1" sqref="F1"/>
      <selection pane="bottomLeft" activeCell="A11" sqref="A11"/>
      <selection pane="bottomRight" activeCell="T15" sqref="T15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9" width="9.109375" style="4"/>
    <col min="20" max="20" width="13.44140625" style="4" customWidth="1"/>
    <col min="21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2" ht="21" customHeight="1" x14ac:dyDescent="0.35">
      <c r="A1" s="93" t="s">
        <v>0</v>
      </c>
      <c r="B1" s="87"/>
      <c r="C1" s="81" t="s">
        <v>349</v>
      </c>
      <c r="D1" s="88"/>
      <c r="E1" s="87"/>
      <c r="F1" s="87"/>
      <c r="G1" s="87"/>
      <c r="H1" s="87"/>
      <c r="I1" s="87"/>
      <c r="J1" s="81" t="str">
        <f>C1</f>
        <v>Title V - Abstinence Education Grant Program</v>
      </c>
      <c r="K1" s="87"/>
      <c r="L1" s="87"/>
      <c r="M1" s="87"/>
      <c r="N1" s="87"/>
      <c r="O1" s="87"/>
      <c r="P1" s="87"/>
      <c r="Q1" s="81" t="str">
        <f>C1</f>
        <v>Title V - Abstinence Education Grant Program</v>
      </c>
      <c r="R1" s="87"/>
      <c r="S1" s="87"/>
      <c r="T1" s="87"/>
      <c r="U1" s="87"/>
      <c r="V1" s="87"/>
    </row>
    <row r="2" spans="1:22" ht="18.75" x14ac:dyDescent="0.3">
      <c r="A2" s="94" t="s">
        <v>1</v>
      </c>
      <c r="B2" s="87"/>
      <c r="C2" s="155">
        <v>93.234999999999999</v>
      </c>
      <c r="D2" s="88"/>
      <c r="E2" s="87"/>
      <c r="F2" s="87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</row>
    <row r="3" spans="1:22" ht="15.75" x14ac:dyDescent="0.25">
      <c r="A3" s="94" t="s">
        <v>2</v>
      </c>
      <c r="B3" s="87"/>
      <c r="C3" s="91">
        <v>6710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</row>
    <row r="4" spans="1:22" ht="15.75" x14ac:dyDescent="0.2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</row>
    <row r="5" spans="1:22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</row>
    <row r="7" spans="1:22" ht="15.75" x14ac:dyDescent="0.25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</row>
    <row r="8" spans="1:22" s="28" customFormat="1" ht="21" x14ac:dyDescent="0.35">
      <c r="A8" s="93" t="s">
        <v>261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1:22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</row>
    <row r="10" spans="1:22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64</v>
      </c>
      <c r="G10" s="60" t="s">
        <v>65</v>
      </c>
      <c r="H10" s="62" t="s">
        <v>66</v>
      </c>
      <c r="I10" s="60" t="s">
        <v>67</v>
      </c>
      <c r="J10" s="62" t="s">
        <v>68</v>
      </c>
      <c r="K10" s="60" t="s">
        <v>79</v>
      </c>
      <c r="L10" s="62" t="s">
        <v>69</v>
      </c>
      <c r="M10" s="60" t="s">
        <v>70</v>
      </c>
      <c r="N10" s="62" t="s">
        <v>71</v>
      </c>
      <c r="O10" s="60" t="s">
        <v>72</v>
      </c>
      <c r="P10" s="62" t="s">
        <v>73</v>
      </c>
      <c r="Q10" s="60" t="s">
        <v>74</v>
      </c>
      <c r="R10" s="62" t="s">
        <v>75</v>
      </c>
      <c r="S10" s="60" t="s">
        <v>76</v>
      </c>
      <c r="T10" s="62" t="s">
        <v>77</v>
      </c>
      <c r="U10" s="61" t="s">
        <v>78</v>
      </c>
      <c r="V10" s="61" t="s">
        <v>557</v>
      </c>
    </row>
    <row r="11" spans="1:22" ht="15.75" thickBot="1" x14ac:dyDescent="0.3">
      <c r="A11" s="156">
        <v>2810</v>
      </c>
      <c r="B11" s="55" t="s">
        <v>350</v>
      </c>
      <c r="C11" s="55">
        <v>97184</v>
      </c>
      <c r="D11" s="55">
        <f>SUM(F11:Z11)</f>
        <v>97184</v>
      </c>
      <c r="E11" s="55">
        <f>C11-D11</f>
        <v>0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>
        <v>26831</v>
      </c>
      <c r="Q11" s="26"/>
      <c r="R11" s="26">
        <v>37770</v>
      </c>
      <c r="S11" s="26"/>
      <c r="T11" s="26"/>
      <c r="U11" s="26"/>
      <c r="V11" s="26">
        <v>32583</v>
      </c>
    </row>
    <row r="12" spans="1:22" ht="15.75" thickBot="1" x14ac:dyDescent="0.3">
      <c r="A12" s="55" t="s">
        <v>351</v>
      </c>
      <c r="B12" s="55" t="s">
        <v>352</v>
      </c>
      <c r="C12" s="55">
        <v>58100</v>
      </c>
      <c r="D12" s="55">
        <f t="shared" ref="D12:D14" si="0">SUM(F12:Z12)</f>
        <v>53734</v>
      </c>
      <c r="E12" s="55">
        <f t="shared" ref="E12:E14" si="1">C12-D12</f>
        <v>4366</v>
      </c>
      <c r="F12" s="26"/>
      <c r="G12" s="26"/>
      <c r="H12" s="26"/>
      <c r="I12" s="26"/>
      <c r="J12" s="26"/>
      <c r="K12" s="26">
        <v>7526</v>
      </c>
      <c r="L12" s="26">
        <v>2595</v>
      </c>
      <c r="M12" s="26"/>
      <c r="N12" s="26">
        <v>5587</v>
      </c>
      <c r="O12" s="26">
        <v>3185</v>
      </c>
      <c r="P12" s="26"/>
      <c r="Q12" s="26">
        <v>2682</v>
      </c>
      <c r="R12" s="26">
        <f>2682+2920</f>
        <v>5602</v>
      </c>
      <c r="S12" s="26">
        <v>2088</v>
      </c>
      <c r="T12" s="26">
        <f>2355+1124</f>
        <v>3479</v>
      </c>
      <c r="U12" s="26"/>
      <c r="V12" s="26">
        <v>20990</v>
      </c>
    </row>
    <row r="13" spans="1:22" ht="15.75" thickBot="1" x14ac:dyDescent="0.3">
      <c r="A13" s="55" t="s">
        <v>353</v>
      </c>
      <c r="B13" s="55" t="s">
        <v>354</v>
      </c>
      <c r="C13" s="55">
        <v>215300</v>
      </c>
      <c r="D13" s="55">
        <f t="shared" si="0"/>
        <v>198266</v>
      </c>
      <c r="E13" s="55">
        <f t="shared" si="1"/>
        <v>17034</v>
      </c>
      <c r="F13" s="26"/>
      <c r="G13" s="26"/>
      <c r="H13" s="26"/>
      <c r="I13" s="26"/>
      <c r="J13" s="26"/>
      <c r="K13" s="26">
        <v>27607</v>
      </c>
      <c r="L13" s="26">
        <v>18299</v>
      </c>
      <c r="M13" s="26">
        <v>12154</v>
      </c>
      <c r="N13" s="26">
        <v>12419</v>
      </c>
      <c r="P13" s="26">
        <v>15788</v>
      </c>
      <c r="Q13" s="26">
        <v>30359</v>
      </c>
      <c r="R13" s="26">
        <v>17401</v>
      </c>
      <c r="S13" s="26">
        <v>13255</v>
      </c>
      <c r="T13" s="26">
        <v>33259</v>
      </c>
      <c r="U13" s="26">
        <v>17725</v>
      </c>
      <c r="V13" s="26"/>
    </row>
    <row r="14" spans="1:22" ht="15.75" thickBot="1" x14ac:dyDescent="0.3">
      <c r="A14" s="55" t="s">
        <v>355</v>
      </c>
      <c r="B14" s="55" t="s">
        <v>356</v>
      </c>
      <c r="C14" s="55">
        <v>233400</v>
      </c>
      <c r="D14" s="55">
        <f t="shared" si="0"/>
        <v>233400</v>
      </c>
      <c r="E14" s="55">
        <f t="shared" si="1"/>
        <v>0</v>
      </c>
      <c r="F14" s="26"/>
      <c r="G14" s="26"/>
      <c r="H14" s="26"/>
      <c r="I14" s="26"/>
      <c r="J14" s="26"/>
      <c r="K14" s="26">
        <v>49671</v>
      </c>
      <c r="L14" s="26">
        <v>35333</v>
      </c>
      <c r="M14" s="26">
        <v>33936</v>
      </c>
      <c r="N14" s="26">
        <v>19416</v>
      </c>
      <c r="O14" s="26">
        <v>16426</v>
      </c>
      <c r="P14" s="26">
        <v>14687</v>
      </c>
      <c r="Q14" s="26">
        <v>12226</v>
      </c>
      <c r="R14" s="26">
        <v>10283</v>
      </c>
      <c r="S14" s="26">
        <v>9329</v>
      </c>
      <c r="T14" s="26">
        <v>718</v>
      </c>
      <c r="U14" s="26"/>
      <c r="V14" s="26">
        <v>31375</v>
      </c>
    </row>
    <row r="15" spans="1:22" ht="15.75" thickBot="1" x14ac:dyDescent="0.3">
      <c r="A15" s="55"/>
      <c r="B15" s="55"/>
      <c r="C15" s="55"/>
      <c r="D15" s="55"/>
      <c r="E15" s="5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2" s="73" customFormat="1" ht="15.75" thickBot="1" x14ac:dyDescent="0.3">
      <c r="A16" s="95"/>
      <c r="B16" s="95"/>
      <c r="C16" s="95">
        <f>SUM(C11:C15)</f>
        <v>603984</v>
      </c>
      <c r="D16" s="95">
        <f t="shared" ref="D16:V16" si="2">SUM(D11:D15)</f>
        <v>582584</v>
      </c>
      <c r="E16" s="95">
        <f t="shared" si="2"/>
        <v>21400</v>
      </c>
      <c r="F16" s="95">
        <f t="shared" si="2"/>
        <v>0</v>
      </c>
      <c r="G16" s="95">
        <f t="shared" si="2"/>
        <v>0</v>
      </c>
      <c r="H16" s="95">
        <f t="shared" si="2"/>
        <v>0</v>
      </c>
      <c r="I16" s="95">
        <f t="shared" si="2"/>
        <v>0</v>
      </c>
      <c r="J16" s="95">
        <f t="shared" si="2"/>
        <v>0</v>
      </c>
      <c r="K16" s="95">
        <f t="shared" si="2"/>
        <v>84804</v>
      </c>
      <c r="L16" s="95">
        <f t="shared" si="2"/>
        <v>56227</v>
      </c>
      <c r="M16" s="95">
        <f t="shared" si="2"/>
        <v>46090</v>
      </c>
      <c r="N16" s="95">
        <f t="shared" si="2"/>
        <v>37422</v>
      </c>
      <c r="O16" s="95">
        <f t="shared" si="2"/>
        <v>19611</v>
      </c>
      <c r="P16" s="95">
        <f t="shared" si="2"/>
        <v>57306</v>
      </c>
      <c r="Q16" s="95">
        <f t="shared" si="2"/>
        <v>45267</v>
      </c>
      <c r="R16" s="95">
        <f t="shared" si="2"/>
        <v>71056</v>
      </c>
      <c r="S16" s="95">
        <f t="shared" si="2"/>
        <v>24672</v>
      </c>
      <c r="T16" s="95">
        <f t="shared" si="2"/>
        <v>37456</v>
      </c>
      <c r="U16" s="95">
        <f t="shared" si="2"/>
        <v>17725</v>
      </c>
      <c r="V16" s="95">
        <f t="shared" si="2"/>
        <v>84948</v>
      </c>
    </row>
    <row r="17" spans="3:23" ht="15" x14ac:dyDescent="0.25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3:23" ht="15" x14ac:dyDescent="0.25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3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3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3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3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3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3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3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3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3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3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3:23" x14ac:dyDescent="0.3">
      <c r="C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3:23" x14ac:dyDescent="0.3">
      <c r="C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3:23" x14ac:dyDescent="0.3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3:23" x14ac:dyDescent="0.3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6:23" x14ac:dyDescent="0.3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6:23" x14ac:dyDescent="0.3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6:23" x14ac:dyDescent="0.3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6:23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6:23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6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6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6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6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6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6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6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6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6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6:23" x14ac:dyDescent="0.3"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6:23" x14ac:dyDescent="0.3"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rgb="FFCCFFCC"/>
  </sheetPr>
  <dimension ref="A1:X62"/>
  <sheetViews>
    <sheetView workbookViewId="0">
      <pane xSplit="6" ySplit="10" topLeftCell="K11" activePane="bottomRight" state="frozen"/>
      <selection pane="topRight" activeCell="G1" sqref="G1"/>
      <selection pane="bottomLeft" activeCell="A11" sqref="A11"/>
      <selection pane="bottomRight" activeCell="D31" sqref="D31"/>
    </sheetView>
  </sheetViews>
  <sheetFormatPr defaultColWidth="9.109375" defaultRowHeight="14.4" x14ac:dyDescent="0.3"/>
  <cols>
    <col min="1" max="1" width="9.109375" style="4"/>
    <col min="2" max="2" width="49.5546875" style="4" customWidth="1"/>
    <col min="3" max="3" width="30" style="4" customWidth="1"/>
    <col min="4" max="4" width="14.6640625" style="4" customWidth="1"/>
    <col min="5" max="5" width="11.44140625" style="4" customWidth="1"/>
    <col min="6" max="6" width="15.6640625" style="4" customWidth="1"/>
    <col min="7" max="7" width="15" style="4" customWidth="1"/>
    <col min="8" max="8" width="12.109375" style="4" customWidth="1"/>
    <col min="9" max="10" width="12.6640625" style="4" customWidth="1"/>
    <col min="11" max="11" width="12.44140625" style="4" customWidth="1"/>
    <col min="12" max="12" width="12.6640625" style="4" customWidth="1"/>
    <col min="13" max="13" width="9.109375" style="4"/>
    <col min="14" max="14" width="10.88671875" style="4" customWidth="1"/>
    <col min="15" max="20" width="9.109375" style="4"/>
    <col min="21" max="21" width="11.33203125" style="4" bestFit="1" customWidth="1"/>
    <col min="22" max="22" width="10.5546875" style="4" customWidth="1"/>
    <col min="23" max="23" width="12" style="4" customWidth="1"/>
    <col min="24" max="24" width="10.88671875" style="4" customWidth="1"/>
    <col min="25" max="16384" width="9.109375" style="4"/>
  </cols>
  <sheetData>
    <row r="1" spans="1:22" ht="21" customHeight="1" x14ac:dyDescent="0.35">
      <c r="A1" s="39" t="s">
        <v>0</v>
      </c>
      <c r="B1" s="47"/>
      <c r="C1" s="81" t="s">
        <v>357</v>
      </c>
      <c r="D1" s="88"/>
      <c r="E1" s="88"/>
      <c r="F1" s="87"/>
      <c r="G1" s="87"/>
      <c r="H1" s="87"/>
      <c r="I1" s="87"/>
      <c r="J1" s="87"/>
      <c r="K1" s="81" t="str">
        <f>C1</f>
        <v>Title V-B Charter School Grant Program</v>
      </c>
      <c r="L1" s="47"/>
      <c r="M1" s="47"/>
      <c r="N1" s="47"/>
      <c r="O1" s="47"/>
      <c r="P1" s="47"/>
      <c r="Q1" s="47"/>
      <c r="R1" s="40" t="str">
        <f>C1</f>
        <v>Title V-B Charter School Grant Program</v>
      </c>
      <c r="S1" s="47"/>
      <c r="T1" s="47"/>
      <c r="U1" s="47"/>
      <c r="V1" s="47"/>
    </row>
    <row r="2" spans="1:22" ht="18.75" x14ac:dyDescent="0.3">
      <c r="A2" s="42" t="s">
        <v>1</v>
      </c>
      <c r="B2" s="47"/>
      <c r="C2" s="91" t="s">
        <v>358</v>
      </c>
      <c r="D2" s="88"/>
      <c r="E2" s="50"/>
      <c r="F2" s="87"/>
      <c r="G2" s="87"/>
      <c r="H2" s="47"/>
      <c r="I2" s="47"/>
      <c r="J2" s="47"/>
      <c r="K2" s="70" t="str">
        <f>"FY"&amp;C4</f>
        <v>FY2011-12</v>
      </c>
      <c r="L2" s="47"/>
      <c r="M2" s="47"/>
      <c r="N2" s="47"/>
      <c r="O2" s="47"/>
      <c r="P2" s="47"/>
      <c r="Q2" s="47"/>
      <c r="R2" s="70" t="str">
        <f>"FY"&amp;C4</f>
        <v>FY2011-12</v>
      </c>
      <c r="S2" s="47"/>
      <c r="T2" s="47"/>
      <c r="U2" s="47"/>
      <c r="V2" s="47"/>
    </row>
    <row r="3" spans="1:22" ht="15.75" x14ac:dyDescent="0.25">
      <c r="A3" s="42" t="s">
        <v>2</v>
      </c>
      <c r="B3" s="47"/>
      <c r="C3" s="91">
        <v>5285</v>
      </c>
      <c r="D3" s="88"/>
      <c r="E3" s="50"/>
      <c r="F3" s="87"/>
      <c r="G3" s="8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 ht="15.75" x14ac:dyDescent="0.25">
      <c r="A4" s="42" t="s">
        <v>3</v>
      </c>
      <c r="B4" s="47"/>
      <c r="C4" s="91" t="s">
        <v>6</v>
      </c>
      <c r="D4" s="94"/>
      <c r="E4" s="87"/>
      <c r="F4" s="87"/>
      <c r="G4" s="8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.75" x14ac:dyDescent="0.25">
      <c r="A5" s="42" t="s">
        <v>171</v>
      </c>
      <c r="B5" s="47"/>
      <c r="C5" s="91" t="s">
        <v>172</v>
      </c>
      <c r="D5" s="88"/>
      <c r="E5" s="50"/>
      <c r="F5" s="87"/>
      <c r="G5" s="8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ht="15.75" x14ac:dyDescent="0.25">
      <c r="A6" s="42" t="s">
        <v>101</v>
      </c>
      <c r="B6" s="47"/>
      <c r="C6" s="90" t="s">
        <v>106</v>
      </c>
      <c r="D6" s="88"/>
      <c r="E6" s="46"/>
      <c r="F6" s="87"/>
      <c r="G6" s="8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 ht="15.75" x14ac:dyDescent="0.25">
      <c r="A7" s="42" t="s">
        <v>103</v>
      </c>
      <c r="B7" s="47"/>
      <c r="C7" s="79" t="s">
        <v>174</v>
      </c>
      <c r="D7" s="88"/>
      <c r="E7" s="46"/>
      <c r="F7" s="87"/>
      <c r="G7" s="8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 s="28" customFormat="1" ht="21" x14ac:dyDescent="0.35">
      <c r="A8" s="93" t="s">
        <v>263</v>
      </c>
      <c r="B8" s="41"/>
      <c r="C8" s="82"/>
      <c r="D8" s="40"/>
      <c r="E8" s="41"/>
      <c r="F8" s="41"/>
      <c r="G8" s="75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</row>
    <row r="9" spans="1:22" ht="15.75" thickBot="1" x14ac:dyDescent="0.3">
      <c r="A9" s="47"/>
      <c r="B9" s="47"/>
      <c r="C9" s="8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 ht="30.75" thickBot="1" x14ac:dyDescent="0.3">
      <c r="A10" s="89" t="s">
        <v>381</v>
      </c>
      <c r="B10" s="89" t="s">
        <v>380</v>
      </c>
      <c r="C10" s="89" t="s">
        <v>382</v>
      </c>
      <c r="D10" s="62" t="s">
        <v>61</v>
      </c>
      <c r="E10" s="62" t="s">
        <v>62</v>
      </c>
      <c r="F10" s="132" t="s">
        <v>63</v>
      </c>
      <c r="G10" s="62" t="s">
        <v>64</v>
      </c>
      <c r="H10" s="60" t="s">
        <v>65</v>
      </c>
      <c r="I10" s="62" t="s">
        <v>66</v>
      </c>
      <c r="J10" s="60" t="s">
        <v>67</v>
      </c>
      <c r="K10" s="62" t="s">
        <v>68</v>
      </c>
      <c r="L10" s="60" t="s">
        <v>79</v>
      </c>
      <c r="M10" s="62" t="s">
        <v>69</v>
      </c>
      <c r="N10" s="60" t="s">
        <v>70</v>
      </c>
      <c r="O10" s="62" t="s">
        <v>71</v>
      </c>
      <c r="P10" s="60" t="s">
        <v>72</v>
      </c>
      <c r="Q10" s="62" t="s">
        <v>73</v>
      </c>
      <c r="R10" s="60" t="s">
        <v>74</v>
      </c>
      <c r="S10" s="62" t="s">
        <v>75</v>
      </c>
      <c r="T10" s="60" t="s">
        <v>76</v>
      </c>
      <c r="U10" s="62" t="s">
        <v>77</v>
      </c>
      <c r="V10" s="61" t="s">
        <v>78</v>
      </c>
    </row>
    <row r="11" spans="1:22" ht="15.75" thickBot="1" x14ac:dyDescent="0.3">
      <c r="A11" s="55" t="s">
        <v>360</v>
      </c>
      <c r="B11" s="55" t="s">
        <v>384</v>
      </c>
      <c r="C11" s="55" t="s">
        <v>180</v>
      </c>
      <c r="D11" s="55">
        <v>200000</v>
      </c>
      <c r="E11" s="55">
        <f t="shared" ref="E11:E39" si="0">SUM(G11:V11)</f>
        <v>200000</v>
      </c>
      <c r="F11" s="55">
        <f t="shared" ref="F11:F39" si="1">D11-E11</f>
        <v>0</v>
      </c>
      <c r="G11" s="26"/>
      <c r="H11" s="26"/>
      <c r="I11" s="26"/>
      <c r="J11" s="26"/>
      <c r="K11" s="26"/>
      <c r="L11" s="26"/>
      <c r="M11" s="26"/>
      <c r="N11" s="26">
        <v>59736</v>
      </c>
      <c r="O11" s="26">
        <v>8631</v>
      </c>
      <c r="P11" s="26">
        <v>41651</v>
      </c>
      <c r="Q11" s="26">
        <v>65919</v>
      </c>
      <c r="R11" s="26">
        <v>24063</v>
      </c>
      <c r="S11" s="26"/>
      <c r="T11" s="26"/>
      <c r="U11" s="26"/>
      <c r="V11" s="26"/>
    </row>
    <row r="12" spans="1:22" ht="15.75" thickBot="1" x14ac:dyDescent="0.3">
      <c r="A12" s="55" t="s">
        <v>361</v>
      </c>
      <c r="B12" s="55" t="s">
        <v>385</v>
      </c>
      <c r="C12" s="55" t="s">
        <v>274</v>
      </c>
      <c r="D12" s="55">
        <v>84885</v>
      </c>
      <c r="E12" s="55">
        <f t="shared" si="0"/>
        <v>60278</v>
      </c>
      <c r="F12" s="55">
        <f t="shared" si="1"/>
        <v>24607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>
        <v>56625</v>
      </c>
      <c r="R12" s="26"/>
      <c r="S12" s="26">
        <v>3653</v>
      </c>
      <c r="T12" s="26"/>
      <c r="U12" s="26"/>
      <c r="V12" s="26"/>
    </row>
    <row r="13" spans="1:22" ht="15.75" thickBot="1" x14ac:dyDescent="0.3">
      <c r="A13" s="55" t="s">
        <v>362</v>
      </c>
      <c r="B13" s="55" t="s">
        <v>386</v>
      </c>
      <c r="C13" s="55" t="s">
        <v>408</v>
      </c>
      <c r="D13" s="55">
        <v>200000</v>
      </c>
      <c r="E13" s="55">
        <f t="shared" si="0"/>
        <v>199562</v>
      </c>
      <c r="F13" s="55">
        <f t="shared" si="1"/>
        <v>438</v>
      </c>
      <c r="G13" s="26"/>
      <c r="H13" s="26"/>
      <c r="I13" s="26"/>
      <c r="J13" s="26"/>
      <c r="K13" s="26"/>
      <c r="L13" s="26"/>
      <c r="M13" s="26"/>
      <c r="N13" s="26"/>
      <c r="O13" s="26">
        <v>85177</v>
      </c>
      <c r="P13" s="26"/>
      <c r="Q13" s="26">
        <v>48606</v>
      </c>
      <c r="R13" s="26">
        <v>30735</v>
      </c>
      <c r="S13" s="26"/>
      <c r="T13" s="26">
        <v>23640</v>
      </c>
      <c r="U13" s="26">
        <v>11404</v>
      </c>
      <c r="V13" s="26"/>
    </row>
    <row r="14" spans="1:22" ht="15.75" thickBot="1" x14ac:dyDescent="0.3">
      <c r="A14" s="55" t="s">
        <v>363</v>
      </c>
      <c r="B14" s="55" t="s">
        <v>402</v>
      </c>
      <c r="C14" s="55" t="s">
        <v>180</v>
      </c>
      <c r="D14" s="55">
        <v>200000</v>
      </c>
      <c r="E14" s="55">
        <f t="shared" si="0"/>
        <v>200000</v>
      </c>
      <c r="F14" s="55">
        <f t="shared" si="1"/>
        <v>0</v>
      </c>
      <c r="G14" s="26"/>
      <c r="H14" s="26"/>
      <c r="I14" s="26"/>
      <c r="J14" s="26"/>
      <c r="K14" s="26">
        <v>12811</v>
      </c>
      <c r="L14" s="26">
        <v>3613</v>
      </c>
      <c r="M14" s="26">
        <v>3840</v>
      </c>
      <c r="N14" s="26">
        <v>5984</v>
      </c>
      <c r="O14" s="26">
        <v>19884</v>
      </c>
      <c r="P14" s="26">
        <v>4143</v>
      </c>
      <c r="Q14" s="26">
        <v>36805</v>
      </c>
      <c r="R14" s="26">
        <v>37684</v>
      </c>
      <c r="S14" s="26">
        <v>75236</v>
      </c>
      <c r="T14" s="26"/>
      <c r="U14" s="26"/>
      <c r="V14" s="26"/>
    </row>
    <row r="15" spans="1:22" ht="15.75" thickBot="1" x14ac:dyDescent="0.3">
      <c r="A15" s="55" t="s">
        <v>364</v>
      </c>
      <c r="B15" s="55" t="s">
        <v>403</v>
      </c>
      <c r="C15" s="55" t="s">
        <v>180</v>
      </c>
      <c r="D15" s="55">
        <v>200000</v>
      </c>
      <c r="E15" s="55">
        <f t="shared" si="0"/>
        <v>200000</v>
      </c>
      <c r="F15" s="55">
        <f t="shared" si="1"/>
        <v>0</v>
      </c>
      <c r="G15" s="26"/>
      <c r="H15" s="26"/>
      <c r="I15" s="26"/>
      <c r="J15" s="26"/>
      <c r="K15" s="26">
        <v>14631</v>
      </c>
      <c r="L15" s="26">
        <v>2236</v>
      </c>
      <c r="M15" s="26">
        <v>6889</v>
      </c>
      <c r="N15" s="26">
        <v>5542</v>
      </c>
      <c r="O15" s="26">
        <v>20072</v>
      </c>
      <c r="P15" s="26">
        <v>6551</v>
      </c>
      <c r="Q15" s="26">
        <v>37499</v>
      </c>
      <c r="R15" s="26">
        <v>30779</v>
      </c>
      <c r="S15" s="26">
        <v>75801</v>
      </c>
      <c r="T15" s="26"/>
      <c r="U15" s="26"/>
      <c r="V15" s="26"/>
    </row>
    <row r="16" spans="1:22" ht="15.75" thickBot="1" x14ac:dyDescent="0.3">
      <c r="A16" s="55" t="s">
        <v>365</v>
      </c>
      <c r="B16" s="55" t="s">
        <v>387</v>
      </c>
      <c r="C16" s="55" t="s">
        <v>180</v>
      </c>
      <c r="D16" s="55">
        <v>200000</v>
      </c>
      <c r="E16" s="55">
        <f t="shared" si="0"/>
        <v>200000</v>
      </c>
      <c r="F16" s="55">
        <f t="shared" si="1"/>
        <v>0</v>
      </c>
      <c r="G16" s="26"/>
      <c r="H16" s="26"/>
      <c r="I16" s="26"/>
      <c r="J16" s="26"/>
      <c r="K16" s="26"/>
      <c r="L16" s="26">
        <v>48700</v>
      </c>
      <c r="M16" s="26"/>
      <c r="N16" s="26">
        <v>27776</v>
      </c>
      <c r="O16" s="26"/>
      <c r="P16" s="26">
        <v>14871</v>
      </c>
      <c r="Q16" s="26">
        <v>42432</v>
      </c>
      <c r="R16" s="26"/>
      <c r="S16" s="26">
        <f>41093+25128</f>
        <v>66221</v>
      </c>
      <c r="T16" s="26"/>
      <c r="U16" s="26"/>
      <c r="V16" s="26"/>
    </row>
    <row r="17" spans="1:22" ht="15.75" thickBot="1" x14ac:dyDescent="0.3">
      <c r="A17" s="55" t="s">
        <v>366</v>
      </c>
      <c r="B17" s="55" t="s">
        <v>388</v>
      </c>
      <c r="C17" s="55" t="s">
        <v>404</v>
      </c>
      <c r="D17" s="55">
        <v>200000</v>
      </c>
      <c r="E17" s="55">
        <f t="shared" si="0"/>
        <v>200000</v>
      </c>
      <c r="F17" s="55">
        <f t="shared" si="1"/>
        <v>0</v>
      </c>
      <c r="G17" s="26"/>
      <c r="H17" s="26"/>
      <c r="I17" s="26"/>
      <c r="J17" s="26"/>
      <c r="K17" s="26"/>
      <c r="L17" s="26">
        <v>23037</v>
      </c>
      <c r="M17" s="26">
        <v>5344</v>
      </c>
      <c r="N17" s="26">
        <v>24207</v>
      </c>
      <c r="O17" s="26">
        <v>21905</v>
      </c>
      <c r="P17" s="26">
        <v>22400</v>
      </c>
      <c r="Q17" s="26">
        <v>12868</v>
      </c>
      <c r="R17" s="26"/>
      <c r="S17" s="26">
        <f>75235+15004</f>
        <v>90239</v>
      </c>
      <c r="T17" s="26"/>
      <c r="U17" s="26"/>
      <c r="V17" s="26"/>
    </row>
    <row r="18" spans="1:22" ht="15.75" thickBot="1" x14ac:dyDescent="0.3">
      <c r="A18" s="55" t="s">
        <v>367</v>
      </c>
      <c r="B18" s="55" t="s">
        <v>389</v>
      </c>
      <c r="C18" s="55" t="s">
        <v>274</v>
      </c>
      <c r="D18" s="55">
        <v>195000</v>
      </c>
      <c r="E18" s="55">
        <f t="shared" si="0"/>
        <v>178796</v>
      </c>
      <c r="F18" s="55">
        <f t="shared" si="1"/>
        <v>16204</v>
      </c>
      <c r="G18" s="26"/>
      <c r="H18" s="26"/>
      <c r="I18" s="26"/>
      <c r="J18" s="26"/>
      <c r="K18" s="26"/>
      <c r="L18" s="26"/>
      <c r="M18" s="26"/>
      <c r="N18" s="26"/>
      <c r="O18" s="26"/>
      <c r="P18" s="26">
        <v>52142</v>
      </c>
      <c r="Q18" s="26"/>
      <c r="R18" s="26">
        <v>24571</v>
      </c>
      <c r="S18" s="26">
        <v>22500</v>
      </c>
      <c r="T18" s="26"/>
      <c r="U18" s="26">
        <v>79583</v>
      </c>
      <c r="V18" s="26"/>
    </row>
    <row r="19" spans="1:22" ht="15" thickBot="1" x14ac:dyDescent="0.35">
      <c r="A19" s="55" t="s">
        <v>368</v>
      </c>
      <c r="B19" s="55" t="s">
        <v>390</v>
      </c>
      <c r="C19" s="55" t="s">
        <v>274</v>
      </c>
      <c r="D19" s="55">
        <v>200000</v>
      </c>
      <c r="E19" s="55">
        <f t="shared" si="0"/>
        <v>200000</v>
      </c>
      <c r="F19" s="55">
        <f t="shared" si="1"/>
        <v>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>
        <v>42301</v>
      </c>
      <c r="R19" s="26"/>
      <c r="S19" s="26">
        <v>157699</v>
      </c>
      <c r="T19" s="26"/>
      <c r="U19" s="26"/>
      <c r="V19" s="26"/>
    </row>
    <row r="20" spans="1:22" ht="15" thickBot="1" x14ac:dyDescent="0.35">
      <c r="A20" s="55" t="s">
        <v>369</v>
      </c>
      <c r="B20" s="55" t="s">
        <v>391</v>
      </c>
      <c r="C20" s="55" t="s">
        <v>180</v>
      </c>
      <c r="D20" s="55">
        <v>195000</v>
      </c>
      <c r="E20" s="55">
        <f t="shared" si="0"/>
        <v>195000</v>
      </c>
      <c r="F20" s="55">
        <f t="shared" si="1"/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>
        <v>60932</v>
      </c>
      <c r="R20" s="26"/>
      <c r="S20" s="26">
        <v>134068</v>
      </c>
      <c r="T20" s="26"/>
      <c r="U20" s="26"/>
      <c r="V20" s="26"/>
    </row>
    <row r="21" spans="1:22" ht="15" thickBot="1" x14ac:dyDescent="0.35">
      <c r="A21" s="55" t="s">
        <v>370</v>
      </c>
      <c r="B21" s="55" t="s">
        <v>392</v>
      </c>
      <c r="C21" s="55" t="s">
        <v>407</v>
      </c>
      <c r="D21" s="55">
        <v>195000</v>
      </c>
      <c r="E21" s="55">
        <f t="shared" si="0"/>
        <v>194995</v>
      </c>
      <c r="F21" s="55">
        <f t="shared" si="1"/>
        <v>5</v>
      </c>
      <c r="G21" s="26"/>
      <c r="H21" s="26"/>
      <c r="I21" s="26"/>
      <c r="J21" s="26">
        <v>42521</v>
      </c>
      <c r="K21" s="26"/>
      <c r="L21" s="26">
        <v>54597</v>
      </c>
      <c r="M21" s="26">
        <v>51413</v>
      </c>
      <c r="N21" s="26"/>
      <c r="O21" s="26">
        <v>26587</v>
      </c>
      <c r="P21" s="26">
        <v>7478</v>
      </c>
      <c r="Q21" s="26">
        <v>12379</v>
      </c>
      <c r="R21" s="26"/>
      <c r="S21" s="26">
        <v>20</v>
      </c>
      <c r="T21" s="26"/>
      <c r="U21" s="26"/>
      <c r="V21" s="26"/>
    </row>
    <row r="22" spans="1:22" ht="15" thickBot="1" x14ac:dyDescent="0.35">
      <c r="A22" s="55" t="s">
        <v>371</v>
      </c>
      <c r="B22" s="55" t="s">
        <v>393</v>
      </c>
      <c r="C22" s="55" t="s">
        <v>405</v>
      </c>
      <c r="D22" s="55">
        <v>195000</v>
      </c>
      <c r="E22" s="55">
        <f t="shared" si="0"/>
        <v>194893</v>
      </c>
      <c r="F22" s="55">
        <f t="shared" si="1"/>
        <v>107</v>
      </c>
      <c r="G22" s="26"/>
      <c r="H22" s="26"/>
      <c r="I22" s="26"/>
      <c r="J22" s="26"/>
      <c r="K22" s="26"/>
      <c r="L22" s="26"/>
      <c r="M22" s="26"/>
      <c r="N22" s="26"/>
      <c r="O22" s="26"/>
      <c r="P22" s="26">
        <v>122983</v>
      </c>
      <c r="Q22" s="26"/>
      <c r="R22" s="26">
        <v>63762</v>
      </c>
      <c r="S22" s="26"/>
      <c r="T22" s="26">
        <v>8148</v>
      </c>
      <c r="U22" s="26"/>
      <c r="V22" s="26"/>
    </row>
    <row r="23" spans="1:22" ht="15" thickBot="1" x14ac:dyDescent="0.35">
      <c r="A23" s="55" t="s">
        <v>372</v>
      </c>
      <c r="B23" s="55" t="s">
        <v>394</v>
      </c>
      <c r="C23" s="55" t="s">
        <v>180</v>
      </c>
      <c r="D23" s="55">
        <v>215000</v>
      </c>
      <c r="E23" s="55">
        <f t="shared" si="0"/>
        <v>215000</v>
      </c>
      <c r="F23" s="55">
        <f t="shared" si="1"/>
        <v>0</v>
      </c>
      <c r="G23" s="26"/>
      <c r="H23" s="26"/>
      <c r="I23" s="26"/>
      <c r="J23" s="26"/>
      <c r="K23" s="26"/>
      <c r="L23" s="26"/>
      <c r="M23" s="26"/>
      <c r="N23" s="26">
        <v>19758</v>
      </c>
      <c r="O23" s="26">
        <v>14870</v>
      </c>
      <c r="P23" s="26">
        <v>6318</v>
      </c>
      <c r="Q23" s="26">
        <v>10094</v>
      </c>
      <c r="R23" s="26">
        <v>13409</v>
      </c>
      <c r="S23" s="26"/>
      <c r="T23" s="26">
        <v>150551</v>
      </c>
      <c r="U23" s="26"/>
      <c r="V23" s="26"/>
    </row>
    <row r="24" spans="1:22" ht="15" thickBot="1" x14ac:dyDescent="0.35">
      <c r="A24" s="55" t="s">
        <v>373</v>
      </c>
      <c r="B24" s="55" t="s">
        <v>395</v>
      </c>
      <c r="C24" s="55" t="s">
        <v>406</v>
      </c>
      <c r="D24" s="55">
        <v>195000</v>
      </c>
      <c r="E24" s="55">
        <f t="shared" si="0"/>
        <v>195000</v>
      </c>
      <c r="F24" s="55">
        <f t="shared" si="1"/>
        <v>0</v>
      </c>
      <c r="G24" s="26"/>
      <c r="H24" s="26"/>
      <c r="I24" s="26"/>
      <c r="J24" s="26"/>
      <c r="K24" s="26"/>
      <c r="L24" s="26">
        <v>66983</v>
      </c>
      <c r="M24" s="26"/>
      <c r="N24" s="26">
        <v>55846</v>
      </c>
      <c r="O24" s="26"/>
      <c r="P24" s="26">
        <v>45543</v>
      </c>
      <c r="Q24" s="26">
        <v>24115</v>
      </c>
      <c r="R24" s="26">
        <v>2513</v>
      </c>
      <c r="S24" s="26"/>
      <c r="T24" s="26"/>
      <c r="U24" s="26"/>
      <c r="V24" s="26"/>
    </row>
    <row r="25" spans="1:22" ht="15" thickBot="1" x14ac:dyDescent="0.35">
      <c r="A25" s="55" t="s">
        <v>374</v>
      </c>
      <c r="B25" s="55" t="s">
        <v>396</v>
      </c>
      <c r="C25" s="55" t="s">
        <v>406</v>
      </c>
      <c r="D25" s="55">
        <v>195000</v>
      </c>
      <c r="E25" s="55">
        <f t="shared" si="0"/>
        <v>195000</v>
      </c>
      <c r="F25" s="55">
        <f t="shared" si="1"/>
        <v>0</v>
      </c>
      <c r="G25" s="26"/>
      <c r="H25" s="26"/>
      <c r="I25" s="26"/>
      <c r="J25" s="26"/>
      <c r="K25" s="26"/>
      <c r="L25" s="26">
        <v>9060</v>
      </c>
      <c r="M25" s="26"/>
      <c r="N25" s="26"/>
      <c r="O25" s="26">
        <v>48497</v>
      </c>
      <c r="P25" s="26">
        <v>20024</v>
      </c>
      <c r="Q25" s="26">
        <v>39817</v>
      </c>
      <c r="R25" s="26">
        <v>77602</v>
      </c>
      <c r="S25" s="26"/>
      <c r="T25" s="26"/>
      <c r="U25" s="26"/>
      <c r="V25" s="26"/>
    </row>
    <row r="26" spans="1:22" ht="15" thickBot="1" x14ac:dyDescent="0.35">
      <c r="A26" s="55" t="s">
        <v>375</v>
      </c>
      <c r="B26" s="55" t="s">
        <v>397</v>
      </c>
      <c r="C26" s="55" t="s">
        <v>153</v>
      </c>
      <c r="D26" s="55">
        <v>195000</v>
      </c>
      <c r="E26" s="55">
        <f t="shared" si="0"/>
        <v>195000</v>
      </c>
      <c r="F26" s="55">
        <f t="shared" si="1"/>
        <v>0</v>
      </c>
      <c r="G26" s="26"/>
      <c r="H26" s="26"/>
      <c r="I26" s="26"/>
      <c r="J26" s="26"/>
      <c r="K26" s="26"/>
      <c r="L26" s="26"/>
      <c r="M26" s="26"/>
      <c r="N26" s="26"/>
      <c r="O26" s="26">
        <v>45209</v>
      </c>
      <c r="P26" s="26">
        <v>42770</v>
      </c>
      <c r="Q26" s="26"/>
      <c r="R26" s="26">
        <v>11569</v>
      </c>
      <c r="S26" s="26"/>
      <c r="T26" s="26"/>
      <c r="U26" s="26"/>
      <c r="V26" s="26">
        <v>95452</v>
      </c>
    </row>
    <row r="27" spans="1:22" ht="15" thickBot="1" x14ac:dyDescent="0.35">
      <c r="A27" s="55" t="s">
        <v>376</v>
      </c>
      <c r="B27" s="55" t="s">
        <v>398</v>
      </c>
      <c r="C27" s="55" t="s">
        <v>407</v>
      </c>
      <c r="D27" s="55">
        <v>195000</v>
      </c>
      <c r="E27" s="55">
        <f t="shared" si="0"/>
        <v>195000</v>
      </c>
      <c r="F27" s="55">
        <f t="shared" si="1"/>
        <v>0</v>
      </c>
      <c r="G27" s="26"/>
      <c r="H27" s="26"/>
      <c r="I27" s="26"/>
      <c r="J27" s="26"/>
      <c r="K27" s="26">
        <v>44500</v>
      </c>
      <c r="L27" s="26">
        <v>61750</v>
      </c>
      <c r="M27" s="26"/>
      <c r="N27" s="26">
        <v>14244</v>
      </c>
      <c r="O27" s="26"/>
      <c r="P27" s="26">
        <v>30000</v>
      </c>
      <c r="Q27" s="26"/>
      <c r="R27" s="26">
        <v>44506</v>
      </c>
      <c r="S27" s="26"/>
      <c r="T27" s="26"/>
      <c r="U27" s="26"/>
      <c r="V27" s="26"/>
    </row>
    <row r="28" spans="1:22" ht="15" thickBot="1" x14ac:dyDescent="0.35">
      <c r="A28" s="55" t="s">
        <v>377</v>
      </c>
      <c r="B28" s="55" t="s">
        <v>399</v>
      </c>
      <c r="C28" s="55" t="s">
        <v>180</v>
      </c>
      <c r="D28" s="55">
        <v>195000</v>
      </c>
      <c r="E28" s="55">
        <f t="shared" si="0"/>
        <v>194999</v>
      </c>
      <c r="F28" s="55">
        <f t="shared" si="1"/>
        <v>1</v>
      </c>
      <c r="G28" s="26"/>
      <c r="H28" s="26"/>
      <c r="I28" s="26"/>
      <c r="J28" s="26"/>
      <c r="K28" s="26"/>
      <c r="L28" s="26"/>
      <c r="M28" s="26"/>
      <c r="N28" s="26">
        <v>60772</v>
      </c>
      <c r="O28" s="26">
        <v>16716</v>
      </c>
      <c r="P28" s="26">
        <v>64311</v>
      </c>
      <c r="Q28" s="26">
        <v>26917</v>
      </c>
      <c r="R28" s="26">
        <v>26283</v>
      </c>
      <c r="S28" s="26"/>
      <c r="T28" s="26"/>
      <c r="U28" s="26"/>
      <c r="V28" s="26"/>
    </row>
    <row r="29" spans="1:22" ht="15" thickBot="1" x14ac:dyDescent="0.35">
      <c r="A29" s="55" t="s">
        <v>378</v>
      </c>
      <c r="B29" s="55" t="s">
        <v>400</v>
      </c>
      <c r="C29" s="55" t="s">
        <v>153</v>
      </c>
      <c r="D29" s="55">
        <v>195000</v>
      </c>
      <c r="E29" s="55">
        <f t="shared" si="0"/>
        <v>194820</v>
      </c>
      <c r="F29" s="55">
        <f t="shared" si="1"/>
        <v>180</v>
      </c>
      <c r="G29" s="26"/>
      <c r="H29" s="26"/>
      <c r="I29" s="26"/>
      <c r="J29" s="26"/>
      <c r="K29" s="26"/>
      <c r="L29" s="26"/>
      <c r="M29" s="26"/>
      <c r="N29" s="26">
        <v>134866</v>
      </c>
      <c r="P29" s="26"/>
      <c r="Q29" s="26"/>
      <c r="R29" s="26">
        <v>59954</v>
      </c>
      <c r="S29" s="26"/>
      <c r="T29" s="26"/>
      <c r="U29" s="26"/>
      <c r="V29" s="26"/>
    </row>
    <row r="30" spans="1:22" ht="15" thickBot="1" x14ac:dyDescent="0.35">
      <c r="A30" s="55" t="s">
        <v>379</v>
      </c>
      <c r="B30" s="55" t="s">
        <v>401</v>
      </c>
      <c r="C30" s="55" t="s">
        <v>274</v>
      </c>
      <c r="D30" s="55">
        <v>195000</v>
      </c>
      <c r="E30" s="55">
        <f t="shared" si="0"/>
        <v>195000</v>
      </c>
      <c r="F30" s="55">
        <f t="shared" si="1"/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>
        <v>80070</v>
      </c>
      <c r="Q30" s="26"/>
      <c r="R30" s="26"/>
      <c r="S30" s="26">
        <v>114930</v>
      </c>
      <c r="T30" s="26"/>
      <c r="U30" s="26"/>
      <c r="V30" s="26"/>
    </row>
    <row r="31" spans="1:22" ht="15" thickBot="1" x14ac:dyDescent="0.35">
      <c r="A31" s="55" t="s">
        <v>420</v>
      </c>
      <c r="B31" s="55" t="s">
        <v>421</v>
      </c>
      <c r="C31" s="55" t="s">
        <v>180</v>
      </c>
      <c r="D31" s="55">
        <v>195000</v>
      </c>
      <c r="E31" s="55">
        <f t="shared" si="0"/>
        <v>195000</v>
      </c>
      <c r="F31" s="55">
        <f t="shared" ref="F31" si="2">D31-E31</f>
        <v>0</v>
      </c>
      <c r="G31" s="26"/>
      <c r="H31" s="26"/>
      <c r="I31" s="26"/>
      <c r="J31" s="26"/>
      <c r="K31" s="26"/>
      <c r="L31" s="26"/>
      <c r="M31" s="26">
        <v>29911</v>
      </c>
      <c r="N31" s="26">
        <v>12136</v>
      </c>
      <c r="O31" s="26">
        <v>15960</v>
      </c>
      <c r="P31" s="26">
        <v>2624</v>
      </c>
      <c r="Q31" s="26">
        <v>24377</v>
      </c>
      <c r="R31" s="26">
        <v>22935</v>
      </c>
      <c r="S31" s="26">
        <v>46335</v>
      </c>
      <c r="T31" s="26">
        <v>40722</v>
      </c>
      <c r="U31" s="26"/>
      <c r="V31" s="26"/>
    </row>
    <row r="32" spans="1:22" ht="15" thickBot="1" x14ac:dyDescent="0.35">
      <c r="A32" s="55" t="s">
        <v>423</v>
      </c>
      <c r="B32" s="55" t="s">
        <v>424</v>
      </c>
      <c r="C32" s="55" t="s">
        <v>425</v>
      </c>
      <c r="D32" s="55">
        <v>195000</v>
      </c>
      <c r="E32" s="55">
        <f t="shared" si="0"/>
        <v>195000</v>
      </c>
      <c r="F32" s="55">
        <f t="shared" ref="F32" si="3">D32-E32</f>
        <v>0</v>
      </c>
      <c r="G32" s="26"/>
      <c r="H32" s="26"/>
      <c r="I32" s="26"/>
      <c r="J32" s="26"/>
      <c r="K32" s="26"/>
      <c r="L32" s="26"/>
      <c r="M32" s="26"/>
      <c r="N32" s="26">
        <v>22923</v>
      </c>
      <c r="O32" s="26">
        <v>89869</v>
      </c>
      <c r="P32" s="26">
        <v>64109</v>
      </c>
      <c r="Q32" s="26"/>
      <c r="R32" s="26"/>
      <c r="S32" s="26">
        <v>18099</v>
      </c>
      <c r="T32" s="26"/>
      <c r="U32" s="26"/>
      <c r="V32" s="26"/>
    </row>
    <row r="33" spans="1:24" ht="15" thickBot="1" x14ac:dyDescent="0.35">
      <c r="A33" s="55" t="s">
        <v>453</v>
      </c>
      <c r="B33" s="55" t="s">
        <v>454</v>
      </c>
      <c r="C33" s="55" t="s">
        <v>180</v>
      </c>
      <c r="D33" s="55">
        <v>195000</v>
      </c>
      <c r="E33" s="55">
        <f t="shared" si="0"/>
        <v>195000</v>
      </c>
      <c r="F33" s="55">
        <f t="shared" ref="F33" si="4">D33-E33</f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>
        <v>400</v>
      </c>
      <c r="Q33" s="26">
        <v>90928</v>
      </c>
      <c r="R33" s="26"/>
      <c r="S33" s="26"/>
      <c r="T33" s="26">
        <v>103672</v>
      </c>
      <c r="U33" s="26"/>
      <c r="V33" s="26"/>
    </row>
    <row r="34" spans="1:24" ht="15" thickBot="1" x14ac:dyDescent="0.35">
      <c r="A34" s="55" t="s">
        <v>470</v>
      </c>
      <c r="B34" s="55" t="s">
        <v>471</v>
      </c>
      <c r="C34" s="55" t="s">
        <v>145</v>
      </c>
      <c r="D34" s="55">
        <v>195000</v>
      </c>
      <c r="E34" s="55">
        <f t="shared" ref="E34" si="5">SUM(G34:V34)</f>
        <v>193272</v>
      </c>
      <c r="F34" s="55">
        <f t="shared" ref="F34" si="6">D34-E34</f>
        <v>1728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>
        <v>193272</v>
      </c>
      <c r="S34" s="26"/>
      <c r="T34" s="26"/>
      <c r="U34" s="26"/>
      <c r="V34" s="26"/>
    </row>
    <row r="35" spans="1:24" ht="15" thickBot="1" x14ac:dyDescent="0.35">
      <c r="A35" s="55" t="s">
        <v>428</v>
      </c>
      <c r="B35" s="55" t="s">
        <v>429</v>
      </c>
      <c r="C35" s="55" t="s">
        <v>180</v>
      </c>
      <c r="D35" s="55">
        <v>215000</v>
      </c>
      <c r="E35" s="55">
        <f t="shared" si="0"/>
        <v>215000</v>
      </c>
      <c r="F35" s="55">
        <f t="shared" ref="F35" si="7">D35-E35</f>
        <v>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>
        <v>89688</v>
      </c>
      <c r="R35" s="26">
        <v>32212</v>
      </c>
      <c r="S35" s="26">
        <v>83085</v>
      </c>
      <c r="T35" s="26">
        <v>10015</v>
      </c>
      <c r="U35" s="26"/>
      <c r="V35" s="26"/>
    </row>
    <row r="36" spans="1:24" ht="15" thickBot="1" x14ac:dyDescent="0.35">
      <c r="A36" s="55" t="s">
        <v>472</v>
      </c>
      <c r="B36" s="55" t="s">
        <v>473</v>
      </c>
      <c r="C36" s="55" t="s">
        <v>180</v>
      </c>
      <c r="D36" s="55">
        <v>195000</v>
      </c>
      <c r="E36" s="55">
        <f t="shared" ref="E36" si="8">SUM(G36:V36)</f>
        <v>195000</v>
      </c>
      <c r="F36" s="55">
        <f t="shared" ref="F36" si="9">D36-E36</f>
        <v>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>
        <v>46517</v>
      </c>
      <c r="S36" s="26">
        <v>148483</v>
      </c>
      <c r="T36" s="26"/>
      <c r="U36" s="26"/>
      <c r="V36" s="26"/>
    </row>
    <row r="37" spans="1:24" ht="15" thickBot="1" x14ac:dyDescent="0.35">
      <c r="A37" s="55" t="s">
        <v>474</v>
      </c>
      <c r="B37" s="55" t="s">
        <v>475</v>
      </c>
      <c r="C37" s="55" t="s">
        <v>180</v>
      </c>
      <c r="D37" s="55">
        <v>195000</v>
      </c>
      <c r="E37" s="55">
        <f t="shared" ref="E37" si="10">SUM(G37:V37)</f>
        <v>195000</v>
      </c>
      <c r="F37" s="55">
        <f t="shared" ref="F37" si="11">D37-E37</f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>
        <v>41752</v>
      </c>
      <c r="S37" s="26">
        <v>153248</v>
      </c>
      <c r="T37" s="26"/>
      <c r="U37" s="26"/>
      <c r="V37" s="26"/>
    </row>
    <row r="38" spans="1:24" ht="15" thickBot="1" x14ac:dyDescent="0.35">
      <c r="A38" s="55" t="s">
        <v>476</v>
      </c>
      <c r="B38" s="55" t="s">
        <v>477</v>
      </c>
      <c r="C38" s="55" t="s">
        <v>274</v>
      </c>
      <c r="D38" s="55">
        <v>195000</v>
      </c>
      <c r="E38" s="55">
        <f t="shared" ref="E38" si="12">SUM(G38:V38)</f>
        <v>195000</v>
      </c>
      <c r="F38" s="55">
        <f t="shared" ref="F38" si="13">D38-E38</f>
        <v>0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>
        <v>103876</v>
      </c>
      <c r="S38" s="26">
        <v>91124</v>
      </c>
      <c r="T38" s="26"/>
      <c r="U38" s="26"/>
      <c r="V38" s="26"/>
    </row>
    <row r="39" spans="1:24" ht="15" thickBot="1" x14ac:dyDescent="0.35">
      <c r="A39" s="55" t="s">
        <v>359</v>
      </c>
      <c r="B39" s="55" t="s">
        <v>383</v>
      </c>
      <c r="C39" s="55" t="s">
        <v>407</v>
      </c>
      <c r="D39" s="55">
        <v>200000</v>
      </c>
      <c r="E39" s="55">
        <f t="shared" si="0"/>
        <v>200000</v>
      </c>
      <c r="F39" s="55">
        <f t="shared" si="1"/>
        <v>0</v>
      </c>
      <c r="G39" s="26"/>
      <c r="H39" s="26"/>
      <c r="I39" s="26"/>
      <c r="J39" s="26"/>
      <c r="K39" s="26">
        <v>45000</v>
      </c>
      <c r="L39" s="26">
        <v>96306</v>
      </c>
      <c r="M39" s="26"/>
      <c r="N39" s="26"/>
      <c r="O39" s="26"/>
      <c r="P39" s="26">
        <v>58694</v>
      </c>
      <c r="Q39" s="26"/>
      <c r="R39" s="26"/>
      <c r="S39" s="26"/>
      <c r="T39" s="26"/>
      <c r="U39" s="26"/>
      <c r="V39" s="26"/>
    </row>
    <row r="40" spans="1:24" ht="15" thickBot="1" x14ac:dyDescent="0.35">
      <c r="A40" s="55"/>
      <c r="B40" s="55"/>
      <c r="C40" s="55"/>
      <c r="D40" s="55"/>
      <c r="E40" s="55"/>
      <c r="F40" s="5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spans="1:24" s="73" customFormat="1" ht="15" thickBot="1" x14ac:dyDescent="0.35">
      <c r="A41" s="95"/>
      <c r="B41" s="95"/>
      <c r="C41" s="95"/>
      <c r="D41" s="95">
        <f>SUM(D11:D40)</f>
        <v>5624885</v>
      </c>
      <c r="E41" s="95">
        <f t="shared" ref="E41:F41" si="14">SUM(E11:E40)</f>
        <v>5581615</v>
      </c>
      <c r="F41" s="95">
        <f t="shared" si="14"/>
        <v>43270</v>
      </c>
      <c r="G41" s="124">
        <f t="shared" ref="G41" si="15">SUM(G11:G40)</f>
        <v>0</v>
      </c>
      <c r="H41" s="124">
        <f t="shared" ref="H41" si="16">SUM(H11:H40)</f>
        <v>0</v>
      </c>
      <c r="I41" s="124">
        <f t="shared" ref="I41" si="17">SUM(I11:I40)</f>
        <v>0</v>
      </c>
      <c r="J41" s="124">
        <f t="shared" ref="J41" si="18">SUM(J11:J40)</f>
        <v>42521</v>
      </c>
      <c r="K41" s="124">
        <f t="shared" ref="K41" si="19">SUM(K11:K40)</f>
        <v>116942</v>
      </c>
      <c r="L41" s="124">
        <f t="shared" ref="L41" si="20">SUM(L11:L40)</f>
        <v>366282</v>
      </c>
      <c r="M41" s="124">
        <f t="shared" ref="M41" si="21">SUM(M11:M40)</f>
        <v>97397</v>
      </c>
      <c r="N41" s="124">
        <f t="shared" ref="N41" si="22">SUM(N11:N40)</f>
        <v>443790</v>
      </c>
      <c r="O41" s="124">
        <f t="shared" ref="O41" si="23">SUM(O11:O40)</f>
        <v>413377</v>
      </c>
      <c r="P41" s="124">
        <f t="shared" ref="P41" si="24">SUM(P11:P40)</f>
        <v>687082</v>
      </c>
      <c r="Q41" s="124">
        <f t="shared" ref="Q41" si="25">SUM(Q11:Q40)</f>
        <v>722302</v>
      </c>
      <c r="R41" s="124">
        <f t="shared" ref="R41" si="26">SUM(R11:R40)</f>
        <v>887994</v>
      </c>
      <c r="S41" s="124">
        <f t="shared" ref="S41" si="27">SUM(S11:S40)</f>
        <v>1280741</v>
      </c>
      <c r="T41" s="124">
        <f t="shared" ref="T41" si="28">SUM(T11:T40)</f>
        <v>336748</v>
      </c>
      <c r="U41" s="124">
        <f t="shared" ref="U41" si="29">SUM(U11:U40)</f>
        <v>90987</v>
      </c>
      <c r="V41" s="124">
        <f t="shared" ref="V41" si="30">SUM(V11:V40)</f>
        <v>95452</v>
      </c>
    </row>
    <row r="42" spans="1:24" x14ac:dyDescent="0.3">
      <c r="D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spans="1:24" x14ac:dyDescent="0.3">
      <c r="D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spans="1:24" x14ac:dyDescent="0.3">
      <c r="D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1:24" x14ac:dyDescent="0.3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4" x14ac:dyDescent="0.3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 x14ac:dyDescent="0.3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4" x14ac:dyDescent="0.3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7:24" x14ac:dyDescent="0.3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7:24" x14ac:dyDescent="0.3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7:24" x14ac:dyDescent="0.3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7:24" x14ac:dyDescent="0.3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7:24" x14ac:dyDescent="0.3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7:24" x14ac:dyDescent="0.3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7:24" x14ac:dyDescent="0.3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7:24" x14ac:dyDescent="0.3"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7:24" x14ac:dyDescent="0.3"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7:24" x14ac:dyDescent="0.3"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7:24" x14ac:dyDescent="0.3"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 spans="7:24" x14ac:dyDescent="0.3"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 spans="7:24" x14ac:dyDescent="0.3"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 spans="7:24" x14ac:dyDescent="0.3"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</sheetData>
  <sheetProtection password="CCD4" sheet="1" objects="1" scenarios="1"/>
  <sortState ref="A11:F31">
    <sortCondition ref="A11"/>
  </sortState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W46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N11" sqref="N11"/>
    </sheetView>
  </sheetViews>
  <sheetFormatPr defaultColWidth="9.109375" defaultRowHeight="14.4" x14ac:dyDescent="0.3"/>
  <cols>
    <col min="1" max="1" width="9.109375" style="4"/>
    <col min="2" max="2" width="35.109375" style="4" bestFit="1" customWidth="1"/>
    <col min="3" max="3" width="15.88671875" style="4" customWidth="1"/>
    <col min="4" max="4" width="11.44140625" style="4" customWidth="1"/>
    <col min="5" max="5" width="18" style="4" customWidth="1"/>
    <col min="6" max="6" width="15" style="4" customWidth="1"/>
    <col min="7" max="7" width="12.109375" style="4" customWidth="1"/>
    <col min="8" max="9" width="12.6640625" style="4" customWidth="1"/>
    <col min="10" max="10" width="12.44140625" style="4" customWidth="1"/>
    <col min="11" max="11" width="12.6640625" style="4" customWidth="1"/>
    <col min="12" max="12" width="9.109375" style="4"/>
    <col min="13" max="13" width="10.88671875" style="4" customWidth="1"/>
    <col min="14" max="14" width="11.5546875" style="4" customWidth="1"/>
    <col min="15" max="21" width="9.109375" style="4"/>
    <col min="22" max="22" width="12" style="4" customWidth="1"/>
    <col min="23" max="23" width="10.88671875" style="4" customWidth="1"/>
    <col min="24" max="16384" width="9.109375" style="4"/>
  </cols>
  <sheetData>
    <row r="1" spans="1:23" ht="21" customHeight="1" x14ac:dyDescent="0.35">
      <c r="A1" s="93" t="s">
        <v>0</v>
      </c>
      <c r="B1" s="87"/>
      <c r="C1" s="81" t="s">
        <v>468</v>
      </c>
      <c r="D1" s="88"/>
      <c r="E1" s="87"/>
      <c r="F1" s="87"/>
      <c r="G1" s="87"/>
      <c r="H1" s="87"/>
      <c r="I1" s="87"/>
      <c r="J1" s="81" t="str">
        <f>C1</f>
        <v>Results Matter School Readiness Assessment Pilot</v>
      </c>
      <c r="K1" s="87"/>
      <c r="L1" s="87"/>
      <c r="M1" s="87"/>
      <c r="N1" s="87"/>
      <c r="O1" s="87"/>
      <c r="P1" s="87"/>
      <c r="Q1" s="81" t="str">
        <f>C1</f>
        <v>Results Matter School Readiness Assessment Pilot</v>
      </c>
      <c r="R1" s="87"/>
      <c r="S1" s="87"/>
      <c r="T1" s="87"/>
      <c r="U1" s="87"/>
      <c r="V1" s="87"/>
      <c r="W1" s="87"/>
    </row>
    <row r="2" spans="1:23" ht="18.75" x14ac:dyDescent="0.3">
      <c r="A2" s="94" t="s">
        <v>1</v>
      </c>
      <c r="B2" s="87"/>
      <c r="C2" s="155">
        <v>93.707999999999998</v>
      </c>
      <c r="D2" s="88"/>
      <c r="E2" s="87"/>
      <c r="F2" s="87"/>
      <c r="G2" s="87"/>
      <c r="H2" s="87"/>
      <c r="I2" s="87"/>
      <c r="J2" s="70" t="str">
        <f>"FY"&amp;C4</f>
        <v>FY2011-12</v>
      </c>
      <c r="K2" s="87"/>
      <c r="L2" s="87"/>
      <c r="M2" s="87"/>
      <c r="N2" s="87"/>
      <c r="O2" s="87"/>
      <c r="P2" s="87"/>
      <c r="Q2" s="70" t="str">
        <f>"FY"&amp;C4</f>
        <v>FY2011-12</v>
      </c>
      <c r="R2" s="87"/>
      <c r="S2" s="87"/>
      <c r="T2" s="87"/>
      <c r="U2" s="87"/>
      <c r="V2" s="87"/>
      <c r="W2" s="87"/>
    </row>
    <row r="3" spans="1:23" ht="15.75" x14ac:dyDescent="0.25">
      <c r="A3" s="94" t="s">
        <v>2</v>
      </c>
      <c r="B3" s="87"/>
      <c r="C3" s="91">
        <v>5708</v>
      </c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spans="1:23" ht="15.75" x14ac:dyDescent="0.25">
      <c r="A4" s="94" t="s">
        <v>3</v>
      </c>
      <c r="B4" s="87"/>
      <c r="C4" s="91" t="s">
        <v>6</v>
      </c>
      <c r="D4" s="94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</row>
    <row r="5" spans="1:23" ht="15.75" x14ac:dyDescent="0.25">
      <c r="A5" s="94" t="s">
        <v>171</v>
      </c>
      <c r="B5" s="87"/>
      <c r="C5" s="91" t="s">
        <v>172</v>
      </c>
      <c r="D5" s="88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5.75" x14ac:dyDescent="0.25">
      <c r="A6" s="94" t="s">
        <v>101</v>
      </c>
      <c r="B6" s="87"/>
      <c r="C6" s="94" t="s">
        <v>106</v>
      </c>
      <c r="D6" s="86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</row>
    <row r="7" spans="1:23" ht="15.75" x14ac:dyDescent="0.25">
      <c r="A7" s="94" t="s">
        <v>103</v>
      </c>
      <c r="B7" s="87"/>
      <c r="C7" s="94" t="s">
        <v>174</v>
      </c>
      <c r="D7" s="8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</row>
    <row r="8" spans="1:23" s="28" customFormat="1" ht="21" x14ac:dyDescent="0.35">
      <c r="A8" s="93" t="s">
        <v>262</v>
      </c>
      <c r="B8" s="82"/>
      <c r="C8" s="81"/>
      <c r="D8" s="82"/>
      <c r="E8" s="82"/>
      <c r="F8" s="75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</row>
    <row r="9" spans="1:23" ht="15.75" thickBo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</row>
    <row r="10" spans="1:23" ht="30.75" thickBot="1" x14ac:dyDescent="0.3">
      <c r="A10" s="62" t="s">
        <v>4</v>
      </c>
      <c r="B10" s="89" t="s">
        <v>265</v>
      </c>
      <c r="C10" s="62" t="s">
        <v>61</v>
      </c>
      <c r="D10" s="62" t="s">
        <v>62</v>
      </c>
      <c r="E10" s="132" t="s">
        <v>63</v>
      </c>
      <c r="F10" s="62" t="s">
        <v>69</v>
      </c>
      <c r="G10" s="60" t="s">
        <v>70</v>
      </c>
      <c r="H10" s="62" t="s">
        <v>71</v>
      </c>
      <c r="I10" s="60" t="s">
        <v>72</v>
      </c>
      <c r="J10" s="62" t="s">
        <v>73</v>
      </c>
      <c r="K10" s="60" t="s">
        <v>74</v>
      </c>
      <c r="L10" s="62" t="s">
        <v>75</v>
      </c>
      <c r="M10" s="60" t="s">
        <v>76</v>
      </c>
      <c r="N10" s="62" t="s">
        <v>77</v>
      </c>
      <c r="O10" s="61" t="s">
        <v>78</v>
      </c>
    </row>
    <row r="11" spans="1:23" ht="15.75" thickBot="1" x14ac:dyDescent="0.3">
      <c r="A11" s="208" t="s">
        <v>122</v>
      </c>
      <c r="B11" s="55" t="s">
        <v>180</v>
      </c>
      <c r="C11" s="55">
        <v>17599</v>
      </c>
      <c r="D11" s="55">
        <f>SUM(F11:O11)</f>
        <v>17599</v>
      </c>
      <c r="E11" s="55">
        <f>C11-D11</f>
        <v>0</v>
      </c>
      <c r="F11" s="26"/>
      <c r="G11" s="26"/>
      <c r="H11" s="26"/>
      <c r="I11" s="26"/>
      <c r="J11" s="26"/>
      <c r="K11" s="26"/>
      <c r="L11" s="26"/>
      <c r="M11" s="26">
        <v>17599</v>
      </c>
      <c r="N11" s="26"/>
      <c r="O11" s="26"/>
    </row>
    <row r="12" spans="1:23" ht="15.75" thickBot="1" x14ac:dyDescent="0.3">
      <c r="A12" s="209" t="s">
        <v>410</v>
      </c>
      <c r="B12" s="55" t="s">
        <v>135</v>
      </c>
      <c r="C12" s="55">
        <v>17598</v>
      </c>
      <c r="D12" s="55">
        <f>SUM(F12:O12)</f>
        <v>2842</v>
      </c>
      <c r="E12" s="55">
        <f t="shared" ref="E12" si="0">C12-D12</f>
        <v>14756</v>
      </c>
      <c r="F12" s="26"/>
      <c r="G12" s="26"/>
      <c r="H12" s="26"/>
      <c r="I12" s="26"/>
      <c r="J12" s="26">
        <v>2324</v>
      </c>
      <c r="K12" s="26"/>
      <c r="L12" s="26">
        <v>518</v>
      </c>
      <c r="M12" s="26"/>
      <c r="N12" s="26"/>
      <c r="O12" s="26"/>
    </row>
    <row r="13" spans="1:23" ht="15.75" thickBot="1" x14ac:dyDescent="0.3">
      <c r="A13" s="55"/>
      <c r="B13" s="55"/>
      <c r="C13" s="55"/>
      <c r="D13" s="55"/>
      <c r="E13" s="55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23" s="73" customFormat="1" ht="15.75" thickBot="1" x14ac:dyDescent="0.3">
      <c r="A14" s="95"/>
      <c r="B14" s="95"/>
      <c r="C14" s="95">
        <f t="shared" ref="C14:O14" si="1">SUM(C11:C13)</f>
        <v>35197</v>
      </c>
      <c r="D14" s="95">
        <f t="shared" si="1"/>
        <v>20441</v>
      </c>
      <c r="E14" s="95">
        <f t="shared" si="1"/>
        <v>14756</v>
      </c>
      <c r="F14" s="95">
        <f t="shared" si="1"/>
        <v>0</v>
      </c>
      <c r="G14" s="95">
        <f t="shared" si="1"/>
        <v>0</v>
      </c>
      <c r="H14" s="95">
        <f t="shared" si="1"/>
        <v>0</v>
      </c>
      <c r="I14" s="95">
        <f t="shared" si="1"/>
        <v>0</v>
      </c>
      <c r="J14" s="95">
        <f t="shared" si="1"/>
        <v>2324</v>
      </c>
      <c r="K14" s="95">
        <f t="shared" si="1"/>
        <v>0</v>
      </c>
      <c r="L14" s="95">
        <f t="shared" si="1"/>
        <v>518</v>
      </c>
      <c r="M14" s="95">
        <f t="shared" si="1"/>
        <v>17599</v>
      </c>
      <c r="N14" s="95">
        <f t="shared" si="1"/>
        <v>0</v>
      </c>
      <c r="O14" s="95">
        <f t="shared" si="1"/>
        <v>0</v>
      </c>
    </row>
    <row r="15" spans="1:23" ht="15" x14ac:dyDescent="0.25">
      <c r="C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15" x14ac:dyDescent="0.25">
      <c r="C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3:23" ht="15" x14ac:dyDescent="0.25">
      <c r="C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3:23" x14ac:dyDescent="0.3">
      <c r="C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3:23" x14ac:dyDescent="0.3">
      <c r="C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3:23" x14ac:dyDescent="0.3">
      <c r="C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3:23" x14ac:dyDescent="0.3">
      <c r="C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3:23" x14ac:dyDescent="0.3">
      <c r="C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3:23" x14ac:dyDescent="0.3">
      <c r="C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3:23" x14ac:dyDescent="0.3">
      <c r="C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3:23" x14ac:dyDescent="0.3">
      <c r="C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3:23" x14ac:dyDescent="0.3">
      <c r="C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3:23" x14ac:dyDescent="0.3">
      <c r="C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3:23" x14ac:dyDescent="0.3">
      <c r="C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3:23" x14ac:dyDescent="0.3"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3:23" x14ac:dyDescent="0.3"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3:23" x14ac:dyDescent="0.3"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3:23" x14ac:dyDescent="0.3"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6:23" x14ac:dyDescent="0.3"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 spans="6:23" x14ac:dyDescent="0.3"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6:23" x14ac:dyDescent="0.3"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6:23" x14ac:dyDescent="0.3"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6:23" x14ac:dyDescent="0.3"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6:23" x14ac:dyDescent="0.3"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6:23" x14ac:dyDescent="0.3"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6:23" x14ac:dyDescent="0.3"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6:23" x14ac:dyDescent="0.3"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6:23" x14ac:dyDescent="0.3"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6:23" x14ac:dyDescent="0.3"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6:23" x14ac:dyDescent="0.3"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6:23" x14ac:dyDescent="0.3"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6:23" x14ac:dyDescent="0.3"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</sheetData>
  <sheetProtection password="CCD4" sheet="1" objects="1" scenarios="1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AEFLA</vt:lpstr>
      <vt:lpstr>EL CIVICS</vt:lpstr>
      <vt:lpstr>RESOURCE CENTERS</vt:lpstr>
      <vt:lpstr>EVEN START TITLE IB</vt:lpstr>
      <vt:lpstr>MATH &amp; SCIENCE TITLE IIB</vt:lpstr>
      <vt:lpstr>21st CENTURY COHORT 5</vt:lpstr>
      <vt:lpstr>21s Century COHORT 6</vt:lpstr>
      <vt:lpstr>21st CENTURY COHORT 6</vt:lpstr>
      <vt:lpstr>HOMELESS</vt:lpstr>
      <vt:lpstr>CO Grad Pathways</vt:lpstr>
      <vt:lpstr>TIG - Cohort 1 </vt:lpstr>
      <vt:lpstr>TIG - Cohort 2 </vt:lpstr>
      <vt:lpstr>Compass Learning</vt:lpstr>
      <vt:lpstr>ELSS Math Grant</vt:lpstr>
      <vt:lpstr>Formative Assessment</vt:lpstr>
      <vt:lpstr>Prevention Integration Grant</vt:lpstr>
      <vt:lpstr>School Improvement</vt:lpstr>
      <vt:lpstr>Charter School Student Imprvmnt</vt:lpstr>
      <vt:lpstr>District Improvement</vt:lpstr>
      <vt:lpstr>Targeted DI Partnership</vt:lpstr>
      <vt:lpstr>Improvement Support Partnership</vt:lpstr>
      <vt:lpstr>Diagnostic Review</vt:lpstr>
      <vt:lpstr>UVA Leadership Pilot</vt:lpstr>
      <vt:lpstr>Abstinence Education</vt:lpstr>
      <vt:lpstr>Title V-B Charter Schools Pgrm</vt:lpstr>
      <vt:lpstr>Results Matter School Readiness</vt:lpstr>
      <vt:lpstr>blank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Moreno, Sharon</cp:lastModifiedBy>
  <cp:lastPrinted>2011-11-11T22:49:09Z</cp:lastPrinted>
  <dcterms:created xsi:type="dcterms:W3CDTF">2011-11-11T22:30:43Z</dcterms:created>
  <dcterms:modified xsi:type="dcterms:W3CDTF">2013-07-24T16:52:00Z</dcterms:modified>
</cp:coreProperties>
</file>